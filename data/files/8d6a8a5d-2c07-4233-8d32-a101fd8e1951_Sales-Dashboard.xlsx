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slicers/slicer1.xml" ContentType="application/vnd.ms-excel.slicer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Сайт\контент\_Excel Дашборды\синий отчет продажи\"/>
    </mc:Choice>
  </mc:AlternateContent>
  <xr:revisionPtr revIDLastSave="0" documentId="13_ncr:1_{7DAF8697-D5F3-4371-A2EA-4C876526D2D9}" xr6:coauthVersionLast="47" xr6:coauthVersionMax="47" xr10:uidLastSave="{00000000-0000-0000-0000-000000000000}"/>
  <bookViews>
    <workbookView xWindow="-108" yWindow="-108" windowWidth="30936" windowHeight="16896" tabRatio="558" xr2:uid="{FAFC4F45-1124-46F3-A45D-2D31ACDC8D43}"/>
  </bookViews>
  <sheets>
    <sheet name="Оригинал" sheetId="13" r:id="rId1"/>
    <sheet name="Dashboard" sheetId="2" r:id="rId2"/>
    <sheet name="Данные" sheetId="1" r:id="rId3"/>
    <sheet name="Динамика" sheetId="10" r:id="rId4"/>
    <sheet name="Структура" sheetId="12" r:id="rId5"/>
    <sheet name="Вспом" sheetId="11" r:id="rId6"/>
  </sheets>
  <definedNames>
    <definedName name="гггг">LEFT(ггггмм,4)</definedName>
    <definedName name="ггггмм">MAX(Динамика!$D:$D)</definedName>
    <definedName name="Дел">VALUE(1&amp;REPT("000",Ед-1))</definedName>
    <definedName name="дКолво">OFFSET(Структура!$Z$4,1,0,COUNTA(Структура!$S:$S)-1,1)</definedName>
    <definedName name="дКолво_Маркер">OFFSET(Структура!$AB$4,1,0,COUNTA(Структура!$S:$S)-1,1)</definedName>
    <definedName name="дКолво_Прошл">OFFSET(Структура!$AA$4,1,0,COUNTA(Структура!$S:$S)-1,1)</definedName>
    <definedName name="дПодписи">OFFSET(Структура!$S$4,1,0,COUNTA(Структура!$S:$S)-1,1)</definedName>
    <definedName name="дПродВсего">OFFSET(Структура!$T$4,1,0,COUNTA(Структура!$S:$S)-1,1)</definedName>
    <definedName name="дПродВсего_Маркер">OFFSET(Структура!$V$4,1,0,COUNTA(Структура!$S:$S)-1,1)</definedName>
    <definedName name="дПродВсего_Прошл">OFFSET(Структура!$U$4,1,0,COUNTA(Структура!$S:$S)-1,1)</definedName>
    <definedName name="дПродТов">OFFSET(Структура!$W$4,1,0,COUNTA(Структура!$S:$S)-1,1)</definedName>
    <definedName name="дПродТов_Маркер">OFFSET(Структура!$Y$4,1,0,COUNTA(Структура!$S:$S)-1,1)</definedName>
    <definedName name="дПродТов_Прошл">OFFSET(Структура!$X$4,1,0,COUNTA(Структура!$S:$S)-1,1)</definedName>
    <definedName name="дЦена">OFFSET(Структура!$AC$4,1,0,COUNTA(Структура!$S:$S)-1,1)</definedName>
    <definedName name="дЦена_Маркер">OFFSET(Структура!$AE$4,1,0,COUNTA(Структура!$S:$S)-1,1)</definedName>
    <definedName name="дЦена_Прошл">OFFSET(Структура!$AD$4,1,0,COUNTA(Структура!$S:$S)-1,1)</definedName>
    <definedName name="Ед">Динамика!$L$24</definedName>
    <definedName name="Единицы">Динамика!$L$19:$L$21</definedName>
    <definedName name="Маркер">Структура!$S$2</definedName>
    <definedName name="Мес">Динамика!$L$5:$L$16</definedName>
    <definedName name="МесяцПрошлГод">Динамика!$N$7</definedName>
    <definedName name="МесяцПрошлый">Динамика!$N$18</definedName>
    <definedName name="МесяцТекущий">Динамика!$N$19</definedName>
    <definedName name="ПодзаголовокДиаграммы">Вспом!$C$3</definedName>
    <definedName name="ПодзаголовокОтчета">Вспом!$C$2</definedName>
    <definedName name="Срез_бренд">#N/A</definedName>
    <definedName name="Срез_вариант">#N/A</definedName>
    <definedName name="Срез_точка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1" i="2" l="1" a="1"/>
  <c r="X31" i="2" s="1"/>
  <c r="N19" i="10" l="1" a="1"/>
  <c r="N19" i="10" s="1"/>
  <c r="N31" i="2" a="1"/>
  <c r="N31" i="2" s="1"/>
  <c r="J31" i="2" a="1"/>
  <c r="J31" i="2" s="1"/>
  <c r="N5" i="12" a="1"/>
  <c r="N5" i="12" s="1"/>
  <c r="B10" i="11"/>
  <c r="Q5" i="10"/>
  <c r="S5" i="10"/>
  <c r="W5" i="10"/>
  <c r="U5" i="10"/>
  <c r="Q6" i="10"/>
  <c r="S6" i="10"/>
  <c r="W6" i="10"/>
  <c r="U6" i="10"/>
  <c r="Q7" i="10"/>
  <c r="S7" i="10"/>
  <c r="W7" i="10"/>
  <c r="U7" i="10"/>
  <c r="Q8" i="10"/>
  <c r="S8" i="10"/>
  <c r="W8" i="10"/>
  <c r="U8" i="10"/>
  <c r="Q9" i="10"/>
  <c r="S9" i="10"/>
  <c r="W9" i="10"/>
  <c r="U9" i="10"/>
  <c r="Q10" i="10"/>
  <c r="S10" i="10"/>
  <c r="W10" i="10"/>
  <c r="U10" i="10"/>
  <c r="Q11" i="10"/>
  <c r="S11" i="10"/>
  <c r="W11" i="10"/>
  <c r="U11" i="10"/>
  <c r="Q12" i="10"/>
  <c r="S12" i="10"/>
  <c r="W12" i="10"/>
  <c r="U12" i="10"/>
  <c r="Q13" i="10"/>
  <c r="S13" i="10"/>
  <c r="W13" i="10"/>
  <c r="U13" i="10"/>
  <c r="Q14" i="10"/>
  <c r="S14" i="10"/>
  <c r="W14" i="10"/>
  <c r="U14" i="10"/>
  <c r="Q15" i="10"/>
  <c r="S15" i="10"/>
  <c r="W15" i="10"/>
  <c r="U15" i="10"/>
  <c r="Q16" i="10"/>
  <c r="S16" i="10"/>
  <c r="W16" i="10"/>
  <c r="U16" i="10"/>
  <c r="Q17" i="10"/>
  <c r="S17" i="10"/>
  <c r="W17" i="10"/>
  <c r="U17" i="10"/>
  <c r="Q18" i="10"/>
  <c r="S18" i="10"/>
  <c r="W18" i="10"/>
  <c r="U18" i="10"/>
  <c r="P19" i="10"/>
  <c r="R19" i="10"/>
  <c r="V19" i="10"/>
  <c r="T19" i="10"/>
  <c r="T31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Q19" i="10"/>
  <c r="S19" i="10"/>
  <c r="U19" i="10"/>
  <c r="N18" i="10" l="1" a="1"/>
  <c r="N18" i="10" s="1"/>
  <c r="C3" i="11" a="1"/>
  <c r="C3" i="11" s="1"/>
  <c r="W19" i="10"/>
  <c r="W23" i="10" s="1"/>
  <c r="S23" i="10"/>
  <c r="U23" i="10"/>
  <c r="Q23" i="10"/>
  <c r="O5" i="12" a="1"/>
  <c r="J9" i="2" l="1"/>
  <c r="T9" i="2"/>
  <c r="N9" i="2"/>
  <c r="X9" i="2"/>
  <c r="N17" i="10" a="1"/>
  <c r="N17" i="10" s="1"/>
  <c r="O5" i="12"/>
  <c r="R18" i="10"/>
  <c r="P18" i="10"/>
  <c r="T18" i="10"/>
  <c r="V18" i="10" l="1"/>
  <c r="N16" i="10" a="1"/>
  <c r="N16" i="10" s="1"/>
  <c r="O17" i="10" a="1"/>
  <c r="O17" i="10" s="1"/>
  <c r="P5" i="12" a="1"/>
  <c r="P5" i="12" s="1"/>
  <c r="R5" i="12" s="1" a="1"/>
  <c r="R5" i="12" s="1"/>
  <c r="S5" i="12" s="1" a="1"/>
  <c r="S5" i="12" s="1"/>
  <c r="T17" i="10"/>
  <c r="P17" i="10"/>
  <c r="R17" i="10"/>
  <c r="V17" i="10" l="1"/>
  <c r="N15" i="10" a="1"/>
  <c r="N15" i="10" s="1"/>
  <c r="T16" i="10"/>
  <c r="P16" i="10"/>
  <c r="R16" i="10"/>
  <c r="T5" i="12" a="1"/>
  <c r="Z5" i="12" a="1"/>
  <c r="W5" i="12" a="1"/>
  <c r="V16" i="10" l="1"/>
  <c r="N14" i="10" a="1"/>
  <c r="N14" i="10" s="1"/>
  <c r="Z5" i="12"/>
  <c r="W5" i="12"/>
  <c r="T5" i="12"/>
  <c r="P15" i="10"/>
  <c r="R15" i="10"/>
  <c r="T15" i="10"/>
  <c r="V15" i="10" l="1"/>
  <c r="N13" i="10" a="1"/>
  <c r="N13" i="10" s="1"/>
  <c r="AC5" i="12" a="1"/>
  <c r="AC5" i="12" s="1"/>
  <c r="P14" i="10"/>
  <c r="T14" i="10"/>
  <c r="R14" i="10"/>
  <c r="V14" i="10" l="1"/>
  <c r="N12" i="10" a="1"/>
  <c r="N12" i="10" s="1"/>
  <c r="P13" i="10"/>
  <c r="T13" i="10"/>
  <c r="R13" i="10"/>
  <c r="V13" i="10" l="1"/>
  <c r="N11" i="10" a="1"/>
  <c r="N11" i="10" s="1"/>
  <c r="T12" i="10"/>
  <c r="R12" i="10"/>
  <c r="P12" i="10"/>
  <c r="V12" i="10" l="1"/>
  <c r="N10" i="10" a="1"/>
  <c r="N10" i="10" s="1"/>
  <c r="O11" i="10" a="1"/>
  <c r="O11" i="10" s="1"/>
  <c r="T11" i="10"/>
  <c r="R11" i="10"/>
  <c r="P11" i="10"/>
  <c r="V11" i="10" l="1"/>
  <c r="N9" i="10" a="1"/>
  <c r="N9" i="10" s="1"/>
  <c r="R10" i="10"/>
  <c r="P10" i="10"/>
  <c r="T10" i="10"/>
  <c r="V10" i="10" l="1"/>
  <c r="N8" i="10" a="1"/>
  <c r="N8" i="10" s="1"/>
  <c r="P9" i="10"/>
  <c r="R9" i="10"/>
  <c r="T9" i="10"/>
  <c r="V9" i="10" l="1"/>
  <c r="N7" i="10" a="1"/>
  <c r="N7" i="10" s="1"/>
  <c r="R8" i="10"/>
  <c r="P8" i="10"/>
  <c r="T8" i="10"/>
  <c r="V8" i="10" l="1"/>
  <c r="N6" i="10" a="1"/>
  <c r="N6" i="10" s="1"/>
  <c r="C2" i="11" a="1"/>
  <c r="C2" i="11" s="1"/>
  <c r="H3" i="2" s="1"/>
  <c r="U4" i="12"/>
  <c r="T7" i="10"/>
  <c r="R7" i="10"/>
  <c r="P7" i="10"/>
  <c r="U5" i="12" a="1"/>
  <c r="AA5" i="12" a="1"/>
  <c r="X5" i="12" a="1"/>
  <c r="U5" i="12" l="1"/>
  <c r="V3" i="12" s="1"/>
  <c r="V5" i="12" s="1" a="1"/>
  <c r="V5" i="12" s="1"/>
  <c r="X5" i="12"/>
  <c r="AA5" i="12"/>
  <c r="AB3" i="12" s="1"/>
  <c r="AB5" i="12" s="1" a="1"/>
  <c r="AB5" i="12" s="1"/>
  <c r="P23" i="10"/>
  <c r="Q24" i="10" s="1"/>
  <c r="V7" i="10"/>
  <c r="V23" i="10" s="1"/>
  <c r="W24" i="10" s="1"/>
  <c r="R23" i="10"/>
  <c r="S24" i="10" s="1"/>
  <c r="T23" i="10"/>
  <c r="U24" i="10" s="1"/>
  <c r="N5" i="10" a="1"/>
  <c r="N5" i="10" s="1"/>
  <c r="R6" i="10"/>
  <c r="T6" i="10"/>
  <c r="P6" i="10"/>
  <c r="V6" i="10" l="1"/>
  <c r="T13" i="2"/>
  <c r="T24" i="10"/>
  <c r="N13" i="2"/>
  <c r="R24" i="10"/>
  <c r="P24" i="10"/>
  <c r="J13" i="2"/>
  <c r="O5" i="10" a="1"/>
  <c r="O5" i="10" s="1"/>
  <c r="V24" i="10"/>
  <c r="X13" i="2"/>
  <c r="Y3" i="12"/>
  <c r="Y5" i="12" s="1" a="1"/>
  <c r="Y5" i="12" s="1"/>
  <c r="AD5" i="12" a="1"/>
  <c r="AD5" i="12" s="1"/>
  <c r="AE3" i="12" s="1"/>
  <c r="AE5" i="12" s="1" a="1"/>
  <c r="AE5" i="12" s="1"/>
  <c r="R5" i="10"/>
  <c r="T5" i="10"/>
  <c r="P5" i="10"/>
  <c r="V5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<sst xmlns="http://schemas.openxmlformats.org/spreadsheetml/2006/main" count="21565" uniqueCount="129">
  <si>
    <t>Дата</t>
  </si>
  <si>
    <t>Количество</t>
  </si>
  <si>
    <t>на Гоголя</t>
  </si>
  <si>
    <t>на Горького</t>
  </si>
  <si>
    <t>на Ломоносова</t>
  </si>
  <si>
    <t>на Гагарина</t>
  </si>
  <si>
    <t>на Писаревской</t>
  </si>
  <si>
    <t>Проездная</t>
  </si>
  <si>
    <t>ТЦ Ивановский</t>
  </si>
  <si>
    <t>Babidas</t>
  </si>
  <si>
    <t>Asic</t>
  </si>
  <si>
    <t>Gunverse</t>
  </si>
  <si>
    <t>Nuke</t>
  </si>
  <si>
    <t>Rubok</t>
  </si>
  <si>
    <t>KA air-9558</t>
  </si>
  <si>
    <t>KA grou-7567</t>
  </si>
  <si>
    <t>KA gre-2749</t>
  </si>
  <si>
    <t>KA earth-3018</t>
  </si>
  <si>
    <t>KA ais-3700</t>
  </si>
  <si>
    <t>KA ice-7591</t>
  </si>
  <si>
    <t>KA ai-2818</t>
  </si>
  <si>
    <t>BA air-5353</t>
  </si>
  <si>
    <t>BA grou-9248</t>
  </si>
  <si>
    <t>BA gre-3658</t>
  </si>
  <si>
    <t>BA earth-3530</t>
  </si>
  <si>
    <t>BA ais-1740</t>
  </si>
  <si>
    <t>BA ice-4231</t>
  </si>
  <si>
    <t>BA ai-2960</t>
  </si>
  <si>
    <t>AS air-7520</t>
  </si>
  <si>
    <t>AS grou-3318</t>
  </si>
  <si>
    <t>AS gre-2748</t>
  </si>
  <si>
    <t>AS earth-9544</t>
  </si>
  <si>
    <t>AS ais-7331</t>
  </si>
  <si>
    <t>AS ice-2172</t>
  </si>
  <si>
    <t>AS ai-7676</t>
  </si>
  <si>
    <t>GU air-3053</t>
  </si>
  <si>
    <t>GU grou-6409</t>
  </si>
  <si>
    <t>GU gre-2865</t>
  </si>
  <si>
    <t>GU earth-4729</t>
  </si>
  <si>
    <t>GU ais-4465</t>
  </si>
  <si>
    <t>GU ice-8917</t>
  </si>
  <si>
    <t>GU ai-3849</t>
  </si>
  <si>
    <t>NK air-4421</t>
  </si>
  <si>
    <t>NK grou-9880</t>
  </si>
  <si>
    <t>NK gre-7983</t>
  </si>
  <si>
    <t>NK earth-5320</t>
  </si>
  <si>
    <t>NK ais-5028</t>
  </si>
  <si>
    <t>NK ice-4908</t>
  </si>
  <si>
    <t>NK ai-2826</t>
  </si>
  <si>
    <t>RB air-7636</t>
  </si>
  <si>
    <t>RB grou-5163</t>
  </si>
  <si>
    <t>RB gre-1678</t>
  </si>
  <si>
    <t>RB earth-5369</t>
  </si>
  <si>
    <t>RB ais-8935</t>
  </si>
  <si>
    <t>RB ice-6256</t>
  </si>
  <si>
    <t>RB ai-9349</t>
  </si>
  <si>
    <t>Galosha</t>
  </si>
  <si>
    <t>точка</t>
  </si>
  <si>
    <t>товар</t>
  </si>
  <si>
    <t>бренд</t>
  </si>
  <si>
    <t>Продажи</t>
  </si>
  <si>
    <t>Себестоимость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</si>
  <si>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</si>
  <si>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</si>
  <si>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</si>
  <si>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</si>
  <si>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</si>
  <si>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</si>
  <si>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</si>
  <si>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</si>
  <si>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</si>
  <si>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</si>
  <si>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</si>
  <si>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</si>
  <si>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год</t>
  </si>
  <si>
    <t>Год</t>
  </si>
  <si>
    <t>Год-мес</t>
  </si>
  <si>
    <t>№</t>
  </si>
  <si>
    <t>вариант</t>
  </si>
  <si>
    <t>Всего продажи</t>
  </si>
  <si>
    <t>Средняя цена</t>
  </si>
  <si>
    <t>Finalytics.Pro</t>
  </si>
  <si>
    <t>Товары в точках</t>
  </si>
  <si>
    <t>_Продажи</t>
  </si>
  <si>
    <t>_Себестоимость</t>
  </si>
  <si>
    <t>_Количество</t>
  </si>
  <si>
    <t>Получение исходных данных</t>
  </si>
  <si>
    <t>Продажи всего</t>
  </si>
  <si>
    <t>Данные для диаграмм в динамике</t>
  </si>
  <si>
    <t>Справочники</t>
  </si>
  <si>
    <t>Подпись</t>
  </si>
  <si>
    <t>Номер мес</t>
  </si>
  <si>
    <t>Мес</t>
  </si>
  <si>
    <t>Последний месяц</t>
  </si>
  <si>
    <t>присоединяйтесь к нам в соцсетях:</t>
  </si>
  <si>
    <t>Цены</t>
  </si>
  <si>
    <t>Данные за месяц</t>
  </si>
  <si>
    <t>Отклонение</t>
  </si>
  <si>
    <t>Отклонения показателей</t>
  </si>
  <si>
    <t>Текущий vs прошл. месяц</t>
  </si>
  <si>
    <t>Текущий vs месяц пр. год</t>
  </si>
  <si>
    <t>посл мес</t>
  </si>
  <si>
    <t>Получение данных</t>
  </si>
  <si>
    <t>Бренды</t>
  </si>
  <si>
    <t>Продажи последнего месяца</t>
  </si>
  <si>
    <t>Ранги</t>
  </si>
  <si>
    <t>Ранжирование продаж</t>
  </si>
  <si>
    <t>Оценка рангов</t>
  </si>
  <si>
    <t>Бренд</t>
  </si>
  <si>
    <t>Маркер</t>
  </si>
  <si>
    <t>Продажи по брендам</t>
  </si>
  <si>
    <t>Прошлое</t>
  </si>
  <si>
    <t>По брендам</t>
  </si>
  <si>
    <t>Список</t>
  </si>
  <si>
    <t>ед</t>
  </si>
  <si>
    <t>тыс</t>
  </si>
  <si>
    <t>млн</t>
  </si>
  <si>
    <t>млрд</t>
  </si>
  <si>
    <t xml:space="preserve">Еще в начале этого года на глаза попался интересный пример Dashboard-а, подготовленного в Tableau. </t>
  </si>
  <si>
    <t>RETAIL-POS-PointofSalesDashboard-Redesign/Cockpit-POS-Redesign</t>
  </si>
  <si>
    <t>Средние продажи на точку</t>
  </si>
  <si>
    <t>Ссылка на оригинал в Tableau, автор Ludovic Tavernier:</t>
  </si>
  <si>
    <t>Подзаголовок диаграммы</t>
  </si>
  <si>
    <t>Подзаголовок отчета</t>
  </si>
  <si>
    <t>деньги показывать в</t>
  </si>
  <si>
    <t>Примечание: некоторые формулы, использованные в отчете, доступны только в новых версиях Excel.</t>
  </si>
  <si>
    <t>Ради интереса решил некоторые приёмы и оформление воспроизвести в Excel и сделал файл без «стероидов» – надстроек Power Query &amp; Pivot. Ну и заодно чтобы проверить, получится ли воспроизвести функционал из оригинальной версии.</t>
  </si>
  <si>
    <t>Подробнее здесь:</t>
  </si>
  <si>
    <t>finalytics.pro/inform/spillarrayexcel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</si>
</sst>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;@"/>
    <numFmt numFmtId="165" formatCode="0.0%"/>
    <numFmt numFmtId="166" formatCode="\+0.0%;\-0.0%"/>
    <numFmt numFmtId="167" formatCode="&quot; &quot;\+0.0%;&quot; &quot;\-0.0%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8"/>
      <color rgb="FF3D57E7"/>
      <name val="Arial"/>
      <family val="2"/>
      <charset val="204"/>
    </font>
    <font>
      <sz val="16"/>
      <color theme="1"/>
      <name val="Arial"/>
      <family val="2"/>
      <charset val="204"/>
    </font>
    <font>
      <sz val="8"/>
      <color theme="0" tint="-0.499984740745262"/>
      <name val="Arial"/>
      <family val="2"/>
      <charset val="204"/>
    </font>
    <font>
      <sz val="8"/>
      <color theme="1" tint="0.499984740745262"/>
      <name val="Arial"/>
      <family val="2"/>
      <charset val="204"/>
    </font>
    <font>
      <sz val="9"/>
      <color theme="1" tint="0.499984740745262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1" tint="0.249977111117893"/>
      <name val="Arial"/>
      <family val="2"/>
      <charset val="204"/>
    </font>
    <font>
      <sz val="8"/>
      <color theme="1" tint="0.249977111117893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0" tint="-0.34998626667073579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0" tint="-0.249977111117893"/>
      <name val="Arial"/>
      <family val="2"/>
      <charset val="204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0" tint="-0.24994659260841701"/>
      </left>
      <right/>
      <top/>
      <bottom style="thin">
        <color theme="4" tint="0.39994506668294322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4" tint="0.39994506668294322"/>
      </bottom>
      <diagonal/>
    </border>
    <border>
      <left/>
      <right style="thin">
        <color theme="0" tint="-0.34998626667073579"/>
      </right>
      <top/>
      <bottom style="thin">
        <color theme="4" tint="0.39994506668294322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2" xfId="0" applyFont="1" applyFill="1" applyBorder="1"/>
    <xf numFmtId="0" fontId="5" fillId="0" borderId="0" xfId="0" applyFont="1"/>
    <xf numFmtId="0" fontId="5" fillId="0" borderId="5" xfId="0" applyFont="1" applyFill="1" applyBorder="1"/>
    <xf numFmtId="0" fontId="5" fillId="0" borderId="0" xfId="0" applyFont="1" applyFill="1" applyBorder="1"/>
    <xf numFmtId="0" fontId="5" fillId="0" borderId="6" xfId="0" applyFont="1" applyFill="1" applyBorder="1"/>
    <xf numFmtId="0" fontId="5" fillId="0" borderId="7" xfId="0" applyFont="1" applyFill="1" applyBorder="1"/>
    <xf numFmtId="0" fontId="5" fillId="0" borderId="1" xfId="0" applyFont="1" applyFill="1" applyBorder="1"/>
    <xf numFmtId="0" fontId="5" fillId="0" borderId="8" xfId="0" applyFont="1" applyFill="1" applyBorder="1"/>
    <xf numFmtId="0" fontId="5" fillId="3" borderId="0" xfId="0" applyFont="1" applyFill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11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66" fontId="15" fillId="0" borderId="0" xfId="0" applyNumberFormat="1" applyFont="1" applyFill="1" applyBorder="1" applyAlignment="1">
      <alignment horizontal="left"/>
    </xf>
    <xf numFmtId="166" fontId="15" fillId="3" borderId="0" xfId="0" applyNumberFormat="1" applyFont="1" applyFill="1" applyBorder="1" applyAlignment="1">
      <alignment horizontal="left"/>
    </xf>
    <xf numFmtId="0" fontId="14" fillId="5" borderId="0" xfId="0" applyFont="1" applyFill="1"/>
    <xf numFmtId="0" fontId="14" fillId="0" borderId="0" xfId="0" applyFont="1"/>
    <xf numFmtId="0" fontId="14" fillId="5" borderId="0" xfId="0" applyFont="1" applyFill="1" applyBorder="1"/>
    <xf numFmtId="0" fontId="14" fillId="0" borderId="0" xfId="0" applyFont="1" applyAlignment="1">
      <alignment vertical="top"/>
    </xf>
    <xf numFmtId="0" fontId="14" fillId="4" borderId="9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/>
    </xf>
    <xf numFmtId="0" fontId="14" fillId="4" borderId="9" xfId="0" applyFont="1" applyFill="1" applyBorder="1" applyAlignment="1">
      <alignment vertical="top"/>
    </xf>
    <xf numFmtId="0" fontId="14" fillId="4" borderId="12" xfId="0" applyFont="1" applyFill="1" applyBorder="1" applyAlignment="1">
      <alignment vertical="top" wrapText="1"/>
    </xf>
    <xf numFmtId="0" fontId="14" fillId="4" borderId="12" xfId="0" applyFont="1" applyFill="1" applyBorder="1" applyAlignment="1">
      <alignment vertical="top"/>
    </xf>
    <xf numFmtId="1" fontId="14" fillId="0" borderId="0" xfId="0" applyNumberFormat="1" applyFont="1"/>
    <xf numFmtId="3" fontId="14" fillId="0" borderId="0" xfId="0" applyNumberFormat="1" applyFont="1"/>
    <xf numFmtId="0" fontId="14" fillId="6" borderId="0" xfId="0" applyFont="1" applyFill="1"/>
    <xf numFmtId="0" fontId="14" fillId="2" borderId="11" xfId="0" applyFont="1" applyFill="1" applyBorder="1"/>
    <xf numFmtId="0" fontId="14" fillId="2" borderId="0" xfId="0" applyFont="1" applyFill="1" applyBorder="1" applyAlignment="1">
      <alignment horizontal="center"/>
    </xf>
    <xf numFmtId="3" fontId="14" fillId="5" borderId="14" xfId="0" applyNumberFormat="1" applyFont="1" applyFill="1" applyBorder="1" applyAlignment="1">
      <alignment horizontal="right"/>
    </xf>
    <xf numFmtId="3" fontId="14" fillId="5" borderId="15" xfId="0" applyNumberFormat="1" applyFont="1" applyFill="1" applyBorder="1" applyAlignment="1">
      <alignment horizontal="right"/>
    </xf>
    <xf numFmtId="3" fontId="14" fillId="5" borderId="0" xfId="0" applyNumberFormat="1" applyFont="1" applyFill="1" applyBorder="1" applyAlignment="1">
      <alignment horizontal="right"/>
    </xf>
    <xf numFmtId="0" fontId="14" fillId="0" borderId="11" xfId="0" applyFont="1" applyBorder="1"/>
    <xf numFmtId="0" fontId="14" fillId="0" borderId="0" xfId="0" applyFont="1" applyBorder="1" applyAlignment="1">
      <alignment horizontal="center"/>
    </xf>
    <xf numFmtId="3" fontId="14" fillId="0" borderId="14" xfId="0" applyNumberFormat="1" applyFont="1" applyBorder="1" applyAlignment="1">
      <alignment horizontal="right"/>
    </xf>
    <xf numFmtId="3" fontId="14" fillId="0" borderId="15" xfId="0" applyNumberFormat="1" applyFont="1" applyBorder="1" applyAlignment="1">
      <alignment horizontal="right"/>
    </xf>
    <xf numFmtId="3" fontId="14" fillId="0" borderId="0" xfId="0" applyNumberFormat="1" applyFont="1" applyBorder="1" applyAlignment="1">
      <alignment horizontal="right"/>
    </xf>
    <xf numFmtId="0" fontId="16" fillId="6" borderId="11" xfId="0" applyFont="1" applyFill="1" applyBorder="1"/>
    <xf numFmtId="0" fontId="16" fillId="6" borderId="0" xfId="0" applyFont="1" applyFill="1" applyBorder="1" applyAlignment="1">
      <alignment horizontal="center"/>
    </xf>
    <xf numFmtId="3" fontId="16" fillId="6" borderId="14" xfId="0" applyNumberFormat="1" applyFont="1" applyFill="1" applyBorder="1" applyAlignment="1">
      <alignment horizontal="right"/>
    </xf>
    <xf numFmtId="3" fontId="16" fillId="6" borderId="15" xfId="0" applyNumberFormat="1" applyFont="1" applyFill="1" applyBorder="1" applyAlignment="1">
      <alignment horizontal="right"/>
    </xf>
    <xf numFmtId="3" fontId="16" fillId="6" borderId="0" xfId="0" applyNumberFormat="1" applyFont="1" applyFill="1" applyBorder="1" applyAlignment="1">
      <alignment horizontal="right"/>
    </xf>
    <xf numFmtId="0" fontId="16" fillId="2" borderId="11" xfId="0" applyFont="1" applyFill="1" applyBorder="1"/>
    <xf numFmtId="0" fontId="16" fillId="2" borderId="0" xfId="0" applyFont="1" applyFill="1" applyBorder="1" applyAlignment="1">
      <alignment horizontal="center"/>
    </xf>
    <xf numFmtId="3" fontId="16" fillId="5" borderId="14" xfId="0" applyNumberFormat="1" applyFont="1" applyFill="1" applyBorder="1" applyAlignment="1">
      <alignment horizontal="right"/>
    </xf>
    <xf numFmtId="3" fontId="16" fillId="5" borderId="15" xfId="0" applyNumberFormat="1" applyFont="1" applyFill="1" applyBorder="1" applyAlignment="1">
      <alignment horizontal="right"/>
    </xf>
    <xf numFmtId="3" fontId="16" fillId="5" borderId="0" xfId="0" applyNumberFormat="1" applyFont="1" applyFill="1" applyBorder="1" applyAlignment="1">
      <alignment horizontal="right"/>
    </xf>
    <xf numFmtId="0" fontId="16" fillId="4" borderId="10" xfId="0" applyFont="1" applyFill="1" applyBorder="1" applyAlignment="1">
      <alignment vertical="top"/>
    </xf>
    <xf numFmtId="165" fontId="14" fillId="0" borderId="0" xfId="1" applyNumberFormat="1" applyFont="1"/>
    <xf numFmtId="0" fontId="14" fillId="4" borderId="13" xfId="0" applyFont="1" applyFill="1" applyBorder="1" applyAlignment="1">
      <alignment vertical="top" wrapText="1"/>
    </xf>
    <xf numFmtId="0" fontId="14" fillId="4" borderId="13" xfId="0" applyFont="1" applyFill="1" applyBorder="1" applyAlignment="1">
      <alignment vertical="top"/>
    </xf>
    <xf numFmtId="0" fontId="14" fillId="4" borderId="9" xfId="0" applyFont="1" applyFill="1" applyBorder="1" applyAlignment="1">
      <alignment horizontal="left" vertical="top" wrapText="1"/>
    </xf>
    <xf numFmtId="3" fontId="14" fillId="0" borderId="0" xfId="0" applyNumberFormat="1" applyFont="1" applyBorder="1"/>
    <xf numFmtId="3" fontId="14" fillId="0" borderId="14" xfId="0" applyNumberFormat="1" applyFont="1" applyBorder="1"/>
    <xf numFmtId="3" fontId="14" fillId="0" borderId="15" xfId="0" applyNumberFormat="1" applyFont="1" applyBorder="1"/>
    <xf numFmtId="0" fontId="16" fillId="5" borderId="0" xfId="0" applyFont="1" applyFill="1"/>
    <xf numFmtId="0" fontId="13" fillId="0" borderId="0" xfId="0" applyFont="1" applyFill="1" applyBorder="1" applyAlignment="1">
      <alignment horizontal="left" indent="1"/>
    </xf>
    <xf numFmtId="0" fontId="17" fillId="0" borderId="0" xfId="0" applyFont="1" applyAlignment="1">
      <alignment horizontal="center"/>
    </xf>
    <xf numFmtId="0" fontId="5" fillId="3" borderId="3" xfId="0" applyFont="1" applyFill="1" applyBorder="1"/>
    <xf numFmtId="0" fontId="7" fillId="3" borderId="3" xfId="0" applyFont="1" applyFill="1" applyBorder="1" applyAlignment="1"/>
    <xf numFmtId="0" fontId="5" fillId="3" borderId="4" xfId="0" applyFont="1" applyFill="1" applyBorder="1"/>
    <xf numFmtId="0" fontId="8" fillId="0" borderId="0" xfId="0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left" vertical="center"/>
    </xf>
    <xf numFmtId="0" fontId="5" fillId="3" borderId="6" xfId="0" applyFont="1" applyFill="1" applyBorder="1"/>
    <xf numFmtId="0" fontId="10" fillId="3" borderId="0" xfId="0" applyFont="1" applyFill="1" applyBorder="1"/>
    <xf numFmtId="0" fontId="9" fillId="3" borderId="0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3" xfId="0" applyFont="1" applyFill="1" applyBorder="1"/>
    <xf numFmtId="0" fontId="5" fillId="0" borderId="4" xfId="0" applyFont="1" applyFill="1" applyBorder="1"/>
    <xf numFmtId="166" fontId="15" fillId="0" borderId="6" xfId="0" applyNumberFormat="1" applyFont="1" applyFill="1" applyBorder="1" applyAlignment="1">
      <alignment horizontal="left"/>
    </xf>
    <xf numFmtId="166" fontId="15" fillId="0" borderId="5" xfId="0" applyNumberFormat="1" applyFont="1" applyFill="1" applyBorder="1" applyAlignment="1">
      <alignment horizontal="left"/>
    </xf>
    <xf numFmtId="166" fontId="15" fillId="0" borderId="6" xfId="0" applyNumberFormat="1" applyFont="1" applyFill="1" applyBorder="1"/>
    <xf numFmtId="0" fontId="14" fillId="7" borderId="0" xfId="0" applyFont="1" applyFill="1" applyAlignment="1">
      <alignment horizontal="center"/>
    </xf>
    <xf numFmtId="0" fontId="4" fillId="0" borderId="0" xfId="2"/>
    <xf numFmtId="0" fontId="4" fillId="0" borderId="0" xfId="2" applyAlignment="1">
      <alignment horizontal="left"/>
    </xf>
    <xf numFmtId="0" fontId="5" fillId="0" borderId="0" xfId="0" applyFont="1" applyAlignment="1">
      <alignment horizontal="left" indent="1"/>
    </xf>
    <xf numFmtId="0" fontId="5" fillId="0" borderId="0" xfId="0" quotePrefix="1" applyFont="1" applyAlignment="1">
      <alignment horizontal="left" indent="1"/>
    </xf>
    <xf numFmtId="3" fontId="18" fillId="0" borderId="15" xfId="0" applyNumberFormat="1" applyFont="1" applyBorder="1"/>
    <xf numFmtId="0" fontId="18" fillId="0" borderId="0" xfId="0" applyFont="1"/>
    <xf numFmtId="2" fontId="14" fillId="0" borderId="0" xfId="0" applyNumberFormat="1" applyFont="1"/>
    <xf numFmtId="4" fontId="14" fillId="0" borderId="0" xfId="0" applyNumberFormat="1" applyFont="1"/>
    <xf numFmtId="0" fontId="19" fillId="3" borderId="3" xfId="0" applyFont="1" applyFill="1" applyBorder="1" applyAlignment="1">
      <alignment horizontal="right"/>
    </xf>
    <xf numFmtId="0" fontId="20" fillId="6" borderId="0" xfId="0" applyFont="1" applyFill="1"/>
    <xf numFmtId="4" fontId="14" fillId="4" borderId="12" xfId="0" applyNumberFormat="1" applyFont="1" applyFill="1" applyBorder="1" applyAlignment="1">
      <alignment vertical="top" wrapText="1"/>
    </xf>
    <xf numFmtId="4" fontId="14" fillId="0" borderId="14" xfId="0" applyNumberFormat="1" applyFont="1" applyBorder="1"/>
    <xf numFmtId="0" fontId="21" fillId="0" borderId="0" xfId="0" pivotButton="1" applyFont="1" applyAlignment="1">
      <alignment vertical="top"/>
    </xf>
    <xf numFmtId="0" fontId="21" fillId="0" borderId="0" xfId="0" applyFont="1" applyAlignment="1">
      <alignment vertical="top"/>
    </xf>
    <xf numFmtId="1" fontId="21" fillId="0" borderId="0" xfId="0" applyNumberFormat="1" applyFont="1"/>
    <xf numFmtId="3" fontId="21" fillId="0" borderId="0" xfId="0" applyNumberFormat="1" applyFont="1"/>
    <xf numFmtId="1" fontId="21" fillId="0" borderId="0" xfId="0" applyNumberFormat="1" applyFont="1" applyAlignment="1">
      <alignment horizontal="left"/>
    </xf>
    <xf numFmtId="0" fontId="21" fillId="0" borderId="0" xfId="0" applyFont="1"/>
    <xf numFmtId="0" fontId="4" fillId="0" borderId="0" xfId="2" applyAlignment="1">
      <alignment horizontal="left"/>
    </xf>
    <xf numFmtId="0" fontId="0" fillId="0" borderId="0" xfId="0" applyAlignment="1">
      <alignment horizontal="left" vertical="top" wrapText="1"/>
    </xf>
    <xf numFmtId="0" fontId="6" fillId="0" borderId="3" xfId="2" applyFont="1" applyFill="1" applyBorder="1" applyAlignment="1">
      <alignment horizontal="left"/>
    </xf>
    <xf numFmtId="0" fontId="6" fillId="0" borderId="4" xfId="2" applyFont="1" applyFill="1" applyBorder="1" applyAlignment="1">
      <alignment horizontal="left"/>
    </xf>
    <xf numFmtId="167" fontId="15" fillId="0" borderId="0" xfId="0" applyNumberFormat="1" applyFont="1" applyFill="1" applyBorder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/>
    <xf numFmtId="0" fontId="12" fillId="0" borderId="0" xfId="0" applyFont="1" applyAlignment="1">
      <alignment horizontal="left" indent="1"/>
    </xf>
    <xf numFmtId="0" fontId="4" fillId="0" borderId="0" xfId="2" applyAlignment="1">
      <alignment horizontal="left" indent="1"/>
    </xf>
    <xf numFmtId="0" fontId="12" fillId="0" borderId="0" xfId="0" applyFont="1" applyAlignment="1">
      <alignment horizontal="left" vertical="top" inden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109">
    <dxf>
      <font>
        <color rgb="FFD65532"/>
      </font>
    </dxf>
    <dxf>
      <font>
        <color rgb="FF68A490"/>
      </font>
    </dxf>
    <dxf>
      <font>
        <color rgb="FFD65532"/>
      </font>
    </dxf>
    <dxf>
      <font>
        <color rgb="FF68A490"/>
      </font>
    </dxf>
    <dxf>
      <font>
        <color rgb="FFD65532"/>
      </font>
    </dxf>
    <dxf>
      <font>
        <color rgb="FF68A490"/>
      </font>
    </dxf>
    <dxf>
      <font>
        <color rgb="FFD65532"/>
      </font>
    </dxf>
    <dxf>
      <font>
        <color rgb="FF68A49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204"/>
        <scheme val="minor"/>
      </font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top"/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top"/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top"/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top"/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top"/>
    </dxf>
    <dxf>
      <alignment vertical="top"/>
    </dxf>
    <dxf>
      <font>
        <sz val="10"/>
      </font>
    </dxf>
    <dxf>
      <font>
        <sz val="10"/>
      </font>
    </dxf>
    <dxf>
      <alignment vertical="top"/>
    </dxf>
    <dxf>
      <numFmt numFmtId="3" formatCode="#,##0"/>
    </dxf>
    <dxf>
      <numFmt numFmtId="3" formatCode="#,##0"/>
    </dxf>
    <dxf>
      <numFmt numFmtId="0" formatCode="General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family val="2"/>
        <charset val="204"/>
        <scheme val="minor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dd/mm/yy;@"/>
    </dxf>
    <dxf>
      <font>
        <b val="0"/>
        <i val="0"/>
        <sz val="9"/>
        <color theme="1" tint="0.2499465926084170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FinalyticsPRO" pivot="0" table="0" count="10" xr9:uid="{4C069BCF-0671-4BE4-BF5F-352A4E0481BE}">
      <tableStyleElement type="wholeTable" dxfId="108"/>
      <tableStyleElement type="headerRow" dxfId="107"/>
    </tableStyle>
    <tableStyle name="Invisible" pivot="0" table="0" count="0" xr9:uid="{6645B810-B923-4219-A8ED-5E05E265C872}"/>
  </tableStyles>
  <colors>
    <mruColors>
      <color rgb="FF3D57E7"/>
      <color rgb="FFE9ECEF"/>
      <color rgb="FFD65532"/>
      <color rgb="FFF8F9FA"/>
      <color rgb="FF68A490"/>
      <color rgb="FFAAB5F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3D57E7"/>
          </font>
          <fill>
            <patternFill patternType="solid">
              <fgColor auto="1"/>
              <bgColor rgb="FFF8F9FA"/>
            </patternFill>
          </fill>
          <border diagonalUp="0" diagonalDown="0">
            <left style="thick">
              <color rgb="FF3D57E7"/>
            </left>
            <right/>
            <top/>
            <bottom/>
            <vertical/>
            <horizontal/>
          </border>
        </dxf>
        <dxf>
          <font>
            <color rgb="FF3D57E7"/>
          </font>
          <fill>
            <patternFill patternType="solid">
              <fgColor auto="1"/>
              <bgColor rgb="FFF8F9F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3D57E7"/>
          </font>
          <fill>
            <patternFill patternType="none">
              <fgColor indexed="64"/>
              <bgColor auto="1"/>
            </patternFill>
          </fill>
          <border diagonalUp="0" diagonalDown="0">
            <left style="medium">
              <color rgb="FF3D57E7"/>
            </left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 tint="-0.499984740745262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FinalyticsPR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134859431230893E-2"/>
          <c:y val="0.12777781842927494"/>
          <c:w val="0.8960012988067213"/>
          <c:h val="0.68899683893958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Динамика!$P$4</c:f>
              <c:strCache>
                <c:ptCount val="1"/>
                <c:pt idx="0">
                  <c:v>Продажи всего</c:v>
                </c:pt>
              </c:strCache>
            </c:strRef>
          </c:tx>
          <c:spPr>
            <a:solidFill>
              <a:srgbClr val="E9ECEF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Динамика!$P$5:$P$19</c:f>
              <c:numCache>
                <c:formatCode>#,##0</c:formatCode>
                <c:ptCount val="15"/>
                <c:pt idx="0">
                  <c:v>123826.12300000001</c:v>
                </c:pt>
                <c:pt idx="1">
                  <c:v>87659.183999999994</c:v>
                </c:pt>
                <c:pt idx="2">
                  <c:v>100626.306</c:v>
                </c:pt>
                <c:pt idx="3">
                  <c:v>152784.842</c:v>
                </c:pt>
                <c:pt idx="4">
                  <c:v>97592.773000000001</c:v>
                </c:pt>
                <c:pt idx="5">
                  <c:v>74904.627999999997</c:v>
                </c:pt>
                <c:pt idx="6">
                  <c:v>148365.46799999999</c:v>
                </c:pt>
                <c:pt idx="7">
                  <c:v>190622.40400000001</c:v>
                </c:pt>
                <c:pt idx="8">
                  <c:v>173013.93</c:v>
                </c:pt>
                <c:pt idx="9">
                  <c:v>160302.33799999999</c:v>
                </c:pt>
                <c:pt idx="10">
                  <c:v>146655.08600000001</c:v>
                </c:pt>
                <c:pt idx="11">
                  <c:v>157628.49</c:v>
                </c:pt>
                <c:pt idx="12">
                  <c:v>136203.12700000001</c:v>
                </c:pt>
                <c:pt idx="13">
                  <c:v>96517.691000000006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0-48A8-BCFC-7D3F9912F682}"/>
            </c:ext>
          </c:extLst>
        </c:ser>
        <c:ser>
          <c:idx val="1"/>
          <c:order val="1"/>
          <c:tx>
            <c:strRef>
              <c:f>Динамика!$Q$4</c:f>
              <c:strCache>
                <c:ptCount val="1"/>
                <c:pt idx="0">
                  <c:v>Последний месяц</c:v>
                </c:pt>
              </c:strCache>
            </c:strRef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Динамика!$Q$5:$Q$19</c:f>
              <c:numCache>
                <c:formatCode>#,##0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110354.526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0-48A8-BCFC-7D3F9912F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131972240"/>
        <c:axId val="1131972656"/>
      </c:barChart>
      <c:catAx>
        <c:axId val="11319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131972656"/>
        <c:crosses val="autoZero"/>
        <c:auto val="1"/>
        <c:lblAlgn val="ctr"/>
        <c:lblOffset val="0"/>
        <c:noMultiLvlLbl val="0"/>
      </c:catAx>
      <c:valAx>
        <c:axId val="1131972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31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42789040704834E-2"/>
          <c:y val="0.12777781842927494"/>
          <c:w val="0.90855843619214749"/>
          <c:h val="0.68899683893958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Динамика!$R$4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rgbClr val="E9ECEF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Динамика!$R$5:$R$19</c:f>
              <c:numCache>
                <c:formatCode>#,##0</c:formatCode>
                <c:ptCount val="15"/>
                <c:pt idx="0">
                  <c:v>61204.120999999999</c:v>
                </c:pt>
                <c:pt idx="1">
                  <c:v>43157.23</c:v>
                </c:pt>
                <c:pt idx="2">
                  <c:v>49856.93</c:v>
                </c:pt>
                <c:pt idx="3">
                  <c:v>75335.456999999995</c:v>
                </c:pt>
                <c:pt idx="4">
                  <c:v>48225.695</c:v>
                </c:pt>
                <c:pt idx="5">
                  <c:v>37026.839999999997</c:v>
                </c:pt>
                <c:pt idx="6">
                  <c:v>73272.968999999997</c:v>
                </c:pt>
                <c:pt idx="7">
                  <c:v>94390.226999999999</c:v>
                </c:pt>
                <c:pt idx="8">
                  <c:v>85636.097999999998</c:v>
                </c:pt>
                <c:pt idx="9">
                  <c:v>79302.53</c:v>
                </c:pt>
                <c:pt idx="10">
                  <c:v>72425.907000000007</c:v>
                </c:pt>
                <c:pt idx="11">
                  <c:v>78004.388000000006</c:v>
                </c:pt>
                <c:pt idx="12">
                  <c:v>67319.41</c:v>
                </c:pt>
                <c:pt idx="13">
                  <c:v>47706.889000000003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5-430D-B01C-3B7C193E1DBA}"/>
            </c:ext>
          </c:extLst>
        </c:ser>
        <c:ser>
          <c:idx val="1"/>
          <c:order val="1"/>
          <c:tx>
            <c:strRef>
              <c:f>Динамика!$S$4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Динамика!$S$5:$S$19</c:f>
              <c:numCache>
                <c:formatCode>#,##0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54496.190999999999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5-430D-B01C-3B7C193E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131972240"/>
        <c:axId val="1131972656"/>
      </c:barChart>
      <c:catAx>
        <c:axId val="11319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131972656"/>
        <c:crosses val="autoZero"/>
        <c:auto val="1"/>
        <c:lblAlgn val="ctr"/>
        <c:lblOffset val="0"/>
        <c:noMultiLvlLbl val="0"/>
      </c:catAx>
      <c:valAx>
        <c:axId val="1131972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31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90759531347238E-2"/>
          <c:y val="0.12777781842927494"/>
          <c:w val="0.85476418540465948"/>
          <c:h val="0.68899683893958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Динамика!$T$4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rgbClr val="E9ECEF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Динамика!$T$5:$T$19</c:f>
              <c:numCache>
                <c:formatCode>#,##0</c:formatCode>
                <c:ptCount val="15"/>
                <c:pt idx="0">
                  <c:v>4559</c:v>
                </c:pt>
                <c:pt idx="1">
                  <c:v>3272</c:v>
                </c:pt>
                <c:pt idx="2">
                  <c:v>3912</c:v>
                </c:pt>
                <c:pt idx="3">
                  <c:v>5722</c:v>
                </c:pt>
                <c:pt idx="4">
                  <c:v>3596</c:v>
                </c:pt>
                <c:pt idx="5">
                  <c:v>2896</c:v>
                </c:pt>
                <c:pt idx="6">
                  <c:v>5367</c:v>
                </c:pt>
                <c:pt idx="7">
                  <c:v>6785</c:v>
                </c:pt>
                <c:pt idx="8">
                  <c:v>6424</c:v>
                </c:pt>
                <c:pt idx="9">
                  <c:v>6785</c:v>
                </c:pt>
                <c:pt idx="10">
                  <c:v>5722</c:v>
                </c:pt>
                <c:pt idx="11">
                  <c:v>6072</c:v>
                </c:pt>
                <c:pt idx="12">
                  <c:v>5009</c:v>
                </c:pt>
                <c:pt idx="13">
                  <c:v>3596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3-494E-A151-B70E5EC99F9B}"/>
            </c:ext>
          </c:extLst>
        </c:ser>
        <c:ser>
          <c:idx val="1"/>
          <c:order val="1"/>
          <c:tx>
            <c:strRef>
              <c:f>Динамика!$U$4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Динамика!$U$5:$U$19</c:f>
              <c:numCache>
                <c:formatCode>#,##0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3-494E-A151-B70E5EC9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131972240"/>
        <c:axId val="1131972656"/>
      </c:barChart>
      <c:catAx>
        <c:axId val="11319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131972656"/>
        <c:crosses val="autoZero"/>
        <c:auto val="1"/>
        <c:lblAlgn val="ctr"/>
        <c:lblOffset val="0"/>
        <c:noMultiLvlLbl val="0"/>
      </c:catAx>
      <c:valAx>
        <c:axId val="1131972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31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90759531347238E-2"/>
          <c:y val="0.12777781842927494"/>
          <c:w val="0.85476418540465948"/>
          <c:h val="0.68899683893958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Динамика!$V$4</c:f>
              <c:strCache>
                <c:ptCount val="1"/>
                <c:pt idx="0">
                  <c:v>Цены</c:v>
                </c:pt>
              </c:strCache>
            </c:strRef>
          </c:tx>
          <c:spPr>
            <a:solidFill>
              <a:srgbClr val="E9ECEF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Динамика!$V$5:$V$19</c:f>
              <c:numCache>
                <c:formatCode>#,##0</c:formatCode>
                <c:ptCount val="15"/>
                <c:pt idx="0">
                  <c:v>13.42490041675806</c:v>
                </c:pt>
                <c:pt idx="1">
                  <c:v>13.189862469437653</c:v>
                </c:pt>
                <c:pt idx="2">
                  <c:v>12.744614008179958</c:v>
                </c:pt>
                <c:pt idx="3">
                  <c:v>13.165930968192939</c:v>
                </c:pt>
                <c:pt idx="4">
                  <c:v>13.410927419354838</c:v>
                </c:pt>
                <c:pt idx="5">
                  <c:v>12.785511049723755</c:v>
                </c:pt>
                <c:pt idx="6">
                  <c:v>13.652500279485746</c:v>
                </c:pt>
                <c:pt idx="7">
                  <c:v>13.911603095062638</c:v>
                </c:pt>
                <c:pt idx="8">
                  <c:v>13.330650373599003</c:v>
                </c:pt>
                <c:pt idx="9">
                  <c:v>11.687918938835667</c:v>
                </c:pt>
                <c:pt idx="10">
                  <c:v>12.657446172666901</c:v>
                </c:pt>
                <c:pt idx="11">
                  <c:v>12.846572463768117</c:v>
                </c:pt>
                <c:pt idx="12">
                  <c:v>13.439690556997405</c:v>
                </c:pt>
                <c:pt idx="13">
                  <c:v>13.266654338153504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E-4E0E-B99C-938B27B0CC04}"/>
            </c:ext>
          </c:extLst>
        </c:ser>
        <c:ser>
          <c:idx val="1"/>
          <c:order val="1"/>
          <c:tx>
            <c:strRef>
              <c:f>Динамика!$W$4</c:f>
              <c:strCache>
                <c:ptCount val="1"/>
                <c:pt idx="0">
                  <c:v>Цены</c:v>
                </c:pt>
              </c:strCache>
            </c:strRef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cat>
            <c:strRef>
              <c:f>Динамика!$O$5:$O$19</c:f>
              <c:strCache>
                <c:ptCount val="13"/>
                <c:pt idx="0">
                  <c:v>окт</c:v>
                </c:pt>
                <c:pt idx="6">
                  <c:v>апр</c:v>
                </c:pt>
                <c:pt idx="12">
                  <c:v>окт</c:v>
                </c:pt>
              </c:strCache>
            </c:strRef>
          </c:cat>
          <c:val>
            <c:numRef>
              <c:f>Динамика!$W$5:$W$19</c:f>
              <c:numCache>
                <c:formatCode>#,##0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12.652934989551891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E-4E0E-B99C-938B27B0C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131972240"/>
        <c:axId val="1131972656"/>
      </c:barChart>
      <c:catAx>
        <c:axId val="11319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131972656"/>
        <c:crosses val="autoZero"/>
        <c:auto val="1"/>
        <c:lblAlgn val="ctr"/>
        <c:lblOffset val="0"/>
        <c:noMultiLvlLbl val="0"/>
      </c:catAx>
      <c:valAx>
        <c:axId val="1131972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31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78747419418424"/>
          <c:y val="8.5769980506822607E-2"/>
          <c:w val="0.6802415113130621"/>
          <c:h val="0.85805037528203709"/>
        </c:manualLayout>
      </c:layout>
      <c:barChart>
        <c:barDir val="bar"/>
        <c:grouping val="clustered"/>
        <c:varyColors val="0"/>
        <c:ser>
          <c:idx val="0"/>
          <c:order val="0"/>
          <c:tx>
            <c:v>Продажи</c:v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[0]!дПродВсего</c:f>
              <c:numCache>
                <c:formatCode>#,##0</c:formatCode>
                <c:ptCount val="7"/>
                <c:pt idx="0">
                  <c:v>1757.366</c:v>
                </c:pt>
                <c:pt idx="1">
                  <c:v>5017.05</c:v>
                </c:pt>
                <c:pt idx="2">
                  <c:v>15203.313</c:v>
                </c:pt>
                <c:pt idx="3">
                  <c:v>17399.135999999999</c:v>
                </c:pt>
                <c:pt idx="4">
                  <c:v>25420.504000000001</c:v>
                </c:pt>
                <c:pt idx="5">
                  <c:v>45557.156999999999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3-4032-A4D6-8243F49F6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104016"/>
        <c:axId val="555104848"/>
      </c:barChart>
      <c:barChart>
        <c:barDir val="bar"/>
        <c:grouping val="stacked"/>
        <c:varyColors val="0"/>
        <c:ser>
          <c:idx val="1"/>
          <c:order val="1"/>
          <c:tx>
            <c:v>Прошл период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[0]!дПродВсего_Прошл</c:f>
              <c:numCache>
                <c:formatCode>#,##0</c:formatCode>
                <c:ptCount val="7"/>
                <c:pt idx="0">
                  <c:v>1608.0640000000001</c:v>
                </c:pt>
                <c:pt idx="1">
                  <c:v>4749.2290000000003</c:v>
                </c:pt>
                <c:pt idx="2">
                  <c:v>13884.063</c:v>
                </c:pt>
                <c:pt idx="3">
                  <c:v>15804.525</c:v>
                </c:pt>
                <c:pt idx="4">
                  <c:v>23095.626</c:v>
                </c:pt>
                <c:pt idx="5">
                  <c:v>41484.798999999999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3-4032-A4D6-8243F49F6A56}"/>
            </c:ext>
          </c:extLst>
        </c:ser>
        <c:ser>
          <c:idx val="2"/>
          <c:order val="2"/>
          <c:tx>
            <c:v>Маркер</c:v>
          </c:tx>
          <c:spPr>
            <a:solidFill>
              <a:schemeClr val="tx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[0]!дПродВсего_Маркер</c:f>
              <c:numCache>
                <c:formatCode>#,##0</c:formatCode>
                <c:ptCount val="7"/>
                <c:pt idx="0">
                  <c:v>0.45557156999999998</c:v>
                </c:pt>
                <c:pt idx="1">
                  <c:v>0.45557156999999998</c:v>
                </c:pt>
                <c:pt idx="2">
                  <c:v>0.45557156999999998</c:v>
                </c:pt>
                <c:pt idx="3">
                  <c:v>0.45557156999999998</c:v>
                </c:pt>
                <c:pt idx="4">
                  <c:v>0.45557156999999998</c:v>
                </c:pt>
                <c:pt idx="5">
                  <c:v>0.45557156999999998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3-4032-A4D6-8243F49F6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61708896"/>
        <c:axId val="561720128"/>
      </c:barChart>
      <c:catAx>
        <c:axId val="55510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555104848"/>
        <c:crosses val="autoZero"/>
        <c:auto val="1"/>
        <c:lblAlgn val="ctr"/>
        <c:lblOffset val="100"/>
        <c:noMultiLvlLbl val="0"/>
      </c:catAx>
      <c:valAx>
        <c:axId val="555104848"/>
        <c:scaling>
          <c:orientation val="minMax"/>
          <c:min val="0"/>
        </c:scaling>
        <c:delete val="0"/>
        <c:axPos val="b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555104016"/>
        <c:crosses val="autoZero"/>
        <c:crossBetween val="between"/>
      </c:valAx>
      <c:valAx>
        <c:axId val="561720128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561708896"/>
        <c:crosses val="max"/>
        <c:crossBetween val="between"/>
      </c:valAx>
      <c:catAx>
        <c:axId val="561708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172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478256394421288E-2"/>
          <c:y val="8.5769980506822607E-2"/>
          <c:w val="0.94330605733106887"/>
          <c:h val="0.85805037528203709"/>
        </c:manualLayout>
      </c:layout>
      <c:barChart>
        <c:barDir val="bar"/>
        <c:grouping val="clustered"/>
        <c:varyColors val="0"/>
        <c:ser>
          <c:idx val="0"/>
          <c:order val="0"/>
          <c:tx>
            <c:v>Продажи</c:v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[0]!дПродТов</c:f>
              <c:numCache>
                <c:formatCode>#,##0</c:formatCode>
                <c:ptCount val="7"/>
                <c:pt idx="0">
                  <c:v>856.28499999999997</c:v>
                </c:pt>
                <c:pt idx="1">
                  <c:v>2494.0219999999999</c:v>
                </c:pt>
                <c:pt idx="2">
                  <c:v>7452.5730000000003</c:v>
                </c:pt>
                <c:pt idx="3">
                  <c:v>8652.3070000000007</c:v>
                </c:pt>
                <c:pt idx="4">
                  <c:v>12630.31</c:v>
                </c:pt>
                <c:pt idx="5">
                  <c:v>22410.694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4-417D-A69C-F861E5D5B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104016"/>
        <c:axId val="555104848"/>
      </c:barChart>
      <c:barChart>
        <c:barDir val="bar"/>
        <c:grouping val="stacked"/>
        <c:varyColors val="0"/>
        <c:ser>
          <c:idx val="1"/>
          <c:order val="1"/>
          <c:tx>
            <c:v>Прошл период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[0]!дПродТов_Прошл</c:f>
              <c:numCache>
                <c:formatCode>#,##0</c:formatCode>
                <c:ptCount val="7"/>
                <c:pt idx="0">
                  <c:v>772.59400000000005</c:v>
                </c:pt>
                <c:pt idx="1">
                  <c:v>2349.2069999999999</c:v>
                </c:pt>
                <c:pt idx="2">
                  <c:v>6922.8779999999997</c:v>
                </c:pt>
                <c:pt idx="3">
                  <c:v>7849.6049999999996</c:v>
                </c:pt>
                <c:pt idx="4">
                  <c:v>11425.331</c:v>
                </c:pt>
                <c:pt idx="5">
                  <c:v>20537.314999999999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4-417D-A69C-F861E5D5B9A7}"/>
            </c:ext>
          </c:extLst>
        </c:ser>
        <c:ser>
          <c:idx val="2"/>
          <c:order val="2"/>
          <c:tx>
            <c:v>Маркер</c:v>
          </c:tx>
          <c:spPr>
            <a:solidFill>
              <a:schemeClr val="tx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[0]!дПродТов_Маркер</c:f>
              <c:numCache>
                <c:formatCode>#,##0</c:formatCode>
                <c:ptCount val="7"/>
                <c:pt idx="0">
                  <c:v>0.22410694</c:v>
                </c:pt>
                <c:pt idx="1">
                  <c:v>0.22410694</c:v>
                </c:pt>
                <c:pt idx="2">
                  <c:v>0.22410694</c:v>
                </c:pt>
                <c:pt idx="3">
                  <c:v>0.22410694</c:v>
                </c:pt>
                <c:pt idx="4">
                  <c:v>0.22410694</c:v>
                </c:pt>
                <c:pt idx="5">
                  <c:v>0.22410694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4-417D-A69C-F861E5D5B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61708896"/>
        <c:axId val="561720128"/>
      </c:barChart>
      <c:catAx>
        <c:axId val="555104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5104848"/>
        <c:crosses val="autoZero"/>
        <c:auto val="1"/>
        <c:lblAlgn val="ctr"/>
        <c:lblOffset val="100"/>
        <c:noMultiLvlLbl val="0"/>
      </c:catAx>
      <c:valAx>
        <c:axId val="555104848"/>
        <c:scaling>
          <c:orientation val="minMax"/>
          <c:min val="0"/>
        </c:scaling>
        <c:delete val="0"/>
        <c:axPos val="b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555104016"/>
        <c:crosses val="autoZero"/>
        <c:crossBetween val="between"/>
      </c:valAx>
      <c:valAx>
        <c:axId val="561720128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561708896"/>
        <c:crosses val="max"/>
        <c:crossBetween val="between"/>
      </c:valAx>
      <c:catAx>
        <c:axId val="561708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172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33800310728088"/>
          <c:y val="8.5769980506822607E-2"/>
          <c:w val="0.68869095834384586"/>
          <c:h val="0.85185185185185186"/>
        </c:manualLayout>
      </c:layout>
      <c:barChart>
        <c:barDir val="bar"/>
        <c:grouping val="clustered"/>
        <c:varyColors val="0"/>
        <c:ser>
          <c:idx val="0"/>
          <c:order val="0"/>
          <c:tx>
            <c:v>Продажи</c:v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[0]!дКолво</c:f>
              <c:numCache>
                <c:formatCode>#,##0</c:formatCode>
                <c:ptCount val="7"/>
                <c:pt idx="0">
                  <c:v>256</c:v>
                </c:pt>
                <c:pt idx="1">
                  <c:v>616</c:v>
                </c:pt>
                <c:pt idx="2">
                  <c:v>928</c:v>
                </c:pt>
                <c:pt idx="3">
                  <c:v>854</c:v>
                </c:pt>
                <c:pt idx="4">
                  <c:v>365</c:v>
                </c:pt>
                <c:pt idx="5">
                  <c:v>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B-4B77-AE46-EB427AABC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104016"/>
        <c:axId val="555104848"/>
      </c:barChart>
      <c:barChart>
        <c:barDir val="bar"/>
        <c:grouping val="stacked"/>
        <c:varyColors val="0"/>
        <c:ser>
          <c:idx val="1"/>
          <c:order val="1"/>
          <c:tx>
            <c:v>Прошл период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[0]!дКолво_Прошл</c:f>
              <c:numCache>
                <c:formatCode>#,##0</c:formatCode>
                <c:ptCount val="7"/>
                <c:pt idx="0">
                  <c:v>231</c:v>
                </c:pt>
                <c:pt idx="1">
                  <c:v>562</c:v>
                </c:pt>
                <c:pt idx="2">
                  <c:v>844</c:v>
                </c:pt>
                <c:pt idx="3">
                  <c:v>776</c:v>
                </c:pt>
                <c:pt idx="4">
                  <c:v>329</c:v>
                </c:pt>
                <c:pt idx="5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B-4B77-AE46-EB427AABC2B6}"/>
            </c:ext>
          </c:extLst>
        </c:ser>
        <c:ser>
          <c:idx val="2"/>
          <c:order val="2"/>
          <c:tx>
            <c:v>Маркер</c:v>
          </c:tx>
          <c:spPr>
            <a:solidFill>
              <a:schemeClr val="tx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[0]!дКолво_Маркер</c:f>
              <c:numCache>
                <c:formatCode>#,##0</c:formatCode>
                <c:ptCount val="7"/>
                <c:pt idx="0">
                  <c:v>1.2880000000000001E-2</c:v>
                </c:pt>
                <c:pt idx="1">
                  <c:v>1.2880000000000001E-2</c:v>
                </c:pt>
                <c:pt idx="2">
                  <c:v>1.2880000000000001E-2</c:v>
                </c:pt>
                <c:pt idx="3">
                  <c:v>1.2880000000000001E-2</c:v>
                </c:pt>
                <c:pt idx="4">
                  <c:v>1.2880000000000001E-2</c:v>
                </c:pt>
                <c:pt idx="5">
                  <c:v>1.2880000000000001E-2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EB-4B77-AE46-EB427AABC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61708896"/>
        <c:axId val="561720128"/>
      </c:barChart>
      <c:catAx>
        <c:axId val="55510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555104848"/>
        <c:crosses val="autoZero"/>
        <c:auto val="1"/>
        <c:lblAlgn val="ctr"/>
        <c:lblOffset val="100"/>
        <c:noMultiLvlLbl val="0"/>
      </c:catAx>
      <c:valAx>
        <c:axId val="555104848"/>
        <c:scaling>
          <c:orientation val="minMax"/>
          <c:min val="0"/>
        </c:scaling>
        <c:delete val="0"/>
        <c:axPos val="b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555104016"/>
        <c:crosses val="autoZero"/>
        <c:crossBetween val="between"/>
      </c:valAx>
      <c:valAx>
        <c:axId val="561720128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561708896"/>
        <c:crosses val="max"/>
        <c:crossBetween val="between"/>
      </c:valAx>
      <c:catAx>
        <c:axId val="561708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172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143790849673203E-2"/>
          <c:y val="8.5769980506822607E-2"/>
          <c:w val="0.90196078431372551"/>
          <c:h val="0.84405458089668617"/>
        </c:manualLayout>
      </c:layout>
      <c:barChart>
        <c:barDir val="bar"/>
        <c:grouping val="clustered"/>
        <c:varyColors val="0"/>
        <c:ser>
          <c:idx val="0"/>
          <c:order val="0"/>
          <c:tx>
            <c:v>Продажи</c:v>
          </c:tx>
          <c:spPr>
            <a:solidFill>
              <a:srgbClr val="3D57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[0]!дЦена</c:f>
              <c:numCache>
                <c:formatCode>#,##0.00</c:formatCode>
                <c:ptCount val="7"/>
                <c:pt idx="0">
                  <c:v>3.3448632812499999</c:v>
                </c:pt>
                <c:pt idx="1">
                  <c:v>4.0487370129870133</c:v>
                </c:pt>
                <c:pt idx="2">
                  <c:v>8.0307898706896559</c:v>
                </c:pt>
                <c:pt idx="3">
                  <c:v>10.131507025761126</c:v>
                </c:pt>
                <c:pt idx="4">
                  <c:v>34.603589041095887</c:v>
                </c:pt>
                <c:pt idx="5">
                  <c:v>17.399607142857143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F-4E64-B275-5E07265F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104016"/>
        <c:axId val="555104848"/>
      </c:barChart>
      <c:barChart>
        <c:barDir val="bar"/>
        <c:grouping val="stacked"/>
        <c:varyColors val="0"/>
        <c:ser>
          <c:idx val="1"/>
          <c:order val="1"/>
          <c:tx>
            <c:v>Прошл период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[0]!дЦена_Прошл</c:f>
              <c:numCache>
                <c:formatCode>#,##0</c:formatCode>
                <c:ptCount val="7"/>
                <c:pt idx="0">
                  <c:v>3.3445627705627707</c:v>
                </c:pt>
                <c:pt idx="1">
                  <c:v>4.1800836298932378</c:v>
                </c:pt>
                <c:pt idx="2">
                  <c:v>8.2024620853080563</c:v>
                </c:pt>
                <c:pt idx="3">
                  <c:v>10.115470360824741</c:v>
                </c:pt>
                <c:pt idx="4">
                  <c:v>34.727449848024314</c:v>
                </c:pt>
                <c:pt idx="5">
                  <c:v>17.553260683760683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F-4E64-B275-5E07265F4EF4}"/>
            </c:ext>
          </c:extLst>
        </c:ser>
        <c:ser>
          <c:idx val="2"/>
          <c:order val="2"/>
          <c:tx>
            <c:v>Маркер</c:v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[0]!дПодписи</c:f>
              <c:strCache>
                <c:ptCount val="6"/>
                <c:pt idx="0">
                  <c:v>Rubok</c:v>
                </c:pt>
                <c:pt idx="1">
                  <c:v>Babidas</c:v>
                </c:pt>
                <c:pt idx="2">
                  <c:v>Gunverse</c:v>
                </c:pt>
                <c:pt idx="3">
                  <c:v>Nuke</c:v>
                </c:pt>
                <c:pt idx="4">
                  <c:v>Asic</c:v>
                </c:pt>
                <c:pt idx="5">
                  <c:v>Galosha</c:v>
                </c:pt>
              </c:strCache>
            </c:strRef>
          </c:cat>
          <c:val>
            <c:numRef>
              <c:f>[0]!дЦена_Маркер</c:f>
              <c:numCache>
                <c:formatCode>#,##0</c:formatCode>
                <c:ptCount val="7"/>
                <c:pt idx="0">
                  <c:v>3.4727449848024315E-4</c:v>
                </c:pt>
                <c:pt idx="1">
                  <c:v>3.4727449848024315E-4</c:v>
                </c:pt>
                <c:pt idx="2">
                  <c:v>3.4727449848024315E-4</c:v>
                </c:pt>
                <c:pt idx="3">
                  <c:v>3.4727449848024315E-4</c:v>
                </c:pt>
                <c:pt idx="4">
                  <c:v>3.4727449848024315E-4</c:v>
                </c:pt>
                <c:pt idx="5">
                  <c:v>3.4727449848024315E-4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EF-4E64-B275-5E07265F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61708896"/>
        <c:axId val="561720128"/>
      </c:barChart>
      <c:catAx>
        <c:axId val="555104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5104848"/>
        <c:crosses val="autoZero"/>
        <c:auto val="1"/>
        <c:lblAlgn val="ctr"/>
        <c:lblOffset val="100"/>
        <c:noMultiLvlLbl val="0"/>
      </c:catAx>
      <c:valAx>
        <c:axId val="555104848"/>
        <c:scaling>
          <c:orientation val="minMax"/>
          <c:min val="0"/>
        </c:scaling>
        <c:delete val="0"/>
        <c:axPos val="b"/>
        <c:numFmt formatCode="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555104016"/>
        <c:crosses val="autoZero"/>
        <c:crossBetween val="between"/>
      </c:valAx>
      <c:valAx>
        <c:axId val="561720128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561708896"/>
        <c:crosses val="max"/>
        <c:crossBetween val="between"/>
      </c:valAx>
      <c:catAx>
        <c:axId val="561708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172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Ед" fmlaRange="Единицы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ublic.tableau.com/app/profile/ludovic.tavernier/viz/RETAIL-POS-PointofSalesDashboard-Redesign/Cockpit-POS-Redesign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.xml"/><Relationship Id="rId18" Type="http://schemas.openxmlformats.org/officeDocument/2006/relationships/chart" Target="../charts/chart6.xml"/><Relationship Id="rId3" Type="http://schemas.openxmlformats.org/officeDocument/2006/relationships/hyperlink" Target="https://www.facebook.com/groups/finalytics/" TargetMode="External"/><Relationship Id="rId7" Type="http://schemas.openxmlformats.org/officeDocument/2006/relationships/hyperlink" Target="https://www.youtube.com/salosteysv" TargetMode="External"/><Relationship Id="rId12" Type="http://schemas.openxmlformats.org/officeDocument/2006/relationships/image" Target="../media/image7.png"/><Relationship Id="rId17" Type="http://schemas.openxmlformats.org/officeDocument/2006/relationships/chart" Target="../charts/chart5.xml"/><Relationship Id="rId2" Type="http://schemas.openxmlformats.org/officeDocument/2006/relationships/image" Target="../media/image2.png"/><Relationship Id="rId16" Type="http://schemas.openxmlformats.org/officeDocument/2006/relationships/chart" Target="../charts/chart4.xml"/><Relationship Id="rId20" Type="http://schemas.openxmlformats.org/officeDocument/2006/relationships/chart" Target="../charts/chart8.xml"/><Relationship Id="rId1" Type="http://schemas.openxmlformats.org/officeDocument/2006/relationships/hyperlink" Target="https://vk.com/finalytics" TargetMode="External"/><Relationship Id="rId6" Type="http://schemas.openxmlformats.org/officeDocument/2006/relationships/image" Target="../media/image4.png"/><Relationship Id="rId11" Type="http://schemas.openxmlformats.org/officeDocument/2006/relationships/hyperlink" Target="https://finalytics.pro/inform/" TargetMode="External"/><Relationship Id="rId5" Type="http://schemas.openxmlformats.org/officeDocument/2006/relationships/hyperlink" Target="https://t.me/finalyticspro" TargetMode="External"/><Relationship Id="rId15" Type="http://schemas.openxmlformats.org/officeDocument/2006/relationships/chart" Target="../charts/chart3.xml"/><Relationship Id="rId10" Type="http://schemas.openxmlformats.org/officeDocument/2006/relationships/image" Target="../media/image6.png"/><Relationship Id="rId19" Type="http://schemas.openxmlformats.org/officeDocument/2006/relationships/chart" Target="../charts/chart7.xml"/><Relationship Id="rId4" Type="http://schemas.openxmlformats.org/officeDocument/2006/relationships/image" Target="../media/image3.png"/><Relationship Id="rId9" Type="http://schemas.openxmlformats.org/officeDocument/2006/relationships/hyperlink" Target="https://finalytics.pro/pbimail/" TargetMode="External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8</xdr:row>
      <xdr:rowOff>129540</xdr:rowOff>
    </xdr:from>
    <xdr:to>
      <xdr:col>13</xdr:col>
      <xdr:colOff>7620</xdr:colOff>
      <xdr:row>36</xdr:row>
      <xdr:rowOff>7620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723"/>
        <a:stretch/>
      </xdr:blipFill>
      <xdr:spPr>
        <a:xfrm>
          <a:off x="190500" y="1409700"/>
          <a:ext cx="7315200" cy="4998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18</xdr:row>
      <xdr:rowOff>69273</xdr:rowOff>
    </xdr:from>
    <xdr:to>
      <xdr:col>5</xdr:col>
      <xdr:colOff>409575</xdr:colOff>
      <xdr:row>31</xdr:row>
      <xdr:rowOff>69273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точка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чк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152" y="3435928"/>
              <a:ext cx="1782041" cy="2272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123825</xdr:colOff>
      <xdr:row>5</xdr:row>
      <xdr:rowOff>180975</xdr:rowOff>
    </xdr:from>
    <xdr:to>
      <xdr:col>5</xdr:col>
      <xdr:colOff>409575</xdr:colOff>
      <xdr:row>10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вариант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ариан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152" y="1275484"/>
              <a:ext cx="1782041" cy="705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8</xdr:col>
      <xdr:colOff>15240</xdr:colOff>
      <xdr:row>10</xdr:row>
      <xdr:rowOff>9525</xdr:rowOff>
    </xdr:from>
    <xdr:to>
      <xdr:col>11</xdr:col>
      <xdr:colOff>514350</xdr:colOff>
      <xdr:row>12</xdr:row>
      <xdr:rowOff>24765</xdr:rowOff>
    </xdr:to>
    <xdr:sp macro="" textlink="Динамика!Q23">
      <xdr:nvSpPr>
        <xdr:cNvPr id="12" name="Прямоугольни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558415" y="2028825"/>
          <a:ext cx="1899285" cy="377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13ECD6A-DD80-44B0-92A9-72E2DF8D592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l"/>
            <a:t>110 355</a:t>
          </a:fld>
          <a:endParaRPr lang="ru-RU" sz="6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7</xdr:row>
      <xdr:rowOff>22860</xdr:rowOff>
    </xdr:from>
    <xdr:to>
      <xdr:col>12</xdr:col>
      <xdr:colOff>0</xdr:colOff>
      <xdr:row>18</xdr:row>
      <xdr:rowOff>63180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4488180" y="1851660"/>
          <a:ext cx="0" cy="2052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129539</xdr:colOff>
      <xdr:row>10</xdr:row>
      <xdr:rowOff>3810</xdr:rowOff>
    </xdr:from>
    <xdr:to>
      <xdr:col>15</xdr:col>
      <xdr:colOff>438150</xdr:colOff>
      <xdr:row>12</xdr:row>
      <xdr:rowOff>19050</xdr:rowOff>
    </xdr:to>
    <xdr:sp macro="" textlink="Динамика!S23">
      <xdr:nvSpPr>
        <xdr:cNvPr id="17" name="Прямоугольник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749164" y="2023110"/>
          <a:ext cx="1832611" cy="377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73CEF0FE-D231-4878-A9F0-BB984465E55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54 496</a:t>
          </a:fld>
          <a:endParaRPr lang="ru-RU" sz="4400" b="0" i="0" u="none" strike="noStrike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53340</xdr:colOff>
      <xdr:row>10</xdr:row>
      <xdr:rowOff>9525</xdr:rowOff>
    </xdr:from>
    <xdr:to>
      <xdr:col>21</xdr:col>
      <xdr:colOff>107877</xdr:colOff>
      <xdr:row>12</xdr:row>
      <xdr:rowOff>24765</xdr:rowOff>
    </xdr:to>
    <xdr:sp macro="" textlink="Динамика!U23">
      <xdr:nvSpPr>
        <xdr:cNvPr id="24" name="Прямоугольник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7101840" y="2028825"/>
          <a:ext cx="1511862" cy="377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9043E8A6-41DA-4162-BD0E-7C39CFCA0337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4 307</a:t>
          </a:fld>
          <a:endParaRPr lang="ru-RU" sz="4400" b="0" i="0" u="none" strike="noStrike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7</xdr:row>
      <xdr:rowOff>22860</xdr:rowOff>
    </xdr:from>
    <xdr:to>
      <xdr:col>22</xdr:col>
      <xdr:colOff>0</xdr:colOff>
      <xdr:row>18</xdr:row>
      <xdr:rowOff>63180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8968740" y="1851660"/>
          <a:ext cx="0" cy="2052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129539</xdr:colOff>
      <xdr:row>10</xdr:row>
      <xdr:rowOff>3810</xdr:rowOff>
    </xdr:from>
    <xdr:to>
      <xdr:col>25</xdr:col>
      <xdr:colOff>151280</xdr:colOff>
      <xdr:row>12</xdr:row>
      <xdr:rowOff>19050</xdr:rowOff>
    </xdr:to>
    <xdr:sp macro="" textlink="Динамика!W23">
      <xdr:nvSpPr>
        <xdr:cNvPr id="27" name="Прямоугольник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9254489" y="2023110"/>
          <a:ext cx="1545741" cy="377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21B25352-4A38-4AF6-A852-028E6F78759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12,65</a:t>
          </a:fld>
          <a:endParaRPr lang="ru-RU" sz="4400" b="0" i="0" u="none" strike="noStrike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264987</xdr:colOff>
      <xdr:row>3</xdr:row>
      <xdr:rowOff>1</xdr:rowOff>
    </xdr:from>
    <xdr:to>
      <xdr:col>3</xdr:col>
      <xdr:colOff>55990</xdr:colOff>
      <xdr:row>4</xdr:row>
      <xdr:rowOff>65435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46927" y="746761"/>
          <a:ext cx="225343" cy="217834"/>
        </a:xfrm>
        <a:prstGeom prst="ellipse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103914</xdr:colOff>
      <xdr:row>3</xdr:row>
      <xdr:rowOff>1</xdr:rowOff>
    </xdr:from>
    <xdr:to>
      <xdr:col>3</xdr:col>
      <xdr:colOff>329257</xdr:colOff>
      <xdr:row>4</xdr:row>
      <xdr:rowOff>65435</xdr:rowOff>
    </xdr:to>
    <xdr:sp macro="" textlink="">
      <xdr:nvSpPr>
        <xdr:cNvPr id="42" name="Овал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820194" y="746761"/>
          <a:ext cx="225343" cy="217834"/>
        </a:xfrm>
        <a:prstGeom prst="ellipse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377182</xdr:colOff>
      <xdr:row>3</xdr:row>
      <xdr:rowOff>1</xdr:rowOff>
    </xdr:from>
    <xdr:to>
      <xdr:col>4</xdr:col>
      <xdr:colOff>169744</xdr:colOff>
      <xdr:row>4</xdr:row>
      <xdr:rowOff>65435</xdr:rowOff>
    </xdr:to>
    <xdr:sp macro="" textlink="">
      <xdr:nvSpPr>
        <xdr:cNvPr id="43" name="Овал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1093462" y="746761"/>
          <a:ext cx="226902" cy="217834"/>
        </a:xfrm>
        <a:prstGeom prst="ellipse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216110</xdr:colOff>
      <xdr:row>3</xdr:row>
      <xdr:rowOff>1</xdr:rowOff>
    </xdr:from>
    <xdr:to>
      <xdr:col>4</xdr:col>
      <xdr:colOff>432110</xdr:colOff>
      <xdr:row>4</xdr:row>
      <xdr:rowOff>65435</xdr:rowOff>
    </xdr:to>
    <xdr:sp macro="" textlink="">
      <xdr:nvSpPr>
        <xdr:cNvPr id="44" name="Овал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1349817" y="771294"/>
          <a:ext cx="216000" cy="218763"/>
        </a:xfrm>
        <a:prstGeom prst="ellipse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55038</xdr:colOff>
      <xdr:row>3</xdr:row>
      <xdr:rowOff>1</xdr:rowOff>
    </xdr:from>
    <xdr:to>
      <xdr:col>5</xdr:col>
      <xdr:colOff>271038</xdr:colOff>
      <xdr:row>4</xdr:row>
      <xdr:rowOff>65435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653379" y="771294"/>
          <a:ext cx="216000" cy="218763"/>
        </a:xfrm>
        <a:prstGeom prst="ellipse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0</xdr:colOff>
      <xdr:row>3</xdr:row>
      <xdr:rowOff>1</xdr:rowOff>
    </xdr:from>
    <xdr:to>
      <xdr:col>2</xdr:col>
      <xdr:colOff>225343</xdr:colOff>
      <xdr:row>4</xdr:row>
      <xdr:rowOff>65435</xdr:rowOff>
    </xdr:to>
    <xdr:sp macro="" textlink="">
      <xdr:nvSpPr>
        <xdr:cNvPr id="46" name="Овал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281940" y="746761"/>
          <a:ext cx="225343" cy="217834"/>
        </a:xfrm>
        <a:prstGeom prst="ellipse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417133</xdr:colOff>
      <xdr:row>3</xdr:row>
      <xdr:rowOff>46201</xdr:rowOff>
    </xdr:from>
    <xdr:to>
      <xdr:col>4</xdr:col>
      <xdr:colOff>125191</xdr:colOff>
      <xdr:row>4</xdr:row>
      <xdr:rowOff>29184</xdr:rowOff>
    </xdr:to>
    <xdr:pic>
      <xdr:nvPicPr>
        <xdr:cNvPr id="47" name="Рисунок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13" y="792961"/>
          <a:ext cx="142398" cy="135383"/>
        </a:xfrm>
        <a:prstGeom prst="rect">
          <a:avLst/>
        </a:prstGeom>
      </xdr:spPr>
    </xdr:pic>
    <xdr:clientData/>
  </xdr:twoCellAnchor>
  <xdr:twoCellAnchor>
    <xdr:from>
      <xdr:col>3</xdr:col>
      <xdr:colOff>161643</xdr:colOff>
      <xdr:row>3</xdr:row>
      <xdr:rowOff>53471</xdr:rowOff>
    </xdr:from>
    <xdr:to>
      <xdr:col>3</xdr:col>
      <xdr:colOff>274315</xdr:colOff>
      <xdr:row>4</xdr:row>
      <xdr:rowOff>8287</xdr:rowOff>
    </xdr:to>
    <xdr:pic>
      <xdr:nvPicPr>
        <xdr:cNvPr id="48" name="Рисунок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923" y="800231"/>
          <a:ext cx="112672" cy="107216"/>
        </a:xfrm>
        <a:prstGeom prst="rect">
          <a:avLst/>
        </a:prstGeom>
      </xdr:spPr>
    </xdr:pic>
    <xdr:clientData/>
  </xdr:twoCellAnchor>
  <xdr:twoCellAnchor>
    <xdr:from>
      <xdr:col>4</xdr:col>
      <xdr:colOff>249794</xdr:colOff>
      <xdr:row>3</xdr:row>
      <xdr:rowOff>35981</xdr:rowOff>
    </xdr:from>
    <xdr:to>
      <xdr:col>4</xdr:col>
      <xdr:colOff>390634</xdr:colOff>
      <xdr:row>4</xdr:row>
      <xdr:rowOff>18964</xdr:rowOff>
    </xdr:to>
    <xdr:pic>
      <xdr:nvPicPr>
        <xdr:cNvPr id="49" name="Рисунок 4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414" y="782741"/>
          <a:ext cx="140840" cy="135383"/>
        </a:xfrm>
        <a:prstGeom prst="rect">
          <a:avLst/>
        </a:prstGeom>
      </xdr:spPr>
    </xdr:pic>
    <xdr:clientData/>
  </xdr:twoCellAnchor>
  <xdr:twoCellAnchor>
    <xdr:from>
      <xdr:col>2</xdr:col>
      <xdr:colOff>302538</xdr:colOff>
      <xdr:row>3</xdr:row>
      <xdr:rowOff>36225</xdr:rowOff>
    </xdr:from>
    <xdr:to>
      <xdr:col>3</xdr:col>
      <xdr:colOff>10596</xdr:colOff>
      <xdr:row>4</xdr:row>
      <xdr:rowOff>19208</xdr:rowOff>
    </xdr:to>
    <xdr:pic>
      <xdr:nvPicPr>
        <xdr:cNvPr id="50" name="Рисунок 4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141" y="811363"/>
          <a:ext cx="128472" cy="134069"/>
        </a:xfrm>
        <a:prstGeom prst="rect">
          <a:avLst/>
        </a:prstGeom>
      </xdr:spPr>
    </xdr:pic>
    <xdr:clientData/>
  </xdr:twoCellAnchor>
  <xdr:twoCellAnchor>
    <xdr:from>
      <xdr:col>5</xdr:col>
      <xdr:colOff>96823</xdr:colOff>
      <xdr:row>3</xdr:row>
      <xdr:rowOff>46940</xdr:rowOff>
    </xdr:from>
    <xdr:to>
      <xdr:col>5</xdr:col>
      <xdr:colOff>233408</xdr:colOff>
      <xdr:row>4</xdr:row>
      <xdr:rowOff>24110</xdr:rowOff>
    </xdr:to>
    <xdr:pic>
      <xdr:nvPicPr>
        <xdr:cNvPr id="51" name="Рисунок 5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alphaModFix amt="53000"/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164" y="818233"/>
          <a:ext cx="136585" cy="130499"/>
        </a:xfrm>
        <a:prstGeom prst="rect">
          <a:avLst/>
        </a:prstGeom>
      </xdr:spPr>
    </xdr:pic>
    <xdr:clientData/>
  </xdr:twoCellAnchor>
  <xdr:twoCellAnchor>
    <xdr:from>
      <xdr:col>2</xdr:col>
      <xdr:colOff>19878</xdr:colOff>
      <xdr:row>3</xdr:row>
      <xdr:rowOff>14521</xdr:rowOff>
    </xdr:from>
    <xdr:to>
      <xdr:col>2</xdr:col>
      <xdr:colOff>211706</xdr:colOff>
      <xdr:row>4</xdr:row>
      <xdr:rowOff>48493</xdr:rowOff>
    </xdr:to>
    <xdr:pic>
      <xdr:nvPicPr>
        <xdr:cNvPr id="52" name="Рисунок 5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818" y="761281"/>
          <a:ext cx="191828" cy="186372"/>
        </a:xfrm>
        <a:prstGeom prst="rect">
          <a:avLst/>
        </a:prstGeom>
      </xdr:spPr>
    </xdr:pic>
    <xdr:clientData/>
  </xdr:twoCellAnchor>
  <xdr:twoCellAnchor>
    <xdr:from>
      <xdr:col>8</xdr:col>
      <xdr:colOff>66262</xdr:colOff>
      <xdr:row>13</xdr:row>
      <xdr:rowOff>0</xdr:rowOff>
    </xdr:from>
    <xdr:to>
      <xdr:col>11</xdr:col>
      <xdr:colOff>554935</xdr:colOff>
      <xdr:row>19</xdr:row>
      <xdr:rowOff>0</xdr:rowOff>
    </xdr:to>
    <xdr:graphicFrame macro="">
      <xdr:nvGraphicFramePr>
        <xdr:cNvPr id="37" name="Диаграмма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149087</xdr:colOff>
      <xdr:row>13</xdr:row>
      <xdr:rowOff>0</xdr:rowOff>
    </xdr:from>
    <xdr:to>
      <xdr:col>15</xdr:col>
      <xdr:colOff>546653</xdr:colOff>
      <xdr:row>19</xdr:row>
      <xdr:rowOff>0</xdr:rowOff>
    </xdr:to>
    <xdr:graphicFrame macro="">
      <xdr:nvGraphicFramePr>
        <xdr:cNvPr id="38" name="Диаграмма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124239</xdr:colOff>
      <xdr:row>13</xdr:row>
      <xdr:rowOff>0</xdr:rowOff>
    </xdr:from>
    <xdr:to>
      <xdr:col>21</xdr:col>
      <xdr:colOff>605458</xdr:colOff>
      <xdr:row>19</xdr:row>
      <xdr:rowOff>0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82826</xdr:colOff>
      <xdr:row>13</xdr:row>
      <xdr:rowOff>0</xdr:rowOff>
    </xdr:from>
    <xdr:to>
      <xdr:col>25</xdr:col>
      <xdr:colOff>605459</xdr:colOff>
      <xdr:row>19</xdr:row>
      <xdr:rowOff>0</xdr:rowOff>
    </xdr:to>
    <xdr:graphicFrame macro="">
      <xdr:nvGraphicFramePr>
        <xdr:cNvPr id="53" name="Диаграмма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62" name="Диаграмма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</xdr:colOff>
      <xdr:row>21</xdr:row>
      <xdr:rowOff>0</xdr:rowOff>
    </xdr:from>
    <xdr:to>
      <xdr:col>16</xdr:col>
      <xdr:colOff>1</xdr:colOff>
      <xdr:row>30</xdr:row>
      <xdr:rowOff>0</xdr:rowOff>
    </xdr:to>
    <xdr:graphicFrame macro="">
      <xdr:nvGraphicFramePr>
        <xdr:cNvPr id="63" name="Диаграмма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9526</xdr:colOff>
      <xdr:row>21</xdr:row>
      <xdr:rowOff>0</xdr:rowOff>
    </xdr:from>
    <xdr:to>
      <xdr:col>22</xdr:col>
      <xdr:colOff>9525</xdr:colOff>
      <xdr:row>30</xdr:row>
      <xdr:rowOff>0</xdr:rowOff>
    </xdr:to>
    <xdr:graphicFrame macro="">
      <xdr:nvGraphicFramePr>
        <xdr:cNvPr id="64" name="Диаграмма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1</xdr:colOff>
      <xdr:row>21</xdr:row>
      <xdr:rowOff>0</xdr:rowOff>
    </xdr:from>
    <xdr:to>
      <xdr:col>25</xdr:col>
      <xdr:colOff>624840</xdr:colOff>
      <xdr:row>30</xdr:row>
      <xdr:rowOff>0</xdr:rowOff>
    </xdr:to>
    <xdr:graphicFrame macro="">
      <xdr:nvGraphicFramePr>
        <xdr:cNvPr id="65" name="Диаграмма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66676</xdr:colOff>
      <xdr:row>12</xdr:row>
      <xdr:rowOff>1</xdr:rowOff>
    </xdr:from>
    <xdr:to>
      <xdr:col>9</xdr:col>
      <xdr:colOff>190500</xdr:colOff>
      <xdr:row>13</xdr:row>
      <xdr:rowOff>9525</xdr:rowOff>
    </xdr:to>
    <xdr:sp macro="" textlink="Динамика!P24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609851" y="2381251"/>
          <a:ext cx="200024" cy="1904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" tIns="0" rIns="0" bIns="0" rtlCol="0" anchor="ctr"/>
        <a:lstStyle/>
        <a:p>
          <a:pPr algn="ctr"/>
          <a:fld id="{C39C659D-7FA8-4452-B07B-183373CA2356}" type="TxLink">
            <a:rPr lang="en-US" sz="9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↑</a:t>
          </a:fld>
          <a:endParaRPr lang="ru-RU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190501</xdr:colOff>
      <xdr:row>12</xdr:row>
      <xdr:rowOff>1</xdr:rowOff>
    </xdr:from>
    <xdr:to>
      <xdr:col>23</xdr:col>
      <xdr:colOff>190500</xdr:colOff>
      <xdr:row>13</xdr:row>
      <xdr:rowOff>9525</xdr:rowOff>
    </xdr:to>
    <xdr:sp macro="" textlink="Динамика!V24">
      <xdr:nvSpPr>
        <xdr:cNvPr id="33" name="Прямоугольник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9258301" y="2381251"/>
          <a:ext cx="200024" cy="1904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" tIns="0" rIns="0" bIns="0" rtlCol="0" anchor="ctr"/>
        <a:lstStyle/>
        <a:p>
          <a:pPr algn="ctr"/>
          <a:fld id="{61162803-01EE-42BD-A9E6-50CCD64385A3}" type="TxLink">
            <a:rPr lang="en-US" sz="9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↓</a:t>
          </a:fld>
          <a:endParaRPr lang="ru-RU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190501</xdr:colOff>
      <xdr:row>12</xdr:row>
      <xdr:rowOff>1</xdr:rowOff>
    </xdr:from>
    <xdr:to>
      <xdr:col>13</xdr:col>
      <xdr:colOff>190500</xdr:colOff>
      <xdr:row>13</xdr:row>
      <xdr:rowOff>9525</xdr:rowOff>
    </xdr:to>
    <xdr:sp macro="" textlink="Динамика!R24">
      <xdr:nvSpPr>
        <xdr:cNvPr id="34" name="Прямоугольник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752976" y="2381251"/>
          <a:ext cx="200024" cy="1904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" tIns="0" rIns="0" bIns="0" rtlCol="0" anchor="ctr"/>
        <a:lstStyle/>
        <a:p>
          <a:pPr marL="0" indent="0" algn="ctr"/>
          <a:fld id="{B57072FF-895B-4173-80A3-C8A99375A9A5}" type="TxLink">
            <a:rPr lang="en-US" sz="9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↑</a:t>
          </a:fld>
          <a:endParaRPr lang="ru-RU" sz="9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123826</xdr:colOff>
      <xdr:row>12</xdr:row>
      <xdr:rowOff>1</xdr:rowOff>
    </xdr:from>
    <xdr:to>
      <xdr:col>19</xdr:col>
      <xdr:colOff>190500</xdr:colOff>
      <xdr:row>13</xdr:row>
      <xdr:rowOff>9525</xdr:rowOff>
    </xdr:to>
    <xdr:sp macro="" textlink="Динамика!T24">
      <xdr:nvSpPr>
        <xdr:cNvPr id="35" name="Прямоугольник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7115176" y="2381251"/>
          <a:ext cx="200024" cy="1904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" tIns="0" rIns="0" bIns="0" rtlCol="0" anchor="ctr"/>
        <a:lstStyle/>
        <a:p>
          <a:pPr marL="0" indent="0" algn="ctr"/>
          <a:fld id="{F413EF7A-8F46-433C-8E60-8B9F94737FBD}" type="TxLink">
            <a:rPr lang="en-US" sz="9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↑</a:t>
          </a:fld>
          <a:endParaRPr lang="ru-RU" sz="9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</xdr:col>
      <xdr:colOff>123825</xdr:colOff>
      <xdr:row>10</xdr:row>
      <xdr:rowOff>83127</xdr:rowOff>
    </xdr:from>
    <xdr:to>
      <xdr:col>5</xdr:col>
      <xdr:colOff>409975</xdr:colOff>
      <xdr:row>17</xdr:row>
      <xdr:rowOff>48491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бренд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152" y="2064327"/>
              <a:ext cx="1782441" cy="1177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30480</xdr:colOff>
          <xdr:row>1</xdr:row>
          <xdr:rowOff>160020</xdr:rowOff>
        </xdr:from>
        <xdr:to>
          <xdr:col>25</xdr:col>
          <xdr:colOff>609600</xdr:colOff>
          <xdr:row>1</xdr:row>
          <xdr:rowOff>342900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1" refreshedDate="44676.685892939815" createdVersion="7" refreshedVersion="7" minRefreshableVersion="3" recordCount="7056" xr:uid="{4AF71DF0-3EBF-4454-9B64-F9E219080833}">
  <cacheSource type="worksheet">
    <worksheetSource name="dataset"/>
  </cacheSource>
  <cacheFields count="11">
    <cacheField name="Дата" numFmtId="164">
      <sharedItems containsSemiMixedTypes="0" containsNonDate="0" containsDate="1" containsString="0" minDate="2021-01-01T00:00:00" maxDate="2022-12-02T00:00:00" count="24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10" base="0">
        <rangePr groupBy="months" startDate="2021-01-01T00:00:00" endDate="2022-12-02T00:00:00"/>
        <groupItems count="14">
          <s v="&lt;01.01.2021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2.2022"/>
        </groupItems>
      </fieldGroup>
    </cacheField>
    <cacheField name="Год" numFmtId="1">
      <sharedItems containsSemiMixedTypes="0" containsString="0" containsNumber="1" containsInteger="1" minValue="2021" maxValue="2022" count="2">
        <n v="2021"/>
        <n v="2022"/>
      </sharedItems>
    </cacheField>
    <cacheField name="Год-мес" numFmtId="1">
      <sharedItems containsSemiMixedTypes="0" containsString="0" containsNumber="1" containsInteger="1" minValue="202101" maxValue="202212" count="24"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2201"/>
        <n v="202202"/>
        <n v="202203"/>
        <n v="202204"/>
        <n v="202205"/>
        <n v="202206"/>
        <n v="202207"/>
        <n v="202208"/>
        <n v="202209"/>
        <n v="202210"/>
        <n v="202211"/>
        <n v="202212"/>
      </sharedItems>
    </cacheField>
    <cacheField name="точка" numFmtId="0">
      <sharedItems count="7">
        <s v="на Гоголя"/>
        <s v="на Горького"/>
        <s v="на Ломоносова"/>
        <s v="на Гагарина"/>
        <s v="на Писаревской"/>
        <s v="Проездная"/>
        <s v="ТЦ Ивановский"/>
      </sharedItems>
    </cacheField>
    <cacheField name="бренд" numFmtId="0">
      <sharedItems count="6">
        <s v="Galosha"/>
        <s v="Babidas"/>
        <s v="Asic"/>
        <s v="Gunverse"/>
        <s v="Nuke"/>
        <s v="Rubok"/>
      </sharedItems>
    </cacheField>
    <cacheField name="товар" numFmtId="0">
      <sharedItems count="42">
        <s v="KA air-9558"/>
        <s v="KA grou-7567"/>
        <s v="KA gre-2749"/>
        <s v="KA earth-3018"/>
        <s v="KA ais-3700"/>
        <s v="KA ice-7591"/>
        <s v="KA ai-2818"/>
        <s v="BA air-5353"/>
        <s v="BA grou-9248"/>
        <s v="BA gre-3658"/>
        <s v="BA earth-3530"/>
        <s v="BA ais-1740"/>
        <s v="BA ice-4231"/>
        <s v="BA ai-2960"/>
        <s v="AS air-7520"/>
        <s v="AS grou-3318"/>
        <s v="AS gre-2748"/>
        <s v="AS earth-9544"/>
        <s v="AS ais-7331"/>
        <s v="AS ice-2172"/>
        <s v="AS ai-7676"/>
        <s v="GU air-3053"/>
        <s v="GU grou-6409"/>
        <s v="GU gre-2865"/>
        <s v="GU earth-4729"/>
        <s v="GU ais-4465"/>
        <s v="GU ice-8917"/>
        <s v="GU ai-3849"/>
        <s v="NK air-4421"/>
        <s v="NK grou-9880"/>
        <s v="NK gre-7983"/>
        <s v="NK earth-5320"/>
        <s v="NK ais-5028"/>
        <s v="NK ice-4908"/>
        <s v="NK ai-2826"/>
        <s v="RB air-7636"/>
        <s v="RB grou-5163"/>
        <s v="RB gre-1678"/>
        <s v="RB earth-5369"/>
        <s v="RB ais-8935"/>
        <s v="RB ice-6256"/>
        <s v="RB ai-9349"/>
      </sharedItems>
    </cacheField>
    <cacheField name="Количество" numFmtId="0">
      <sharedItems containsSemiMixedTypes="0" containsString="0" containsNumber="1" containsInteger="1" minValue="3" maxValue="124"/>
    </cacheField>
    <cacheField name="Продажи" numFmtId="3">
      <sharedItems containsSemiMixedTypes="0" containsString="0" containsNumber="1" containsInteger="1" minValue="7884" maxValue="3098347"/>
    </cacheField>
    <cacheField name="Себестоимость" numFmtId="3">
      <sharedItems containsSemiMixedTypes="0" containsString="0" containsNumber="1" minValue="3128" maxValue="1612800"/>
    </cacheField>
    <cacheField name="Кварталы" numFmtId="0" databaseField="0">
      <fieldGroup base="0">
        <rangePr groupBy="quarters" startDate="2021-01-01T00:00:00" endDate="2022-12-02T00:00:00"/>
        <groupItems count="6">
          <s v="&lt;01.01.2021"/>
          <s v="Кв-л1"/>
          <s v="Кв-л2"/>
          <s v="Кв-л3"/>
          <s v="Кв-л4"/>
          <s v="&gt;02.12.2022"/>
        </groupItems>
      </fieldGroup>
    </cacheField>
    <cacheField name="Годы" numFmtId="0" databaseField="0">
      <fieldGroup base="0">
        <rangePr groupBy="years" startDate="2021-01-01T00:00:00" endDate="2022-12-02T00:00:00"/>
        <groupItems count="4">
          <s v="&lt;01.01.2021"/>
          <s v="2021"/>
          <s v="2022"/>
          <s v="&gt;02.12.2022"/>
        </groupItems>
      </fieldGroup>
    </cacheField>
  </cacheFields>
  <extLst>
    <ext xmlns:x14="http://schemas.microsoft.com/office/spreadsheetml/2009/9/main" uri="{725AE2AE-9491-48be-B2B4-4EB974FC3084}">
      <x14:pivotCacheDefinition pivotCacheId="1204148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6">
  <r>
    <x v="0"/>
    <x v="0"/>
    <x v="0"/>
    <x v="0"/>
    <x v="0"/>
    <x v="0"/>
    <n v="95"/>
    <n v="1066185"/>
    <n v="570000"/>
  </r>
  <r>
    <x v="1"/>
    <x v="0"/>
    <x v="1"/>
    <x v="0"/>
    <x v="0"/>
    <x v="0"/>
    <n v="59"/>
    <n v="667880"/>
    <n v="354000"/>
  </r>
  <r>
    <x v="2"/>
    <x v="0"/>
    <x v="2"/>
    <x v="0"/>
    <x v="0"/>
    <x v="0"/>
    <n v="48"/>
    <n v="530688"/>
    <n v="288000"/>
  </r>
  <r>
    <x v="3"/>
    <x v="0"/>
    <x v="3"/>
    <x v="0"/>
    <x v="0"/>
    <x v="0"/>
    <n v="89"/>
    <n v="1088826"/>
    <n v="534000"/>
  </r>
  <r>
    <x v="4"/>
    <x v="0"/>
    <x v="4"/>
    <x v="0"/>
    <x v="0"/>
    <x v="0"/>
    <n v="113"/>
    <n v="1314416"/>
    <n v="678000"/>
  </r>
  <r>
    <x v="5"/>
    <x v="0"/>
    <x v="5"/>
    <x v="0"/>
    <x v="0"/>
    <x v="0"/>
    <n v="107"/>
    <n v="1209421"/>
    <n v="642000"/>
  </r>
  <r>
    <x v="6"/>
    <x v="0"/>
    <x v="6"/>
    <x v="0"/>
    <x v="0"/>
    <x v="0"/>
    <n v="113"/>
    <n v="1074630"/>
    <n v="678000"/>
  </r>
  <r>
    <x v="7"/>
    <x v="0"/>
    <x v="7"/>
    <x v="0"/>
    <x v="0"/>
    <x v="0"/>
    <n v="95"/>
    <n v="986385"/>
    <n v="570000"/>
  </r>
  <r>
    <x v="8"/>
    <x v="0"/>
    <x v="8"/>
    <x v="0"/>
    <x v="0"/>
    <x v="0"/>
    <n v="101"/>
    <n v="1091305"/>
    <n v="606000"/>
  </r>
  <r>
    <x v="9"/>
    <x v="0"/>
    <x v="9"/>
    <x v="0"/>
    <x v="0"/>
    <x v="0"/>
    <n v="83"/>
    <n v="933501"/>
    <n v="498000"/>
  </r>
  <r>
    <x v="10"/>
    <x v="0"/>
    <x v="10"/>
    <x v="0"/>
    <x v="0"/>
    <x v="0"/>
    <n v="59"/>
    <n v="645342"/>
    <n v="354000"/>
  </r>
  <r>
    <x v="11"/>
    <x v="0"/>
    <x v="11"/>
    <x v="0"/>
    <x v="0"/>
    <x v="0"/>
    <n v="71"/>
    <n v="756292"/>
    <n v="426000"/>
  </r>
  <r>
    <x v="12"/>
    <x v="1"/>
    <x v="12"/>
    <x v="0"/>
    <x v="0"/>
    <x v="0"/>
    <n v="104"/>
    <n v="1202968"/>
    <n v="624000"/>
  </r>
  <r>
    <x v="13"/>
    <x v="1"/>
    <x v="13"/>
    <x v="0"/>
    <x v="0"/>
    <x v="0"/>
    <n v="65"/>
    <n v="769795"/>
    <n v="390000"/>
  </r>
  <r>
    <x v="14"/>
    <x v="1"/>
    <x v="14"/>
    <x v="0"/>
    <x v="0"/>
    <x v="0"/>
    <n v="52"/>
    <n v="589160"/>
    <n v="312000"/>
  </r>
  <r>
    <x v="15"/>
    <x v="1"/>
    <x v="15"/>
    <x v="0"/>
    <x v="0"/>
    <x v="0"/>
    <n v="98"/>
    <n v="1190602"/>
    <n v="588000"/>
  </r>
  <r>
    <x v="16"/>
    <x v="1"/>
    <x v="16"/>
    <x v="0"/>
    <x v="0"/>
    <x v="0"/>
    <n v="124"/>
    <n v="1464068"/>
    <n v="744000"/>
  </r>
  <r>
    <x v="17"/>
    <x v="1"/>
    <x v="17"/>
    <x v="0"/>
    <x v="0"/>
    <x v="0"/>
    <n v="117"/>
    <n v="1321866"/>
    <n v="702000"/>
  </r>
  <r>
    <x v="18"/>
    <x v="1"/>
    <x v="18"/>
    <x v="0"/>
    <x v="0"/>
    <x v="0"/>
    <n v="124"/>
    <n v="1156796"/>
    <n v="744000"/>
  </r>
  <r>
    <x v="19"/>
    <x v="1"/>
    <x v="19"/>
    <x v="0"/>
    <x v="0"/>
    <x v="0"/>
    <n v="104"/>
    <n v="1094600"/>
    <n v="624000"/>
  </r>
  <r>
    <x v="20"/>
    <x v="1"/>
    <x v="20"/>
    <x v="0"/>
    <x v="0"/>
    <x v="0"/>
    <n v="111"/>
    <n v="1232100"/>
    <n v="666000"/>
  </r>
  <r>
    <x v="21"/>
    <x v="1"/>
    <x v="21"/>
    <x v="0"/>
    <x v="0"/>
    <x v="0"/>
    <n v="91"/>
    <n v="996268"/>
    <n v="546000"/>
  </r>
  <r>
    <x v="22"/>
    <x v="1"/>
    <x v="22"/>
    <x v="0"/>
    <x v="0"/>
    <x v="0"/>
    <n v="65"/>
    <n v="743080"/>
    <n v="390000"/>
  </r>
  <r>
    <x v="23"/>
    <x v="1"/>
    <x v="23"/>
    <x v="0"/>
    <x v="0"/>
    <x v="0"/>
    <n v="78"/>
    <n v="803010"/>
    <n v="468000"/>
  </r>
  <r>
    <x v="0"/>
    <x v="0"/>
    <x v="0"/>
    <x v="0"/>
    <x v="0"/>
    <x v="1"/>
    <n v="87"/>
    <n v="1187463"/>
    <n v="615960"/>
  </r>
  <r>
    <x v="1"/>
    <x v="0"/>
    <x v="1"/>
    <x v="0"/>
    <x v="0"/>
    <x v="1"/>
    <n v="54"/>
    <n v="722304"/>
    <n v="382320"/>
  </r>
  <r>
    <x v="2"/>
    <x v="0"/>
    <x v="2"/>
    <x v="0"/>
    <x v="0"/>
    <x v="1"/>
    <n v="44"/>
    <n v="576092"/>
    <n v="311520"/>
  </r>
  <r>
    <x v="3"/>
    <x v="0"/>
    <x v="3"/>
    <x v="0"/>
    <x v="0"/>
    <x v="1"/>
    <n v="81"/>
    <n v="1167453"/>
    <n v="573480"/>
  </r>
  <r>
    <x v="4"/>
    <x v="0"/>
    <x v="4"/>
    <x v="0"/>
    <x v="0"/>
    <x v="1"/>
    <n v="103"/>
    <n v="1427992"/>
    <n v="729240"/>
  </r>
  <r>
    <x v="5"/>
    <x v="0"/>
    <x v="5"/>
    <x v="0"/>
    <x v="0"/>
    <x v="1"/>
    <n v="98"/>
    <n v="1297912"/>
    <n v="693840"/>
  </r>
  <r>
    <x v="6"/>
    <x v="0"/>
    <x v="6"/>
    <x v="0"/>
    <x v="0"/>
    <x v="1"/>
    <n v="103"/>
    <n v="1210353"/>
    <n v="729240"/>
  </r>
  <r>
    <x v="7"/>
    <x v="0"/>
    <x v="7"/>
    <x v="0"/>
    <x v="0"/>
    <x v="1"/>
    <n v="87"/>
    <n v="1091502"/>
    <n v="615960"/>
  </r>
  <r>
    <x v="8"/>
    <x v="0"/>
    <x v="8"/>
    <x v="0"/>
    <x v="0"/>
    <x v="1"/>
    <n v="92"/>
    <n v="1159476"/>
    <n v="651360"/>
  </r>
  <r>
    <x v="9"/>
    <x v="0"/>
    <x v="9"/>
    <x v="0"/>
    <x v="0"/>
    <x v="1"/>
    <n v="76"/>
    <n v="1035956"/>
    <n v="538080"/>
  </r>
  <r>
    <x v="10"/>
    <x v="0"/>
    <x v="10"/>
    <x v="0"/>
    <x v="0"/>
    <x v="1"/>
    <n v="54"/>
    <n v="737262"/>
    <n v="382320"/>
  </r>
  <r>
    <x v="11"/>
    <x v="0"/>
    <x v="11"/>
    <x v="0"/>
    <x v="0"/>
    <x v="1"/>
    <n v="65"/>
    <n v="824005"/>
    <n v="460200"/>
  </r>
  <r>
    <x v="12"/>
    <x v="1"/>
    <x v="12"/>
    <x v="0"/>
    <x v="0"/>
    <x v="1"/>
    <n v="96"/>
    <n v="1286496"/>
    <n v="679680"/>
  </r>
  <r>
    <x v="13"/>
    <x v="1"/>
    <x v="13"/>
    <x v="0"/>
    <x v="0"/>
    <x v="1"/>
    <n v="60"/>
    <n v="809040"/>
    <n v="424800"/>
  </r>
  <r>
    <x v="14"/>
    <x v="1"/>
    <x v="14"/>
    <x v="0"/>
    <x v="0"/>
    <x v="1"/>
    <n v="48"/>
    <n v="620928"/>
    <n v="339840"/>
  </r>
  <r>
    <x v="15"/>
    <x v="1"/>
    <x v="15"/>
    <x v="0"/>
    <x v="0"/>
    <x v="1"/>
    <n v="90"/>
    <n v="1236510"/>
    <n v="637200"/>
  </r>
  <r>
    <x v="16"/>
    <x v="1"/>
    <x v="16"/>
    <x v="0"/>
    <x v="0"/>
    <x v="1"/>
    <n v="113"/>
    <n v="1638274"/>
    <n v="800040"/>
  </r>
  <r>
    <x v="17"/>
    <x v="1"/>
    <x v="17"/>
    <x v="0"/>
    <x v="0"/>
    <x v="1"/>
    <n v="107"/>
    <n v="1460015"/>
    <n v="757560"/>
  </r>
  <r>
    <x v="18"/>
    <x v="1"/>
    <x v="18"/>
    <x v="0"/>
    <x v="0"/>
    <x v="1"/>
    <n v="113"/>
    <n v="1272267"/>
    <n v="800040"/>
  </r>
  <r>
    <x v="19"/>
    <x v="1"/>
    <x v="19"/>
    <x v="0"/>
    <x v="0"/>
    <x v="1"/>
    <n v="96"/>
    <n v="1219488"/>
    <n v="679680"/>
  </r>
  <r>
    <x v="20"/>
    <x v="1"/>
    <x v="20"/>
    <x v="0"/>
    <x v="0"/>
    <x v="1"/>
    <n v="101"/>
    <n v="1346027"/>
    <n v="715080"/>
  </r>
  <r>
    <x v="21"/>
    <x v="1"/>
    <x v="21"/>
    <x v="0"/>
    <x v="0"/>
    <x v="1"/>
    <n v="84"/>
    <n v="1103004"/>
    <n v="594720"/>
  </r>
  <r>
    <x v="22"/>
    <x v="1"/>
    <x v="22"/>
    <x v="0"/>
    <x v="0"/>
    <x v="1"/>
    <n v="60"/>
    <n v="813420"/>
    <n v="424800"/>
  </r>
  <r>
    <x v="23"/>
    <x v="1"/>
    <x v="23"/>
    <x v="0"/>
    <x v="0"/>
    <x v="1"/>
    <n v="72"/>
    <n v="869760"/>
    <n v="509760"/>
  </r>
  <r>
    <x v="0"/>
    <x v="0"/>
    <x v="0"/>
    <x v="0"/>
    <x v="0"/>
    <x v="2"/>
    <n v="87"/>
    <n v="2274354"/>
    <n v="913500"/>
  </r>
  <r>
    <x v="1"/>
    <x v="0"/>
    <x v="1"/>
    <x v="0"/>
    <x v="0"/>
    <x v="2"/>
    <n v="54"/>
    <n v="1439154"/>
    <n v="567000"/>
  </r>
  <r>
    <x v="2"/>
    <x v="0"/>
    <x v="2"/>
    <x v="0"/>
    <x v="0"/>
    <x v="2"/>
    <n v="44"/>
    <n v="1132208"/>
    <n v="462000"/>
  </r>
  <r>
    <x v="3"/>
    <x v="0"/>
    <x v="3"/>
    <x v="0"/>
    <x v="0"/>
    <x v="2"/>
    <n v="81"/>
    <n v="2126655"/>
    <n v="850500"/>
  </r>
  <r>
    <x v="4"/>
    <x v="0"/>
    <x v="4"/>
    <x v="0"/>
    <x v="0"/>
    <x v="2"/>
    <n v="103"/>
    <n v="2706428"/>
    <n v="1081500"/>
  </r>
  <r>
    <x v="5"/>
    <x v="0"/>
    <x v="5"/>
    <x v="0"/>
    <x v="0"/>
    <x v="2"/>
    <n v="98"/>
    <n v="2572696"/>
    <n v="1029000"/>
  </r>
  <r>
    <x v="6"/>
    <x v="0"/>
    <x v="6"/>
    <x v="0"/>
    <x v="0"/>
    <x v="2"/>
    <n v="103"/>
    <n v="2591995"/>
    <n v="1081500"/>
  </r>
  <r>
    <x v="7"/>
    <x v="0"/>
    <x v="7"/>
    <x v="0"/>
    <x v="0"/>
    <x v="2"/>
    <n v="87"/>
    <n v="2257824"/>
    <n v="913500"/>
  </r>
  <r>
    <x v="8"/>
    <x v="0"/>
    <x v="8"/>
    <x v="0"/>
    <x v="0"/>
    <x v="2"/>
    <n v="92"/>
    <n v="2358512"/>
    <n v="966000"/>
  </r>
  <r>
    <x v="9"/>
    <x v="0"/>
    <x v="9"/>
    <x v="0"/>
    <x v="0"/>
    <x v="2"/>
    <n v="76"/>
    <n v="1990136"/>
    <n v="798000"/>
  </r>
  <r>
    <x v="10"/>
    <x v="0"/>
    <x v="10"/>
    <x v="0"/>
    <x v="0"/>
    <x v="2"/>
    <n v="54"/>
    <n v="1420740"/>
    <n v="567000"/>
  </r>
  <r>
    <x v="11"/>
    <x v="0"/>
    <x v="11"/>
    <x v="0"/>
    <x v="0"/>
    <x v="2"/>
    <n v="65"/>
    <n v="1649505"/>
    <n v="682500"/>
  </r>
  <r>
    <x v="12"/>
    <x v="1"/>
    <x v="12"/>
    <x v="0"/>
    <x v="0"/>
    <x v="2"/>
    <n v="96"/>
    <n v="2513664"/>
    <n v="1008000"/>
  </r>
  <r>
    <x v="13"/>
    <x v="1"/>
    <x v="13"/>
    <x v="0"/>
    <x v="0"/>
    <x v="2"/>
    <n v="60"/>
    <n v="1599480"/>
    <n v="630000"/>
  </r>
  <r>
    <x v="14"/>
    <x v="1"/>
    <x v="14"/>
    <x v="0"/>
    <x v="0"/>
    <x v="2"/>
    <n v="48"/>
    <n v="1233840"/>
    <n v="504000"/>
  </r>
  <r>
    <x v="15"/>
    <x v="1"/>
    <x v="15"/>
    <x v="0"/>
    <x v="0"/>
    <x v="2"/>
    <n v="90"/>
    <n v="2404440"/>
    <n v="945000"/>
  </r>
  <r>
    <x v="16"/>
    <x v="1"/>
    <x v="16"/>
    <x v="0"/>
    <x v="0"/>
    <x v="2"/>
    <n v="113"/>
    <n v="3098347"/>
    <n v="1186500"/>
  </r>
  <r>
    <x v="17"/>
    <x v="1"/>
    <x v="17"/>
    <x v="0"/>
    <x v="0"/>
    <x v="2"/>
    <n v="107"/>
    <n v="2872201"/>
    <n v="1123500"/>
  </r>
  <r>
    <x v="18"/>
    <x v="1"/>
    <x v="18"/>
    <x v="0"/>
    <x v="0"/>
    <x v="2"/>
    <n v="113"/>
    <n v="2780817"/>
    <n v="1186500"/>
  </r>
  <r>
    <x v="19"/>
    <x v="1"/>
    <x v="19"/>
    <x v="0"/>
    <x v="0"/>
    <x v="2"/>
    <n v="96"/>
    <n v="2453952"/>
    <n v="1008000"/>
  </r>
  <r>
    <x v="20"/>
    <x v="1"/>
    <x v="20"/>
    <x v="0"/>
    <x v="0"/>
    <x v="2"/>
    <n v="101"/>
    <n v="2578631"/>
    <n v="1060500"/>
  </r>
  <r>
    <x v="21"/>
    <x v="1"/>
    <x v="21"/>
    <x v="0"/>
    <x v="0"/>
    <x v="2"/>
    <n v="84"/>
    <n v="2220036"/>
    <n v="882000"/>
  </r>
  <r>
    <x v="22"/>
    <x v="1"/>
    <x v="22"/>
    <x v="0"/>
    <x v="0"/>
    <x v="2"/>
    <n v="60"/>
    <n v="1579140"/>
    <n v="630000"/>
  </r>
  <r>
    <x v="23"/>
    <x v="1"/>
    <x v="23"/>
    <x v="0"/>
    <x v="0"/>
    <x v="2"/>
    <n v="72"/>
    <n v="1813104"/>
    <n v="756000"/>
  </r>
  <r>
    <x v="0"/>
    <x v="0"/>
    <x v="0"/>
    <x v="0"/>
    <x v="0"/>
    <x v="3"/>
    <n v="94"/>
    <n v="1706100"/>
    <n v="703120"/>
  </r>
  <r>
    <x v="1"/>
    <x v="0"/>
    <x v="1"/>
    <x v="0"/>
    <x v="0"/>
    <x v="3"/>
    <n v="59"/>
    <n v="1066838"/>
    <n v="441320"/>
  </r>
  <r>
    <x v="2"/>
    <x v="0"/>
    <x v="2"/>
    <x v="0"/>
    <x v="0"/>
    <x v="3"/>
    <n v="47"/>
    <n v="838997"/>
    <n v="351560"/>
  </r>
  <r>
    <x v="3"/>
    <x v="0"/>
    <x v="3"/>
    <x v="0"/>
    <x v="0"/>
    <x v="3"/>
    <n v="88"/>
    <n v="1681768"/>
    <n v="658240"/>
  </r>
  <r>
    <x v="4"/>
    <x v="0"/>
    <x v="4"/>
    <x v="0"/>
    <x v="0"/>
    <x v="3"/>
    <n v="112"/>
    <n v="2118592"/>
    <n v="837760"/>
  </r>
  <r>
    <x v="5"/>
    <x v="0"/>
    <x v="5"/>
    <x v="0"/>
    <x v="0"/>
    <x v="3"/>
    <n v="106"/>
    <n v="1939694"/>
    <n v="792880"/>
  </r>
  <r>
    <x v="6"/>
    <x v="0"/>
    <x v="6"/>
    <x v="0"/>
    <x v="0"/>
    <x v="3"/>
    <n v="112"/>
    <n v="1885072"/>
    <n v="837760"/>
  </r>
  <r>
    <x v="7"/>
    <x v="0"/>
    <x v="7"/>
    <x v="0"/>
    <x v="0"/>
    <x v="3"/>
    <n v="94"/>
    <n v="1713526"/>
    <n v="703120"/>
  </r>
  <r>
    <x v="8"/>
    <x v="0"/>
    <x v="8"/>
    <x v="0"/>
    <x v="0"/>
    <x v="3"/>
    <n v="100"/>
    <n v="1802300"/>
    <n v="748000"/>
  </r>
  <r>
    <x v="9"/>
    <x v="0"/>
    <x v="9"/>
    <x v="0"/>
    <x v="0"/>
    <x v="3"/>
    <n v="82"/>
    <n v="1523724"/>
    <n v="613360"/>
  </r>
  <r>
    <x v="10"/>
    <x v="0"/>
    <x v="10"/>
    <x v="0"/>
    <x v="0"/>
    <x v="3"/>
    <n v="59"/>
    <n v="1050495"/>
    <n v="441320"/>
  </r>
  <r>
    <x v="11"/>
    <x v="0"/>
    <x v="11"/>
    <x v="0"/>
    <x v="0"/>
    <x v="3"/>
    <n v="71"/>
    <n v="1263161"/>
    <n v="531080"/>
  </r>
  <r>
    <x v="12"/>
    <x v="1"/>
    <x v="12"/>
    <x v="0"/>
    <x v="0"/>
    <x v="3"/>
    <n v="103"/>
    <n v="1896333"/>
    <n v="770440"/>
  </r>
  <r>
    <x v="13"/>
    <x v="1"/>
    <x v="13"/>
    <x v="0"/>
    <x v="0"/>
    <x v="3"/>
    <n v="65"/>
    <n v="1197105"/>
    <n v="486200"/>
  </r>
  <r>
    <x v="14"/>
    <x v="1"/>
    <x v="14"/>
    <x v="0"/>
    <x v="0"/>
    <x v="3"/>
    <n v="52"/>
    <n v="931372"/>
    <n v="388960"/>
  </r>
  <r>
    <x v="15"/>
    <x v="1"/>
    <x v="15"/>
    <x v="0"/>
    <x v="0"/>
    <x v="3"/>
    <n v="97"/>
    <n v="1782957"/>
    <n v="725560"/>
  </r>
  <r>
    <x v="16"/>
    <x v="1"/>
    <x v="16"/>
    <x v="0"/>
    <x v="0"/>
    <x v="3"/>
    <n v="123"/>
    <n v="2273778"/>
    <n v="920040"/>
  </r>
  <r>
    <x v="17"/>
    <x v="1"/>
    <x v="17"/>
    <x v="0"/>
    <x v="0"/>
    <x v="3"/>
    <n v="116"/>
    <n v="2199244"/>
    <n v="867680"/>
  </r>
  <r>
    <x v="18"/>
    <x v="1"/>
    <x v="18"/>
    <x v="0"/>
    <x v="0"/>
    <x v="3"/>
    <n v="123"/>
    <n v="2048934"/>
    <n v="920040"/>
  </r>
  <r>
    <x v="19"/>
    <x v="1"/>
    <x v="19"/>
    <x v="0"/>
    <x v="0"/>
    <x v="3"/>
    <n v="103"/>
    <n v="1844524"/>
    <n v="770440"/>
  </r>
  <r>
    <x v="20"/>
    <x v="1"/>
    <x v="20"/>
    <x v="0"/>
    <x v="0"/>
    <x v="3"/>
    <n v="110"/>
    <n v="1930390"/>
    <n v="822800"/>
  </r>
  <r>
    <x v="21"/>
    <x v="1"/>
    <x v="21"/>
    <x v="0"/>
    <x v="0"/>
    <x v="3"/>
    <n v="91"/>
    <n v="1719172"/>
    <n v="680680"/>
  </r>
  <r>
    <x v="22"/>
    <x v="1"/>
    <x v="22"/>
    <x v="0"/>
    <x v="0"/>
    <x v="3"/>
    <n v="65"/>
    <n v="1204450"/>
    <n v="486200"/>
  </r>
  <r>
    <x v="23"/>
    <x v="1"/>
    <x v="23"/>
    <x v="0"/>
    <x v="0"/>
    <x v="3"/>
    <n v="78"/>
    <n v="1371006"/>
    <n v="583440"/>
  </r>
  <r>
    <x v="0"/>
    <x v="0"/>
    <x v="0"/>
    <x v="0"/>
    <x v="0"/>
    <x v="4"/>
    <n v="73"/>
    <n v="2288331"/>
    <n v="1226400"/>
  </r>
  <r>
    <x v="1"/>
    <x v="0"/>
    <x v="1"/>
    <x v="0"/>
    <x v="0"/>
    <x v="4"/>
    <n v="46"/>
    <n v="1433728"/>
    <n v="772800"/>
  </r>
  <r>
    <x v="2"/>
    <x v="0"/>
    <x v="2"/>
    <x v="0"/>
    <x v="0"/>
    <x v="4"/>
    <n v="37"/>
    <n v="1146963"/>
    <n v="621600"/>
  </r>
  <r>
    <x v="3"/>
    <x v="0"/>
    <x v="3"/>
    <x v="0"/>
    <x v="0"/>
    <x v="4"/>
    <n v="69"/>
    <n v="2162943"/>
    <n v="1159200"/>
  </r>
  <r>
    <x v="4"/>
    <x v="0"/>
    <x v="4"/>
    <x v="0"/>
    <x v="0"/>
    <x v="4"/>
    <n v="87"/>
    <n v="2832633"/>
    <n v="1461600"/>
  </r>
  <r>
    <x v="5"/>
    <x v="0"/>
    <x v="5"/>
    <x v="0"/>
    <x v="0"/>
    <x v="4"/>
    <n v="82"/>
    <n v="2544050"/>
    <n v="1377600"/>
  </r>
  <r>
    <x v="6"/>
    <x v="0"/>
    <x v="6"/>
    <x v="0"/>
    <x v="0"/>
    <x v="4"/>
    <n v="87"/>
    <n v="2613567"/>
    <n v="1461600"/>
  </r>
  <r>
    <x v="7"/>
    <x v="0"/>
    <x v="7"/>
    <x v="0"/>
    <x v="0"/>
    <x v="4"/>
    <n v="73"/>
    <n v="2269789"/>
    <n v="1226400"/>
  </r>
  <r>
    <x v="8"/>
    <x v="0"/>
    <x v="8"/>
    <x v="0"/>
    <x v="0"/>
    <x v="4"/>
    <n v="78"/>
    <n v="2402868"/>
    <n v="1310400"/>
  </r>
  <r>
    <x v="9"/>
    <x v="0"/>
    <x v="9"/>
    <x v="0"/>
    <x v="0"/>
    <x v="4"/>
    <n v="64"/>
    <n v="2039168"/>
    <n v="1075200"/>
  </r>
  <r>
    <x v="10"/>
    <x v="0"/>
    <x v="10"/>
    <x v="0"/>
    <x v="0"/>
    <x v="4"/>
    <n v="46"/>
    <n v="1433038"/>
    <n v="772800"/>
  </r>
  <r>
    <x v="11"/>
    <x v="0"/>
    <x v="11"/>
    <x v="0"/>
    <x v="0"/>
    <x v="4"/>
    <n v="55"/>
    <n v="1710665"/>
    <n v="924000"/>
  </r>
  <r>
    <x v="12"/>
    <x v="1"/>
    <x v="12"/>
    <x v="0"/>
    <x v="0"/>
    <x v="4"/>
    <n v="81"/>
    <n v="2552715"/>
    <n v="1360800"/>
  </r>
  <r>
    <x v="13"/>
    <x v="1"/>
    <x v="13"/>
    <x v="0"/>
    <x v="0"/>
    <x v="4"/>
    <n v="51"/>
    <n v="1611906"/>
    <n v="856800"/>
  </r>
  <r>
    <x v="14"/>
    <x v="1"/>
    <x v="14"/>
    <x v="0"/>
    <x v="0"/>
    <x v="4"/>
    <n v="41"/>
    <n v="1253370"/>
    <n v="688800"/>
  </r>
  <r>
    <x v="15"/>
    <x v="1"/>
    <x v="15"/>
    <x v="0"/>
    <x v="0"/>
    <x v="4"/>
    <n v="76"/>
    <n v="2379028"/>
    <n v="1276800"/>
  </r>
  <r>
    <x v="16"/>
    <x v="1"/>
    <x v="16"/>
    <x v="0"/>
    <x v="0"/>
    <x v="4"/>
    <n v="96"/>
    <n v="3055872"/>
    <n v="1612800"/>
  </r>
  <r>
    <x v="17"/>
    <x v="1"/>
    <x v="17"/>
    <x v="0"/>
    <x v="0"/>
    <x v="4"/>
    <n v="91"/>
    <n v="2850393"/>
    <n v="1528800"/>
  </r>
  <r>
    <x v="18"/>
    <x v="1"/>
    <x v="18"/>
    <x v="0"/>
    <x v="0"/>
    <x v="4"/>
    <n v="96"/>
    <n v="2848416"/>
    <n v="1612800"/>
  </r>
  <r>
    <x v="19"/>
    <x v="1"/>
    <x v="19"/>
    <x v="0"/>
    <x v="0"/>
    <x v="4"/>
    <n v="81"/>
    <n v="2474469"/>
    <n v="1360800"/>
  </r>
  <r>
    <x v="20"/>
    <x v="1"/>
    <x v="20"/>
    <x v="0"/>
    <x v="0"/>
    <x v="4"/>
    <n v="86"/>
    <n v="2690768"/>
    <n v="1444800"/>
  </r>
  <r>
    <x v="21"/>
    <x v="1"/>
    <x v="21"/>
    <x v="0"/>
    <x v="0"/>
    <x v="4"/>
    <n v="71"/>
    <n v="2245446"/>
    <n v="1192800"/>
  </r>
  <r>
    <x v="22"/>
    <x v="1"/>
    <x v="22"/>
    <x v="0"/>
    <x v="0"/>
    <x v="4"/>
    <n v="51"/>
    <n v="1590384"/>
    <n v="856800"/>
  </r>
  <r>
    <x v="23"/>
    <x v="1"/>
    <x v="23"/>
    <x v="0"/>
    <x v="0"/>
    <x v="4"/>
    <n v="61"/>
    <n v="1855010"/>
    <n v="1024800"/>
  </r>
  <r>
    <x v="0"/>
    <x v="0"/>
    <x v="0"/>
    <x v="0"/>
    <x v="0"/>
    <x v="5"/>
    <n v="70"/>
    <n v="1169140"/>
    <n v="430500"/>
  </r>
  <r>
    <x v="1"/>
    <x v="0"/>
    <x v="1"/>
    <x v="0"/>
    <x v="0"/>
    <x v="5"/>
    <n v="44"/>
    <n v="717816"/>
    <n v="270600"/>
  </r>
  <r>
    <x v="2"/>
    <x v="0"/>
    <x v="2"/>
    <x v="0"/>
    <x v="0"/>
    <x v="5"/>
    <n v="35"/>
    <n v="532105"/>
    <n v="215250"/>
  </r>
  <r>
    <x v="3"/>
    <x v="0"/>
    <x v="3"/>
    <x v="0"/>
    <x v="0"/>
    <x v="5"/>
    <n v="66"/>
    <n v="1099956"/>
    <n v="405900"/>
  </r>
  <r>
    <x v="4"/>
    <x v="0"/>
    <x v="4"/>
    <x v="0"/>
    <x v="0"/>
    <x v="5"/>
    <n v="83"/>
    <n v="1401538"/>
    <n v="510450"/>
  </r>
  <r>
    <x v="5"/>
    <x v="0"/>
    <x v="5"/>
    <x v="0"/>
    <x v="0"/>
    <x v="5"/>
    <n v="79"/>
    <n v="1310926"/>
    <n v="485850"/>
  </r>
  <r>
    <x v="6"/>
    <x v="0"/>
    <x v="6"/>
    <x v="0"/>
    <x v="0"/>
    <x v="5"/>
    <n v="83"/>
    <n v="1236534"/>
    <n v="510450"/>
  </r>
  <r>
    <x v="7"/>
    <x v="0"/>
    <x v="7"/>
    <x v="0"/>
    <x v="0"/>
    <x v="5"/>
    <n v="70"/>
    <n v="1144080"/>
    <n v="430500"/>
  </r>
  <r>
    <x v="8"/>
    <x v="0"/>
    <x v="8"/>
    <x v="0"/>
    <x v="0"/>
    <x v="5"/>
    <n v="74"/>
    <n v="1131164"/>
    <n v="455100"/>
  </r>
  <r>
    <x v="9"/>
    <x v="0"/>
    <x v="9"/>
    <x v="0"/>
    <x v="0"/>
    <x v="5"/>
    <n v="61"/>
    <n v="1036695"/>
    <n v="375150"/>
  </r>
  <r>
    <x v="10"/>
    <x v="0"/>
    <x v="10"/>
    <x v="0"/>
    <x v="0"/>
    <x v="5"/>
    <n v="44"/>
    <n v="704704"/>
    <n v="270600"/>
  </r>
  <r>
    <x v="11"/>
    <x v="0"/>
    <x v="11"/>
    <x v="0"/>
    <x v="0"/>
    <x v="5"/>
    <n v="53"/>
    <n v="852028"/>
    <n v="325950"/>
  </r>
  <r>
    <x v="12"/>
    <x v="1"/>
    <x v="12"/>
    <x v="0"/>
    <x v="0"/>
    <x v="5"/>
    <n v="77"/>
    <n v="1278123"/>
    <n v="473550"/>
  </r>
  <r>
    <x v="13"/>
    <x v="1"/>
    <x v="13"/>
    <x v="0"/>
    <x v="0"/>
    <x v="5"/>
    <n v="48"/>
    <n v="802080"/>
    <n v="295200"/>
  </r>
  <r>
    <x v="14"/>
    <x v="1"/>
    <x v="14"/>
    <x v="0"/>
    <x v="0"/>
    <x v="5"/>
    <n v="39"/>
    <n v="618423"/>
    <n v="239850"/>
  </r>
  <r>
    <x v="15"/>
    <x v="1"/>
    <x v="15"/>
    <x v="0"/>
    <x v="0"/>
    <x v="5"/>
    <n v="72"/>
    <n v="1213488"/>
    <n v="442800"/>
  </r>
  <r>
    <x v="16"/>
    <x v="1"/>
    <x v="16"/>
    <x v="0"/>
    <x v="0"/>
    <x v="5"/>
    <n v="91"/>
    <n v="1517061"/>
    <n v="559650"/>
  </r>
  <r>
    <x v="17"/>
    <x v="1"/>
    <x v="17"/>
    <x v="0"/>
    <x v="0"/>
    <x v="5"/>
    <n v="87"/>
    <n v="1417752"/>
    <n v="535050"/>
  </r>
  <r>
    <x v="18"/>
    <x v="1"/>
    <x v="18"/>
    <x v="0"/>
    <x v="0"/>
    <x v="5"/>
    <n v="91"/>
    <n v="1310946"/>
    <n v="559650"/>
  </r>
  <r>
    <x v="19"/>
    <x v="1"/>
    <x v="19"/>
    <x v="0"/>
    <x v="0"/>
    <x v="5"/>
    <n v="77"/>
    <n v="1230460"/>
    <n v="473550"/>
  </r>
  <r>
    <x v="20"/>
    <x v="1"/>
    <x v="20"/>
    <x v="0"/>
    <x v="0"/>
    <x v="5"/>
    <n v="82"/>
    <n v="1348408"/>
    <n v="504300"/>
  </r>
  <r>
    <x v="21"/>
    <x v="1"/>
    <x v="21"/>
    <x v="0"/>
    <x v="0"/>
    <x v="5"/>
    <n v="67"/>
    <n v="1093306"/>
    <n v="412050"/>
  </r>
  <r>
    <x v="22"/>
    <x v="1"/>
    <x v="22"/>
    <x v="0"/>
    <x v="0"/>
    <x v="5"/>
    <n v="48"/>
    <n v="781728"/>
    <n v="295200"/>
  </r>
  <r>
    <x v="23"/>
    <x v="1"/>
    <x v="23"/>
    <x v="0"/>
    <x v="0"/>
    <x v="5"/>
    <n v="58"/>
    <n v="914834"/>
    <n v="356700"/>
  </r>
  <r>
    <x v="0"/>
    <x v="0"/>
    <x v="0"/>
    <x v="0"/>
    <x v="0"/>
    <x v="6"/>
    <n v="92"/>
    <n v="1076216"/>
    <n v="404800"/>
  </r>
  <r>
    <x v="1"/>
    <x v="0"/>
    <x v="1"/>
    <x v="0"/>
    <x v="0"/>
    <x v="6"/>
    <n v="57"/>
    <n v="731709"/>
    <n v="250800"/>
  </r>
  <r>
    <x v="2"/>
    <x v="0"/>
    <x v="2"/>
    <x v="0"/>
    <x v="0"/>
    <x v="6"/>
    <n v="46"/>
    <n v="516488"/>
    <n v="202400"/>
  </r>
  <r>
    <x v="3"/>
    <x v="0"/>
    <x v="3"/>
    <x v="0"/>
    <x v="0"/>
    <x v="6"/>
    <n v="86"/>
    <n v="1086524"/>
    <n v="378400"/>
  </r>
  <r>
    <x v="4"/>
    <x v="0"/>
    <x v="4"/>
    <x v="0"/>
    <x v="0"/>
    <x v="6"/>
    <n v="109"/>
    <n v="1369149"/>
    <n v="479600"/>
  </r>
  <r>
    <x v="5"/>
    <x v="0"/>
    <x v="5"/>
    <x v="0"/>
    <x v="0"/>
    <x v="6"/>
    <n v="103"/>
    <n v="1321490"/>
    <n v="453200"/>
  </r>
  <r>
    <x v="6"/>
    <x v="0"/>
    <x v="6"/>
    <x v="0"/>
    <x v="0"/>
    <x v="6"/>
    <n v="109"/>
    <n v="1161286"/>
    <n v="479600"/>
  </r>
  <r>
    <x v="7"/>
    <x v="0"/>
    <x v="7"/>
    <x v="0"/>
    <x v="0"/>
    <x v="6"/>
    <n v="92"/>
    <n v="1127644"/>
    <n v="404800"/>
  </r>
  <r>
    <x v="8"/>
    <x v="0"/>
    <x v="8"/>
    <x v="0"/>
    <x v="0"/>
    <x v="6"/>
    <n v="97"/>
    <n v="1151972"/>
    <n v="426800"/>
  </r>
  <r>
    <x v="9"/>
    <x v="0"/>
    <x v="9"/>
    <x v="0"/>
    <x v="0"/>
    <x v="6"/>
    <n v="80"/>
    <n v="1016720"/>
    <n v="352000"/>
  </r>
  <r>
    <x v="10"/>
    <x v="0"/>
    <x v="10"/>
    <x v="0"/>
    <x v="0"/>
    <x v="6"/>
    <n v="57"/>
    <n v="711987"/>
    <n v="250800"/>
  </r>
  <r>
    <x v="11"/>
    <x v="0"/>
    <x v="11"/>
    <x v="0"/>
    <x v="0"/>
    <x v="6"/>
    <n v="69"/>
    <n v="824343"/>
    <n v="303600"/>
  </r>
  <r>
    <x v="12"/>
    <x v="1"/>
    <x v="12"/>
    <x v="0"/>
    <x v="0"/>
    <x v="6"/>
    <n v="101"/>
    <n v="1180690"/>
    <n v="444400"/>
  </r>
  <r>
    <x v="13"/>
    <x v="1"/>
    <x v="13"/>
    <x v="0"/>
    <x v="0"/>
    <x v="6"/>
    <n v="63"/>
    <n v="798903"/>
    <n v="277200"/>
  </r>
  <r>
    <x v="14"/>
    <x v="1"/>
    <x v="14"/>
    <x v="0"/>
    <x v="0"/>
    <x v="6"/>
    <n v="51"/>
    <n v="588846"/>
    <n v="224400"/>
  </r>
  <r>
    <x v="15"/>
    <x v="1"/>
    <x v="15"/>
    <x v="0"/>
    <x v="0"/>
    <x v="6"/>
    <n v="95"/>
    <n v="1161755"/>
    <n v="418000"/>
  </r>
  <r>
    <x v="16"/>
    <x v="1"/>
    <x v="16"/>
    <x v="0"/>
    <x v="0"/>
    <x v="6"/>
    <n v="120"/>
    <n v="1606920"/>
    <n v="528000"/>
  </r>
  <r>
    <x v="17"/>
    <x v="1"/>
    <x v="17"/>
    <x v="0"/>
    <x v="0"/>
    <x v="6"/>
    <n v="113"/>
    <n v="1363458"/>
    <n v="497200"/>
  </r>
  <r>
    <x v="18"/>
    <x v="1"/>
    <x v="18"/>
    <x v="0"/>
    <x v="0"/>
    <x v="6"/>
    <n v="120"/>
    <n v="1276800"/>
    <n v="528000"/>
  </r>
  <r>
    <x v="19"/>
    <x v="1"/>
    <x v="19"/>
    <x v="0"/>
    <x v="0"/>
    <x v="6"/>
    <n v="101"/>
    <n v="1172509"/>
    <n v="444400"/>
  </r>
  <r>
    <x v="20"/>
    <x v="1"/>
    <x v="20"/>
    <x v="0"/>
    <x v="0"/>
    <x v="6"/>
    <n v="107"/>
    <n v="1283465"/>
    <n v="470800"/>
  </r>
  <r>
    <x v="21"/>
    <x v="1"/>
    <x v="21"/>
    <x v="0"/>
    <x v="0"/>
    <x v="6"/>
    <n v="88"/>
    <n v="1146992"/>
    <n v="387200"/>
  </r>
  <r>
    <x v="22"/>
    <x v="1"/>
    <x v="22"/>
    <x v="0"/>
    <x v="0"/>
    <x v="6"/>
    <n v="63"/>
    <n v="792603"/>
    <n v="277200"/>
  </r>
  <r>
    <x v="23"/>
    <x v="1"/>
    <x v="23"/>
    <x v="0"/>
    <x v="0"/>
    <x v="6"/>
    <n v="76"/>
    <n v="922184"/>
    <n v="334400"/>
  </r>
  <r>
    <x v="0"/>
    <x v="0"/>
    <x v="0"/>
    <x v="0"/>
    <x v="1"/>
    <x v="7"/>
    <n v="46"/>
    <n v="251850"/>
    <n v="83398"/>
  </r>
  <r>
    <x v="1"/>
    <x v="0"/>
    <x v="1"/>
    <x v="0"/>
    <x v="1"/>
    <x v="7"/>
    <n v="29"/>
    <n v="157876"/>
    <n v="52577"/>
  </r>
  <r>
    <x v="2"/>
    <x v="0"/>
    <x v="2"/>
    <x v="0"/>
    <x v="1"/>
    <x v="7"/>
    <n v="23"/>
    <n v="109618"/>
    <n v="41699"/>
  </r>
  <r>
    <x v="3"/>
    <x v="0"/>
    <x v="3"/>
    <x v="0"/>
    <x v="1"/>
    <x v="7"/>
    <n v="44"/>
    <n v="239184"/>
    <n v="79772"/>
  </r>
  <r>
    <x v="4"/>
    <x v="0"/>
    <x v="4"/>
    <x v="0"/>
    <x v="1"/>
    <x v="7"/>
    <n v="55"/>
    <n v="328185"/>
    <n v="99715"/>
  </r>
  <r>
    <x v="5"/>
    <x v="0"/>
    <x v="5"/>
    <x v="0"/>
    <x v="1"/>
    <x v="7"/>
    <n v="52"/>
    <n v="270972"/>
    <n v="94276"/>
  </r>
  <r>
    <x v="6"/>
    <x v="0"/>
    <x v="6"/>
    <x v="0"/>
    <x v="1"/>
    <x v="7"/>
    <n v="55"/>
    <n v="165825"/>
    <n v="99715"/>
  </r>
  <r>
    <x v="7"/>
    <x v="0"/>
    <x v="7"/>
    <x v="0"/>
    <x v="1"/>
    <x v="7"/>
    <n v="46"/>
    <n v="193568"/>
    <n v="83398"/>
  </r>
  <r>
    <x v="8"/>
    <x v="0"/>
    <x v="8"/>
    <x v="0"/>
    <x v="1"/>
    <x v="7"/>
    <n v="49"/>
    <n v="212856"/>
    <n v="88837"/>
  </r>
  <r>
    <x v="9"/>
    <x v="0"/>
    <x v="9"/>
    <x v="0"/>
    <x v="1"/>
    <x v="7"/>
    <n v="41"/>
    <n v="216808"/>
    <n v="74333"/>
  </r>
  <r>
    <x v="10"/>
    <x v="0"/>
    <x v="10"/>
    <x v="0"/>
    <x v="1"/>
    <x v="7"/>
    <n v="29"/>
    <n v="156165"/>
    <n v="52577"/>
  </r>
  <r>
    <x v="11"/>
    <x v="0"/>
    <x v="11"/>
    <x v="0"/>
    <x v="1"/>
    <x v="7"/>
    <n v="35"/>
    <n v="144060"/>
    <n v="63455"/>
  </r>
  <r>
    <x v="12"/>
    <x v="1"/>
    <x v="12"/>
    <x v="0"/>
    <x v="1"/>
    <x v="7"/>
    <n v="51"/>
    <n v="268413"/>
    <n v="92463"/>
  </r>
  <r>
    <x v="13"/>
    <x v="1"/>
    <x v="13"/>
    <x v="0"/>
    <x v="1"/>
    <x v="7"/>
    <n v="32"/>
    <n v="171488"/>
    <n v="58016"/>
  </r>
  <r>
    <x v="14"/>
    <x v="1"/>
    <x v="14"/>
    <x v="0"/>
    <x v="1"/>
    <x v="7"/>
    <n v="26"/>
    <n v="118560"/>
    <n v="47138"/>
  </r>
  <r>
    <x v="15"/>
    <x v="1"/>
    <x v="15"/>
    <x v="0"/>
    <x v="1"/>
    <x v="7"/>
    <n v="48"/>
    <n v="256896"/>
    <n v="87024"/>
  </r>
  <r>
    <x v="16"/>
    <x v="1"/>
    <x v="16"/>
    <x v="0"/>
    <x v="1"/>
    <x v="7"/>
    <n v="61"/>
    <n v="339587"/>
    <n v="110593"/>
  </r>
  <r>
    <x v="17"/>
    <x v="1"/>
    <x v="17"/>
    <x v="0"/>
    <x v="1"/>
    <x v="7"/>
    <n v="57"/>
    <n v="295032"/>
    <n v="103341"/>
  </r>
  <r>
    <x v="18"/>
    <x v="1"/>
    <x v="18"/>
    <x v="0"/>
    <x v="1"/>
    <x v="7"/>
    <n v="61"/>
    <n v="189283"/>
    <n v="110593"/>
  </r>
  <r>
    <x v="19"/>
    <x v="1"/>
    <x v="19"/>
    <x v="0"/>
    <x v="1"/>
    <x v="7"/>
    <n v="51"/>
    <n v="253980"/>
    <n v="92463"/>
  </r>
  <r>
    <x v="20"/>
    <x v="1"/>
    <x v="20"/>
    <x v="0"/>
    <x v="1"/>
    <x v="7"/>
    <n v="54"/>
    <n v="271890"/>
    <n v="97902"/>
  </r>
  <r>
    <x v="21"/>
    <x v="1"/>
    <x v="21"/>
    <x v="0"/>
    <x v="1"/>
    <x v="7"/>
    <n v="45"/>
    <n v="238410"/>
    <n v="81585"/>
  </r>
  <r>
    <x v="22"/>
    <x v="1"/>
    <x v="22"/>
    <x v="0"/>
    <x v="1"/>
    <x v="7"/>
    <n v="32"/>
    <n v="163328"/>
    <n v="58016"/>
  </r>
  <r>
    <x v="23"/>
    <x v="1"/>
    <x v="23"/>
    <x v="0"/>
    <x v="1"/>
    <x v="7"/>
    <n v="38"/>
    <n v="177422"/>
    <n v="68894"/>
  </r>
  <r>
    <x v="0"/>
    <x v="0"/>
    <x v="0"/>
    <x v="0"/>
    <x v="1"/>
    <x v="8"/>
    <n v="36"/>
    <n v="110916"/>
    <n v="41400"/>
  </r>
  <r>
    <x v="1"/>
    <x v="0"/>
    <x v="1"/>
    <x v="0"/>
    <x v="1"/>
    <x v="8"/>
    <n v="23"/>
    <n v="81627"/>
    <n v="26450"/>
  </r>
  <r>
    <x v="2"/>
    <x v="0"/>
    <x v="2"/>
    <x v="0"/>
    <x v="1"/>
    <x v="8"/>
    <n v="18"/>
    <n v="67302"/>
    <n v="20700"/>
  </r>
  <r>
    <x v="3"/>
    <x v="0"/>
    <x v="3"/>
    <x v="0"/>
    <x v="1"/>
    <x v="8"/>
    <n v="34"/>
    <n v="155618"/>
    <n v="39100"/>
  </r>
  <r>
    <x v="4"/>
    <x v="0"/>
    <x v="4"/>
    <x v="0"/>
    <x v="1"/>
    <x v="8"/>
    <n v="43"/>
    <n v="177977"/>
    <n v="49450"/>
  </r>
  <r>
    <x v="5"/>
    <x v="0"/>
    <x v="5"/>
    <x v="0"/>
    <x v="1"/>
    <x v="8"/>
    <n v="41"/>
    <n v="153586"/>
    <n v="47150"/>
  </r>
  <r>
    <x v="6"/>
    <x v="0"/>
    <x v="6"/>
    <x v="0"/>
    <x v="1"/>
    <x v="8"/>
    <n v="43"/>
    <n v="105436"/>
    <n v="49450"/>
  </r>
  <r>
    <x v="7"/>
    <x v="0"/>
    <x v="7"/>
    <x v="0"/>
    <x v="1"/>
    <x v="8"/>
    <n v="36"/>
    <n v="98352"/>
    <n v="41400"/>
  </r>
  <r>
    <x v="8"/>
    <x v="0"/>
    <x v="8"/>
    <x v="0"/>
    <x v="1"/>
    <x v="8"/>
    <n v="39"/>
    <n v="132756"/>
    <n v="44850"/>
  </r>
  <r>
    <x v="9"/>
    <x v="0"/>
    <x v="9"/>
    <x v="0"/>
    <x v="1"/>
    <x v="8"/>
    <n v="32"/>
    <n v="149920"/>
    <n v="36800"/>
  </r>
  <r>
    <x v="10"/>
    <x v="0"/>
    <x v="10"/>
    <x v="0"/>
    <x v="1"/>
    <x v="8"/>
    <n v="23"/>
    <n v="78683"/>
    <n v="26450"/>
  </r>
  <r>
    <x v="11"/>
    <x v="0"/>
    <x v="11"/>
    <x v="0"/>
    <x v="1"/>
    <x v="8"/>
    <n v="27"/>
    <n v="91341"/>
    <n v="31050"/>
  </r>
  <r>
    <x v="12"/>
    <x v="1"/>
    <x v="12"/>
    <x v="0"/>
    <x v="1"/>
    <x v="8"/>
    <n v="40"/>
    <n v="134600"/>
    <n v="46000"/>
  </r>
  <r>
    <x v="13"/>
    <x v="1"/>
    <x v="13"/>
    <x v="0"/>
    <x v="1"/>
    <x v="8"/>
    <n v="25"/>
    <n v="83550"/>
    <n v="28750"/>
  </r>
  <r>
    <x v="14"/>
    <x v="1"/>
    <x v="14"/>
    <x v="0"/>
    <x v="1"/>
    <x v="8"/>
    <n v="20"/>
    <n v="75840"/>
    <n v="23000"/>
  </r>
  <r>
    <x v="15"/>
    <x v="1"/>
    <x v="15"/>
    <x v="0"/>
    <x v="1"/>
    <x v="8"/>
    <n v="38"/>
    <n v="166098"/>
    <n v="43700"/>
  </r>
  <r>
    <x v="16"/>
    <x v="1"/>
    <x v="16"/>
    <x v="0"/>
    <x v="1"/>
    <x v="8"/>
    <n v="48"/>
    <n v="213648"/>
    <n v="55200"/>
  </r>
  <r>
    <x v="17"/>
    <x v="1"/>
    <x v="17"/>
    <x v="0"/>
    <x v="1"/>
    <x v="8"/>
    <n v="45"/>
    <n v="175860"/>
    <n v="51750"/>
  </r>
  <r>
    <x v="18"/>
    <x v="1"/>
    <x v="18"/>
    <x v="0"/>
    <x v="1"/>
    <x v="8"/>
    <n v="48"/>
    <n v="135456"/>
    <n v="55200"/>
  </r>
  <r>
    <x v="19"/>
    <x v="1"/>
    <x v="19"/>
    <x v="0"/>
    <x v="1"/>
    <x v="8"/>
    <n v="40"/>
    <n v="141120"/>
    <n v="46000"/>
  </r>
  <r>
    <x v="20"/>
    <x v="1"/>
    <x v="20"/>
    <x v="0"/>
    <x v="1"/>
    <x v="8"/>
    <n v="43"/>
    <n v="144308"/>
    <n v="49450"/>
  </r>
  <r>
    <x v="21"/>
    <x v="1"/>
    <x v="21"/>
    <x v="0"/>
    <x v="1"/>
    <x v="8"/>
    <n v="35"/>
    <n v="112945"/>
    <n v="40250"/>
  </r>
  <r>
    <x v="22"/>
    <x v="1"/>
    <x v="22"/>
    <x v="0"/>
    <x v="1"/>
    <x v="8"/>
    <n v="25"/>
    <n v="100100"/>
    <n v="28750"/>
  </r>
  <r>
    <x v="23"/>
    <x v="1"/>
    <x v="23"/>
    <x v="0"/>
    <x v="1"/>
    <x v="8"/>
    <n v="30"/>
    <n v="90300"/>
    <n v="34500"/>
  </r>
  <r>
    <x v="0"/>
    <x v="0"/>
    <x v="0"/>
    <x v="0"/>
    <x v="1"/>
    <x v="9"/>
    <n v="47"/>
    <n v="218879"/>
    <n v="62698"/>
  </r>
  <r>
    <x v="1"/>
    <x v="0"/>
    <x v="1"/>
    <x v="0"/>
    <x v="1"/>
    <x v="9"/>
    <n v="29"/>
    <n v="123685"/>
    <n v="38686"/>
  </r>
  <r>
    <x v="2"/>
    <x v="0"/>
    <x v="2"/>
    <x v="0"/>
    <x v="1"/>
    <x v="9"/>
    <n v="24"/>
    <n v="77688"/>
    <n v="32016"/>
  </r>
  <r>
    <x v="3"/>
    <x v="0"/>
    <x v="3"/>
    <x v="0"/>
    <x v="1"/>
    <x v="9"/>
    <n v="44"/>
    <n v="186384"/>
    <n v="58696"/>
  </r>
  <r>
    <x v="4"/>
    <x v="0"/>
    <x v="4"/>
    <x v="0"/>
    <x v="1"/>
    <x v="9"/>
    <n v="56"/>
    <n v="264376"/>
    <n v="74704"/>
  </r>
  <r>
    <x v="5"/>
    <x v="0"/>
    <x v="5"/>
    <x v="0"/>
    <x v="1"/>
    <x v="9"/>
    <n v="53"/>
    <n v="229702"/>
    <n v="70702"/>
  </r>
  <r>
    <x v="6"/>
    <x v="0"/>
    <x v="6"/>
    <x v="0"/>
    <x v="1"/>
    <x v="9"/>
    <n v="56"/>
    <n v="131320"/>
    <n v="74704"/>
  </r>
  <r>
    <x v="7"/>
    <x v="0"/>
    <x v="7"/>
    <x v="0"/>
    <x v="1"/>
    <x v="9"/>
    <n v="47"/>
    <n v="152280"/>
    <n v="62698"/>
  </r>
  <r>
    <x v="8"/>
    <x v="0"/>
    <x v="8"/>
    <x v="0"/>
    <x v="1"/>
    <x v="9"/>
    <n v="50"/>
    <n v="174600"/>
    <n v="66700"/>
  </r>
  <r>
    <x v="9"/>
    <x v="0"/>
    <x v="9"/>
    <x v="0"/>
    <x v="1"/>
    <x v="9"/>
    <n v="41"/>
    <n v="190281"/>
    <n v="54694"/>
  </r>
  <r>
    <x v="10"/>
    <x v="0"/>
    <x v="10"/>
    <x v="0"/>
    <x v="1"/>
    <x v="9"/>
    <n v="29"/>
    <n v="112462"/>
    <n v="38686"/>
  </r>
  <r>
    <x v="11"/>
    <x v="0"/>
    <x v="11"/>
    <x v="0"/>
    <x v="1"/>
    <x v="9"/>
    <n v="35"/>
    <n v="142170"/>
    <n v="46690"/>
  </r>
  <r>
    <x v="12"/>
    <x v="1"/>
    <x v="12"/>
    <x v="0"/>
    <x v="1"/>
    <x v="9"/>
    <n v="52"/>
    <n v="231504"/>
    <n v="69368"/>
  </r>
  <r>
    <x v="13"/>
    <x v="1"/>
    <x v="13"/>
    <x v="0"/>
    <x v="1"/>
    <x v="9"/>
    <n v="32"/>
    <n v="136224"/>
    <n v="42688"/>
  </r>
  <r>
    <x v="14"/>
    <x v="1"/>
    <x v="14"/>
    <x v="0"/>
    <x v="1"/>
    <x v="9"/>
    <n v="26"/>
    <n v="96148"/>
    <n v="34684"/>
  </r>
  <r>
    <x v="15"/>
    <x v="1"/>
    <x v="15"/>
    <x v="0"/>
    <x v="1"/>
    <x v="9"/>
    <n v="48"/>
    <n v="222192"/>
    <n v="64032"/>
  </r>
  <r>
    <x v="16"/>
    <x v="1"/>
    <x v="16"/>
    <x v="0"/>
    <x v="1"/>
    <x v="9"/>
    <n v="61"/>
    <n v="305854"/>
    <n v="81374"/>
  </r>
  <r>
    <x v="17"/>
    <x v="1"/>
    <x v="17"/>
    <x v="0"/>
    <x v="1"/>
    <x v="9"/>
    <n v="58"/>
    <n v="239598"/>
    <n v="77372"/>
  </r>
  <r>
    <x v="18"/>
    <x v="1"/>
    <x v="18"/>
    <x v="0"/>
    <x v="1"/>
    <x v="9"/>
    <n v="61"/>
    <n v="165310"/>
    <n v="81374"/>
  </r>
  <r>
    <x v="19"/>
    <x v="1"/>
    <x v="19"/>
    <x v="0"/>
    <x v="1"/>
    <x v="9"/>
    <n v="52"/>
    <n v="173264"/>
    <n v="69368"/>
  </r>
  <r>
    <x v="20"/>
    <x v="1"/>
    <x v="20"/>
    <x v="0"/>
    <x v="1"/>
    <x v="9"/>
    <n v="55"/>
    <n v="212960"/>
    <n v="73370"/>
  </r>
  <r>
    <x v="21"/>
    <x v="1"/>
    <x v="21"/>
    <x v="0"/>
    <x v="1"/>
    <x v="9"/>
    <n v="45"/>
    <n v="226845"/>
    <n v="60030"/>
  </r>
  <r>
    <x v="22"/>
    <x v="1"/>
    <x v="22"/>
    <x v="0"/>
    <x v="1"/>
    <x v="9"/>
    <n v="32"/>
    <n v="135104"/>
    <n v="42688"/>
  </r>
  <r>
    <x v="23"/>
    <x v="1"/>
    <x v="23"/>
    <x v="0"/>
    <x v="1"/>
    <x v="9"/>
    <n v="39"/>
    <n v="130572"/>
    <n v="52026"/>
  </r>
  <r>
    <x v="0"/>
    <x v="0"/>
    <x v="0"/>
    <x v="0"/>
    <x v="1"/>
    <x v="10"/>
    <n v="39"/>
    <n v="209469"/>
    <n v="78624"/>
  </r>
  <r>
    <x v="1"/>
    <x v="0"/>
    <x v="1"/>
    <x v="0"/>
    <x v="1"/>
    <x v="10"/>
    <n v="24"/>
    <n v="129528"/>
    <n v="48384"/>
  </r>
  <r>
    <x v="2"/>
    <x v="0"/>
    <x v="2"/>
    <x v="0"/>
    <x v="1"/>
    <x v="10"/>
    <n v="20"/>
    <n v="108960"/>
    <n v="40320"/>
  </r>
  <r>
    <x v="3"/>
    <x v="0"/>
    <x v="3"/>
    <x v="0"/>
    <x v="1"/>
    <x v="10"/>
    <n v="36"/>
    <n v="228564"/>
    <n v="72576"/>
  </r>
  <r>
    <x v="4"/>
    <x v="0"/>
    <x v="4"/>
    <x v="0"/>
    <x v="1"/>
    <x v="10"/>
    <n v="46"/>
    <n v="295688"/>
    <n v="92736"/>
  </r>
  <r>
    <x v="5"/>
    <x v="0"/>
    <x v="5"/>
    <x v="0"/>
    <x v="1"/>
    <x v="10"/>
    <n v="44"/>
    <n v="252516"/>
    <n v="88704"/>
  </r>
  <r>
    <x v="6"/>
    <x v="0"/>
    <x v="6"/>
    <x v="0"/>
    <x v="1"/>
    <x v="10"/>
    <n v="46"/>
    <n v="152812"/>
    <n v="92736"/>
  </r>
  <r>
    <x v="7"/>
    <x v="0"/>
    <x v="7"/>
    <x v="0"/>
    <x v="1"/>
    <x v="10"/>
    <n v="39"/>
    <n v="203814"/>
    <n v="78624"/>
  </r>
  <r>
    <x v="8"/>
    <x v="0"/>
    <x v="8"/>
    <x v="0"/>
    <x v="1"/>
    <x v="10"/>
    <n v="41"/>
    <n v="200941"/>
    <n v="82656"/>
  </r>
  <r>
    <x v="9"/>
    <x v="0"/>
    <x v="9"/>
    <x v="0"/>
    <x v="1"/>
    <x v="10"/>
    <n v="34"/>
    <n v="212364"/>
    <n v="68544"/>
  </r>
  <r>
    <x v="10"/>
    <x v="0"/>
    <x v="10"/>
    <x v="0"/>
    <x v="1"/>
    <x v="10"/>
    <n v="24"/>
    <n v="131160"/>
    <n v="48384"/>
  </r>
  <r>
    <x v="11"/>
    <x v="0"/>
    <x v="11"/>
    <x v="0"/>
    <x v="1"/>
    <x v="10"/>
    <n v="29"/>
    <n v="129920"/>
    <n v="58464"/>
  </r>
  <r>
    <x v="12"/>
    <x v="1"/>
    <x v="12"/>
    <x v="0"/>
    <x v="1"/>
    <x v="10"/>
    <n v="43"/>
    <n v="213151"/>
    <n v="86688"/>
  </r>
  <r>
    <x v="13"/>
    <x v="1"/>
    <x v="13"/>
    <x v="0"/>
    <x v="1"/>
    <x v="10"/>
    <n v="27"/>
    <n v="163917"/>
    <n v="54432"/>
  </r>
  <r>
    <x v="14"/>
    <x v="1"/>
    <x v="14"/>
    <x v="0"/>
    <x v="1"/>
    <x v="10"/>
    <n v="22"/>
    <n v="121308"/>
    <n v="44352"/>
  </r>
  <r>
    <x v="15"/>
    <x v="1"/>
    <x v="15"/>
    <x v="0"/>
    <x v="1"/>
    <x v="10"/>
    <n v="40"/>
    <n v="233240"/>
    <n v="80640"/>
  </r>
  <r>
    <x v="16"/>
    <x v="1"/>
    <x v="16"/>
    <x v="0"/>
    <x v="1"/>
    <x v="10"/>
    <n v="51"/>
    <n v="321351"/>
    <n v="102816"/>
  </r>
  <r>
    <x v="17"/>
    <x v="1"/>
    <x v="17"/>
    <x v="0"/>
    <x v="1"/>
    <x v="10"/>
    <n v="48"/>
    <n v="237792"/>
    <n v="96768"/>
  </r>
  <r>
    <x v="18"/>
    <x v="1"/>
    <x v="18"/>
    <x v="0"/>
    <x v="1"/>
    <x v="10"/>
    <n v="51"/>
    <n v="199104"/>
    <n v="102816"/>
  </r>
  <r>
    <x v="19"/>
    <x v="1"/>
    <x v="19"/>
    <x v="0"/>
    <x v="1"/>
    <x v="10"/>
    <n v="43"/>
    <n v="190533"/>
    <n v="86688"/>
  </r>
  <r>
    <x v="20"/>
    <x v="1"/>
    <x v="20"/>
    <x v="0"/>
    <x v="1"/>
    <x v="10"/>
    <n v="45"/>
    <n v="225900"/>
    <n v="90720"/>
  </r>
  <r>
    <x v="21"/>
    <x v="1"/>
    <x v="21"/>
    <x v="0"/>
    <x v="1"/>
    <x v="10"/>
    <n v="37"/>
    <n v="207533"/>
    <n v="74592"/>
  </r>
  <r>
    <x v="22"/>
    <x v="1"/>
    <x v="22"/>
    <x v="0"/>
    <x v="1"/>
    <x v="10"/>
    <n v="27"/>
    <n v="144234"/>
    <n v="54432"/>
  </r>
  <r>
    <x v="23"/>
    <x v="1"/>
    <x v="23"/>
    <x v="0"/>
    <x v="1"/>
    <x v="10"/>
    <n v="32"/>
    <n v="151008"/>
    <n v="64512"/>
  </r>
  <r>
    <x v="0"/>
    <x v="0"/>
    <x v="0"/>
    <x v="0"/>
    <x v="1"/>
    <x v="11"/>
    <n v="35"/>
    <n v="97125"/>
    <n v="32725.000000000004"/>
  </r>
  <r>
    <x v="1"/>
    <x v="0"/>
    <x v="1"/>
    <x v="0"/>
    <x v="1"/>
    <x v="11"/>
    <n v="22"/>
    <n v="60214"/>
    <n v="20570.000000000004"/>
  </r>
  <r>
    <x v="2"/>
    <x v="0"/>
    <x v="2"/>
    <x v="0"/>
    <x v="1"/>
    <x v="11"/>
    <n v="18"/>
    <n v="44406"/>
    <n v="16830.000000000004"/>
  </r>
  <r>
    <x v="3"/>
    <x v="0"/>
    <x v="3"/>
    <x v="0"/>
    <x v="1"/>
    <x v="11"/>
    <n v="33"/>
    <n v="112464"/>
    <n v="30855.000000000004"/>
  </r>
  <r>
    <x v="4"/>
    <x v="0"/>
    <x v="4"/>
    <x v="0"/>
    <x v="1"/>
    <x v="11"/>
    <n v="42"/>
    <n v="159054"/>
    <n v="39270.000000000007"/>
  </r>
  <r>
    <x v="5"/>
    <x v="0"/>
    <x v="5"/>
    <x v="0"/>
    <x v="1"/>
    <x v="11"/>
    <n v="40"/>
    <n v="133320"/>
    <n v="37400.000000000007"/>
  </r>
  <r>
    <x v="6"/>
    <x v="0"/>
    <x v="6"/>
    <x v="0"/>
    <x v="1"/>
    <x v="11"/>
    <n v="42"/>
    <n v="47922"/>
    <n v="39270.000000000007"/>
  </r>
  <r>
    <x v="7"/>
    <x v="0"/>
    <x v="7"/>
    <x v="0"/>
    <x v="1"/>
    <x v="11"/>
    <n v="35"/>
    <n v="76440"/>
    <n v="32725.000000000004"/>
  </r>
  <r>
    <x v="8"/>
    <x v="0"/>
    <x v="8"/>
    <x v="0"/>
    <x v="1"/>
    <x v="11"/>
    <n v="37"/>
    <n v="82103"/>
    <n v="34595.000000000007"/>
  </r>
  <r>
    <x v="9"/>
    <x v="0"/>
    <x v="9"/>
    <x v="0"/>
    <x v="1"/>
    <x v="11"/>
    <n v="31"/>
    <n v="100719"/>
    <n v="28985.000000000004"/>
  </r>
  <r>
    <x v="10"/>
    <x v="0"/>
    <x v="10"/>
    <x v="0"/>
    <x v="1"/>
    <x v="11"/>
    <n v="22"/>
    <n v="70290"/>
    <n v="20570.000000000004"/>
  </r>
  <r>
    <x v="11"/>
    <x v="0"/>
    <x v="11"/>
    <x v="0"/>
    <x v="1"/>
    <x v="11"/>
    <n v="27"/>
    <n v="59508"/>
    <n v="25245.000000000004"/>
  </r>
  <r>
    <x v="12"/>
    <x v="1"/>
    <x v="12"/>
    <x v="0"/>
    <x v="1"/>
    <x v="11"/>
    <n v="39"/>
    <n v="111228"/>
    <n v="36465.000000000007"/>
  </r>
  <r>
    <x v="13"/>
    <x v="1"/>
    <x v="13"/>
    <x v="0"/>
    <x v="1"/>
    <x v="11"/>
    <n v="24"/>
    <n v="74256"/>
    <n v="22440.000000000004"/>
  </r>
  <r>
    <x v="14"/>
    <x v="1"/>
    <x v="14"/>
    <x v="0"/>
    <x v="1"/>
    <x v="11"/>
    <n v="20"/>
    <n v="40940"/>
    <n v="18700.000000000004"/>
  </r>
  <r>
    <x v="15"/>
    <x v="1"/>
    <x v="15"/>
    <x v="0"/>
    <x v="1"/>
    <x v="11"/>
    <n v="36"/>
    <n v="129708"/>
    <n v="33660.000000000007"/>
  </r>
  <r>
    <x v="16"/>
    <x v="1"/>
    <x v="16"/>
    <x v="0"/>
    <x v="1"/>
    <x v="11"/>
    <n v="46"/>
    <n v="165600"/>
    <n v="43010.000000000007"/>
  </r>
  <r>
    <x v="17"/>
    <x v="1"/>
    <x v="17"/>
    <x v="0"/>
    <x v="1"/>
    <x v="11"/>
    <n v="44"/>
    <n v="132572"/>
    <n v="41140.000000000007"/>
  </r>
  <r>
    <x v="18"/>
    <x v="1"/>
    <x v="18"/>
    <x v="0"/>
    <x v="1"/>
    <x v="11"/>
    <n v="46"/>
    <n v="60306"/>
    <n v="43010.000000000007"/>
  </r>
  <r>
    <x v="19"/>
    <x v="1"/>
    <x v="19"/>
    <x v="0"/>
    <x v="1"/>
    <x v="11"/>
    <n v="39"/>
    <n v="90636"/>
    <n v="36465.000000000007"/>
  </r>
  <r>
    <x v="20"/>
    <x v="1"/>
    <x v="20"/>
    <x v="0"/>
    <x v="1"/>
    <x v="11"/>
    <n v="41"/>
    <n v="104673"/>
    <n v="38335.000000000007"/>
  </r>
  <r>
    <x v="21"/>
    <x v="1"/>
    <x v="21"/>
    <x v="0"/>
    <x v="1"/>
    <x v="11"/>
    <n v="34"/>
    <n v="126174"/>
    <n v="31790.000000000004"/>
  </r>
  <r>
    <x v="22"/>
    <x v="1"/>
    <x v="22"/>
    <x v="0"/>
    <x v="1"/>
    <x v="11"/>
    <n v="24"/>
    <n v="75504"/>
    <n v="22440.000000000004"/>
  </r>
  <r>
    <x v="23"/>
    <x v="1"/>
    <x v="23"/>
    <x v="0"/>
    <x v="1"/>
    <x v="11"/>
    <n v="29"/>
    <n v="80736"/>
    <n v="27115.000000000004"/>
  </r>
  <r>
    <x v="0"/>
    <x v="0"/>
    <x v="0"/>
    <x v="0"/>
    <x v="1"/>
    <x v="12"/>
    <n v="43"/>
    <n v="220332"/>
    <n v="84968"/>
  </r>
  <r>
    <x v="1"/>
    <x v="0"/>
    <x v="1"/>
    <x v="0"/>
    <x v="1"/>
    <x v="12"/>
    <n v="27"/>
    <n v="139509"/>
    <n v="53352"/>
  </r>
  <r>
    <x v="2"/>
    <x v="0"/>
    <x v="2"/>
    <x v="0"/>
    <x v="1"/>
    <x v="12"/>
    <n v="22"/>
    <n v="91696"/>
    <n v="43472"/>
  </r>
  <r>
    <x v="3"/>
    <x v="0"/>
    <x v="3"/>
    <x v="0"/>
    <x v="1"/>
    <x v="12"/>
    <n v="41"/>
    <n v="203155"/>
    <n v="81016"/>
  </r>
  <r>
    <x v="4"/>
    <x v="0"/>
    <x v="4"/>
    <x v="0"/>
    <x v="1"/>
    <x v="12"/>
    <n v="51"/>
    <n v="325227"/>
    <n v="100776"/>
  </r>
  <r>
    <x v="5"/>
    <x v="0"/>
    <x v="5"/>
    <x v="0"/>
    <x v="1"/>
    <x v="12"/>
    <n v="49"/>
    <n v="234024"/>
    <n v="96824"/>
  </r>
  <r>
    <x v="6"/>
    <x v="0"/>
    <x v="6"/>
    <x v="0"/>
    <x v="1"/>
    <x v="12"/>
    <n v="51"/>
    <n v="161415"/>
    <n v="100776"/>
  </r>
  <r>
    <x v="7"/>
    <x v="0"/>
    <x v="7"/>
    <x v="0"/>
    <x v="1"/>
    <x v="12"/>
    <n v="43"/>
    <n v="171312"/>
    <n v="84968"/>
  </r>
  <r>
    <x v="8"/>
    <x v="0"/>
    <x v="8"/>
    <x v="0"/>
    <x v="1"/>
    <x v="12"/>
    <n v="46"/>
    <n v="229034"/>
    <n v="90896"/>
  </r>
  <r>
    <x v="9"/>
    <x v="0"/>
    <x v="9"/>
    <x v="0"/>
    <x v="1"/>
    <x v="12"/>
    <n v="38"/>
    <n v="205580"/>
    <n v="75088"/>
  </r>
  <r>
    <x v="10"/>
    <x v="0"/>
    <x v="10"/>
    <x v="0"/>
    <x v="1"/>
    <x v="12"/>
    <n v="27"/>
    <n v="123039"/>
    <n v="53352"/>
  </r>
  <r>
    <x v="11"/>
    <x v="0"/>
    <x v="11"/>
    <x v="0"/>
    <x v="1"/>
    <x v="12"/>
    <n v="33"/>
    <n v="157608"/>
    <n v="65208"/>
  </r>
  <r>
    <x v="12"/>
    <x v="1"/>
    <x v="12"/>
    <x v="0"/>
    <x v="1"/>
    <x v="12"/>
    <n v="48"/>
    <n v="222336"/>
    <n v="94848"/>
  </r>
  <r>
    <x v="13"/>
    <x v="1"/>
    <x v="13"/>
    <x v="0"/>
    <x v="1"/>
    <x v="12"/>
    <n v="30"/>
    <n v="147390"/>
    <n v="59280"/>
  </r>
  <r>
    <x v="14"/>
    <x v="1"/>
    <x v="14"/>
    <x v="0"/>
    <x v="1"/>
    <x v="12"/>
    <n v="24"/>
    <n v="114816"/>
    <n v="47424"/>
  </r>
  <r>
    <x v="15"/>
    <x v="1"/>
    <x v="15"/>
    <x v="0"/>
    <x v="1"/>
    <x v="12"/>
    <n v="45"/>
    <n v="243495"/>
    <n v="88920"/>
  </r>
  <r>
    <x v="16"/>
    <x v="1"/>
    <x v="16"/>
    <x v="0"/>
    <x v="1"/>
    <x v="12"/>
    <n v="56"/>
    <n v="308784"/>
    <n v="110656"/>
  </r>
  <r>
    <x v="17"/>
    <x v="1"/>
    <x v="17"/>
    <x v="0"/>
    <x v="1"/>
    <x v="12"/>
    <n v="53"/>
    <n v="269611"/>
    <n v="104728"/>
  </r>
  <r>
    <x v="18"/>
    <x v="1"/>
    <x v="18"/>
    <x v="0"/>
    <x v="1"/>
    <x v="12"/>
    <n v="56"/>
    <n v="174048"/>
    <n v="110656"/>
  </r>
  <r>
    <x v="19"/>
    <x v="1"/>
    <x v="19"/>
    <x v="0"/>
    <x v="1"/>
    <x v="12"/>
    <n v="48"/>
    <n v="218400"/>
    <n v="94848"/>
  </r>
  <r>
    <x v="20"/>
    <x v="1"/>
    <x v="20"/>
    <x v="0"/>
    <x v="1"/>
    <x v="12"/>
    <n v="51"/>
    <n v="254286"/>
    <n v="100776"/>
  </r>
  <r>
    <x v="21"/>
    <x v="1"/>
    <x v="21"/>
    <x v="0"/>
    <x v="1"/>
    <x v="12"/>
    <n v="42"/>
    <n v="228774"/>
    <n v="82992"/>
  </r>
  <r>
    <x v="22"/>
    <x v="1"/>
    <x v="22"/>
    <x v="0"/>
    <x v="1"/>
    <x v="12"/>
    <n v="30"/>
    <n v="156360"/>
    <n v="59280"/>
  </r>
  <r>
    <x v="23"/>
    <x v="1"/>
    <x v="23"/>
    <x v="0"/>
    <x v="1"/>
    <x v="12"/>
    <n v="36"/>
    <n v="156996"/>
    <n v="71136"/>
  </r>
  <r>
    <x v="0"/>
    <x v="0"/>
    <x v="0"/>
    <x v="0"/>
    <x v="1"/>
    <x v="13"/>
    <n v="39"/>
    <n v="202800"/>
    <n v="70200"/>
  </r>
  <r>
    <x v="1"/>
    <x v="0"/>
    <x v="1"/>
    <x v="0"/>
    <x v="1"/>
    <x v="13"/>
    <n v="24"/>
    <n v="138120"/>
    <n v="43200"/>
  </r>
  <r>
    <x v="2"/>
    <x v="0"/>
    <x v="2"/>
    <x v="0"/>
    <x v="1"/>
    <x v="13"/>
    <n v="20"/>
    <n v="114420"/>
    <n v="36000"/>
  </r>
  <r>
    <x v="3"/>
    <x v="0"/>
    <x v="3"/>
    <x v="0"/>
    <x v="1"/>
    <x v="13"/>
    <n v="36"/>
    <n v="227016"/>
    <n v="64800"/>
  </r>
  <r>
    <x v="4"/>
    <x v="0"/>
    <x v="4"/>
    <x v="0"/>
    <x v="1"/>
    <x v="13"/>
    <n v="46"/>
    <n v="305348"/>
    <n v="82800"/>
  </r>
  <r>
    <x v="5"/>
    <x v="0"/>
    <x v="5"/>
    <x v="0"/>
    <x v="1"/>
    <x v="13"/>
    <n v="44"/>
    <n v="255024"/>
    <n v="79200"/>
  </r>
  <r>
    <x v="6"/>
    <x v="0"/>
    <x v="6"/>
    <x v="0"/>
    <x v="1"/>
    <x v="13"/>
    <n v="46"/>
    <n v="204102"/>
    <n v="82800"/>
  </r>
  <r>
    <x v="7"/>
    <x v="0"/>
    <x v="7"/>
    <x v="0"/>
    <x v="1"/>
    <x v="13"/>
    <n v="39"/>
    <n v="230841"/>
    <n v="70200"/>
  </r>
  <r>
    <x v="8"/>
    <x v="0"/>
    <x v="8"/>
    <x v="0"/>
    <x v="1"/>
    <x v="13"/>
    <n v="41"/>
    <n v="215537"/>
    <n v="73800"/>
  </r>
  <r>
    <x v="9"/>
    <x v="0"/>
    <x v="9"/>
    <x v="0"/>
    <x v="1"/>
    <x v="13"/>
    <n v="34"/>
    <n v="191726"/>
    <n v="61200"/>
  </r>
  <r>
    <x v="10"/>
    <x v="0"/>
    <x v="10"/>
    <x v="0"/>
    <x v="1"/>
    <x v="13"/>
    <n v="24"/>
    <n v="131856"/>
    <n v="43200"/>
  </r>
  <r>
    <x v="11"/>
    <x v="0"/>
    <x v="11"/>
    <x v="0"/>
    <x v="1"/>
    <x v="13"/>
    <n v="29"/>
    <n v="145783"/>
    <n v="52200"/>
  </r>
  <r>
    <x v="12"/>
    <x v="1"/>
    <x v="12"/>
    <x v="0"/>
    <x v="1"/>
    <x v="13"/>
    <n v="43"/>
    <n v="255807"/>
    <n v="77400"/>
  </r>
  <r>
    <x v="13"/>
    <x v="1"/>
    <x v="13"/>
    <x v="0"/>
    <x v="1"/>
    <x v="13"/>
    <n v="27"/>
    <n v="154386"/>
    <n v="48600"/>
  </r>
  <r>
    <x v="14"/>
    <x v="1"/>
    <x v="14"/>
    <x v="0"/>
    <x v="1"/>
    <x v="13"/>
    <n v="22"/>
    <n v="106458"/>
    <n v="39600"/>
  </r>
  <r>
    <x v="15"/>
    <x v="1"/>
    <x v="15"/>
    <x v="0"/>
    <x v="1"/>
    <x v="13"/>
    <n v="40"/>
    <n v="264040"/>
    <n v="72000"/>
  </r>
  <r>
    <x v="16"/>
    <x v="1"/>
    <x v="16"/>
    <x v="0"/>
    <x v="1"/>
    <x v="13"/>
    <n v="51"/>
    <n v="306255"/>
    <n v="91800"/>
  </r>
  <r>
    <x v="17"/>
    <x v="1"/>
    <x v="17"/>
    <x v="0"/>
    <x v="1"/>
    <x v="13"/>
    <n v="48"/>
    <n v="282672"/>
    <n v="86400"/>
  </r>
  <r>
    <x v="18"/>
    <x v="1"/>
    <x v="18"/>
    <x v="0"/>
    <x v="1"/>
    <x v="13"/>
    <n v="51"/>
    <n v="206193"/>
    <n v="91800"/>
  </r>
  <r>
    <x v="19"/>
    <x v="1"/>
    <x v="19"/>
    <x v="0"/>
    <x v="1"/>
    <x v="13"/>
    <n v="43"/>
    <n v="222869"/>
    <n v="77400"/>
  </r>
  <r>
    <x v="20"/>
    <x v="1"/>
    <x v="20"/>
    <x v="0"/>
    <x v="1"/>
    <x v="13"/>
    <n v="45"/>
    <n v="232425"/>
    <n v="81000"/>
  </r>
  <r>
    <x v="21"/>
    <x v="1"/>
    <x v="21"/>
    <x v="0"/>
    <x v="1"/>
    <x v="13"/>
    <n v="37"/>
    <n v="212713"/>
    <n v="66600"/>
  </r>
  <r>
    <x v="22"/>
    <x v="1"/>
    <x v="22"/>
    <x v="0"/>
    <x v="1"/>
    <x v="13"/>
    <n v="27"/>
    <n v="140265"/>
    <n v="48600"/>
  </r>
  <r>
    <x v="23"/>
    <x v="1"/>
    <x v="23"/>
    <x v="0"/>
    <x v="1"/>
    <x v="13"/>
    <n v="32"/>
    <n v="153728"/>
    <n v="57600"/>
  </r>
  <r>
    <x v="0"/>
    <x v="0"/>
    <x v="0"/>
    <x v="0"/>
    <x v="2"/>
    <x v="14"/>
    <n v="26"/>
    <n v="944580"/>
    <n v="536900"/>
  </r>
  <r>
    <x v="1"/>
    <x v="0"/>
    <x v="1"/>
    <x v="0"/>
    <x v="2"/>
    <x v="14"/>
    <n v="17"/>
    <n v="629510"/>
    <n v="351050"/>
  </r>
  <r>
    <x v="2"/>
    <x v="0"/>
    <x v="2"/>
    <x v="0"/>
    <x v="2"/>
    <x v="14"/>
    <n v="13"/>
    <n v="466375"/>
    <n v="268450"/>
  </r>
  <r>
    <x v="3"/>
    <x v="0"/>
    <x v="3"/>
    <x v="0"/>
    <x v="2"/>
    <x v="14"/>
    <n v="25"/>
    <n v="921150"/>
    <n v="516250"/>
  </r>
  <r>
    <x v="4"/>
    <x v="0"/>
    <x v="4"/>
    <x v="0"/>
    <x v="2"/>
    <x v="14"/>
    <n v="31"/>
    <n v="1141637"/>
    <n v="640150"/>
  </r>
  <r>
    <x v="5"/>
    <x v="0"/>
    <x v="5"/>
    <x v="0"/>
    <x v="2"/>
    <x v="14"/>
    <n v="29"/>
    <n v="1064561"/>
    <n v="598850"/>
  </r>
  <r>
    <x v="6"/>
    <x v="0"/>
    <x v="6"/>
    <x v="0"/>
    <x v="2"/>
    <x v="14"/>
    <n v="31"/>
    <n v="1071143"/>
    <n v="640150"/>
  </r>
  <r>
    <x v="7"/>
    <x v="0"/>
    <x v="7"/>
    <x v="0"/>
    <x v="2"/>
    <x v="14"/>
    <n v="26"/>
    <n v="930826"/>
    <n v="536900"/>
  </r>
  <r>
    <x v="8"/>
    <x v="0"/>
    <x v="8"/>
    <x v="0"/>
    <x v="2"/>
    <x v="14"/>
    <n v="28"/>
    <n v="1016736"/>
    <n v="578200"/>
  </r>
  <r>
    <x v="9"/>
    <x v="0"/>
    <x v="9"/>
    <x v="0"/>
    <x v="2"/>
    <x v="14"/>
    <n v="23"/>
    <n v="830461"/>
    <n v="474950"/>
  </r>
  <r>
    <x v="10"/>
    <x v="0"/>
    <x v="10"/>
    <x v="0"/>
    <x v="2"/>
    <x v="14"/>
    <n v="17"/>
    <n v="620024"/>
    <n v="351050"/>
  </r>
  <r>
    <x v="11"/>
    <x v="0"/>
    <x v="11"/>
    <x v="0"/>
    <x v="2"/>
    <x v="14"/>
    <n v="20"/>
    <n v="703220"/>
    <n v="413000"/>
  </r>
  <r>
    <x v="12"/>
    <x v="1"/>
    <x v="12"/>
    <x v="0"/>
    <x v="2"/>
    <x v="14"/>
    <n v="29"/>
    <n v="1043942"/>
    <n v="598850"/>
  </r>
  <r>
    <x v="13"/>
    <x v="1"/>
    <x v="13"/>
    <x v="0"/>
    <x v="2"/>
    <x v="14"/>
    <n v="18"/>
    <n v="653112"/>
    <n v="371700"/>
  </r>
  <r>
    <x v="14"/>
    <x v="1"/>
    <x v="14"/>
    <x v="0"/>
    <x v="2"/>
    <x v="14"/>
    <n v="15"/>
    <n v="537870"/>
    <n v="309750"/>
  </r>
  <r>
    <x v="15"/>
    <x v="1"/>
    <x v="15"/>
    <x v="0"/>
    <x v="2"/>
    <x v="14"/>
    <n v="27"/>
    <n v="990657"/>
    <n v="557550"/>
  </r>
  <r>
    <x v="16"/>
    <x v="1"/>
    <x v="16"/>
    <x v="0"/>
    <x v="2"/>
    <x v="14"/>
    <n v="34"/>
    <n v="1250860"/>
    <n v="702100"/>
  </r>
  <r>
    <x v="17"/>
    <x v="1"/>
    <x v="17"/>
    <x v="0"/>
    <x v="2"/>
    <x v="14"/>
    <n v="32"/>
    <n v="1147520"/>
    <n v="660800"/>
  </r>
  <r>
    <x v="18"/>
    <x v="1"/>
    <x v="18"/>
    <x v="0"/>
    <x v="2"/>
    <x v="14"/>
    <n v="34"/>
    <n v="1170518"/>
    <n v="702100"/>
  </r>
  <r>
    <x v="19"/>
    <x v="1"/>
    <x v="19"/>
    <x v="0"/>
    <x v="2"/>
    <x v="14"/>
    <n v="29"/>
    <n v="1050873"/>
    <n v="598850"/>
  </r>
  <r>
    <x v="20"/>
    <x v="1"/>
    <x v="20"/>
    <x v="0"/>
    <x v="2"/>
    <x v="14"/>
    <n v="31"/>
    <n v="1114233"/>
    <n v="640150"/>
  </r>
  <r>
    <x v="21"/>
    <x v="1"/>
    <x v="21"/>
    <x v="0"/>
    <x v="2"/>
    <x v="14"/>
    <n v="25"/>
    <n v="910775"/>
    <n v="516250"/>
  </r>
  <r>
    <x v="22"/>
    <x v="1"/>
    <x v="22"/>
    <x v="0"/>
    <x v="2"/>
    <x v="14"/>
    <n v="18"/>
    <n v="649080"/>
    <n v="371700"/>
  </r>
  <r>
    <x v="23"/>
    <x v="1"/>
    <x v="23"/>
    <x v="0"/>
    <x v="2"/>
    <x v="14"/>
    <n v="22"/>
    <n v="782188"/>
    <n v="454300"/>
  </r>
  <r>
    <x v="0"/>
    <x v="0"/>
    <x v="0"/>
    <x v="0"/>
    <x v="2"/>
    <x v="15"/>
    <n v="21"/>
    <n v="689598"/>
    <n v="329280"/>
  </r>
  <r>
    <x v="1"/>
    <x v="0"/>
    <x v="1"/>
    <x v="0"/>
    <x v="2"/>
    <x v="15"/>
    <n v="13"/>
    <n v="434070"/>
    <n v="203840"/>
  </r>
  <r>
    <x v="2"/>
    <x v="0"/>
    <x v="2"/>
    <x v="0"/>
    <x v="2"/>
    <x v="15"/>
    <n v="11"/>
    <n v="362868"/>
    <n v="172480"/>
  </r>
  <r>
    <x v="3"/>
    <x v="0"/>
    <x v="3"/>
    <x v="0"/>
    <x v="2"/>
    <x v="15"/>
    <n v="20"/>
    <n v="678660"/>
    <n v="313600"/>
  </r>
  <r>
    <x v="4"/>
    <x v="0"/>
    <x v="4"/>
    <x v="0"/>
    <x v="2"/>
    <x v="15"/>
    <n v="25"/>
    <n v="843400"/>
    <n v="392000"/>
  </r>
  <r>
    <x v="5"/>
    <x v="0"/>
    <x v="5"/>
    <x v="0"/>
    <x v="2"/>
    <x v="15"/>
    <n v="24"/>
    <n v="808008"/>
    <n v="376320"/>
  </r>
  <r>
    <x v="6"/>
    <x v="0"/>
    <x v="6"/>
    <x v="0"/>
    <x v="2"/>
    <x v="15"/>
    <n v="25"/>
    <n v="808150"/>
    <n v="392000"/>
  </r>
  <r>
    <x v="7"/>
    <x v="0"/>
    <x v="7"/>
    <x v="0"/>
    <x v="2"/>
    <x v="15"/>
    <n v="21"/>
    <n v="683613"/>
    <n v="329280"/>
  </r>
  <r>
    <x v="8"/>
    <x v="0"/>
    <x v="8"/>
    <x v="0"/>
    <x v="2"/>
    <x v="15"/>
    <n v="22"/>
    <n v="712206"/>
    <n v="344960"/>
  </r>
  <r>
    <x v="9"/>
    <x v="0"/>
    <x v="9"/>
    <x v="0"/>
    <x v="2"/>
    <x v="15"/>
    <n v="19"/>
    <n v="637260"/>
    <n v="297920"/>
  </r>
  <r>
    <x v="10"/>
    <x v="0"/>
    <x v="10"/>
    <x v="0"/>
    <x v="2"/>
    <x v="15"/>
    <n v="13"/>
    <n v="431717"/>
    <n v="203840"/>
  </r>
  <r>
    <x v="11"/>
    <x v="0"/>
    <x v="11"/>
    <x v="0"/>
    <x v="2"/>
    <x v="15"/>
    <n v="16"/>
    <n v="524672"/>
    <n v="250880"/>
  </r>
  <r>
    <x v="12"/>
    <x v="1"/>
    <x v="12"/>
    <x v="0"/>
    <x v="2"/>
    <x v="15"/>
    <n v="23"/>
    <n v="752606"/>
    <n v="360640"/>
  </r>
  <r>
    <x v="13"/>
    <x v="1"/>
    <x v="13"/>
    <x v="0"/>
    <x v="2"/>
    <x v="15"/>
    <n v="15"/>
    <n v="510765"/>
    <n v="235200"/>
  </r>
  <r>
    <x v="14"/>
    <x v="1"/>
    <x v="14"/>
    <x v="0"/>
    <x v="2"/>
    <x v="15"/>
    <n v="12"/>
    <n v="397752"/>
    <n v="188160"/>
  </r>
  <r>
    <x v="15"/>
    <x v="1"/>
    <x v="15"/>
    <x v="0"/>
    <x v="2"/>
    <x v="15"/>
    <n v="22"/>
    <n v="754622"/>
    <n v="344960"/>
  </r>
  <r>
    <x v="16"/>
    <x v="1"/>
    <x v="16"/>
    <x v="0"/>
    <x v="2"/>
    <x v="15"/>
    <n v="27"/>
    <n v="909846"/>
    <n v="423360"/>
  </r>
  <r>
    <x v="17"/>
    <x v="1"/>
    <x v="17"/>
    <x v="0"/>
    <x v="2"/>
    <x v="15"/>
    <n v="26"/>
    <n v="874666"/>
    <n v="407680"/>
  </r>
  <r>
    <x v="18"/>
    <x v="1"/>
    <x v="18"/>
    <x v="0"/>
    <x v="2"/>
    <x v="15"/>
    <n v="27"/>
    <n v="850554"/>
    <n v="423360"/>
  </r>
  <r>
    <x v="19"/>
    <x v="1"/>
    <x v="19"/>
    <x v="0"/>
    <x v="2"/>
    <x v="15"/>
    <n v="23"/>
    <n v="741336"/>
    <n v="360640"/>
  </r>
  <r>
    <x v="20"/>
    <x v="1"/>
    <x v="20"/>
    <x v="0"/>
    <x v="2"/>
    <x v="15"/>
    <n v="25"/>
    <n v="834500"/>
    <n v="392000"/>
  </r>
  <r>
    <x v="21"/>
    <x v="1"/>
    <x v="21"/>
    <x v="0"/>
    <x v="2"/>
    <x v="15"/>
    <n v="20"/>
    <n v="658080"/>
    <n v="313600"/>
  </r>
  <r>
    <x v="22"/>
    <x v="1"/>
    <x v="22"/>
    <x v="0"/>
    <x v="2"/>
    <x v="15"/>
    <n v="15"/>
    <n v="499800"/>
    <n v="235200"/>
  </r>
  <r>
    <x v="23"/>
    <x v="1"/>
    <x v="23"/>
    <x v="0"/>
    <x v="2"/>
    <x v="15"/>
    <n v="18"/>
    <n v="587916"/>
    <n v="282240"/>
  </r>
  <r>
    <x v="0"/>
    <x v="0"/>
    <x v="0"/>
    <x v="0"/>
    <x v="2"/>
    <x v="16"/>
    <n v="24"/>
    <n v="1031256"/>
    <n v="433440"/>
  </r>
  <r>
    <x v="1"/>
    <x v="0"/>
    <x v="1"/>
    <x v="0"/>
    <x v="2"/>
    <x v="16"/>
    <n v="15"/>
    <n v="656550"/>
    <n v="270900"/>
  </r>
  <r>
    <x v="2"/>
    <x v="0"/>
    <x v="2"/>
    <x v="0"/>
    <x v="2"/>
    <x v="16"/>
    <n v="12"/>
    <n v="516312"/>
    <n v="216720"/>
  </r>
  <r>
    <x v="3"/>
    <x v="0"/>
    <x v="3"/>
    <x v="0"/>
    <x v="2"/>
    <x v="16"/>
    <n v="22"/>
    <n v="953964"/>
    <n v="397320"/>
  </r>
  <r>
    <x v="4"/>
    <x v="0"/>
    <x v="4"/>
    <x v="0"/>
    <x v="2"/>
    <x v="16"/>
    <n v="28"/>
    <n v="1219568"/>
    <n v="505680"/>
  </r>
  <r>
    <x v="5"/>
    <x v="0"/>
    <x v="5"/>
    <x v="0"/>
    <x v="2"/>
    <x v="16"/>
    <n v="26"/>
    <n v="1124474"/>
    <n v="469560"/>
  </r>
  <r>
    <x v="6"/>
    <x v="0"/>
    <x v="6"/>
    <x v="0"/>
    <x v="2"/>
    <x v="16"/>
    <n v="28"/>
    <n v="1173956"/>
    <n v="505680"/>
  </r>
  <r>
    <x v="7"/>
    <x v="0"/>
    <x v="7"/>
    <x v="0"/>
    <x v="2"/>
    <x v="16"/>
    <n v="24"/>
    <n v="1026840"/>
    <n v="433440"/>
  </r>
  <r>
    <x v="8"/>
    <x v="0"/>
    <x v="8"/>
    <x v="0"/>
    <x v="2"/>
    <x v="16"/>
    <n v="25"/>
    <n v="1068900"/>
    <n v="451500"/>
  </r>
  <r>
    <x v="9"/>
    <x v="0"/>
    <x v="9"/>
    <x v="0"/>
    <x v="2"/>
    <x v="16"/>
    <n v="21"/>
    <n v="917721"/>
    <n v="379260"/>
  </r>
  <r>
    <x v="10"/>
    <x v="0"/>
    <x v="10"/>
    <x v="0"/>
    <x v="2"/>
    <x v="16"/>
    <n v="15"/>
    <n v="655605"/>
    <n v="270900"/>
  </r>
  <r>
    <x v="11"/>
    <x v="0"/>
    <x v="11"/>
    <x v="0"/>
    <x v="2"/>
    <x v="16"/>
    <n v="18"/>
    <n v="774864"/>
    <n v="325080"/>
  </r>
  <r>
    <x v="12"/>
    <x v="1"/>
    <x v="12"/>
    <x v="0"/>
    <x v="2"/>
    <x v="16"/>
    <n v="26"/>
    <n v="1123226"/>
    <n v="469560"/>
  </r>
  <r>
    <x v="13"/>
    <x v="1"/>
    <x v="13"/>
    <x v="0"/>
    <x v="2"/>
    <x v="16"/>
    <n v="16"/>
    <n v="690000"/>
    <n v="288960"/>
  </r>
  <r>
    <x v="14"/>
    <x v="1"/>
    <x v="14"/>
    <x v="0"/>
    <x v="2"/>
    <x v="16"/>
    <n v="13"/>
    <n v="555724"/>
    <n v="234780"/>
  </r>
  <r>
    <x v="15"/>
    <x v="1"/>
    <x v="15"/>
    <x v="0"/>
    <x v="2"/>
    <x v="16"/>
    <n v="24"/>
    <n v="1056984"/>
    <n v="433440"/>
  </r>
  <r>
    <x v="16"/>
    <x v="1"/>
    <x v="16"/>
    <x v="0"/>
    <x v="2"/>
    <x v="16"/>
    <n v="31"/>
    <n v="1371750"/>
    <n v="559860"/>
  </r>
  <r>
    <x v="17"/>
    <x v="1"/>
    <x v="17"/>
    <x v="0"/>
    <x v="2"/>
    <x v="16"/>
    <n v="29"/>
    <n v="1248276"/>
    <n v="523740"/>
  </r>
  <r>
    <x v="18"/>
    <x v="1"/>
    <x v="18"/>
    <x v="0"/>
    <x v="2"/>
    <x v="16"/>
    <n v="31"/>
    <n v="1310649"/>
    <n v="559860"/>
  </r>
  <r>
    <x v="19"/>
    <x v="1"/>
    <x v="19"/>
    <x v="0"/>
    <x v="2"/>
    <x v="16"/>
    <n v="26"/>
    <n v="1107886"/>
    <n v="469560"/>
  </r>
  <r>
    <x v="20"/>
    <x v="1"/>
    <x v="20"/>
    <x v="0"/>
    <x v="2"/>
    <x v="16"/>
    <n v="27"/>
    <n v="1167939"/>
    <n v="487620"/>
  </r>
  <r>
    <x v="21"/>
    <x v="1"/>
    <x v="21"/>
    <x v="0"/>
    <x v="2"/>
    <x v="16"/>
    <n v="23"/>
    <n v="990610"/>
    <n v="415380"/>
  </r>
  <r>
    <x v="22"/>
    <x v="1"/>
    <x v="22"/>
    <x v="0"/>
    <x v="2"/>
    <x v="16"/>
    <n v="16"/>
    <n v="691552"/>
    <n v="288960"/>
  </r>
  <r>
    <x v="23"/>
    <x v="1"/>
    <x v="23"/>
    <x v="0"/>
    <x v="2"/>
    <x v="16"/>
    <n v="20"/>
    <n v="855180"/>
    <n v="361200"/>
  </r>
  <r>
    <x v="0"/>
    <x v="0"/>
    <x v="0"/>
    <x v="0"/>
    <x v="2"/>
    <x v="17"/>
    <n v="21"/>
    <n v="616287"/>
    <n v="235200"/>
  </r>
  <r>
    <x v="1"/>
    <x v="0"/>
    <x v="1"/>
    <x v="0"/>
    <x v="2"/>
    <x v="17"/>
    <n v="14"/>
    <n v="407288"/>
    <n v="156800"/>
  </r>
  <r>
    <x v="2"/>
    <x v="0"/>
    <x v="2"/>
    <x v="0"/>
    <x v="2"/>
    <x v="17"/>
    <n v="11"/>
    <n v="318527"/>
    <n v="123200"/>
  </r>
  <r>
    <x v="3"/>
    <x v="0"/>
    <x v="3"/>
    <x v="0"/>
    <x v="2"/>
    <x v="17"/>
    <n v="20"/>
    <n v="595880"/>
    <n v="224000"/>
  </r>
  <r>
    <x v="4"/>
    <x v="0"/>
    <x v="4"/>
    <x v="0"/>
    <x v="2"/>
    <x v="17"/>
    <n v="25"/>
    <n v="756800"/>
    <n v="280000"/>
  </r>
  <r>
    <x v="5"/>
    <x v="0"/>
    <x v="5"/>
    <x v="0"/>
    <x v="2"/>
    <x v="17"/>
    <n v="24"/>
    <n v="695184"/>
    <n v="268800"/>
  </r>
  <r>
    <x v="6"/>
    <x v="0"/>
    <x v="6"/>
    <x v="0"/>
    <x v="2"/>
    <x v="17"/>
    <n v="25"/>
    <n v="697950"/>
    <n v="280000"/>
  </r>
  <r>
    <x v="7"/>
    <x v="0"/>
    <x v="7"/>
    <x v="0"/>
    <x v="2"/>
    <x v="17"/>
    <n v="21"/>
    <n v="597219"/>
    <n v="235200"/>
  </r>
  <r>
    <x v="8"/>
    <x v="0"/>
    <x v="8"/>
    <x v="0"/>
    <x v="2"/>
    <x v="17"/>
    <n v="23"/>
    <n v="658214"/>
    <n v="257600"/>
  </r>
  <r>
    <x v="9"/>
    <x v="0"/>
    <x v="9"/>
    <x v="0"/>
    <x v="2"/>
    <x v="17"/>
    <n v="19"/>
    <n v="550221"/>
    <n v="212800"/>
  </r>
  <r>
    <x v="10"/>
    <x v="0"/>
    <x v="10"/>
    <x v="0"/>
    <x v="2"/>
    <x v="17"/>
    <n v="14"/>
    <n v="412314"/>
    <n v="156800"/>
  </r>
  <r>
    <x v="11"/>
    <x v="0"/>
    <x v="11"/>
    <x v="0"/>
    <x v="2"/>
    <x v="17"/>
    <n v="16"/>
    <n v="469024"/>
    <n v="179200"/>
  </r>
  <r>
    <x v="12"/>
    <x v="1"/>
    <x v="12"/>
    <x v="0"/>
    <x v="2"/>
    <x v="17"/>
    <n v="23"/>
    <n v="668725"/>
    <n v="257600"/>
  </r>
  <r>
    <x v="13"/>
    <x v="1"/>
    <x v="13"/>
    <x v="0"/>
    <x v="2"/>
    <x v="17"/>
    <n v="15"/>
    <n v="435435"/>
    <n v="168000"/>
  </r>
  <r>
    <x v="14"/>
    <x v="1"/>
    <x v="14"/>
    <x v="0"/>
    <x v="2"/>
    <x v="17"/>
    <n v="12"/>
    <n v="347760"/>
    <n v="134400"/>
  </r>
  <r>
    <x v="15"/>
    <x v="1"/>
    <x v="15"/>
    <x v="0"/>
    <x v="2"/>
    <x v="17"/>
    <n v="22"/>
    <n v="662310"/>
    <n v="246400"/>
  </r>
  <r>
    <x v="16"/>
    <x v="1"/>
    <x v="16"/>
    <x v="0"/>
    <x v="2"/>
    <x v="17"/>
    <n v="28"/>
    <n v="837172"/>
    <n v="313600"/>
  </r>
  <r>
    <x v="17"/>
    <x v="1"/>
    <x v="17"/>
    <x v="0"/>
    <x v="2"/>
    <x v="17"/>
    <n v="26"/>
    <n v="755352"/>
    <n v="291200"/>
  </r>
  <r>
    <x v="18"/>
    <x v="1"/>
    <x v="18"/>
    <x v="0"/>
    <x v="2"/>
    <x v="17"/>
    <n v="28"/>
    <n v="775292"/>
    <n v="313600"/>
  </r>
  <r>
    <x v="19"/>
    <x v="1"/>
    <x v="19"/>
    <x v="0"/>
    <x v="2"/>
    <x v="17"/>
    <n v="23"/>
    <n v="661894"/>
    <n v="257600"/>
  </r>
  <r>
    <x v="20"/>
    <x v="1"/>
    <x v="20"/>
    <x v="0"/>
    <x v="2"/>
    <x v="17"/>
    <n v="25"/>
    <n v="729650"/>
    <n v="280000"/>
  </r>
  <r>
    <x v="21"/>
    <x v="1"/>
    <x v="21"/>
    <x v="0"/>
    <x v="2"/>
    <x v="17"/>
    <n v="21"/>
    <n v="617421"/>
    <n v="235200"/>
  </r>
  <r>
    <x v="22"/>
    <x v="1"/>
    <x v="22"/>
    <x v="0"/>
    <x v="2"/>
    <x v="17"/>
    <n v="15"/>
    <n v="440730"/>
    <n v="168000"/>
  </r>
  <r>
    <x v="23"/>
    <x v="1"/>
    <x v="23"/>
    <x v="0"/>
    <x v="2"/>
    <x v="17"/>
    <n v="18"/>
    <n v="504936"/>
    <n v="201600"/>
  </r>
  <r>
    <x v="0"/>
    <x v="0"/>
    <x v="0"/>
    <x v="0"/>
    <x v="2"/>
    <x v="18"/>
    <n v="27"/>
    <n v="1250424"/>
    <n v="680400.00000000012"/>
  </r>
  <r>
    <x v="1"/>
    <x v="0"/>
    <x v="1"/>
    <x v="0"/>
    <x v="2"/>
    <x v="18"/>
    <n v="17"/>
    <n v="791350"/>
    <n v="428400.00000000006"/>
  </r>
  <r>
    <x v="2"/>
    <x v="0"/>
    <x v="2"/>
    <x v="0"/>
    <x v="2"/>
    <x v="18"/>
    <n v="14"/>
    <n v="641466"/>
    <n v="352800.00000000006"/>
  </r>
  <r>
    <x v="3"/>
    <x v="0"/>
    <x v="3"/>
    <x v="0"/>
    <x v="2"/>
    <x v="18"/>
    <n v="25"/>
    <n v="1170150"/>
    <n v="630000.00000000012"/>
  </r>
  <r>
    <x v="4"/>
    <x v="0"/>
    <x v="4"/>
    <x v="0"/>
    <x v="2"/>
    <x v="18"/>
    <n v="32"/>
    <n v="1505568"/>
    <n v="806400.00000000012"/>
  </r>
  <r>
    <x v="5"/>
    <x v="0"/>
    <x v="5"/>
    <x v="0"/>
    <x v="2"/>
    <x v="18"/>
    <n v="30"/>
    <n v="1381290"/>
    <n v="756000.00000000012"/>
  </r>
  <r>
    <x v="6"/>
    <x v="0"/>
    <x v="6"/>
    <x v="0"/>
    <x v="2"/>
    <x v="18"/>
    <n v="32"/>
    <n v="1418464"/>
    <n v="806400.00000000012"/>
  </r>
  <r>
    <x v="7"/>
    <x v="0"/>
    <x v="7"/>
    <x v="0"/>
    <x v="2"/>
    <x v="18"/>
    <n v="27"/>
    <n v="1233927"/>
    <n v="680400.00000000012"/>
  </r>
  <r>
    <x v="8"/>
    <x v="0"/>
    <x v="8"/>
    <x v="0"/>
    <x v="2"/>
    <x v="18"/>
    <n v="29"/>
    <n v="1322458"/>
    <n v="730800.00000000012"/>
  </r>
  <r>
    <x v="9"/>
    <x v="0"/>
    <x v="9"/>
    <x v="0"/>
    <x v="2"/>
    <x v="18"/>
    <n v="24"/>
    <n v="1119144"/>
    <n v="604800.00000000012"/>
  </r>
  <r>
    <x v="10"/>
    <x v="0"/>
    <x v="10"/>
    <x v="0"/>
    <x v="2"/>
    <x v="18"/>
    <n v="17"/>
    <n v="791367"/>
    <n v="428400.00000000006"/>
  </r>
  <r>
    <x v="11"/>
    <x v="0"/>
    <x v="11"/>
    <x v="0"/>
    <x v="2"/>
    <x v="18"/>
    <n v="20"/>
    <n v="909260"/>
    <n v="504000.00000000006"/>
  </r>
  <r>
    <x v="12"/>
    <x v="1"/>
    <x v="12"/>
    <x v="0"/>
    <x v="2"/>
    <x v="18"/>
    <n v="30"/>
    <n v="1405110"/>
    <n v="756000.00000000012"/>
  </r>
  <r>
    <x v="13"/>
    <x v="1"/>
    <x v="13"/>
    <x v="0"/>
    <x v="2"/>
    <x v="18"/>
    <n v="19"/>
    <n v="883766"/>
    <n v="478800.00000000006"/>
  </r>
  <r>
    <x v="14"/>
    <x v="1"/>
    <x v="14"/>
    <x v="0"/>
    <x v="2"/>
    <x v="18"/>
    <n v="15"/>
    <n v="684060"/>
    <n v="378000.00000000006"/>
  </r>
  <r>
    <x v="15"/>
    <x v="1"/>
    <x v="15"/>
    <x v="0"/>
    <x v="2"/>
    <x v="18"/>
    <n v="28"/>
    <n v="1304408"/>
    <n v="705600.00000000012"/>
  </r>
  <r>
    <x v="16"/>
    <x v="1"/>
    <x v="16"/>
    <x v="0"/>
    <x v="2"/>
    <x v="18"/>
    <n v="35"/>
    <n v="1630370"/>
    <n v="882000.00000000012"/>
  </r>
  <r>
    <x v="17"/>
    <x v="1"/>
    <x v="17"/>
    <x v="0"/>
    <x v="2"/>
    <x v="18"/>
    <n v="33"/>
    <n v="1534698"/>
    <n v="831600.00000000012"/>
  </r>
  <r>
    <x v="18"/>
    <x v="1"/>
    <x v="18"/>
    <x v="0"/>
    <x v="2"/>
    <x v="18"/>
    <n v="35"/>
    <n v="1563170"/>
    <n v="882000.00000000012"/>
  </r>
  <r>
    <x v="19"/>
    <x v="1"/>
    <x v="19"/>
    <x v="0"/>
    <x v="2"/>
    <x v="18"/>
    <n v="30"/>
    <n v="1366050"/>
    <n v="756000.00000000012"/>
  </r>
  <r>
    <x v="20"/>
    <x v="1"/>
    <x v="20"/>
    <x v="0"/>
    <x v="2"/>
    <x v="18"/>
    <n v="31"/>
    <n v="1436757"/>
    <n v="781200.00000000012"/>
  </r>
  <r>
    <x v="21"/>
    <x v="1"/>
    <x v="21"/>
    <x v="0"/>
    <x v="2"/>
    <x v="18"/>
    <n v="26"/>
    <n v="1213108"/>
    <n v="655200.00000000012"/>
  </r>
  <r>
    <x v="22"/>
    <x v="1"/>
    <x v="22"/>
    <x v="0"/>
    <x v="2"/>
    <x v="18"/>
    <n v="19"/>
    <n v="873392"/>
    <n v="478800.00000000006"/>
  </r>
  <r>
    <x v="23"/>
    <x v="1"/>
    <x v="23"/>
    <x v="0"/>
    <x v="2"/>
    <x v="18"/>
    <n v="22"/>
    <n v="1002958"/>
    <n v="554400.00000000012"/>
  </r>
  <r>
    <x v="0"/>
    <x v="0"/>
    <x v="0"/>
    <x v="0"/>
    <x v="2"/>
    <x v="19"/>
    <n v="27"/>
    <n v="489969"/>
    <n v="257040"/>
  </r>
  <r>
    <x v="1"/>
    <x v="0"/>
    <x v="1"/>
    <x v="0"/>
    <x v="2"/>
    <x v="19"/>
    <n v="17"/>
    <n v="308550"/>
    <n v="161840"/>
  </r>
  <r>
    <x v="2"/>
    <x v="0"/>
    <x v="2"/>
    <x v="0"/>
    <x v="2"/>
    <x v="19"/>
    <n v="14"/>
    <n v="253652"/>
    <n v="133280"/>
  </r>
  <r>
    <x v="3"/>
    <x v="0"/>
    <x v="3"/>
    <x v="0"/>
    <x v="2"/>
    <x v="19"/>
    <n v="25"/>
    <n v="457325"/>
    <n v="238000"/>
  </r>
  <r>
    <x v="4"/>
    <x v="0"/>
    <x v="4"/>
    <x v="0"/>
    <x v="2"/>
    <x v="19"/>
    <n v="32"/>
    <n v="586240"/>
    <n v="304640"/>
  </r>
  <r>
    <x v="5"/>
    <x v="0"/>
    <x v="5"/>
    <x v="0"/>
    <x v="2"/>
    <x v="19"/>
    <n v="30"/>
    <n v="533100"/>
    <n v="285600"/>
  </r>
  <r>
    <x v="6"/>
    <x v="0"/>
    <x v="6"/>
    <x v="0"/>
    <x v="2"/>
    <x v="19"/>
    <n v="32"/>
    <n v="538656"/>
    <n v="304640"/>
  </r>
  <r>
    <x v="7"/>
    <x v="0"/>
    <x v="7"/>
    <x v="0"/>
    <x v="2"/>
    <x v="19"/>
    <n v="27"/>
    <n v="479493"/>
    <n v="257040"/>
  </r>
  <r>
    <x v="8"/>
    <x v="0"/>
    <x v="8"/>
    <x v="0"/>
    <x v="2"/>
    <x v="19"/>
    <n v="29"/>
    <n v="528496"/>
    <n v="276080"/>
  </r>
  <r>
    <x v="9"/>
    <x v="0"/>
    <x v="9"/>
    <x v="0"/>
    <x v="2"/>
    <x v="19"/>
    <n v="24"/>
    <n v="446112"/>
    <n v="228480"/>
  </r>
  <r>
    <x v="10"/>
    <x v="0"/>
    <x v="10"/>
    <x v="0"/>
    <x v="2"/>
    <x v="19"/>
    <n v="17"/>
    <n v="307972"/>
    <n v="161840"/>
  </r>
  <r>
    <x v="11"/>
    <x v="0"/>
    <x v="11"/>
    <x v="0"/>
    <x v="2"/>
    <x v="19"/>
    <n v="20"/>
    <n v="348000"/>
    <n v="190400"/>
  </r>
  <r>
    <x v="12"/>
    <x v="1"/>
    <x v="12"/>
    <x v="0"/>
    <x v="2"/>
    <x v="19"/>
    <n v="30"/>
    <n v="526680"/>
    <n v="285600"/>
  </r>
  <r>
    <x v="13"/>
    <x v="1"/>
    <x v="13"/>
    <x v="0"/>
    <x v="2"/>
    <x v="19"/>
    <n v="19"/>
    <n v="343197"/>
    <n v="180880"/>
  </r>
  <r>
    <x v="14"/>
    <x v="1"/>
    <x v="14"/>
    <x v="0"/>
    <x v="2"/>
    <x v="19"/>
    <n v="15"/>
    <n v="260820"/>
    <n v="142800"/>
  </r>
  <r>
    <x v="15"/>
    <x v="1"/>
    <x v="15"/>
    <x v="0"/>
    <x v="2"/>
    <x v="19"/>
    <n v="28"/>
    <n v="518392"/>
    <n v="266560"/>
  </r>
  <r>
    <x v="16"/>
    <x v="1"/>
    <x v="16"/>
    <x v="0"/>
    <x v="2"/>
    <x v="19"/>
    <n v="35"/>
    <n v="651525"/>
    <n v="333200"/>
  </r>
  <r>
    <x v="17"/>
    <x v="1"/>
    <x v="17"/>
    <x v="0"/>
    <x v="2"/>
    <x v="19"/>
    <n v="33"/>
    <n v="608652"/>
    <n v="314160"/>
  </r>
  <r>
    <x v="18"/>
    <x v="1"/>
    <x v="18"/>
    <x v="0"/>
    <x v="2"/>
    <x v="19"/>
    <n v="35"/>
    <n v="584360"/>
    <n v="333200"/>
  </r>
  <r>
    <x v="19"/>
    <x v="1"/>
    <x v="19"/>
    <x v="0"/>
    <x v="2"/>
    <x v="19"/>
    <n v="30"/>
    <n v="527310"/>
    <n v="285600"/>
  </r>
  <r>
    <x v="20"/>
    <x v="1"/>
    <x v="20"/>
    <x v="0"/>
    <x v="2"/>
    <x v="19"/>
    <n v="31"/>
    <n v="572446"/>
    <n v="295120"/>
  </r>
  <r>
    <x v="21"/>
    <x v="1"/>
    <x v="21"/>
    <x v="0"/>
    <x v="2"/>
    <x v="19"/>
    <n v="26"/>
    <n v="480584"/>
    <n v="247520"/>
  </r>
  <r>
    <x v="22"/>
    <x v="1"/>
    <x v="22"/>
    <x v="0"/>
    <x v="2"/>
    <x v="19"/>
    <n v="19"/>
    <n v="351063"/>
    <n v="180880"/>
  </r>
  <r>
    <x v="23"/>
    <x v="1"/>
    <x v="23"/>
    <x v="0"/>
    <x v="2"/>
    <x v="19"/>
    <n v="22"/>
    <n v="384736"/>
    <n v="209440"/>
  </r>
  <r>
    <x v="0"/>
    <x v="0"/>
    <x v="0"/>
    <x v="0"/>
    <x v="2"/>
    <x v="20"/>
    <n v="22"/>
    <n v="875842"/>
    <n v="360360"/>
  </r>
  <r>
    <x v="1"/>
    <x v="0"/>
    <x v="1"/>
    <x v="0"/>
    <x v="2"/>
    <x v="20"/>
    <n v="14"/>
    <n v="561274"/>
    <n v="229320"/>
  </r>
  <r>
    <x v="2"/>
    <x v="0"/>
    <x v="2"/>
    <x v="0"/>
    <x v="2"/>
    <x v="20"/>
    <n v="11"/>
    <n v="436711"/>
    <n v="180180"/>
  </r>
  <r>
    <x v="3"/>
    <x v="0"/>
    <x v="3"/>
    <x v="0"/>
    <x v="2"/>
    <x v="20"/>
    <n v="20"/>
    <n v="818680"/>
    <n v="327600"/>
  </r>
  <r>
    <x v="4"/>
    <x v="0"/>
    <x v="4"/>
    <x v="0"/>
    <x v="2"/>
    <x v="20"/>
    <n v="26"/>
    <n v="1055002"/>
    <n v="425880"/>
  </r>
  <r>
    <x v="5"/>
    <x v="0"/>
    <x v="5"/>
    <x v="0"/>
    <x v="2"/>
    <x v="20"/>
    <n v="24"/>
    <n v="970224"/>
    <n v="393120"/>
  </r>
  <r>
    <x v="6"/>
    <x v="0"/>
    <x v="6"/>
    <x v="0"/>
    <x v="2"/>
    <x v="20"/>
    <n v="26"/>
    <n v="1006954"/>
    <n v="425880"/>
  </r>
  <r>
    <x v="7"/>
    <x v="0"/>
    <x v="7"/>
    <x v="0"/>
    <x v="2"/>
    <x v="20"/>
    <n v="22"/>
    <n v="872344"/>
    <n v="360360"/>
  </r>
  <r>
    <x v="8"/>
    <x v="0"/>
    <x v="8"/>
    <x v="0"/>
    <x v="2"/>
    <x v="20"/>
    <n v="23"/>
    <n v="904728"/>
    <n v="376740"/>
  </r>
  <r>
    <x v="9"/>
    <x v="0"/>
    <x v="9"/>
    <x v="0"/>
    <x v="2"/>
    <x v="20"/>
    <n v="19"/>
    <n v="761482"/>
    <n v="311220"/>
  </r>
  <r>
    <x v="10"/>
    <x v="0"/>
    <x v="10"/>
    <x v="0"/>
    <x v="2"/>
    <x v="20"/>
    <n v="14"/>
    <n v="567532"/>
    <n v="229320"/>
  </r>
  <r>
    <x v="11"/>
    <x v="0"/>
    <x v="11"/>
    <x v="0"/>
    <x v="2"/>
    <x v="20"/>
    <n v="16"/>
    <n v="626400"/>
    <n v="262080"/>
  </r>
  <r>
    <x v="12"/>
    <x v="1"/>
    <x v="12"/>
    <x v="0"/>
    <x v="2"/>
    <x v="20"/>
    <n v="24"/>
    <n v="964320"/>
    <n v="393120"/>
  </r>
  <r>
    <x v="13"/>
    <x v="1"/>
    <x v="13"/>
    <x v="0"/>
    <x v="2"/>
    <x v="20"/>
    <n v="15"/>
    <n v="609420"/>
    <n v="245700"/>
  </r>
  <r>
    <x v="14"/>
    <x v="1"/>
    <x v="14"/>
    <x v="0"/>
    <x v="2"/>
    <x v="20"/>
    <n v="12"/>
    <n v="475716"/>
    <n v="196560"/>
  </r>
  <r>
    <x v="15"/>
    <x v="1"/>
    <x v="15"/>
    <x v="0"/>
    <x v="2"/>
    <x v="20"/>
    <n v="22"/>
    <n v="904486"/>
    <n v="360360"/>
  </r>
  <r>
    <x v="16"/>
    <x v="1"/>
    <x v="16"/>
    <x v="0"/>
    <x v="2"/>
    <x v="20"/>
    <n v="28"/>
    <n v="1147748"/>
    <n v="458640"/>
  </r>
  <r>
    <x v="17"/>
    <x v="1"/>
    <x v="17"/>
    <x v="0"/>
    <x v="2"/>
    <x v="20"/>
    <n v="27"/>
    <n v="1094661"/>
    <n v="442260"/>
  </r>
  <r>
    <x v="18"/>
    <x v="1"/>
    <x v="18"/>
    <x v="0"/>
    <x v="2"/>
    <x v="20"/>
    <n v="28"/>
    <n v="1082788"/>
    <n v="458640"/>
  </r>
  <r>
    <x v="19"/>
    <x v="1"/>
    <x v="19"/>
    <x v="0"/>
    <x v="2"/>
    <x v="20"/>
    <n v="24"/>
    <n v="959592"/>
    <n v="393120"/>
  </r>
  <r>
    <x v="20"/>
    <x v="1"/>
    <x v="20"/>
    <x v="0"/>
    <x v="2"/>
    <x v="20"/>
    <n v="25"/>
    <n v="999825"/>
    <n v="409500"/>
  </r>
  <r>
    <x v="21"/>
    <x v="1"/>
    <x v="21"/>
    <x v="0"/>
    <x v="2"/>
    <x v="20"/>
    <n v="21"/>
    <n v="841407"/>
    <n v="343980"/>
  </r>
  <r>
    <x v="22"/>
    <x v="1"/>
    <x v="22"/>
    <x v="0"/>
    <x v="2"/>
    <x v="20"/>
    <n v="15"/>
    <n v="613530"/>
    <n v="245700"/>
  </r>
  <r>
    <x v="23"/>
    <x v="1"/>
    <x v="23"/>
    <x v="0"/>
    <x v="2"/>
    <x v="20"/>
    <n v="18"/>
    <n v="719712"/>
    <n v="294840"/>
  </r>
  <r>
    <x v="0"/>
    <x v="0"/>
    <x v="0"/>
    <x v="0"/>
    <x v="3"/>
    <x v="21"/>
    <n v="66"/>
    <n v="409134"/>
    <n v="151800"/>
  </r>
  <r>
    <x v="1"/>
    <x v="0"/>
    <x v="1"/>
    <x v="0"/>
    <x v="3"/>
    <x v="21"/>
    <n v="42"/>
    <n v="290514"/>
    <n v="96600"/>
  </r>
  <r>
    <x v="2"/>
    <x v="0"/>
    <x v="2"/>
    <x v="0"/>
    <x v="3"/>
    <x v="21"/>
    <n v="33"/>
    <n v="176385"/>
    <n v="75900"/>
  </r>
  <r>
    <x v="3"/>
    <x v="0"/>
    <x v="3"/>
    <x v="0"/>
    <x v="3"/>
    <x v="21"/>
    <n v="62"/>
    <n v="385020"/>
    <n v="142600"/>
  </r>
  <r>
    <x v="4"/>
    <x v="0"/>
    <x v="4"/>
    <x v="0"/>
    <x v="3"/>
    <x v="21"/>
    <n v="79"/>
    <n v="540123"/>
    <n v="181700"/>
  </r>
  <r>
    <x v="5"/>
    <x v="0"/>
    <x v="5"/>
    <x v="0"/>
    <x v="3"/>
    <x v="21"/>
    <n v="75"/>
    <n v="479325"/>
    <n v="172500"/>
  </r>
  <r>
    <x v="6"/>
    <x v="0"/>
    <x v="6"/>
    <x v="0"/>
    <x v="3"/>
    <x v="21"/>
    <n v="79"/>
    <n v="416014"/>
    <n v="181700"/>
  </r>
  <r>
    <x v="7"/>
    <x v="0"/>
    <x v="7"/>
    <x v="0"/>
    <x v="3"/>
    <x v="21"/>
    <n v="66"/>
    <n v="357720"/>
    <n v="151800"/>
  </r>
  <r>
    <x v="8"/>
    <x v="0"/>
    <x v="8"/>
    <x v="0"/>
    <x v="3"/>
    <x v="21"/>
    <n v="71"/>
    <n v="426994"/>
    <n v="163300"/>
  </r>
  <r>
    <x v="9"/>
    <x v="0"/>
    <x v="9"/>
    <x v="0"/>
    <x v="3"/>
    <x v="21"/>
    <n v="58"/>
    <n v="386512"/>
    <n v="133400"/>
  </r>
  <r>
    <x v="10"/>
    <x v="0"/>
    <x v="10"/>
    <x v="0"/>
    <x v="3"/>
    <x v="21"/>
    <n v="42"/>
    <n v="243054"/>
    <n v="96600"/>
  </r>
  <r>
    <x v="11"/>
    <x v="0"/>
    <x v="11"/>
    <x v="0"/>
    <x v="3"/>
    <x v="21"/>
    <n v="50"/>
    <n v="277600"/>
    <n v="115000"/>
  </r>
  <r>
    <x v="12"/>
    <x v="1"/>
    <x v="12"/>
    <x v="0"/>
    <x v="3"/>
    <x v="21"/>
    <n v="73"/>
    <n v="444935"/>
    <n v="167900"/>
  </r>
  <r>
    <x v="13"/>
    <x v="1"/>
    <x v="13"/>
    <x v="0"/>
    <x v="3"/>
    <x v="21"/>
    <n v="46"/>
    <n v="273976"/>
    <n v="105800"/>
  </r>
  <r>
    <x v="14"/>
    <x v="1"/>
    <x v="14"/>
    <x v="0"/>
    <x v="3"/>
    <x v="21"/>
    <n v="37"/>
    <n v="230658"/>
    <n v="85100"/>
  </r>
  <r>
    <x v="15"/>
    <x v="1"/>
    <x v="15"/>
    <x v="0"/>
    <x v="3"/>
    <x v="21"/>
    <n v="68"/>
    <n v="435608"/>
    <n v="156400"/>
  </r>
  <r>
    <x v="16"/>
    <x v="1"/>
    <x v="16"/>
    <x v="0"/>
    <x v="3"/>
    <x v="21"/>
    <n v="87"/>
    <n v="603432"/>
    <n v="200100"/>
  </r>
  <r>
    <x v="17"/>
    <x v="1"/>
    <x v="17"/>
    <x v="0"/>
    <x v="3"/>
    <x v="21"/>
    <n v="82"/>
    <n v="530048"/>
    <n v="188600"/>
  </r>
  <r>
    <x v="18"/>
    <x v="1"/>
    <x v="18"/>
    <x v="0"/>
    <x v="3"/>
    <x v="21"/>
    <n v="87"/>
    <n v="414207"/>
    <n v="200100"/>
  </r>
  <r>
    <x v="19"/>
    <x v="1"/>
    <x v="19"/>
    <x v="0"/>
    <x v="3"/>
    <x v="21"/>
    <n v="73"/>
    <n v="453476"/>
    <n v="167900"/>
  </r>
  <r>
    <x v="20"/>
    <x v="1"/>
    <x v="20"/>
    <x v="0"/>
    <x v="3"/>
    <x v="21"/>
    <n v="78"/>
    <n v="461058"/>
    <n v="179400"/>
  </r>
  <r>
    <x v="21"/>
    <x v="1"/>
    <x v="21"/>
    <x v="0"/>
    <x v="3"/>
    <x v="21"/>
    <n v="64"/>
    <n v="411648"/>
    <n v="147200"/>
  </r>
  <r>
    <x v="22"/>
    <x v="1"/>
    <x v="22"/>
    <x v="0"/>
    <x v="3"/>
    <x v="21"/>
    <n v="46"/>
    <n v="295228"/>
    <n v="105800"/>
  </r>
  <r>
    <x v="23"/>
    <x v="1"/>
    <x v="23"/>
    <x v="0"/>
    <x v="3"/>
    <x v="21"/>
    <n v="55"/>
    <n v="318065"/>
    <n v="126500"/>
  </r>
  <r>
    <x v="0"/>
    <x v="0"/>
    <x v="0"/>
    <x v="0"/>
    <x v="3"/>
    <x v="22"/>
    <n v="59"/>
    <n v="625695"/>
    <n v="238950"/>
  </r>
  <r>
    <x v="1"/>
    <x v="0"/>
    <x v="1"/>
    <x v="0"/>
    <x v="3"/>
    <x v="22"/>
    <n v="37"/>
    <n v="381877"/>
    <n v="149850"/>
  </r>
  <r>
    <x v="2"/>
    <x v="0"/>
    <x v="2"/>
    <x v="0"/>
    <x v="3"/>
    <x v="22"/>
    <n v="30"/>
    <n v="306390"/>
    <n v="121500"/>
  </r>
  <r>
    <x v="3"/>
    <x v="0"/>
    <x v="3"/>
    <x v="0"/>
    <x v="3"/>
    <x v="22"/>
    <n v="55"/>
    <n v="613965"/>
    <n v="222750"/>
  </r>
  <r>
    <x v="4"/>
    <x v="0"/>
    <x v="4"/>
    <x v="0"/>
    <x v="3"/>
    <x v="22"/>
    <n v="70"/>
    <n v="801080"/>
    <n v="283500"/>
  </r>
  <r>
    <x v="5"/>
    <x v="0"/>
    <x v="5"/>
    <x v="0"/>
    <x v="3"/>
    <x v="22"/>
    <n v="66"/>
    <n v="692406"/>
    <n v="267300"/>
  </r>
  <r>
    <x v="6"/>
    <x v="0"/>
    <x v="6"/>
    <x v="0"/>
    <x v="3"/>
    <x v="22"/>
    <n v="70"/>
    <n v="630210"/>
    <n v="283500"/>
  </r>
  <r>
    <x v="7"/>
    <x v="0"/>
    <x v="7"/>
    <x v="0"/>
    <x v="3"/>
    <x v="22"/>
    <n v="59"/>
    <n v="582625"/>
    <n v="238950"/>
  </r>
  <r>
    <x v="8"/>
    <x v="0"/>
    <x v="8"/>
    <x v="0"/>
    <x v="3"/>
    <x v="22"/>
    <n v="62"/>
    <n v="594022"/>
    <n v="251100"/>
  </r>
  <r>
    <x v="9"/>
    <x v="0"/>
    <x v="9"/>
    <x v="0"/>
    <x v="3"/>
    <x v="22"/>
    <n v="51"/>
    <n v="498474"/>
    <n v="206550"/>
  </r>
  <r>
    <x v="10"/>
    <x v="0"/>
    <x v="10"/>
    <x v="0"/>
    <x v="3"/>
    <x v="22"/>
    <n v="37"/>
    <n v="373256"/>
    <n v="149850"/>
  </r>
  <r>
    <x v="11"/>
    <x v="0"/>
    <x v="11"/>
    <x v="0"/>
    <x v="3"/>
    <x v="22"/>
    <n v="44"/>
    <n v="412148"/>
    <n v="178200"/>
  </r>
  <r>
    <x v="12"/>
    <x v="1"/>
    <x v="12"/>
    <x v="0"/>
    <x v="3"/>
    <x v="22"/>
    <n v="65"/>
    <n v="624455"/>
    <n v="263250"/>
  </r>
  <r>
    <x v="13"/>
    <x v="1"/>
    <x v="13"/>
    <x v="0"/>
    <x v="3"/>
    <x v="22"/>
    <n v="41"/>
    <n v="422792"/>
    <n v="166050"/>
  </r>
  <r>
    <x v="14"/>
    <x v="1"/>
    <x v="14"/>
    <x v="0"/>
    <x v="3"/>
    <x v="22"/>
    <n v="33"/>
    <n v="331419"/>
    <n v="133650"/>
  </r>
  <r>
    <x v="15"/>
    <x v="1"/>
    <x v="15"/>
    <x v="0"/>
    <x v="3"/>
    <x v="22"/>
    <n v="61"/>
    <n v="652822"/>
    <n v="247050"/>
  </r>
  <r>
    <x v="16"/>
    <x v="1"/>
    <x v="16"/>
    <x v="0"/>
    <x v="3"/>
    <x v="22"/>
    <n v="77"/>
    <n v="837144"/>
    <n v="311850"/>
  </r>
  <r>
    <x v="17"/>
    <x v="1"/>
    <x v="17"/>
    <x v="0"/>
    <x v="3"/>
    <x v="22"/>
    <n v="73"/>
    <n v="780735"/>
    <n v="295650"/>
  </r>
  <r>
    <x v="18"/>
    <x v="1"/>
    <x v="18"/>
    <x v="0"/>
    <x v="3"/>
    <x v="22"/>
    <n v="77"/>
    <n v="633171"/>
    <n v="311850"/>
  </r>
  <r>
    <x v="19"/>
    <x v="1"/>
    <x v="19"/>
    <x v="0"/>
    <x v="3"/>
    <x v="22"/>
    <n v="65"/>
    <n v="604500"/>
    <n v="263250"/>
  </r>
  <r>
    <x v="20"/>
    <x v="1"/>
    <x v="20"/>
    <x v="0"/>
    <x v="3"/>
    <x v="22"/>
    <n v="69"/>
    <n v="658743"/>
    <n v="279450"/>
  </r>
  <r>
    <x v="21"/>
    <x v="1"/>
    <x v="21"/>
    <x v="0"/>
    <x v="3"/>
    <x v="22"/>
    <n v="57"/>
    <n v="583737"/>
    <n v="230850"/>
  </r>
  <r>
    <x v="22"/>
    <x v="1"/>
    <x v="22"/>
    <x v="0"/>
    <x v="3"/>
    <x v="22"/>
    <n v="41"/>
    <n v="410984"/>
    <n v="166050"/>
  </r>
  <r>
    <x v="23"/>
    <x v="1"/>
    <x v="23"/>
    <x v="0"/>
    <x v="3"/>
    <x v="22"/>
    <n v="49"/>
    <n v="461727"/>
    <n v="198450"/>
  </r>
  <r>
    <x v="0"/>
    <x v="0"/>
    <x v="0"/>
    <x v="0"/>
    <x v="3"/>
    <x v="23"/>
    <n v="66"/>
    <n v="562782"/>
    <n v="263339.99999999994"/>
  </r>
  <r>
    <x v="1"/>
    <x v="0"/>
    <x v="1"/>
    <x v="0"/>
    <x v="3"/>
    <x v="23"/>
    <n v="42"/>
    <n v="365946"/>
    <n v="167579.99999999997"/>
  </r>
  <r>
    <x v="2"/>
    <x v="0"/>
    <x v="2"/>
    <x v="0"/>
    <x v="3"/>
    <x v="23"/>
    <n v="33"/>
    <n v="262911"/>
    <n v="131669.99999999997"/>
  </r>
  <r>
    <x v="3"/>
    <x v="0"/>
    <x v="3"/>
    <x v="0"/>
    <x v="3"/>
    <x v="23"/>
    <n v="62"/>
    <n v="542810"/>
    <n v="247379.99999999997"/>
  </r>
  <r>
    <x v="4"/>
    <x v="0"/>
    <x v="4"/>
    <x v="0"/>
    <x v="3"/>
    <x v="23"/>
    <n v="79"/>
    <n v="662652"/>
    <n v="315209.99999999994"/>
  </r>
  <r>
    <x v="5"/>
    <x v="0"/>
    <x v="5"/>
    <x v="0"/>
    <x v="3"/>
    <x v="23"/>
    <n v="75"/>
    <n v="644175"/>
    <n v="299249.99999999994"/>
  </r>
  <r>
    <x v="6"/>
    <x v="0"/>
    <x v="6"/>
    <x v="0"/>
    <x v="3"/>
    <x v="23"/>
    <n v="79"/>
    <n v="561058"/>
    <n v="315209.99999999994"/>
  </r>
  <r>
    <x v="7"/>
    <x v="0"/>
    <x v="7"/>
    <x v="0"/>
    <x v="3"/>
    <x v="23"/>
    <n v="66"/>
    <n v="504900"/>
    <n v="263339.99999999994"/>
  </r>
  <r>
    <x v="8"/>
    <x v="0"/>
    <x v="8"/>
    <x v="0"/>
    <x v="3"/>
    <x v="23"/>
    <n v="71"/>
    <n v="547410"/>
    <n v="283289.99999999994"/>
  </r>
  <r>
    <x v="9"/>
    <x v="0"/>
    <x v="9"/>
    <x v="0"/>
    <x v="3"/>
    <x v="23"/>
    <n v="58"/>
    <n v="510864"/>
    <n v="231419.99999999997"/>
  </r>
  <r>
    <x v="10"/>
    <x v="0"/>
    <x v="10"/>
    <x v="0"/>
    <x v="3"/>
    <x v="23"/>
    <n v="42"/>
    <n v="347046"/>
    <n v="167579.99999999997"/>
  </r>
  <r>
    <x v="11"/>
    <x v="0"/>
    <x v="11"/>
    <x v="0"/>
    <x v="3"/>
    <x v="23"/>
    <n v="50"/>
    <n v="405050"/>
    <n v="199499.99999999997"/>
  </r>
  <r>
    <x v="12"/>
    <x v="1"/>
    <x v="12"/>
    <x v="0"/>
    <x v="3"/>
    <x v="23"/>
    <n v="73"/>
    <n v="614441"/>
    <n v="291269.99999999994"/>
  </r>
  <r>
    <x v="13"/>
    <x v="1"/>
    <x v="13"/>
    <x v="0"/>
    <x v="3"/>
    <x v="23"/>
    <n v="46"/>
    <n v="384008"/>
    <n v="183539.99999999997"/>
  </r>
  <r>
    <x v="14"/>
    <x v="1"/>
    <x v="14"/>
    <x v="0"/>
    <x v="3"/>
    <x v="23"/>
    <n v="37"/>
    <n v="297813"/>
    <n v="147629.99999999997"/>
  </r>
  <r>
    <x v="15"/>
    <x v="1"/>
    <x v="15"/>
    <x v="0"/>
    <x v="3"/>
    <x v="23"/>
    <n v="68"/>
    <n v="595952"/>
    <n v="271319.99999999994"/>
  </r>
  <r>
    <x v="16"/>
    <x v="1"/>
    <x v="16"/>
    <x v="0"/>
    <x v="3"/>
    <x v="23"/>
    <n v="87"/>
    <n v="736542"/>
    <n v="347129.99999999994"/>
  </r>
  <r>
    <x v="17"/>
    <x v="1"/>
    <x v="17"/>
    <x v="0"/>
    <x v="3"/>
    <x v="23"/>
    <n v="82"/>
    <n v="711350"/>
    <n v="327179.99999999994"/>
  </r>
  <r>
    <x v="18"/>
    <x v="1"/>
    <x v="18"/>
    <x v="0"/>
    <x v="3"/>
    <x v="23"/>
    <n v="87"/>
    <n v="612567"/>
    <n v="347129.99999999994"/>
  </r>
  <r>
    <x v="19"/>
    <x v="1"/>
    <x v="19"/>
    <x v="0"/>
    <x v="3"/>
    <x v="23"/>
    <n v="73"/>
    <n v="599841"/>
    <n v="291269.99999999994"/>
  </r>
  <r>
    <x v="20"/>
    <x v="1"/>
    <x v="20"/>
    <x v="0"/>
    <x v="3"/>
    <x v="23"/>
    <n v="78"/>
    <n v="574002"/>
    <n v="311219.99999999994"/>
  </r>
  <r>
    <x v="21"/>
    <x v="1"/>
    <x v="21"/>
    <x v="0"/>
    <x v="3"/>
    <x v="23"/>
    <n v="64"/>
    <n v="564032"/>
    <n v="255359.99999999997"/>
  </r>
  <r>
    <x v="22"/>
    <x v="1"/>
    <x v="22"/>
    <x v="0"/>
    <x v="3"/>
    <x v="23"/>
    <n v="46"/>
    <n v="386538"/>
    <n v="183539.99999999997"/>
  </r>
  <r>
    <x v="23"/>
    <x v="1"/>
    <x v="23"/>
    <x v="0"/>
    <x v="3"/>
    <x v="23"/>
    <n v="55"/>
    <n v="451715"/>
    <n v="219449.99999999997"/>
  </r>
  <r>
    <x v="0"/>
    <x v="0"/>
    <x v="0"/>
    <x v="0"/>
    <x v="3"/>
    <x v="24"/>
    <n v="58"/>
    <n v="591600"/>
    <n v="241570"/>
  </r>
  <r>
    <x v="1"/>
    <x v="0"/>
    <x v="1"/>
    <x v="0"/>
    <x v="3"/>
    <x v="24"/>
    <n v="36"/>
    <n v="352980"/>
    <n v="149940"/>
  </r>
  <r>
    <x v="2"/>
    <x v="0"/>
    <x v="2"/>
    <x v="0"/>
    <x v="3"/>
    <x v="24"/>
    <n v="29"/>
    <n v="247312"/>
    <n v="120785"/>
  </r>
  <r>
    <x v="3"/>
    <x v="0"/>
    <x v="3"/>
    <x v="0"/>
    <x v="3"/>
    <x v="24"/>
    <n v="54"/>
    <n v="541080"/>
    <n v="224910"/>
  </r>
  <r>
    <x v="4"/>
    <x v="0"/>
    <x v="4"/>
    <x v="0"/>
    <x v="3"/>
    <x v="24"/>
    <n v="69"/>
    <n v="710562"/>
    <n v="287385"/>
  </r>
  <r>
    <x v="5"/>
    <x v="0"/>
    <x v="5"/>
    <x v="0"/>
    <x v="3"/>
    <x v="24"/>
    <n v="65"/>
    <n v="651365"/>
    <n v="270725"/>
  </r>
  <r>
    <x v="6"/>
    <x v="0"/>
    <x v="6"/>
    <x v="0"/>
    <x v="3"/>
    <x v="24"/>
    <n v="69"/>
    <n v="578151"/>
    <n v="287385"/>
  </r>
  <r>
    <x v="7"/>
    <x v="0"/>
    <x v="7"/>
    <x v="0"/>
    <x v="3"/>
    <x v="24"/>
    <n v="58"/>
    <n v="549260"/>
    <n v="241570"/>
  </r>
  <r>
    <x v="8"/>
    <x v="0"/>
    <x v="8"/>
    <x v="0"/>
    <x v="3"/>
    <x v="24"/>
    <n v="62"/>
    <n v="564386"/>
    <n v="258230"/>
  </r>
  <r>
    <x v="9"/>
    <x v="0"/>
    <x v="9"/>
    <x v="0"/>
    <x v="3"/>
    <x v="24"/>
    <n v="51"/>
    <n v="502299"/>
    <n v="212415"/>
  </r>
  <r>
    <x v="10"/>
    <x v="0"/>
    <x v="10"/>
    <x v="0"/>
    <x v="3"/>
    <x v="24"/>
    <n v="36"/>
    <n v="349308"/>
    <n v="149940"/>
  </r>
  <r>
    <x v="11"/>
    <x v="0"/>
    <x v="11"/>
    <x v="0"/>
    <x v="3"/>
    <x v="24"/>
    <n v="44"/>
    <n v="401412"/>
    <n v="183260"/>
  </r>
  <r>
    <x v="12"/>
    <x v="1"/>
    <x v="12"/>
    <x v="0"/>
    <x v="3"/>
    <x v="24"/>
    <n v="64"/>
    <n v="635904"/>
    <n v="266560"/>
  </r>
  <r>
    <x v="13"/>
    <x v="1"/>
    <x v="13"/>
    <x v="0"/>
    <x v="3"/>
    <x v="24"/>
    <n v="40"/>
    <n v="403080"/>
    <n v="166600"/>
  </r>
  <r>
    <x v="14"/>
    <x v="1"/>
    <x v="14"/>
    <x v="0"/>
    <x v="3"/>
    <x v="24"/>
    <n v="32"/>
    <n v="296096"/>
    <n v="133280"/>
  </r>
  <r>
    <x v="15"/>
    <x v="1"/>
    <x v="15"/>
    <x v="0"/>
    <x v="3"/>
    <x v="24"/>
    <n v="60"/>
    <n v="609960"/>
    <n v="249900"/>
  </r>
  <r>
    <x v="16"/>
    <x v="1"/>
    <x v="16"/>
    <x v="0"/>
    <x v="3"/>
    <x v="24"/>
    <n v="76"/>
    <n v="786296"/>
    <n v="316540"/>
  </r>
  <r>
    <x v="17"/>
    <x v="1"/>
    <x v="17"/>
    <x v="0"/>
    <x v="3"/>
    <x v="24"/>
    <n v="72"/>
    <n v="693144"/>
    <n v="299880"/>
  </r>
  <r>
    <x v="18"/>
    <x v="1"/>
    <x v="18"/>
    <x v="0"/>
    <x v="3"/>
    <x v="24"/>
    <n v="76"/>
    <n v="635056"/>
    <n v="316540"/>
  </r>
  <r>
    <x v="19"/>
    <x v="1"/>
    <x v="19"/>
    <x v="0"/>
    <x v="3"/>
    <x v="24"/>
    <n v="64"/>
    <n v="612672"/>
    <n v="266560"/>
  </r>
  <r>
    <x v="20"/>
    <x v="1"/>
    <x v="20"/>
    <x v="0"/>
    <x v="3"/>
    <x v="24"/>
    <n v="68"/>
    <n v="625396"/>
    <n v="283220"/>
  </r>
  <r>
    <x v="21"/>
    <x v="1"/>
    <x v="21"/>
    <x v="0"/>
    <x v="3"/>
    <x v="24"/>
    <n v="56"/>
    <n v="533120"/>
    <n v="233240"/>
  </r>
  <r>
    <x v="22"/>
    <x v="1"/>
    <x v="22"/>
    <x v="0"/>
    <x v="3"/>
    <x v="24"/>
    <n v="40"/>
    <n v="410760"/>
    <n v="166600"/>
  </r>
  <r>
    <x v="23"/>
    <x v="1"/>
    <x v="23"/>
    <x v="0"/>
    <x v="3"/>
    <x v="24"/>
    <n v="48"/>
    <n v="457872"/>
    <n v="199920"/>
  </r>
  <r>
    <x v="0"/>
    <x v="0"/>
    <x v="0"/>
    <x v="0"/>
    <x v="3"/>
    <x v="25"/>
    <n v="58"/>
    <n v="438074"/>
    <n v="177480"/>
  </r>
  <r>
    <x v="1"/>
    <x v="0"/>
    <x v="1"/>
    <x v="0"/>
    <x v="3"/>
    <x v="25"/>
    <n v="36"/>
    <n v="259956"/>
    <n v="110160"/>
  </r>
  <r>
    <x v="2"/>
    <x v="0"/>
    <x v="2"/>
    <x v="0"/>
    <x v="3"/>
    <x v="25"/>
    <n v="29"/>
    <n v="205639"/>
    <n v="88740"/>
  </r>
  <r>
    <x v="3"/>
    <x v="0"/>
    <x v="3"/>
    <x v="0"/>
    <x v="3"/>
    <x v="25"/>
    <n v="54"/>
    <n v="432162"/>
    <n v="165240"/>
  </r>
  <r>
    <x v="4"/>
    <x v="0"/>
    <x v="4"/>
    <x v="0"/>
    <x v="3"/>
    <x v="25"/>
    <n v="69"/>
    <n v="566007"/>
    <n v="211140"/>
  </r>
  <r>
    <x v="5"/>
    <x v="0"/>
    <x v="5"/>
    <x v="0"/>
    <x v="3"/>
    <x v="25"/>
    <n v="65"/>
    <n v="486980"/>
    <n v="198900"/>
  </r>
  <r>
    <x v="6"/>
    <x v="0"/>
    <x v="6"/>
    <x v="0"/>
    <x v="3"/>
    <x v="25"/>
    <n v="69"/>
    <n v="360042"/>
    <n v="211140"/>
  </r>
  <r>
    <x v="7"/>
    <x v="0"/>
    <x v="7"/>
    <x v="0"/>
    <x v="3"/>
    <x v="25"/>
    <n v="58"/>
    <n v="374738"/>
    <n v="177480"/>
  </r>
  <r>
    <x v="8"/>
    <x v="0"/>
    <x v="8"/>
    <x v="0"/>
    <x v="3"/>
    <x v="25"/>
    <n v="62"/>
    <n v="442618"/>
    <n v="189720"/>
  </r>
  <r>
    <x v="9"/>
    <x v="0"/>
    <x v="9"/>
    <x v="0"/>
    <x v="3"/>
    <x v="25"/>
    <n v="51"/>
    <n v="370260"/>
    <n v="156060"/>
  </r>
  <r>
    <x v="10"/>
    <x v="0"/>
    <x v="10"/>
    <x v="0"/>
    <x v="3"/>
    <x v="25"/>
    <n v="36"/>
    <n v="256752"/>
    <n v="110160"/>
  </r>
  <r>
    <x v="11"/>
    <x v="0"/>
    <x v="11"/>
    <x v="0"/>
    <x v="3"/>
    <x v="25"/>
    <n v="44"/>
    <n v="306240"/>
    <n v="134640"/>
  </r>
  <r>
    <x v="12"/>
    <x v="1"/>
    <x v="12"/>
    <x v="0"/>
    <x v="3"/>
    <x v="25"/>
    <n v="64"/>
    <n v="445824"/>
    <n v="195840"/>
  </r>
  <r>
    <x v="13"/>
    <x v="1"/>
    <x v="13"/>
    <x v="0"/>
    <x v="3"/>
    <x v="25"/>
    <n v="40"/>
    <n v="310760"/>
    <n v="122400"/>
  </r>
  <r>
    <x v="14"/>
    <x v="1"/>
    <x v="14"/>
    <x v="0"/>
    <x v="3"/>
    <x v="25"/>
    <n v="32"/>
    <n v="218592"/>
    <n v="97920"/>
  </r>
  <r>
    <x v="15"/>
    <x v="1"/>
    <x v="15"/>
    <x v="0"/>
    <x v="3"/>
    <x v="25"/>
    <n v="60"/>
    <n v="430500"/>
    <n v="183600"/>
  </r>
  <r>
    <x v="16"/>
    <x v="1"/>
    <x v="16"/>
    <x v="0"/>
    <x v="3"/>
    <x v="25"/>
    <n v="76"/>
    <n v="555940"/>
    <n v="232560"/>
  </r>
  <r>
    <x v="17"/>
    <x v="1"/>
    <x v="17"/>
    <x v="0"/>
    <x v="3"/>
    <x v="25"/>
    <n v="72"/>
    <n v="511704"/>
    <n v="220320"/>
  </r>
  <r>
    <x v="18"/>
    <x v="1"/>
    <x v="18"/>
    <x v="0"/>
    <x v="3"/>
    <x v="25"/>
    <n v="76"/>
    <n v="413668"/>
    <n v="232560"/>
  </r>
  <r>
    <x v="19"/>
    <x v="1"/>
    <x v="19"/>
    <x v="0"/>
    <x v="3"/>
    <x v="25"/>
    <n v="64"/>
    <n v="401856"/>
    <n v="195840"/>
  </r>
  <r>
    <x v="20"/>
    <x v="1"/>
    <x v="20"/>
    <x v="0"/>
    <x v="3"/>
    <x v="25"/>
    <n v="68"/>
    <n v="459000"/>
    <n v="208080"/>
  </r>
  <r>
    <x v="21"/>
    <x v="1"/>
    <x v="21"/>
    <x v="0"/>
    <x v="3"/>
    <x v="25"/>
    <n v="56"/>
    <n v="427168"/>
    <n v="171360"/>
  </r>
  <r>
    <x v="22"/>
    <x v="1"/>
    <x v="22"/>
    <x v="0"/>
    <x v="3"/>
    <x v="25"/>
    <n v="40"/>
    <n v="283600"/>
    <n v="122400"/>
  </r>
  <r>
    <x v="23"/>
    <x v="1"/>
    <x v="23"/>
    <x v="0"/>
    <x v="3"/>
    <x v="25"/>
    <n v="48"/>
    <n v="298512"/>
    <n v="146880"/>
  </r>
  <r>
    <x v="0"/>
    <x v="0"/>
    <x v="0"/>
    <x v="0"/>
    <x v="3"/>
    <x v="26"/>
    <n v="61"/>
    <n v="525759"/>
    <n v="210816"/>
  </r>
  <r>
    <x v="1"/>
    <x v="0"/>
    <x v="1"/>
    <x v="0"/>
    <x v="3"/>
    <x v="26"/>
    <n v="38"/>
    <n v="336034"/>
    <n v="131328"/>
  </r>
  <r>
    <x v="2"/>
    <x v="0"/>
    <x v="2"/>
    <x v="0"/>
    <x v="3"/>
    <x v="26"/>
    <n v="31"/>
    <n v="259966"/>
    <n v="107136"/>
  </r>
  <r>
    <x v="3"/>
    <x v="0"/>
    <x v="3"/>
    <x v="0"/>
    <x v="3"/>
    <x v="26"/>
    <n v="57"/>
    <n v="503595"/>
    <n v="196992"/>
  </r>
  <r>
    <x v="4"/>
    <x v="0"/>
    <x v="4"/>
    <x v="0"/>
    <x v="3"/>
    <x v="26"/>
    <n v="72"/>
    <n v="655128"/>
    <n v="248832"/>
  </r>
  <r>
    <x v="5"/>
    <x v="0"/>
    <x v="5"/>
    <x v="0"/>
    <x v="3"/>
    <x v="26"/>
    <n v="68"/>
    <n v="536724"/>
    <n v="235008"/>
  </r>
  <r>
    <x v="6"/>
    <x v="0"/>
    <x v="6"/>
    <x v="0"/>
    <x v="3"/>
    <x v="26"/>
    <n v="72"/>
    <n v="507312"/>
    <n v="248832"/>
  </r>
  <r>
    <x v="7"/>
    <x v="0"/>
    <x v="7"/>
    <x v="0"/>
    <x v="3"/>
    <x v="26"/>
    <n v="61"/>
    <n v="479765"/>
    <n v="210816"/>
  </r>
  <r>
    <x v="8"/>
    <x v="0"/>
    <x v="8"/>
    <x v="0"/>
    <x v="3"/>
    <x v="26"/>
    <n v="64"/>
    <n v="519168"/>
    <n v="221184"/>
  </r>
  <r>
    <x v="9"/>
    <x v="0"/>
    <x v="9"/>
    <x v="0"/>
    <x v="3"/>
    <x v="26"/>
    <n v="53"/>
    <n v="439635"/>
    <n v="183168"/>
  </r>
  <r>
    <x v="10"/>
    <x v="0"/>
    <x v="10"/>
    <x v="0"/>
    <x v="3"/>
    <x v="26"/>
    <n v="38"/>
    <n v="304532"/>
    <n v="131328"/>
  </r>
  <r>
    <x v="11"/>
    <x v="0"/>
    <x v="11"/>
    <x v="0"/>
    <x v="3"/>
    <x v="26"/>
    <n v="46"/>
    <n v="361606"/>
    <n v="158976"/>
  </r>
  <r>
    <x v="12"/>
    <x v="1"/>
    <x v="12"/>
    <x v="0"/>
    <x v="3"/>
    <x v="26"/>
    <n v="67"/>
    <n v="544040"/>
    <n v="231552"/>
  </r>
  <r>
    <x v="13"/>
    <x v="1"/>
    <x v="13"/>
    <x v="0"/>
    <x v="3"/>
    <x v="26"/>
    <n v="42"/>
    <n v="365820"/>
    <n v="145152"/>
  </r>
  <r>
    <x v="14"/>
    <x v="1"/>
    <x v="14"/>
    <x v="0"/>
    <x v="3"/>
    <x v="26"/>
    <n v="34"/>
    <n v="284206"/>
    <n v="117504"/>
  </r>
  <r>
    <x v="15"/>
    <x v="1"/>
    <x v="15"/>
    <x v="0"/>
    <x v="3"/>
    <x v="26"/>
    <n v="63"/>
    <n v="589491"/>
    <n v="217728"/>
  </r>
  <r>
    <x v="16"/>
    <x v="1"/>
    <x v="16"/>
    <x v="0"/>
    <x v="3"/>
    <x v="26"/>
    <n v="79"/>
    <n v="748209"/>
    <n v="273024"/>
  </r>
  <r>
    <x v="17"/>
    <x v="1"/>
    <x v="17"/>
    <x v="0"/>
    <x v="3"/>
    <x v="26"/>
    <n v="75"/>
    <n v="631725"/>
    <n v="259200"/>
  </r>
  <r>
    <x v="18"/>
    <x v="1"/>
    <x v="18"/>
    <x v="0"/>
    <x v="3"/>
    <x v="26"/>
    <n v="79"/>
    <n v="568879"/>
    <n v="273024"/>
  </r>
  <r>
    <x v="19"/>
    <x v="1"/>
    <x v="19"/>
    <x v="0"/>
    <x v="3"/>
    <x v="26"/>
    <n v="67"/>
    <n v="487827"/>
    <n v="231552"/>
  </r>
  <r>
    <x v="20"/>
    <x v="1"/>
    <x v="20"/>
    <x v="0"/>
    <x v="3"/>
    <x v="26"/>
    <n v="71"/>
    <n v="552096"/>
    <n v="245376"/>
  </r>
  <r>
    <x v="21"/>
    <x v="1"/>
    <x v="21"/>
    <x v="0"/>
    <x v="3"/>
    <x v="26"/>
    <n v="58"/>
    <n v="503382"/>
    <n v="200448"/>
  </r>
  <r>
    <x v="22"/>
    <x v="1"/>
    <x v="22"/>
    <x v="0"/>
    <x v="3"/>
    <x v="26"/>
    <n v="42"/>
    <n v="367164"/>
    <n v="145152"/>
  </r>
  <r>
    <x v="23"/>
    <x v="1"/>
    <x v="23"/>
    <x v="0"/>
    <x v="3"/>
    <x v="26"/>
    <n v="50"/>
    <n v="370600"/>
    <n v="172800"/>
  </r>
  <r>
    <x v="0"/>
    <x v="0"/>
    <x v="0"/>
    <x v="0"/>
    <x v="3"/>
    <x v="27"/>
    <n v="63"/>
    <n v="657090"/>
    <n v="326781"/>
  </r>
  <r>
    <x v="1"/>
    <x v="0"/>
    <x v="1"/>
    <x v="0"/>
    <x v="3"/>
    <x v="27"/>
    <n v="39"/>
    <n v="415545"/>
    <n v="202293"/>
  </r>
  <r>
    <x v="2"/>
    <x v="0"/>
    <x v="2"/>
    <x v="0"/>
    <x v="3"/>
    <x v="27"/>
    <n v="32"/>
    <n v="338528"/>
    <n v="165984"/>
  </r>
  <r>
    <x v="3"/>
    <x v="0"/>
    <x v="3"/>
    <x v="0"/>
    <x v="3"/>
    <x v="27"/>
    <n v="59"/>
    <n v="624869"/>
    <n v="306033"/>
  </r>
  <r>
    <x v="4"/>
    <x v="0"/>
    <x v="4"/>
    <x v="0"/>
    <x v="3"/>
    <x v="27"/>
    <n v="74"/>
    <n v="803344"/>
    <n v="383838"/>
  </r>
  <r>
    <x v="5"/>
    <x v="0"/>
    <x v="5"/>
    <x v="0"/>
    <x v="3"/>
    <x v="27"/>
    <n v="70"/>
    <n v="729470"/>
    <n v="363090"/>
  </r>
  <r>
    <x v="6"/>
    <x v="0"/>
    <x v="6"/>
    <x v="0"/>
    <x v="3"/>
    <x v="27"/>
    <n v="74"/>
    <n v="656676"/>
    <n v="383838"/>
  </r>
  <r>
    <x v="7"/>
    <x v="0"/>
    <x v="7"/>
    <x v="0"/>
    <x v="3"/>
    <x v="27"/>
    <n v="63"/>
    <n v="615132"/>
    <n v="326781"/>
  </r>
  <r>
    <x v="8"/>
    <x v="0"/>
    <x v="8"/>
    <x v="0"/>
    <x v="3"/>
    <x v="27"/>
    <n v="66"/>
    <n v="637230"/>
    <n v="342342"/>
  </r>
  <r>
    <x v="9"/>
    <x v="0"/>
    <x v="9"/>
    <x v="0"/>
    <x v="3"/>
    <x v="27"/>
    <n v="55"/>
    <n v="599830"/>
    <n v="285285"/>
  </r>
  <r>
    <x v="10"/>
    <x v="0"/>
    <x v="10"/>
    <x v="0"/>
    <x v="3"/>
    <x v="27"/>
    <n v="39"/>
    <n v="403026"/>
    <n v="202293"/>
  </r>
  <r>
    <x v="11"/>
    <x v="0"/>
    <x v="11"/>
    <x v="0"/>
    <x v="3"/>
    <x v="27"/>
    <n v="47"/>
    <n v="449179"/>
    <n v="243789"/>
  </r>
  <r>
    <x v="12"/>
    <x v="1"/>
    <x v="12"/>
    <x v="0"/>
    <x v="3"/>
    <x v="27"/>
    <n v="69"/>
    <n v="711321"/>
    <n v="357903"/>
  </r>
  <r>
    <x v="13"/>
    <x v="1"/>
    <x v="13"/>
    <x v="0"/>
    <x v="3"/>
    <x v="27"/>
    <n v="43"/>
    <n v="432021"/>
    <n v="223041"/>
  </r>
  <r>
    <x v="14"/>
    <x v="1"/>
    <x v="14"/>
    <x v="0"/>
    <x v="3"/>
    <x v="27"/>
    <n v="35"/>
    <n v="351540"/>
    <n v="181545"/>
  </r>
  <r>
    <x v="15"/>
    <x v="1"/>
    <x v="15"/>
    <x v="0"/>
    <x v="3"/>
    <x v="27"/>
    <n v="65"/>
    <n v="740220"/>
    <n v="337155"/>
  </r>
  <r>
    <x v="16"/>
    <x v="1"/>
    <x v="16"/>
    <x v="0"/>
    <x v="3"/>
    <x v="27"/>
    <n v="82"/>
    <n v="900606"/>
    <n v="425334"/>
  </r>
  <r>
    <x v="17"/>
    <x v="1"/>
    <x v="17"/>
    <x v="0"/>
    <x v="3"/>
    <x v="27"/>
    <n v="77"/>
    <n v="806344"/>
    <n v="399399"/>
  </r>
  <r>
    <x v="18"/>
    <x v="1"/>
    <x v="18"/>
    <x v="0"/>
    <x v="3"/>
    <x v="27"/>
    <n v="82"/>
    <n v="752842"/>
    <n v="425334"/>
  </r>
  <r>
    <x v="19"/>
    <x v="1"/>
    <x v="19"/>
    <x v="0"/>
    <x v="3"/>
    <x v="27"/>
    <n v="69"/>
    <n v="695313"/>
    <n v="357903"/>
  </r>
  <r>
    <x v="20"/>
    <x v="1"/>
    <x v="20"/>
    <x v="0"/>
    <x v="3"/>
    <x v="27"/>
    <n v="73"/>
    <n v="745403"/>
    <n v="378651"/>
  </r>
  <r>
    <x v="21"/>
    <x v="1"/>
    <x v="21"/>
    <x v="0"/>
    <x v="3"/>
    <x v="27"/>
    <n v="60"/>
    <n v="629880"/>
    <n v="311220"/>
  </r>
  <r>
    <x v="22"/>
    <x v="1"/>
    <x v="22"/>
    <x v="0"/>
    <x v="3"/>
    <x v="27"/>
    <n v="43"/>
    <n v="452704"/>
    <n v="223041"/>
  </r>
  <r>
    <x v="23"/>
    <x v="1"/>
    <x v="23"/>
    <x v="0"/>
    <x v="3"/>
    <x v="27"/>
    <n v="52"/>
    <n v="500864"/>
    <n v="269724"/>
  </r>
  <r>
    <x v="0"/>
    <x v="0"/>
    <x v="0"/>
    <x v="0"/>
    <x v="4"/>
    <x v="28"/>
    <n v="67"/>
    <n v="886879"/>
    <n v="402000"/>
  </r>
  <r>
    <x v="1"/>
    <x v="0"/>
    <x v="1"/>
    <x v="0"/>
    <x v="4"/>
    <x v="28"/>
    <n v="42"/>
    <n v="555072"/>
    <n v="252000"/>
  </r>
  <r>
    <x v="2"/>
    <x v="0"/>
    <x v="2"/>
    <x v="0"/>
    <x v="4"/>
    <x v="28"/>
    <n v="34"/>
    <n v="434520"/>
    <n v="204000"/>
  </r>
  <r>
    <x v="3"/>
    <x v="0"/>
    <x v="3"/>
    <x v="0"/>
    <x v="4"/>
    <x v="28"/>
    <n v="63"/>
    <n v="856044"/>
    <n v="378000"/>
  </r>
  <r>
    <x v="4"/>
    <x v="0"/>
    <x v="4"/>
    <x v="0"/>
    <x v="4"/>
    <x v="28"/>
    <n v="80"/>
    <n v="1080320"/>
    <n v="480000"/>
  </r>
  <r>
    <x v="5"/>
    <x v="0"/>
    <x v="5"/>
    <x v="0"/>
    <x v="4"/>
    <x v="28"/>
    <n v="75"/>
    <n v="988200"/>
    <n v="450000"/>
  </r>
  <r>
    <x v="6"/>
    <x v="0"/>
    <x v="6"/>
    <x v="0"/>
    <x v="4"/>
    <x v="28"/>
    <n v="80"/>
    <n v="950400"/>
    <n v="480000"/>
  </r>
  <r>
    <x v="7"/>
    <x v="0"/>
    <x v="7"/>
    <x v="0"/>
    <x v="4"/>
    <x v="28"/>
    <n v="67"/>
    <n v="842860"/>
    <n v="402000"/>
  </r>
  <r>
    <x v="8"/>
    <x v="0"/>
    <x v="8"/>
    <x v="0"/>
    <x v="4"/>
    <x v="28"/>
    <n v="71"/>
    <n v="870034"/>
    <n v="426000"/>
  </r>
  <r>
    <x v="9"/>
    <x v="0"/>
    <x v="9"/>
    <x v="0"/>
    <x v="4"/>
    <x v="28"/>
    <n v="59"/>
    <n v="777207"/>
    <n v="354000"/>
  </r>
  <r>
    <x v="10"/>
    <x v="0"/>
    <x v="10"/>
    <x v="0"/>
    <x v="4"/>
    <x v="28"/>
    <n v="42"/>
    <n v="550074"/>
    <n v="252000"/>
  </r>
  <r>
    <x v="11"/>
    <x v="0"/>
    <x v="11"/>
    <x v="0"/>
    <x v="4"/>
    <x v="28"/>
    <n v="50"/>
    <n v="645550"/>
    <n v="300000"/>
  </r>
  <r>
    <x v="12"/>
    <x v="1"/>
    <x v="12"/>
    <x v="0"/>
    <x v="4"/>
    <x v="28"/>
    <n v="74"/>
    <n v="956968"/>
    <n v="444000"/>
  </r>
  <r>
    <x v="13"/>
    <x v="1"/>
    <x v="13"/>
    <x v="0"/>
    <x v="4"/>
    <x v="28"/>
    <n v="46"/>
    <n v="615572"/>
    <n v="276000"/>
  </r>
  <r>
    <x v="14"/>
    <x v="1"/>
    <x v="14"/>
    <x v="0"/>
    <x v="4"/>
    <x v="28"/>
    <n v="37"/>
    <n v="483331"/>
    <n v="222000"/>
  </r>
  <r>
    <x v="15"/>
    <x v="1"/>
    <x v="15"/>
    <x v="0"/>
    <x v="4"/>
    <x v="28"/>
    <n v="69"/>
    <n v="916941"/>
    <n v="414000"/>
  </r>
  <r>
    <x v="16"/>
    <x v="1"/>
    <x v="16"/>
    <x v="0"/>
    <x v="4"/>
    <x v="28"/>
    <n v="88"/>
    <n v="1282864"/>
    <n v="528000"/>
  </r>
  <r>
    <x v="17"/>
    <x v="1"/>
    <x v="17"/>
    <x v="0"/>
    <x v="4"/>
    <x v="28"/>
    <n v="83"/>
    <n v="1096015"/>
    <n v="498000"/>
  </r>
  <r>
    <x v="18"/>
    <x v="1"/>
    <x v="18"/>
    <x v="0"/>
    <x v="4"/>
    <x v="28"/>
    <n v="88"/>
    <n v="1012088"/>
    <n v="528000"/>
  </r>
  <r>
    <x v="19"/>
    <x v="1"/>
    <x v="19"/>
    <x v="0"/>
    <x v="4"/>
    <x v="28"/>
    <n v="74"/>
    <n v="922928"/>
    <n v="444000"/>
  </r>
  <r>
    <x v="20"/>
    <x v="1"/>
    <x v="20"/>
    <x v="0"/>
    <x v="4"/>
    <x v="28"/>
    <n v="78"/>
    <n v="979680"/>
    <n v="468000"/>
  </r>
  <r>
    <x v="21"/>
    <x v="1"/>
    <x v="21"/>
    <x v="0"/>
    <x v="4"/>
    <x v="28"/>
    <n v="65"/>
    <n v="909090"/>
    <n v="390000"/>
  </r>
  <r>
    <x v="22"/>
    <x v="1"/>
    <x v="22"/>
    <x v="0"/>
    <x v="4"/>
    <x v="28"/>
    <n v="46"/>
    <n v="609546"/>
    <n v="276000"/>
  </r>
  <r>
    <x v="23"/>
    <x v="1"/>
    <x v="23"/>
    <x v="0"/>
    <x v="4"/>
    <x v="28"/>
    <n v="55"/>
    <n v="682825"/>
    <n v="330000"/>
  </r>
  <r>
    <x v="0"/>
    <x v="0"/>
    <x v="0"/>
    <x v="0"/>
    <x v="4"/>
    <x v="29"/>
    <n v="49"/>
    <n v="472017"/>
    <n v="260190"/>
  </r>
  <r>
    <x v="1"/>
    <x v="0"/>
    <x v="1"/>
    <x v="0"/>
    <x v="4"/>
    <x v="29"/>
    <n v="31"/>
    <n v="316355"/>
    <n v="164610"/>
  </r>
  <r>
    <x v="2"/>
    <x v="0"/>
    <x v="2"/>
    <x v="0"/>
    <x v="4"/>
    <x v="29"/>
    <n v="25"/>
    <n v="259275"/>
    <n v="132750"/>
  </r>
  <r>
    <x v="3"/>
    <x v="0"/>
    <x v="3"/>
    <x v="0"/>
    <x v="4"/>
    <x v="29"/>
    <n v="46"/>
    <n v="511290"/>
    <n v="244260"/>
  </r>
  <r>
    <x v="4"/>
    <x v="0"/>
    <x v="4"/>
    <x v="0"/>
    <x v="4"/>
    <x v="29"/>
    <n v="58"/>
    <n v="659170"/>
    <n v="307980"/>
  </r>
  <r>
    <x v="5"/>
    <x v="0"/>
    <x v="5"/>
    <x v="0"/>
    <x v="4"/>
    <x v="29"/>
    <n v="55"/>
    <n v="590920"/>
    <n v="292050"/>
  </r>
  <r>
    <x v="6"/>
    <x v="0"/>
    <x v="6"/>
    <x v="0"/>
    <x v="4"/>
    <x v="29"/>
    <n v="58"/>
    <n v="513242"/>
    <n v="307980"/>
  </r>
  <r>
    <x v="7"/>
    <x v="0"/>
    <x v="7"/>
    <x v="0"/>
    <x v="4"/>
    <x v="29"/>
    <n v="49"/>
    <n v="470645"/>
    <n v="260190"/>
  </r>
  <r>
    <x v="8"/>
    <x v="0"/>
    <x v="8"/>
    <x v="0"/>
    <x v="4"/>
    <x v="29"/>
    <n v="52"/>
    <n v="481312"/>
    <n v="276120"/>
  </r>
  <r>
    <x v="9"/>
    <x v="0"/>
    <x v="9"/>
    <x v="0"/>
    <x v="4"/>
    <x v="29"/>
    <n v="43"/>
    <n v="443588"/>
    <n v="228330"/>
  </r>
  <r>
    <x v="10"/>
    <x v="0"/>
    <x v="10"/>
    <x v="0"/>
    <x v="4"/>
    <x v="29"/>
    <n v="31"/>
    <n v="325996"/>
    <n v="164610"/>
  </r>
  <r>
    <x v="11"/>
    <x v="0"/>
    <x v="11"/>
    <x v="0"/>
    <x v="4"/>
    <x v="29"/>
    <n v="37"/>
    <n v="351611"/>
    <n v="196470"/>
  </r>
  <r>
    <x v="12"/>
    <x v="1"/>
    <x v="12"/>
    <x v="0"/>
    <x v="4"/>
    <x v="29"/>
    <n v="53"/>
    <n v="516273"/>
    <n v="281430"/>
  </r>
  <r>
    <x v="13"/>
    <x v="1"/>
    <x v="13"/>
    <x v="0"/>
    <x v="4"/>
    <x v="29"/>
    <n v="34"/>
    <n v="364888"/>
    <n v="180540"/>
  </r>
  <r>
    <x v="14"/>
    <x v="1"/>
    <x v="14"/>
    <x v="0"/>
    <x v="4"/>
    <x v="29"/>
    <n v="27"/>
    <n v="253341"/>
    <n v="143370"/>
  </r>
  <r>
    <x v="15"/>
    <x v="1"/>
    <x v="15"/>
    <x v="0"/>
    <x v="4"/>
    <x v="29"/>
    <n v="50"/>
    <n v="543200"/>
    <n v="265500"/>
  </r>
  <r>
    <x v="16"/>
    <x v="1"/>
    <x v="16"/>
    <x v="0"/>
    <x v="4"/>
    <x v="29"/>
    <n v="63"/>
    <n v="659736"/>
    <n v="334530"/>
  </r>
  <r>
    <x v="17"/>
    <x v="1"/>
    <x v="17"/>
    <x v="0"/>
    <x v="4"/>
    <x v="29"/>
    <n v="60"/>
    <n v="599640"/>
    <n v="318600"/>
  </r>
  <r>
    <x v="18"/>
    <x v="1"/>
    <x v="18"/>
    <x v="0"/>
    <x v="4"/>
    <x v="29"/>
    <n v="63"/>
    <n v="575946"/>
    <n v="334530"/>
  </r>
  <r>
    <x v="19"/>
    <x v="1"/>
    <x v="19"/>
    <x v="0"/>
    <x v="4"/>
    <x v="29"/>
    <n v="53"/>
    <n v="518022"/>
    <n v="281430"/>
  </r>
  <r>
    <x v="20"/>
    <x v="1"/>
    <x v="20"/>
    <x v="0"/>
    <x v="4"/>
    <x v="29"/>
    <n v="57"/>
    <n v="560196"/>
    <n v="302670"/>
  </r>
  <r>
    <x v="21"/>
    <x v="1"/>
    <x v="21"/>
    <x v="0"/>
    <x v="4"/>
    <x v="29"/>
    <n v="47"/>
    <n v="507083"/>
    <n v="249570"/>
  </r>
  <r>
    <x v="22"/>
    <x v="1"/>
    <x v="22"/>
    <x v="0"/>
    <x v="4"/>
    <x v="29"/>
    <n v="34"/>
    <n v="343468"/>
    <n v="180540"/>
  </r>
  <r>
    <x v="23"/>
    <x v="1"/>
    <x v="23"/>
    <x v="0"/>
    <x v="4"/>
    <x v="29"/>
    <n v="40"/>
    <n v="402120"/>
    <n v="212400"/>
  </r>
  <r>
    <x v="0"/>
    <x v="0"/>
    <x v="0"/>
    <x v="0"/>
    <x v="4"/>
    <x v="30"/>
    <n v="46"/>
    <n v="369564"/>
    <n v="148120"/>
  </r>
  <r>
    <x v="1"/>
    <x v="0"/>
    <x v="1"/>
    <x v="0"/>
    <x v="4"/>
    <x v="30"/>
    <n v="29"/>
    <n v="240207"/>
    <n v="93380"/>
  </r>
  <r>
    <x v="2"/>
    <x v="0"/>
    <x v="2"/>
    <x v="0"/>
    <x v="4"/>
    <x v="30"/>
    <n v="23"/>
    <n v="161897"/>
    <n v="74060"/>
  </r>
  <r>
    <x v="3"/>
    <x v="0"/>
    <x v="3"/>
    <x v="0"/>
    <x v="4"/>
    <x v="30"/>
    <n v="44"/>
    <n v="386936"/>
    <n v="141680"/>
  </r>
  <r>
    <x v="4"/>
    <x v="0"/>
    <x v="4"/>
    <x v="0"/>
    <x v="4"/>
    <x v="30"/>
    <n v="55"/>
    <n v="493790"/>
    <n v="177100"/>
  </r>
  <r>
    <x v="5"/>
    <x v="0"/>
    <x v="5"/>
    <x v="0"/>
    <x v="4"/>
    <x v="30"/>
    <n v="52"/>
    <n v="430768"/>
    <n v="167440"/>
  </r>
  <r>
    <x v="6"/>
    <x v="0"/>
    <x v="6"/>
    <x v="0"/>
    <x v="4"/>
    <x v="30"/>
    <n v="55"/>
    <n v="390115"/>
    <n v="177100"/>
  </r>
  <r>
    <x v="7"/>
    <x v="0"/>
    <x v="7"/>
    <x v="0"/>
    <x v="4"/>
    <x v="30"/>
    <n v="46"/>
    <n v="350474"/>
    <n v="148120"/>
  </r>
  <r>
    <x v="8"/>
    <x v="0"/>
    <x v="8"/>
    <x v="0"/>
    <x v="4"/>
    <x v="30"/>
    <n v="49"/>
    <n v="398370"/>
    <n v="157780"/>
  </r>
  <r>
    <x v="9"/>
    <x v="0"/>
    <x v="9"/>
    <x v="0"/>
    <x v="4"/>
    <x v="30"/>
    <n v="41"/>
    <n v="321030"/>
    <n v="132020"/>
  </r>
  <r>
    <x v="10"/>
    <x v="0"/>
    <x v="10"/>
    <x v="0"/>
    <x v="4"/>
    <x v="30"/>
    <n v="29"/>
    <n v="230608"/>
    <n v="93380"/>
  </r>
  <r>
    <x v="11"/>
    <x v="0"/>
    <x v="11"/>
    <x v="0"/>
    <x v="4"/>
    <x v="30"/>
    <n v="35"/>
    <n v="262640"/>
    <n v="112700"/>
  </r>
  <r>
    <x v="12"/>
    <x v="1"/>
    <x v="12"/>
    <x v="0"/>
    <x v="4"/>
    <x v="30"/>
    <n v="51"/>
    <n v="416619"/>
    <n v="164220"/>
  </r>
  <r>
    <x v="13"/>
    <x v="1"/>
    <x v="13"/>
    <x v="0"/>
    <x v="4"/>
    <x v="30"/>
    <n v="32"/>
    <n v="264256"/>
    <n v="103040"/>
  </r>
  <r>
    <x v="14"/>
    <x v="1"/>
    <x v="14"/>
    <x v="0"/>
    <x v="4"/>
    <x v="30"/>
    <n v="26"/>
    <n v="185770"/>
    <n v="83720"/>
  </r>
  <r>
    <x v="15"/>
    <x v="1"/>
    <x v="15"/>
    <x v="0"/>
    <x v="4"/>
    <x v="30"/>
    <n v="48"/>
    <n v="413424"/>
    <n v="154560"/>
  </r>
  <r>
    <x v="16"/>
    <x v="1"/>
    <x v="16"/>
    <x v="0"/>
    <x v="4"/>
    <x v="30"/>
    <n v="60"/>
    <n v="551340"/>
    <n v="193200"/>
  </r>
  <r>
    <x v="17"/>
    <x v="1"/>
    <x v="17"/>
    <x v="0"/>
    <x v="4"/>
    <x v="30"/>
    <n v="57"/>
    <n v="500004"/>
    <n v="183540"/>
  </r>
  <r>
    <x v="18"/>
    <x v="1"/>
    <x v="18"/>
    <x v="0"/>
    <x v="4"/>
    <x v="30"/>
    <n v="60"/>
    <n v="403080"/>
    <n v="193200"/>
  </r>
  <r>
    <x v="19"/>
    <x v="1"/>
    <x v="19"/>
    <x v="0"/>
    <x v="4"/>
    <x v="30"/>
    <n v="51"/>
    <n v="395352"/>
    <n v="164220"/>
  </r>
  <r>
    <x v="20"/>
    <x v="1"/>
    <x v="20"/>
    <x v="0"/>
    <x v="4"/>
    <x v="30"/>
    <n v="54"/>
    <n v="444960"/>
    <n v="173880"/>
  </r>
  <r>
    <x v="21"/>
    <x v="1"/>
    <x v="21"/>
    <x v="0"/>
    <x v="4"/>
    <x v="30"/>
    <n v="45"/>
    <n v="395145"/>
    <n v="144900"/>
  </r>
  <r>
    <x v="22"/>
    <x v="1"/>
    <x v="22"/>
    <x v="0"/>
    <x v="4"/>
    <x v="30"/>
    <n v="32"/>
    <n v="283168"/>
    <n v="103040"/>
  </r>
  <r>
    <x v="23"/>
    <x v="1"/>
    <x v="23"/>
    <x v="0"/>
    <x v="4"/>
    <x v="30"/>
    <n v="38"/>
    <n v="268166"/>
    <n v="122360"/>
  </r>
  <r>
    <x v="0"/>
    <x v="0"/>
    <x v="0"/>
    <x v="0"/>
    <x v="4"/>
    <x v="31"/>
    <n v="58"/>
    <n v="450718"/>
    <n v="192270"/>
  </r>
  <r>
    <x v="1"/>
    <x v="0"/>
    <x v="1"/>
    <x v="0"/>
    <x v="4"/>
    <x v="31"/>
    <n v="36"/>
    <n v="286092"/>
    <n v="119340"/>
  </r>
  <r>
    <x v="2"/>
    <x v="0"/>
    <x v="2"/>
    <x v="0"/>
    <x v="4"/>
    <x v="31"/>
    <n v="29"/>
    <n v="197693"/>
    <n v="96135"/>
  </r>
  <r>
    <x v="3"/>
    <x v="0"/>
    <x v="3"/>
    <x v="0"/>
    <x v="4"/>
    <x v="31"/>
    <n v="54"/>
    <n v="464076"/>
    <n v="179010"/>
  </r>
  <r>
    <x v="4"/>
    <x v="0"/>
    <x v="4"/>
    <x v="0"/>
    <x v="4"/>
    <x v="31"/>
    <n v="68"/>
    <n v="610504"/>
    <n v="225420"/>
  </r>
  <r>
    <x v="5"/>
    <x v="0"/>
    <x v="5"/>
    <x v="0"/>
    <x v="4"/>
    <x v="31"/>
    <n v="65"/>
    <n v="519415"/>
    <n v="215475"/>
  </r>
  <r>
    <x v="6"/>
    <x v="0"/>
    <x v="6"/>
    <x v="0"/>
    <x v="4"/>
    <x v="31"/>
    <n v="68"/>
    <n v="465120"/>
    <n v="225420"/>
  </r>
  <r>
    <x v="7"/>
    <x v="0"/>
    <x v="7"/>
    <x v="0"/>
    <x v="4"/>
    <x v="31"/>
    <n v="58"/>
    <n v="451762"/>
    <n v="192270"/>
  </r>
  <r>
    <x v="8"/>
    <x v="0"/>
    <x v="8"/>
    <x v="0"/>
    <x v="4"/>
    <x v="31"/>
    <n v="61"/>
    <n v="440298"/>
    <n v="202215"/>
  </r>
  <r>
    <x v="9"/>
    <x v="0"/>
    <x v="9"/>
    <x v="0"/>
    <x v="4"/>
    <x v="31"/>
    <n v="50"/>
    <n v="408350"/>
    <n v="165750"/>
  </r>
  <r>
    <x v="10"/>
    <x v="0"/>
    <x v="10"/>
    <x v="0"/>
    <x v="4"/>
    <x v="31"/>
    <n v="36"/>
    <n v="272736"/>
    <n v="119340"/>
  </r>
  <r>
    <x v="11"/>
    <x v="0"/>
    <x v="11"/>
    <x v="0"/>
    <x v="4"/>
    <x v="31"/>
    <n v="43"/>
    <n v="315319"/>
    <n v="142545"/>
  </r>
  <r>
    <x v="12"/>
    <x v="1"/>
    <x v="12"/>
    <x v="0"/>
    <x v="4"/>
    <x v="31"/>
    <n v="63"/>
    <n v="484911"/>
    <n v="208845"/>
  </r>
  <r>
    <x v="13"/>
    <x v="1"/>
    <x v="13"/>
    <x v="0"/>
    <x v="4"/>
    <x v="31"/>
    <n v="40"/>
    <n v="316920"/>
    <n v="132600"/>
  </r>
  <r>
    <x v="14"/>
    <x v="1"/>
    <x v="14"/>
    <x v="0"/>
    <x v="4"/>
    <x v="31"/>
    <n v="32"/>
    <n v="239232"/>
    <n v="106080"/>
  </r>
  <r>
    <x v="15"/>
    <x v="1"/>
    <x v="15"/>
    <x v="0"/>
    <x v="4"/>
    <x v="31"/>
    <n v="59"/>
    <n v="492296"/>
    <n v="195585"/>
  </r>
  <r>
    <x v="16"/>
    <x v="1"/>
    <x v="16"/>
    <x v="0"/>
    <x v="4"/>
    <x v="31"/>
    <n v="75"/>
    <n v="645600"/>
    <n v="248625"/>
  </r>
  <r>
    <x v="17"/>
    <x v="1"/>
    <x v="17"/>
    <x v="0"/>
    <x v="4"/>
    <x v="31"/>
    <n v="71"/>
    <n v="574674"/>
    <n v="235365"/>
  </r>
  <r>
    <x v="18"/>
    <x v="1"/>
    <x v="18"/>
    <x v="0"/>
    <x v="4"/>
    <x v="31"/>
    <n v="75"/>
    <n v="454950"/>
    <n v="248625"/>
  </r>
  <r>
    <x v="19"/>
    <x v="1"/>
    <x v="19"/>
    <x v="0"/>
    <x v="4"/>
    <x v="31"/>
    <n v="63"/>
    <n v="481887"/>
    <n v="208845"/>
  </r>
  <r>
    <x v="20"/>
    <x v="1"/>
    <x v="20"/>
    <x v="0"/>
    <x v="4"/>
    <x v="31"/>
    <n v="67"/>
    <n v="490440"/>
    <n v="222105"/>
  </r>
  <r>
    <x v="21"/>
    <x v="1"/>
    <x v="21"/>
    <x v="0"/>
    <x v="4"/>
    <x v="31"/>
    <n v="55"/>
    <n v="457050"/>
    <n v="182325"/>
  </r>
  <r>
    <x v="22"/>
    <x v="1"/>
    <x v="22"/>
    <x v="0"/>
    <x v="4"/>
    <x v="31"/>
    <n v="40"/>
    <n v="324080"/>
    <n v="132600"/>
  </r>
  <r>
    <x v="23"/>
    <x v="1"/>
    <x v="23"/>
    <x v="0"/>
    <x v="4"/>
    <x v="31"/>
    <n v="48"/>
    <n v="347760"/>
    <n v="159120"/>
  </r>
  <r>
    <x v="0"/>
    <x v="0"/>
    <x v="0"/>
    <x v="0"/>
    <x v="4"/>
    <x v="32"/>
    <n v="63"/>
    <n v="693882"/>
    <n v="296100"/>
  </r>
  <r>
    <x v="1"/>
    <x v="0"/>
    <x v="1"/>
    <x v="0"/>
    <x v="4"/>
    <x v="32"/>
    <n v="40"/>
    <n v="445480"/>
    <n v="188000"/>
  </r>
  <r>
    <x v="2"/>
    <x v="0"/>
    <x v="2"/>
    <x v="0"/>
    <x v="4"/>
    <x v="32"/>
    <n v="32"/>
    <n v="351936"/>
    <n v="150400"/>
  </r>
  <r>
    <x v="3"/>
    <x v="0"/>
    <x v="3"/>
    <x v="0"/>
    <x v="4"/>
    <x v="32"/>
    <n v="59"/>
    <n v="700802"/>
    <n v="277300"/>
  </r>
  <r>
    <x v="4"/>
    <x v="0"/>
    <x v="4"/>
    <x v="0"/>
    <x v="4"/>
    <x v="32"/>
    <n v="75"/>
    <n v="913575"/>
    <n v="352500"/>
  </r>
  <r>
    <x v="5"/>
    <x v="0"/>
    <x v="5"/>
    <x v="0"/>
    <x v="4"/>
    <x v="32"/>
    <n v="71"/>
    <n v="802016"/>
    <n v="333700"/>
  </r>
  <r>
    <x v="6"/>
    <x v="0"/>
    <x v="6"/>
    <x v="0"/>
    <x v="4"/>
    <x v="32"/>
    <n v="75"/>
    <n v="745650"/>
    <n v="352500"/>
  </r>
  <r>
    <x v="7"/>
    <x v="0"/>
    <x v="7"/>
    <x v="0"/>
    <x v="4"/>
    <x v="32"/>
    <n v="63"/>
    <n v="701127"/>
    <n v="296100"/>
  </r>
  <r>
    <x v="8"/>
    <x v="0"/>
    <x v="8"/>
    <x v="0"/>
    <x v="4"/>
    <x v="32"/>
    <n v="67"/>
    <n v="710602"/>
    <n v="314900"/>
  </r>
  <r>
    <x v="9"/>
    <x v="0"/>
    <x v="9"/>
    <x v="0"/>
    <x v="4"/>
    <x v="32"/>
    <n v="55"/>
    <n v="648835"/>
    <n v="258500"/>
  </r>
  <r>
    <x v="10"/>
    <x v="0"/>
    <x v="10"/>
    <x v="0"/>
    <x v="4"/>
    <x v="32"/>
    <n v="40"/>
    <n v="433280"/>
    <n v="188000"/>
  </r>
  <r>
    <x v="11"/>
    <x v="0"/>
    <x v="11"/>
    <x v="0"/>
    <x v="4"/>
    <x v="32"/>
    <n v="48"/>
    <n v="494352"/>
    <n v="225600"/>
  </r>
  <r>
    <x v="12"/>
    <x v="1"/>
    <x v="12"/>
    <x v="0"/>
    <x v="4"/>
    <x v="32"/>
    <n v="69"/>
    <n v="746580"/>
    <n v="324300"/>
  </r>
  <r>
    <x v="13"/>
    <x v="1"/>
    <x v="13"/>
    <x v="0"/>
    <x v="4"/>
    <x v="32"/>
    <n v="44"/>
    <n v="481800"/>
    <n v="206800"/>
  </r>
  <r>
    <x v="14"/>
    <x v="1"/>
    <x v="14"/>
    <x v="0"/>
    <x v="4"/>
    <x v="32"/>
    <n v="35"/>
    <n v="388255"/>
    <n v="164500"/>
  </r>
  <r>
    <x v="15"/>
    <x v="1"/>
    <x v="15"/>
    <x v="0"/>
    <x v="4"/>
    <x v="32"/>
    <n v="65"/>
    <n v="749255"/>
    <n v="305500"/>
  </r>
  <r>
    <x v="16"/>
    <x v="1"/>
    <x v="16"/>
    <x v="0"/>
    <x v="4"/>
    <x v="32"/>
    <n v="82"/>
    <n v="946854"/>
    <n v="385400"/>
  </r>
  <r>
    <x v="17"/>
    <x v="1"/>
    <x v="17"/>
    <x v="0"/>
    <x v="4"/>
    <x v="32"/>
    <n v="78"/>
    <n v="855036"/>
    <n v="366600"/>
  </r>
  <r>
    <x v="18"/>
    <x v="1"/>
    <x v="18"/>
    <x v="0"/>
    <x v="4"/>
    <x v="32"/>
    <n v="82"/>
    <n v="782690"/>
    <n v="385400"/>
  </r>
  <r>
    <x v="19"/>
    <x v="1"/>
    <x v="19"/>
    <x v="0"/>
    <x v="4"/>
    <x v="32"/>
    <n v="69"/>
    <n v="752445"/>
    <n v="324300"/>
  </r>
  <r>
    <x v="20"/>
    <x v="1"/>
    <x v="20"/>
    <x v="0"/>
    <x v="4"/>
    <x v="32"/>
    <n v="74"/>
    <n v="810818"/>
    <n v="347800"/>
  </r>
  <r>
    <x v="21"/>
    <x v="1"/>
    <x v="21"/>
    <x v="0"/>
    <x v="4"/>
    <x v="32"/>
    <n v="61"/>
    <n v="685579"/>
    <n v="286700"/>
  </r>
  <r>
    <x v="22"/>
    <x v="1"/>
    <x v="22"/>
    <x v="0"/>
    <x v="4"/>
    <x v="32"/>
    <n v="44"/>
    <n v="520564"/>
    <n v="206800"/>
  </r>
  <r>
    <x v="23"/>
    <x v="1"/>
    <x v="23"/>
    <x v="0"/>
    <x v="4"/>
    <x v="32"/>
    <n v="52"/>
    <n v="542932"/>
    <n v="244400"/>
  </r>
  <r>
    <x v="0"/>
    <x v="0"/>
    <x v="0"/>
    <x v="0"/>
    <x v="4"/>
    <x v="33"/>
    <n v="67"/>
    <n v="709262"/>
    <n v="359723"/>
  </r>
  <r>
    <x v="1"/>
    <x v="0"/>
    <x v="1"/>
    <x v="0"/>
    <x v="4"/>
    <x v="33"/>
    <n v="42"/>
    <n v="453852"/>
    <n v="225498"/>
  </r>
  <r>
    <x v="2"/>
    <x v="0"/>
    <x v="2"/>
    <x v="0"/>
    <x v="4"/>
    <x v="33"/>
    <n v="34"/>
    <n v="342720"/>
    <n v="182546"/>
  </r>
  <r>
    <x v="3"/>
    <x v="0"/>
    <x v="3"/>
    <x v="0"/>
    <x v="4"/>
    <x v="33"/>
    <n v="62"/>
    <n v="654844"/>
    <n v="332878"/>
  </r>
  <r>
    <x v="4"/>
    <x v="0"/>
    <x v="4"/>
    <x v="0"/>
    <x v="4"/>
    <x v="33"/>
    <n v="79"/>
    <n v="891673"/>
    <n v="424151"/>
  </r>
  <r>
    <x v="5"/>
    <x v="0"/>
    <x v="5"/>
    <x v="0"/>
    <x v="4"/>
    <x v="33"/>
    <n v="75"/>
    <n v="804900"/>
    <n v="402675"/>
  </r>
  <r>
    <x v="6"/>
    <x v="0"/>
    <x v="6"/>
    <x v="0"/>
    <x v="4"/>
    <x v="33"/>
    <n v="79"/>
    <n v="674107"/>
    <n v="424151"/>
  </r>
  <r>
    <x v="7"/>
    <x v="0"/>
    <x v="7"/>
    <x v="0"/>
    <x v="4"/>
    <x v="33"/>
    <n v="67"/>
    <n v="661290"/>
    <n v="359723"/>
  </r>
  <r>
    <x v="8"/>
    <x v="0"/>
    <x v="8"/>
    <x v="0"/>
    <x v="4"/>
    <x v="33"/>
    <n v="71"/>
    <n v="701622"/>
    <n v="381199"/>
  </r>
  <r>
    <x v="9"/>
    <x v="0"/>
    <x v="9"/>
    <x v="0"/>
    <x v="4"/>
    <x v="33"/>
    <n v="58"/>
    <n v="579768"/>
    <n v="311402"/>
  </r>
  <r>
    <x v="10"/>
    <x v="0"/>
    <x v="10"/>
    <x v="0"/>
    <x v="4"/>
    <x v="33"/>
    <n v="42"/>
    <n v="421554"/>
    <n v="225498"/>
  </r>
  <r>
    <x v="11"/>
    <x v="0"/>
    <x v="11"/>
    <x v="0"/>
    <x v="4"/>
    <x v="33"/>
    <n v="50"/>
    <n v="514250"/>
    <n v="268450"/>
  </r>
  <r>
    <x v="12"/>
    <x v="1"/>
    <x v="12"/>
    <x v="0"/>
    <x v="4"/>
    <x v="33"/>
    <n v="73"/>
    <n v="732190"/>
    <n v="391937"/>
  </r>
  <r>
    <x v="13"/>
    <x v="1"/>
    <x v="13"/>
    <x v="0"/>
    <x v="4"/>
    <x v="33"/>
    <n v="46"/>
    <n v="463082"/>
    <n v="246974"/>
  </r>
  <r>
    <x v="14"/>
    <x v="1"/>
    <x v="14"/>
    <x v="0"/>
    <x v="4"/>
    <x v="33"/>
    <n v="37"/>
    <n v="377955"/>
    <n v="198653"/>
  </r>
  <r>
    <x v="15"/>
    <x v="1"/>
    <x v="15"/>
    <x v="0"/>
    <x v="4"/>
    <x v="33"/>
    <n v="69"/>
    <n v="713667"/>
    <n v="370461"/>
  </r>
  <r>
    <x v="16"/>
    <x v="1"/>
    <x v="16"/>
    <x v="0"/>
    <x v="4"/>
    <x v="33"/>
    <n v="87"/>
    <n v="1008504"/>
    <n v="467103"/>
  </r>
  <r>
    <x v="17"/>
    <x v="1"/>
    <x v="17"/>
    <x v="0"/>
    <x v="4"/>
    <x v="33"/>
    <n v="82"/>
    <n v="876170"/>
    <n v="440258"/>
  </r>
  <r>
    <x v="18"/>
    <x v="1"/>
    <x v="18"/>
    <x v="0"/>
    <x v="4"/>
    <x v="33"/>
    <n v="87"/>
    <n v="819540"/>
    <n v="467103"/>
  </r>
  <r>
    <x v="19"/>
    <x v="1"/>
    <x v="19"/>
    <x v="0"/>
    <x v="4"/>
    <x v="33"/>
    <n v="73"/>
    <n v="741169"/>
    <n v="391937"/>
  </r>
  <r>
    <x v="20"/>
    <x v="1"/>
    <x v="20"/>
    <x v="0"/>
    <x v="4"/>
    <x v="33"/>
    <n v="78"/>
    <n v="811044"/>
    <n v="418782"/>
  </r>
  <r>
    <x v="21"/>
    <x v="1"/>
    <x v="21"/>
    <x v="0"/>
    <x v="4"/>
    <x v="33"/>
    <n v="64"/>
    <n v="686464"/>
    <n v="343616"/>
  </r>
  <r>
    <x v="22"/>
    <x v="1"/>
    <x v="22"/>
    <x v="0"/>
    <x v="4"/>
    <x v="33"/>
    <n v="46"/>
    <n v="480470"/>
    <n v="246974"/>
  </r>
  <r>
    <x v="23"/>
    <x v="1"/>
    <x v="23"/>
    <x v="0"/>
    <x v="4"/>
    <x v="33"/>
    <n v="55"/>
    <n v="554565"/>
    <n v="295295"/>
  </r>
  <r>
    <x v="0"/>
    <x v="0"/>
    <x v="0"/>
    <x v="0"/>
    <x v="4"/>
    <x v="34"/>
    <n v="48"/>
    <n v="598272"/>
    <n v="264000"/>
  </r>
  <r>
    <x v="1"/>
    <x v="0"/>
    <x v="1"/>
    <x v="0"/>
    <x v="4"/>
    <x v="34"/>
    <n v="30"/>
    <n v="386610"/>
    <n v="165000"/>
  </r>
  <r>
    <x v="2"/>
    <x v="0"/>
    <x v="2"/>
    <x v="0"/>
    <x v="4"/>
    <x v="34"/>
    <n v="24"/>
    <n v="288960"/>
    <n v="132000"/>
  </r>
  <r>
    <x v="3"/>
    <x v="0"/>
    <x v="3"/>
    <x v="0"/>
    <x v="4"/>
    <x v="34"/>
    <n v="45"/>
    <n v="592290"/>
    <n v="247500"/>
  </r>
  <r>
    <x v="4"/>
    <x v="0"/>
    <x v="4"/>
    <x v="0"/>
    <x v="4"/>
    <x v="34"/>
    <n v="56"/>
    <n v="704312"/>
    <n v="308000"/>
  </r>
  <r>
    <x v="5"/>
    <x v="0"/>
    <x v="5"/>
    <x v="0"/>
    <x v="4"/>
    <x v="34"/>
    <n v="53"/>
    <n v="644798"/>
    <n v="291500"/>
  </r>
  <r>
    <x v="6"/>
    <x v="0"/>
    <x v="6"/>
    <x v="0"/>
    <x v="4"/>
    <x v="34"/>
    <n v="56"/>
    <n v="593432"/>
    <n v="308000"/>
  </r>
  <r>
    <x v="7"/>
    <x v="0"/>
    <x v="7"/>
    <x v="0"/>
    <x v="4"/>
    <x v="34"/>
    <n v="48"/>
    <n v="584544"/>
    <n v="264000"/>
  </r>
  <r>
    <x v="8"/>
    <x v="0"/>
    <x v="8"/>
    <x v="0"/>
    <x v="4"/>
    <x v="34"/>
    <n v="50"/>
    <n v="608250"/>
    <n v="275000"/>
  </r>
  <r>
    <x v="9"/>
    <x v="0"/>
    <x v="9"/>
    <x v="0"/>
    <x v="4"/>
    <x v="34"/>
    <n v="42"/>
    <n v="542304"/>
    <n v="231000"/>
  </r>
  <r>
    <x v="10"/>
    <x v="0"/>
    <x v="10"/>
    <x v="0"/>
    <x v="4"/>
    <x v="34"/>
    <n v="30"/>
    <n v="365550"/>
    <n v="165000"/>
  </r>
  <r>
    <x v="11"/>
    <x v="0"/>
    <x v="11"/>
    <x v="0"/>
    <x v="4"/>
    <x v="34"/>
    <n v="36"/>
    <n v="426960"/>
    <n v="198000"/>
  </r>
  <r>
    <x v="12"/>
    <x v="1"/>
    <x v="12"/>
    <x v="0"/>
    <x v="4"/>
    <x v="34"/>
    <n v="52"/>
    <n v="617344"/>
    <n v="286000"/>
  </r>
  <r>
    <x v="13"/>
    <x v="1"/>
    <x v="13"/>
    <x v="0"/>
    <x v="4"/>
    <x v="34"/>
    <n v="33"/>
    <n v="401742"/>
    <n v="181500"/>
  </r>
  <r>
    <x v="14"/>
    <x v="1"/>
    <x v="14"/>
    <x v="0"/>
    <x v="4"/>
    <x v="34"/>
    <n v="26"/>
    <n v="305786"/>
    <n v="143000"/>
  </r>
  <r>
    <x v="15"/>
    <x v="1"/>
    <x v="15"/>
    <x v="0"/>
    <x v="4"/>
    <x v="34"/>
    <n v="49"/>
    <n v="646996"/>
    <n v="269500"/>
  </r>
  <r>
    <x v="16"/>
    <x v="1"/>
    <x v="16"/>
    <x v="0"/>
    <x v="4"/>
    <x v="34"/>
    <n v="62"/>
    <n v="789136"/>
    <n v="341000"/>
  </r>
  <r>
    <x v="17"/>
    <x v="1"/>
    <x v="17"/>
    <x v="0"/>
    <x v="4"/>
    <x v="34"/>
    <n v="59"/>
    <n v="712307"/>
    <n v="324500"/>
  </r>
  <r>
    <x v="18"/>
    <x v="1"/>
    <x v="18"/>
    <x v="0"/>
    <x v="4"/>
    <x v="34"/>
    <n v="62"/>
    <n v="644242"/>
    <n v="341000"/>
  </r>
  <r>
    <x v="19"/>
    <x v="1"/>
    <x v="19"/>
    <x v="0"/>
    <x v="4"/>
    <x v="34"/>
    <n v="52"/>
    <n v="636116"/>
    <n v="286000"/>
  </r>
  <r>
    <x v="20"/>
    <x v="1"/>
    <x v="20"/>
    <x v="0"/>
    <x v="4"/>
    <x v="34"/>
    <n v="55"/>
    <n v="642125"/>
    <n v="302500"/>
  </r>
  <r>
    <x v="21"/>
    <x v="1"/>
    <x v="21"/>
    <x v="0"/>
    <x v="4"/>
    <x v="34"/>
    <n v="46"/>
    <n v="599978"/>
    <n v="253000"/>
  </r>
  <r>
    <x v="22"/>
    <x v="1"/>
    <x v="22"/>
    <x v="0"/>
    <x v="4"/>
    <x v="34"/>
    <n v="33"/>
    <n v="401973"/>
    <n v="181500"/>
  </r>
  <r>
    <x v="23"/>
    <x v="1"/>
    <x v="23"/>
    <x v="0"/>
    <x v="4"/>
    <x v="34"/>
    <n v="39"/>
    <n v="461331"/>
    <n v="214500"/>
  </r>
  <r>
    <x v="0"/>
    <x v="0"/>
    <x v="0"/>
    <x v="0"/>
    <x v="5"/>
    <x v="35"/>
    <n v="15"/>
    <n v="63225"/>
    <n v="22680"/>
  </r>
  <r>
    <x v="1"/>
    <x v="0"/>
    <x v="1"/>
    <x v="0"/>
    <x v="5"/>
    <x v="35"/>
    <n v="9"/>
    <n v="31905"/>
    <n v="13608"/>
  </r>
  <r>
    <x v="2"/>
    <x v="0"/>
    <x v="2"/>
    <x v="0"/>
    <x v="5"/>
    <x v="35"/>
    <n v="8"/>
    <n v="23648"/>
    <n v="12096"/>
  </r>
  <r>
    <x v="3"/>
    <x v="0"/>
    <x v="3"/>
    <x v="0"/>
    <x v="5"/>
    <x v="35"/>
    <n v="14"/>
    <n v="63336"/>
    <n v="21168"/>
  </r>
  <r>
    <x v="4"/>
    <x v="0"/>
    <x v="4"/>
    <x v="0"/>
    <x v="5"/>
    <x v="35"/>
    <n v="18"/>
    <n v="86544"/>
    <n v="27216"/>
  </r>
  <r>
    <x v="5"/>
    <x v="0"/>
    <x v="5"/>
    <x v="0"/>
    <x v="5"/>
    <x v="35"/>
    <n v="17"/>
    <n v="82025"/>
    <n v="25704"/>
  </r>
  <r>
    <x v="6"/>
    <x v="0"/>
    <x v="6"/>
    <x v="0"/>
    <x v="5"/>
    <x v="35"/>
    <n v="18"/>
    <n v="40734"/>
    <n v="27216"/>
  </r>
  <r>
    <x v="7"/>
    <x v="0"/>
    <x v="7"/>
    <x v="0"/>
    <x v="5"/>
    <x v="35"/>
    <n v="15"/>
    <n v="48495"/>
    <n v="22680"/>
  </r>
  <r>
    <x v="8"/>
    <x v="0"/>
    <x v="8"/>
    <x v="0"/>
    <x v="5"/>
    <x v="35"/>
    <n v="16"/>
    <n v="61376"/>
    <n v="24192"/>
  </r>
  <r>
    <x v="9"/>
    <x v="0"/>
    <x v="9"/>
    <x v="0"/>
    <x v="5"/>
    <x v="35"/>
    <n v="13"/>
    <n v="52702"/>
    <n v="19656"/>
  </r>
  <r>
    <x v="10"/>
    <x v="0"/>
    <x v="10"/>
    <x v="0"/>
    <x v="5"/>
    <x v="35"/>
    <n v="9"/>
    <n v="40023"/>
    <n v="13608"/>
  </r>
  <r>
    <x v="11"/>
    <x v="0"/>
    <x v="11"/>
    <x v="0"/>
    <x v="5"/>
    <x v="35"/>
    <n v="11"/>
    <n v="36091"/>
    <n v="16632"/>
  </r>
  <r>
    <x v="12"/>
    <x v="1"/>
    <x v="12"/>
    <x v="0"/>
    <x v="5"/>
    <x v="35"/>
    <n v="16"/>
    <n v="59280"/>
    <n v="24192"/>
  </r>
  <r>
    <x v="13"/>
    <x v="1"/>
    <x v="13"/>
    <x v="0"/>
    <x v="5"/>
    <x v="35"/>
    <n v="10"/>
    <n v="39890"/>
    <n v="15120"/>
  </r>
  <r>
    <x v="14"/>
    <x v="1"/>
    <x v="14"/>
    <x v="0"/>
    <x v="5"/>
    <x v="35"/>
    <n v="8"/>
    <n v="30600"/>
    <n v="12096"/>
  </r>
  <r>
    <x v="15"/>
    <x v="1"/>
    <x v="15"/>
    <x v="0"/>
    <x v="5"/>
    <x v="35"/>
    <n v="15"/>
    <n v="69420"/>
    <n v="22680"/>
  </r>
  <r>
    <x v="16"/>
    <x v="1"/>
    <x v="16"/>
    <x v="0"/>
    <x v="5"/>
    <x v="35"/>
    <n v="19"/>
    <n v="97964"/>
    <n v="28728"/>
  </r>
  <r>
    <x v="17"/>
    <x v="1"/>
    <x v="17"/>
    <x v="0"/>
    <x v="5"/>
    <x v="35"/>
    <n v="18"/>
    <n v="72882"/>
    <n v="27216"/>
  </r>
  <r>
    <x v="18"/>
    <x v="1"/>
    <x v="18"/>
    <x v="0"/>
    <x v="5"/>
    <x v="35"/>
    <n v="19"/>
    <n v="42788"/>
    <n v="28728"/>
  </r>
  <r>
    <x v="19"/>
    <x v="1"/>
    <x v="19"/>
    <x v="0"/>
    <x v="5"/>
    <x v="35"/>
    <n v="16"/>
    <n v="59680"/>
    <n v="24192"/>
  </r>
  <r>
    <x v="20"/>
    <x v="1"/>
    <x v="20"/>
    <x v="0"/>
    <x v="5"/>
    <x v="35"/>
    <n v="17"/>
    <n v="74562"/>
    <n v="25704"/>
  </r>
  <r>
    <x v="21"/>
    <x v="1"/>
    <x v="21"/>
    <x v="0"/>
    <x v="5"/>
    <x v="35"/>
    <n v="14"/>
    <n v="55006"/>
    <n v="21168"/>
  </r>
  <r>
    <x v="22"/>
    <x v="1"/>
    <x v="22"/>
    <x v="0"/>
    <x v="5"/>
    <x v="35"/>
    <n v="10"/>
    <n v="36300"/>
    <n v="15120"/>
  </r>
  <r>
    <x v="23"/>
    <x v="1"/>
    <x v="23"/>
    <x v="0"/>
    <x v="5"/>
    <x v="35"/>
    <n v="12"/>
    <n v="43896"/>
    <n v="18144"/>
  </r>
  <r>
    <x v="0"/>
    <x v="0"/>
    <x v="0"/>
    <x v="0"/>
    <x v="5"/>
    <x v="36"/>
    <n v="18"/>
    <n v="57294"/>
    <n v="14076"/>
  </r>
  <r>
    <x v="1"/>
    <x v="0"/>
    <x v="1"/>
    <x v="0"/>
    <x v="5"/>
    <x v="36"/>
    <n v="12"/>
    <n v="32760"/>
    <n v="9384"/>
  </r>
  <r>
    <x v="2"/>
    <x v="0"/>
    <x v="2"/>
    <x v="0"/>
    <x v="5"/>
    <x v="36"/>
    <n v="9"/>
    <n v="16560"/>
    <n v="7038"/>
  </r>
  <r>
    <x v="3"/>
    <x v="0"/>
    <x v="3"/>
    <x v="0"/>
    <x v="5"/>
    <x v="36"/>
    <n v="17"/>
    <n v="62713"/>
    <n v="13294"/>
  </r>
  <r>
    <x v="4"/>
    <x v="0"/>
    <x v="4"/>
    <x v="0"/>
    <x v="5"/>
    <x v="36"/>
    <n v="22"/>
    <n v="72358"/>
    <n v="17204"/>
  </r>
  <r>
    <x v="5"/>
    <x v="0"/>
    <x v="5"/>
    <x v="0"/>
    <x v="5"/>
    <x v="36"/>
    <n v="20"/>
    <n v="67560"/>
    <n v="15640"/>
  </r>
  <r>
    <x v="6"/>
    <x v="0"/>
    <x v="6"/>
    <x v="0"/>
    <x v="5"/>
    <x v="36"/>
    <n v="22"/>
    <n v="34606"/>
    <n v="17204"/>
  </r>
  <r>
    <x v="7"/>
    <x v="0"/>
    <x v="7"/>
    <x v="0"/>
    <x v="5"/>
    <x v="36"/>
    <n v="18"/>
    <n v="41508"/>
    <n v="14076"/>
  </r>
  <r>
    <x v="8"/>
    <x v="0"/>
    <x v="8"/>
    <x v="0"/>
    <x v="5"/>
    <x v="36"/>
    <n v="19"/>
    <n v="50654"/>
    <n v="14858"/>
  </r>
  <r>
    <x v="9"/>
    <x v="0"/>
    <x v="9"/>
    <x v="0"/>
    <x v="5"/>
    <x v="36"/>
    <n v="16"/>
    <n v="58128"/>
    <n v="12512"/>
  </r>
  <r>
    <x v="10"/>
    <x v="0"/>
    <x v="10"/>
    <x v="0"/>
    <x v="5"/>
    <x v="36"/>
    <n v="12"/>
    <n v="34500"/>
    <n v="9384"/>
  </r>
  <r>
    <x v="11"/>
    <x v="0"/>
    <x v="11"/>
    <x v="0"/>
    <x v="5"/>
    <x v="36"/>
    <n v="14"/>
    <n v="35238"/>
    <n v="10948"/>
  </r>
  <r>
    <x v="12"/>
    <x v="1"/>
    <x v="12"/>
    <x v="0"/>
    <x v="5"/>
    <x v="36"/>
    <n v="20"/>
    <n v="47820"/>
    <n v="15640"/>
  </r>
  <r>
    <x v="13"/>
    <x v="1"/>
    <x v="13"/>
    <x v="0"/>
    <x v="5"/>
    <x v="36"/>
    <n v="13"/>
    <n v="43992"/>
    <n v="10166"/>
  </r>
  <r>
    <x v="14"/>
    <x v="1"/>
    <x v="14"/>
    <x v="0"/>
    <x v="5"/>
    <x v="36"/>
    <n v="10"/>
    <n v="24930"/>
    <n v="7820"/>
  </r>
  <r>
    <x v="15"/>
    <x v="1"/>
    <x v="15"/>
    <x v="0"/>
    <x v="5"/>
    <x v="36"/>
    <n v="19"/>
    <n v="73492"/>
    <n v="14858"/>
  </r>
  <r>
    <x v="16"/>
    <x v="1"/>
    <x v="16"/>
    <x v="0"/>
    <x v="5"/>
    <x v="36"/>
    <n v="24"/>
    <n v="80784"/>
    <n v="18768"/>
  </r>
  <r>
    <x v="17"/>
    <x v="1"/>
    <x v="17"/>
    <x v="0"/>
    <x v="5"/>
    <x v="36"/>
    <n v="22"/>
    <n v="62612"/>
    <n v="17204"/>
  </r>
  <r>
    <x v="18"/>
    <x v="1"/>
    <x v="18"/>
    <x v="0"/>
    <x v="5"/>
    <x v="36"/>
    <n v="24"/>
    <n v="23520"/>
    <n v="18768"/>
  </r>
  <r>
    <x v="19"/>
    <x v="1"/>
    <x v="19"/>
    <x v="0"/>
    <x v="5"/>
    <x v="36"/>
    <n v="20"/>
    <n v="41960"/>
    <n v="15640"/>
  </r>
  <r>
    <x v="20"/>
    <x v="1"/>
    <x v="20"/>
    <x v="0"/>
    <x v="5"/>
    <x v="36"/>
    <n v="21"/>
    <n v="61740"/>
    <n v="16422"/>
  </r>
  <r>
    <x v="21"/>
    <x v="1"/>
    <x v="21"/>
    <x v="0"/>
    <x v="5"/>
    <x v="36"/>
    <n v="18"/>
    <n v="50742"/>
    <n v="14076"/>
  </r>
  <r>
    <x v="22"/>
    <x v="1"/>
    <x v="22"/>
    <x v="0"/>
    <x v="5"/>
    <x v="36"/>
    <n v="13"/>
    <n v="35386"/>
    <n v="10166"/>
  </r>
  <r>
    <x v="23"/>
    <x v="1"/>
    <x v="23"/>
    <x v="0"/>
    <x v="5"/>
    <x v="36"/>
    <n v="15"/>
    <n v="30600"/>
    <n v="11730"/>
  </r>
  <r>
    <x v="0"/>
    <x v="0"/>
    <x v="0"/>
    <x v="0"/>
    <x v="5"/>
    <x v="37"/>
    <n v="16"/>
    <n v="78800"/>
    <n v="28000"/>
  </r>
  <r>
    <x v="1"/>
    <x v="0"/>
    <x v="1"/>
    <x v="0"/>
    <x v="5"/>
    <x v="37"/>
    <n v="10"/>
    <n v="45630"/>
    <n v="17500"/>
  </r>
  <r>
    <x v="2"/>
    <x v="0"/>
    <x v="2"/>
    <x v="0"/>
    <x v="5"/>
    <x v="37"/>
    <n v="8"/>
    <n v="36480"/>
    <n v="14000"/>
  </r>
  <r>
    <x v="3"/>
    <x v="0"/>
    <x v="3"/>
    <x v="0"/>
    <x v="5"/>
    <x v="37"/>
    <n v="15"/>
    <n v="80730"/>
    <n v="26250"/>
  </r>
  <r>
    <x v="4"/>
    <x v="0"/>
    <x v="4"/>
    <x v="0"/>
    <x v="5"/>
    <x v="37"/>
    <n v="19"/>
    <n v="107806"/>
    <n v="33250"/>
  </r>
  <r>
    <x v="5"/>
    <x v="0"/>
    <x v="5"/>
    <x v="0"/>
    <x v="5"/>
    <x v="37"/>
    <n v="18"/>
    <n v="88776"/>
    <n v="31500"/>
  </r>
  <r>
    <x v="6"/>
    <x v="0"/>
    <x v="6"/>
    <x v="0"/>
    <x v="5"/>
    <x v="37"/>
    <n v="19"/>
    <n v="73682"/>
    <n v="33250"/>
  </r>
  <r>
    <x v="7"/>
    <x v="0"/>
    <x v="7"/>
    <x v="0"/>
    <x v="5"/>
    <x v="37"/>
    <n v="16"/>
    <n v="62384"/>
    <n v="28000"/>
  </r>
  <r>
    <x v="8"/>
    <x v="0"/>
    <x v="8"/>
    <x v="0"/>
    <x v="5"/>
    <x v="37"/>
    <n v="17"/>
    <n v="82093"/>
    <n v="29750"/>
  </r>
  <r>
    <x v="9"/>
    <x v="0"/>
    <x v="9"/>
    <x v="0"/>
    <x v="5"/>
    <x v="37"/>
    <n v="14"/>
    <n v="78974"/>
    <n v="24500"/>
  </r>
  <r>
    <x v="10"/>
    <x v="0"/>
    <x v="10"/>
    <x v="0"/>
    <x v="5"/>
    <x v="37"/>
    <n v="10"/>
    <n v="50090"/>
    <n v="17500"/>
  </r>
  <r>
    <x v="11"/>
    <x v="0"/>
    <x v="11"/>
    <x v="0"/>
    <x v="5"/>
    <x v="37"/>
    <n v="12"/>
    <n v="52584"/>
    <n v="21000"/>
  </r>
  <r>
    <x v="12"/>
    <x v="1"/>
    <x v="12"/>
    <x v="0"/>
    <x v="5"/>
    <x v="37"/>
    <n v="18"/>
    <n v="92574"/>
    <n v="31500"/>
  </r>
  <r>
    <x v="13"/>
    <x v="1"/>
    <x v="13"/>
    <x v="0"/>
    <x v="5"/>
    <x v="37"/>
    <n v="11"/>
    <n v="47124"/>
    <n v="19250"/>
  </r>
  <r>
    <x v="14"/>
    <x v="1"/>
    <x v="14"/>
    <x v="0"/>
    <x v="5"/>
    <x v="37"/>
    <n v="9"/>
    <n v="43830"/>
    <n v="15750"/>
  </r>
  <r>
    <x v="15"/>
    <x v="1"/>
    <x v="15"/>
    <x v="0"/>
    <x v="5"/>
    <x v="37"/>
    <n v="17"/>
    <n v="90202"/>
    <n v="29750"/>
  </r>
  <r>
    <x v="16"/>
    <x v="1"/>
    <x v="16"/>
    <x v="0"/>
    <x v="5"/>
    <x v="37"/>
    <n v="21"/>
    <n v="118020"/>
    <n v="36750"/>
  </r>
  <r>
    <x v="17"/>
    <x v="1"/>
    <x v="17"/>
    <x v="0"/>
    <x v="5"/>
    <x v="37"/>
    <n v="20"/>
    <n v="101520"/>
    <n v="35000"/>
  </r>
  <r>
    <x v="18"/>
    <x v="1"/>
    <x v="18"/>
    <x v="0"/>
    <x v="5"/>
    <x v="37"/>
    <n v="21"/>
    <n v="65079"/>
    <n v="36750"/>
  </r>
  <r>
    <x v="19"/>
    <x v="1"/>
    <x v="19"/>
    <x v="0"/>
    <x v="5"/>
    <x v="37"/>
    <n v="18"/>
    <n v="76752"/>
    <n v="31500"/>
  </r>
  <r>
    <x v="20"/>
    <x v="1"/>
    <x v="20"/>
    <x v="0"/>
    <x v="5"/>
    <x v="37"/>
    <n v="19"/>
    <n v="91105"/>
    <n v="33250"/>
  </r>
  <r>
    <x v="21"/>
    <x v="1"/>
    <x v="21"/>
    <x v="0"/>
    <x v="5"/>
    <x v="37"/>
    <n v="16"/>
    <n v="77264"/>
    <n v="28000"/>
  </r>
  <r>
    <x v="22"/>
    <x v="1"/>
    <x v="22"/>
    <x v="0"/>
    <x v="5"/>
    <x v="37"/>
    <n v="11"/>
    <n v="48312"/>
    <n v="19250"/>
  </r>
  <r>
    <x v="23"/>
    <x v="1"/>
    <x v="23"/>
    <x v="0"/>
    <x v="5"/>
    <x v="37"/>
    <n v="14"/>
    <n v="64736"/>
    <n v="24500"/>
  </r>
  <r>
    <x v="0"/>
    <x v="0"/>
    <x v="0"/>
    <x v="0"/>
    <x v="5"/>
    <x v="38"/>
    <n v="15"/>
    <n v="84585"/>
    <n v="37800"/>
  </r>
  <r>
    <x v="1"/>
    <x v="0"/>
    <x v="1"/>
    <x v="0"/>
    <x v="5"/>
    <x v="38"/>
    <n v="9"/>
    <n v="47088"/>
    <n v="22680"/>
  </r>
  <r>
    <x v="2"/>
    <x v="0"/>
    <x v="2"/>
    <x v="0"/>
    <x v="5"/>
    <x v="38"/>
    <n v="8"/>
    <n v="36824"/>
    <n v="20160"/>
  </r>
  <r>
    <x v="3"/>
    <x v="0"/>
    <x v="3"/>
    <x v="0"/>
    <x v="5"/>
    <x v="38"/>
    <n v="14"/>
    <n v="87682"/>
    <n v="35280"/>
  </r>
  <r>
    <x v="4"/>
    <x v="0"/>
    <x v="4"/>
    <x v="0"/>
    <x v="5"/>
    <x v="38"/>
    <n v="18"/>
    <n v="111978"/>
    <n v="45360"/>
  </r>
  <r>
    <x v="5"/>
    <x v="0"/>
    <x v="5"/>
    <x v="0"/>
    <x v="5"/>
    <x v="38"/>
    <n v="17"/>
    <n v="104295"/>
    <n v="42840"/>
  </r>
  <r>
    <x v="6"/>
    <x v="0"/>
    <x v="6"/>
    <x v="0"/>
    <x v="5"/>
    <x v="38"/>
    <n v="18"/>
    <n v="77868"/>
    <n v="45360"/>
  </r>
  <r>
    <x v="7"/>
    <x v="0"/>
    <x v="7"/>
    <x v="0"/>
    <x v="5"/>
    <x v="38"/>
    <n v="15"/>
    <n v="69690"/>
    <n v="37800"/>
  </r>
  <r>
    <x v="8"/>
    <x v="0"/>
    <x v="8"/>
    <x v="0"/>
    <x v="5"/>
    <x v="38"/>
    <n v="16"/>
    <n v="84000"/>
    <n v="40320"/>
  </r>
  <r>
    <x v="9"/>
    <x v="0"/>
    <x v="9"/>
    <x v="0"/>
    <x v="5"/>
    <x v="38"/>
    <n v="13"/>
    <n v="75569"/>
    <n v="32760"/>
  </r>
  <r>
    <x v="10"/>
    <x v="0"/>
    <x v="10"/>
    <x v="0"/>
    <x v="5"/>
    <x v="38"/>
    <n v="9"/>
    <n v="47322"/>
    <n v="22680"/>
  </r>
  <r>
    <x v="11"/>
    <x v="0"/>
    <x v="11"/>
    <x v="0"/>
    <x v="5"/>
    <x v="38"/>
    <n v="11"/>
    <n v="51337"/>
    <n v="27720"/>
  </r>
  <r>
    <x v="12"/>
    <x v="1"/>
    <x v="12"/>
    <x v="0"/>
    <x v="5"/>
    <x v="38"/>
    <n v="16"/>
    <n v="89200"/>
    <n v="40320"/>
  </r>
  <r>
    <x v="13"/>
    <x v="1"/>
    <x v="13"/>
    <x v="0"/>
    <x v="5"/>
    <x v="38"/>
    <n v="10"/>
    <n v="49540"/>
    <n v="25200"/>
  </r>
  <r>
    <x v="14"/>
    <x v="1"/>
    <x v="14"/>
    <x v="0"/>
    <x v="5"/>
    <x v="38"/>
    <n v="8"/>
    <n v="40136"/>
    <n v="20160"/>
  </r>
  <r>
    <x v="15"/>
    <x v="1"/>
    <x v="15"/>
    <x v="0"/>
    <x v="5"/>
    <x v="38"/>
    <n v="15"/>
    <n v="90585"/>
    <n v="37800"/>
  </r>
  <r>
    <x v="16"/>
    <x v="1"/>
    <x v="16"/>
    <x v="0"/>
    <x v="5"/>
    <x v="38"/>
    <n v="19"/>
    <n v="125609"/>
    <n v="47880"/>
  </r>
  <r>
    <x v="17"/>
    <x v="1"/>
    <x v="17"/>
    <x v="0"/>
    <x v="5"/>
    <x v="38"/>
    <n v="18"/>
    <n v="104904"/>
    <n v="45360"/>
  </r>
  <r>
    <x v="18"/>
    <x v="1"/>
    <x v="18"/>
    <x v="0"/>
    <x v="5"/>
    <x v="38"/>
    <n v="19"/>
    <n v="83885"/>
    <n v="47880"/>
  </r>
  <r>
    <x v="19"/>
    <x v="1"/>
    <x v="19"/>
    <x v="0"/>
    <x v="5"/>
    <x v="38"/>
    <n v="16"/>
    <n v="72096"/>
    <n v="40320"/>
  </r>
  <r>
    <x v="20"/>
    <x v="1"/>
    <x v="20"/>
    <x v="0"/>
    <x v="5"/>
    <x v="38"/>
    <n v="17"/>
    <n v="91749"/>
    <n v="42840"/>
  </r>
  <r>
    <x v="21"/>
    <x v="1"/>
    <x v="21"/>
    <x v="0"/>
    <x v="5"/>
    <x v="38"/>
    <n v="14"/>
    <n v="75530"/>
    <n v="35280"/>
  </r>
  <r>
    <x v="22"/>
    <x v="1"/>
    <x v="22"/>
    <x v="0"/>
    <x v="5"/>
    <x v="38"/>
    <n v="10"/>
    <n v="52380"/>
    <n v="25200"/>
  </r>
  <r>
    <x v="23"/>
    <x v="1"/>
    <x v="23"/>
    <x v="0"/>
    <x v="5"/>
    <x v="38"/>
    <n v="12"/>
    <n v="61944"/>
    <n v="30240"/>
  </r>
  <r>
    <x v="0"/>
    <x v="0"/>
    <x v="0"/>
    <x v="0"/>
    <x v="5"/>
    <x v="39"/>
    <n v="19"/>
    <n v="65018"/>
    <n v="17556"/>
  </r>
  <r>
    <x v="1"/>
    <x v="0"/>
    <x v="1"/>
    <x v="0"/>
    <x v="5"/>
    <x v="39"/>
    <n v="12"/>
    <n v="42768"/>
    <n v="11088"/>
  </r>
  <r>
    <x v="2"/>
    <x v="0"/>
    <x v="2"/>
    <x v="0"/>
    <x v="5"/>
    <x v="39"/>
    <n v="10"/>
    <n v="28580"/>
    <n v="9240"/>
  </r>
  <r>
    <x v="3"/>
    <x v="0"/>
    <x v="3"/>
    <x v="0"/>
    <x v="5"/>
    <x v="39"/>
    <n v="18"/>
    <n v="66204"/>
    <n v="16632"/>
  </r>
  <r>
    <x v="4"/>
    <x v="0"/>
    <x v="4"/>
    <x v="0"/>
    <x v="5"/>
    <x v="39"/>
    <n v="22"/>
    <n v="90442"/>
    <n v="20328"/>
  </r>
  <r>
    <x v="5"/>
    <x v="0"/>
    <x v="5"/>
    <x v="0"/>
    <x v="5"/>
    <x v="39"/>
    <n v="21"/>
    <n v="78981"/>
    <n v="19404"/>
  </r>
  <r>
    <x v="6"/>
    <x v="0"/>
    <x v="6"/>
    <x v="0"/>
    <x v="5"/>
    <x v="39"/>
    <n v="22"/>
    <n v="46926"/>
    <n v="20328"/>
  </r>
  <r>
    <x v="7"/>
    <x v="0"/>
    <x v="7"/>
    <x v="0"/>
    <x v="5"/>
    <x v="39"/>
    <n v="19"/>
    <n v="45182"/>
    <n v="17556"/>
  </r>
  <r>
    <x v="8"/>
    <x v="0"/>
    <x v="8"/>
    <x v="0"/>
    <x v="5"/>
    <x v="39"/>
    <n v="20"/>
    <n v="68420"/>
    <n v="18480"/>
  </r>
  <r>
    <x v="9"/>
    <x v="0"/>
    <x v="9"/>
    <x v="0"/>
    <x v="5"/>
    <x v="39"/>
    <n v="17"/>
    <n v="68204"/>
    <n v="15708"/>
  </r>
  <r>
    <x v="10"/>
    <x v="0"/>
    <x v="10"/>
    <x v="0"/>
    <x v="5"/>
    <x v="39"/>
    <n v="12"/>
    <n v="44664"/>
    <n v="11088"/>
  </r>
  <r>
    <x v="11"/>
    <x v="0"/>
    <x v="11"/>
    <x v="0"/>
    <x v="5"/>
    <x v="39"/>
    <n v="14"/>
    <n v="36274"/>
    <n v="12936"/>
  </r>
  <r>
    <x v="12"/>
    <x v="1"/>
    <x v="12"/>
    <x v="0"/>
    <x v="5"/>
    <x v="39"/>
    <n v="21"/>
    <n v="70581"/>
    <n v="19404"/>
  </r>
  <r>
    <x v="13"/>
    <x v="1"/>
    <x v="13"/>
    <x v="0"/>
    <x v="5"/>
    <x v="39"/>
    <n v="13"/>
    <n v="49257"/>
    <n v="12012"/>
  </r>
  <r>
    <x v="14"/>
    <x v="1"/>
    <x v="14"/>
    <x v="0"/>
    <x v="5"/>
    <x v="39"/>
    <n v="11"/>
    <n v="30723"/>
    <n v="10164"/>
  </r>
  <r>
    <x v="15"/>
    <x v="1"/>
    <x v="15"/>
    <x v="0"/>
    <x v="5"/>
    <x v="39"/>
    <n v="19"/>
    <n v="74005"/>
    <n v="17556"/>
  </r>
  <r>
    <x v="16"/>
    <x v="1"/>
    <x v="16"/>
    <x v="0"/>
    <x v="5"/>
    <x v="39"/>
    <n v="25"/>
    <n v="101000"/>
    <n v="23100"/>
  </r>
  <r>
    <x v="17"/>
    <x v="1"/>
    <x v="17"/>
    <x v="0"/>
    <x v="5"/>
    <x v="39"/>
    <n v="23"/>
    <n v="76705"/>
    <n v="21252"/>
  </r>
  <r>
    <x v="18"/>
    <x v="1"/>
    <x v="18"/>
    <x v="0"/>
    <x v="5"/>
    <x v="39"/>
    <n v="25"/>
    <n v="41975"/>
    <n v="23100"/>
  </r>
  <r>
    <x v="19"/>
    <x v="1"/>
    <x v="19"/>
    <x v="0"/>
    <x v="5"/>
    <x v="39"/>
    <n v="21"/>
    <n v="50190"/>
    <n v="19404"/>
  </r>
  <r>
    <x v="20"/>
    <x v="1"/>
    <x v="20"/>
    <x v="0"/>
    <x v="5"/>
    <x v="39"/>
    <n v="22"/>
    <n v="70114"/>
    <n v="20328"/>
  </r>
  <r>
    <x v="21"/>
    <x v="1"/>
    <x v="21"/>
    <x v="0"/>
    <x v="5"/>
    <x v="39"/>
    <n v="18"/>
    <n v="75060"/>
    <n v="16632"/>
  </r>
  <r>
    <x v="22"/>
    <x v="1"/>
    <x v="22"/>
    <x v="0"/>
    <x v="5"/>
    <x v="39"/>
    <n v="13"/>
    <n v="38389"/>
    <n v="12012"/>
  </r>
  <r>
    <x v="23"/>
    <x v="1"/>
    <x v="23"/>
    <x v="0"/>
    <x v="5"/>
    <x v="39"/>
    <n v="16"/>
    <n v="44704"/>
    <n v="14784"/>
  </r>
  <r>
    <x v="0"/>
    <x v="0"/>
    <x v="0"/>
    <x v="0"/>
    <x v="5"/>
    <x v="40"/>
    <n v="15"/>
    <n v="66870"/>
    <n v="16380"/>
  </r>
  <r>
    <x v="1"/>
    <x v="0"/>
    <x v="1"/>
    <x v="0"/>
    <x v="5"/>
    <x v="40"/>
    <n v="10"/>
    <n v="37790"/>
    <n v="10920"/>
  </r>
  <r>
    <x v="2"/>
    <x v="0"/>
    <x v="2"/>
    <x v="0"/>
    <x v="5"/>
    <x v="40"/>
    <n v="8"/>
    <n v="22040"/>
    <n v="8736"/>
  </r>
  <r>
    <x v="3"/>
    <x v="0"/>
    <x v="3"/>
    <x v="0"/>
    <x v="5"/>
    <x v="40"/>
    <n v="14"/>
    <n v="59178"/>
    <n v="15288"/>
  </r>
  <r>
    <x v="4"/>
    <x v="0"/>
    <x v="4"/>
    <x v="0"/>
    <x v="5"/>
    <x v="40"/>
    <n v="18"/>
    <n v="88938"/>
    <n v="19656"/>
  </r>
  <r>
    <x v="5"/>
    <x v="0"/>
    <x v="5"/>
    <x v="0"/>
    <x v="5"/>
    <x v="40"/>
    <n v="17"/>
    <n v="68204"/>
    <n v="18564"/>
  </r>
  <r>
    <x v="6"/>
    <x v="0"/>
    <x v="6"/>
    <x v="0"/>
    <x v="5"/>
    <x v="40"/>
    <n v="18"/>
    <n v="50004"/>
    <n v="19656"/>
  </r>
  <r>
    <x v="7"/>
    <x v="0"/>
    <x v="7"/>
    <x v="0"/>
    <x v="5"/>
    <x v="40"/>
    <n v="15"/>
    <n v="47700"/>
    <n v="16380"/>
  </r>
  <r>
    <x v="8"/>
    <x v="0"/>
    <x v="8"/>
    <x v="0"/>
    <x v="5"/>
    <x v="40"/>
    <n v="16"/>
    <n v="57936"/>
    <n v="17472"/>
  </r>
  <r>
    <x v="9"/>
    <x v="0"/>
    <x v="9"/>
    <x v="0"/>
    <x v="5"/>
    <x v="40"/>
    <n v="13"/>
    <n v="53924"/>
    <n v="14196"/>
  </r>
  <r>
    <x v="10"/>
    <x v="0"/>
    <x v="10"/>
    <x v="0"/>
    <x v="5"/>
    <x v="40"/>
    <n v="10"/>
    <n v="40190"/>
    <n v="10920"/>
  </r>
  <r>
    <x v="11"/>
    <x v="0"/>
    <x v="11"/>
    <x v="0"/>
    <x v="5"/>
    <x v="40"/>
    <n v="12"/>
    <n v="42552"/>
    <n v="13104"/>
  </r>
  <r>
    <x v="12"/>
    <x v="1"/>
    <x v="12"/>
    <x v="0"/>
    <x v="5"/>
    <x v="40"/>
    <n v="17"/>
    <n v="69836"/>
    <n v="18564"/>
  </r>
  <r>
    <x v="13"/>
    <x v="1"/>
    <x v="13"/>
    <x v="0"/>
    <x v="5"/>
    <x v="40"/>
    <n v="11"/>
    <n v="37851"/>
    <n v="12012"/>
  </r>
  <r>
    <x v="14"/>
    <x v="1"/>
    <x v="14"/>
    <x v="0"/>
    <x v="5"/>
    <x v="40"/>
    <n v="9"/>
    <n v="23625"/>
    <n v="9828"/>
  </r>
  <r>
    <x v="15"/>
    <x v="1"/>
    <x v="15"/>
    <x v="0"/>
    <x v="5"/>
    <x v="40"/>
    <n v="16"/>
    <n v="63504"/>
    <n v="17472"/>
  </r>
  <r>
    <x v="16"/>
    <x v="1"/>
    <x v="16"/>
    <x v="0"/>
    <x v="5"/>
    <x v="40"/>
    <n v="20"/>
    <n v="97780"/>
    <n v="21840"/>
  </r>
  <r>
    <x v="17"/>
    <x v="1"/>
    <x v="17"/>
    <x v="0"/>
    <x v="5"/>
    <x v="40"/>
    <n v="19"/>
    <n v="67735"/>
    <n v="20748"/>
  </r>
  <r>
    <x v="18"/>
    <x v="1"/>
    <x v="18"/>
    <x v="0"/>
    <x v="5"/>
    <x v="40"/>
    <n v="20"/>
    <n v="42280"/>
    <n v="21840"/>
  </r>
  <r>
    <x v="19"/>
    <x v="1"/>
    <x v="19"/>
    <x v="0"/>
    <x v="5"/>
    <x v="40"/>
    <n v="17"/>
    <n v="52020"/>
    <n v="18564"/>
  </r>
  <r>
    <x v="20"/>
    <x v="1"/>
    <x v="20"/>
    <x v="0"/>
    <x v="5"/>
    <x v="40"/>
    <n v="18"/>
    <n v="66276"/>
    <n v="19656"/>
  </r>
  <r>
    <x v="21"/>
    <x v="1"/>
    <x v="21"/>
    <x v="0"/>
    <x v="5"/>
    <x v="40"/>
    <n v="15"/>
    <n v="68580"/>
    <n v="16380"/>
  </r>
  <r>
    <x v="22"/>
    <x v="1"/>
    <x v="22"/>
    <x v="0"/>
    <x v="5"/>
    <x v="40"/>
    <n v="11"/>
    <n v="38742"/>
    <n v="12012"/>
  </r>
  <r>
    <x v="23"/>
    <x v="1"/>
    <x v="23"/>
    <x v="0"/>
    <x v="5"/>
    <x v="40"/>
    <n v="13"/>
    <n v="38792"/>
    <n v="14196"/>
  </r>
  <r>
    <x v="0"/>
    <x v="0"/>
    <x v="0"/>
    <x v="0"/>
    <x v="5"/>
    <x v="41"/>
    <n v="19"/>
    <n v="67678"/>
    <n v="16606"/>
  </r>
  <r>
    <x v="1"/>
    <x v="0"/>
    <x v="1"/>
    <x v="0"/>
    <x v="5"/>
    <x v="41"/>
    <n v="12"/>
    <n v="47124"/>
    <n v="10488"/>
  </r>
  <r>
    <x v="2"/>
    <x v="0"/>
    <x v="2"/>
    <x v="0"/>
    <x v="5"/>
    <x v="41"/>
    <n v="10"/>
    <n v="24370"/>
    <n v="8740"/>
  </r>
  <r>
    <x v="3"/>
    <x v="0"/>
    <x v="3"/>
    <x v="0"/>
    <x v="5"/>
    <x v="41"/>
    <n v="18"/>
    <n v="62334"/>
    <n v="15732"/>
  </r>
  <r>
    <x v="4"/>
    <x v="0"/>
    <x v="4"/>
    <x v="0"/>
    <x v="5"/>
    <x v="41"/>
    <n v="23"/>
    <n v="93219"/>
    <n v="20102"/>
  </r>
  <r>
    <x v="5"/>
    <x v="0"/>
    <x v="5"/>
    <x v="0"/>
    <x v="5"/>
    <x v="41"/>
    <n v="22"/>
    <n v="74228"/>
    <n v="19228"/>
  </r>
  <r>
    <x v="6"/>
    <x v="0"/>
    <x v="6"/>
    <x v="0"/>
    <x v="5"/>
    <x v="41"/>
    <n v="23"/>
    <n v="43631"/>
    <n v="20102"/>
  </r>
  <r>
    <x v="7"/>
    <x v="0"/>
    <x v="7"/>
    <x v="0"/>
    <x v="5"/>
    <x v="41"/>
    <n v="19"/>
    <n v="55385"/>
    <n v="16606"/>
  </r>
  <r>
    <x v="8"/>
    <x v="0"/>
    <x v="8"/>
    <x v="0"/>
    <x v="5"/>
    <x v="41"/>
    <n v="21"/>
    <n v="62832"/>
    <n v="18354"/>
  </r>
  <r>
    <x v="9"/>
    <x v="0"/>
    <x v="9"/>
    <x v="0"/>
    <x v="5"/>
    <x v="41"/>
    <n v="17"/>
    <n v="53380"/>
    <n v="14858"/>
  </r>
  <r>
    <x v="10"/>
    <x v="0"/>
    <x v="10"/>
    <x v="0"/>
    <x v="5"/>
    <x v="41"/>
    <n v="12"/>
    <n v="32292"/>
    <n v="10488"/>
  </r>
  <r>
    <x v="11"/>
    <x v="0"/>
    <x v="11"/>
    <x v="0"/>
    <x v="5"/>
    <x v="41"/>
    <n v="15"/>
    <n v="39765"/>
    <n v="13110"/>
  </r>
  <r>
    <x v="12"/>
    <x v="1"/>
    <x v="12"/>
    <x v="0"/>
    <x v="5"/>
    <x v="41"/>
    <n v="21"/>
    <n v="53697"/>
    <n v="18354"/>
  </r>
  <r>
    <x v="13"/>
    <x v="1"/>
    <x v="13"/>
    <x v="0"/>
    <x v="5"/>
    <x v="41"/>
    <n v="13"/>
    <n v="43654"/>
    <n v="11362"/>
  </r>
  <r>
    <x v="14"/>
    <x v="1"/>
    <x v="14"/>
    <x v="0"/>
    <x v="5"/>
    <x v="41"/>
    <n v="11"/>
    <n v="30778"/>
    <n v="9614"/>
  </r>
  <r>
    <x v="15"/>
    <x v="1"/>
    <x v="15"/>
    <x v="0"/>
    <x v="5"/>
    <x v="41"/>
    <n v="20"/>
    <n v="68340"/>
    <n v="17480"/>
  </r>
  <r>
    <x v="16"/>
    <x v="1"/>
    <x v="16"/>
    <x v="0"/>
    <x v="5"/>
    <x v="41"/>
    <n v="25"/>
    <n v="84600"/>
    <n v="21850"/>
  </r>
  <r>
    <x v="17"/>
    <x v="1"/>
    <x v="17"/>
    <x v="0"/>
    <x v="5"/>
    <x v="41"/>
    <n v="24"/>
    <n v="63888"/>
    <n v="20976"/>
  </r>
  <r>
    <x v="18"/>
    <x v="1"/>
    <x v="18"/>
    <x v="0"/>
    <x v="5"/>
    <x v="41"/>
    <n v="25"/>
    <n v="40700"/>
    <n v="21850"/>
  </r>
  <r>
    <x v="19"/>
    <x v="1"/>
    <x v="19"/>
    <x v="0"/>
    <x v="5"/>
    <x v="41"/>
    <n v="21"/>
    <n v="48300"/>
    <n v="18354"/>
  </r>
  <r>
    <x v="20"/>
    <x v="1"/>
    <x v="20"/>
    <x v="0"/>
    <x v="5"/>
    <x v="41"/>
    <n v="23"/>
    <n v="54878"/>
    <n v="20102"/>
  </r>
  <r>
    <x v="21"/>
    <x v="1"/>
    <x v="21"/>
    <x v="0"/>
    <x v="5"/>
    <x v="41"/>
    <n v="19"/>
    <n v="58140"/>
    <n v="16606"/>
  </r>
  <r>
    <x v="22"/>
    <x v="1"/>
    <x v="22"/>
    <x v="0"/>
    <x v="5"/>
    <x v="41"/>
    <n v="13"/>
    <n v="45448"/>
    <n v="11362"/>
  </r>
  <r>
    <x v="23"/>
    <x v="1"/>
    <x v="23"/>
    <x v="0"/>
    <x v="5"/>
    <x v="41"/>
    <n v="16"/>
    <n v="38080"/>
    <n v="13984"/>
  </r>
  <r>
    <x v="0"/>
    <x v="0"/>
    <x v="0"/>
    <x v="1"/>
    <x v="0"/>
    <x v="0"/>
    <n v="67"/>
    <n v="763398"/>
    <n v="402000"/>
  </r>
  <r>
    <x v="1"/>
    <x v="0"/>
    <x v="1"/>
    <x v="1"/>
    <x v="0"/>
    <x v="0"/>
    <n v="42"/>
    <n v="484008"/>
    <n v="252000"/>
  </r>
  <r>
    <x v="2"/>
    <x v="0"/>
    <x v="2"/>
    <x v="1"/>
    <x v="0"/>
    <x v="0"/>
    <n v="34"/>
    <n v="383078"/>
    <n v="204000"/>
  </r>
  <r>
    <x v="3"/>
    <x v="0"/>
    <x v="3"/>
    <x v="1"/>
    <x v="0"/>
    <x v="0"/>
    <n v="62"/>
    <n v="722982"/>
    <n v="372000"/>
  </r>
  <r>
    <x v="4"/>
    <x v="0"/>
    <x v="4"/>
    <x v="1"/>
    <x v="0"/>
    <x v="0"/>
    <n v="79"/>
    <n v="982207"/>
    <n v="474000"/>
  </r>
  <r>
    <x v="5"/>
    <x v="0"/>
    <x v="5"/>
    <x v="1"/>
    <x v="0"/>
    <x v="0"/>
    <n v="75"/>
    <n v="869100"/>
    <n v="450000"/>
  </r>
  <r>
    <x v="6"/>
    <x v="0"/>
    <x v="6"/>
    <x v="1"/>
    <x v="0"/>
    <x v="0"/>
    <n v="79"/>
    <n v="813463"/>
    <n v="474000"/>
  </r>
  <r>
    <x v="7"/>
    <x v="0"/>
    <x v="7"/>
    <x v="1"/>
    <x v="0"/>
    <x v="0"/>
    <n v="67"/>
    <n v="727017"/>
    <n v="402000"/>
  </r>
  <r>
    <x v="8"/>
    <x v="0"/>
    <x v="8"/>
    <x v="1"/>
    <x v="0"/>
    <x v="0"/>
    <n v="71"/>
    <n v="767013"/>
    <n v="426000"/>
  </r>
  <r>
    <x v="9"/>
    <x v="0"/>
    <x v="9"/>
    <x v="1"/>
    <x v="0"/>
    <x v="0"/>
    <n v="58"/>
    <n v="635738"/>
    <n v="348000"/>
  </r>
  <r>
    <x v="10"/>
    <x v="0"/>
    <x v="10"/>
    <x v="1"/>
    <x v="0"/>
    <x v="0"/>
    <n v="42"/>
    <n v="455658"/>
    <n v="252000"/>
  </r>
  <r>
    <x v="11"/>
    <x v="0"/>
    <x v="11"/>
    <x v="1"/>
    <x v="0"/>
    <x v="0"/>
    <n v="50"/>
    <n v="572300"/>
    <n v="300000"/>
  </r>
  <r>
    <x v="12"/>
    <x v="1"/>
    <x v="12"/>
    <x v="1"/>
    <x v="0"/>
    <x v="0"/>
    <n v="73"/>
    <n v="825922"/>
    <n v="438000"/>
  </r>
  <r>
    <x v="13"/>
    <x v="1"/>
    <x v="13"/>
    <x v="1"/>
    <x v="0"/>
    <x v="0"/>
    <n v="46"/>
    <n v="540776"/>
    <n v="276000"/>
  </r>
  <r>
    <x v="14"/>
    <x v="1"/>
    <x v="14"/>
    <x v="1"/>
    <x v="0"/>
    <x v="0"/>
    <n v="37"/>
    <n v="401857"/>
    <n v="222000"/>
  </r>
  <r>
    <x v="15"/>
    <x v="1"/>
    <x v="15"/>
    <x v="1"/>
    <x v="0"/>
    <x v="0"/>
    <n v="69"/>
    <n v="817719"/>
    <n v="414000"/>
  </r>
  <r>
    <x v="16"/>
    <x v="1"/>
    <x v="16"/>
    <x v="1"/>
    <x v="0"/>
    <x v="0"/>
    <n v="87"/>
    <n v="1039041"/>
    <n v="522000"/>
  </r>
  <r>
    <x v="17"/>
    <x v="1"/>
    <x v="17"/>
    <x v="1"/>
    <x v="0"/>
    <x v="0"/>
    <n v="82"/>
    <n v="977686"/>
    <n v="492000"/>
  </r>
  <r>
    <x v="18"/>
    <x v="1"/>
    <x v="18"/>
    <x v="1"/>
    <x v="0"/>
    <x v="0"/>
    <n v="87"/>
    <n v="813102"/>
    <n v="522000"/>
  </r>
  <r>
    <x v="19"/>
    <x v="1"/>
    <x v="19"/>
    <x v="1"/>
    <x v="0"/>
    <x v="0"/>
    <n v="73"/>
    <n v="796722"/>
    <n v="438000"/>
  </r>
  <r>
    <x v="20"/>
    <x v="1"/>
    <x v="20"/>
    <x v="1"/>
    <x v="0"/>
    <x v="0"/>
    <n v="78"/>
    <n v="828828"/>
    <n v="468000"/>
  </r>
  <r>
    <x v="21"/>
    <x v="1"/>
    <x v="21"/>
    <x v="1"/>
    <x v="0"/>
    <x v="0"/>
    <n v="64"/>
    <n v="731776"/>
    <n v="384000"/>
  </r>
  <r>
    <x v="22"/>
    <x v="1"/>
    <x v="22"/>
    <x v="1"/>
    <x v="0"/>
    <x v="0"/>
    <n v="46"/>
    <n v="533002"/>
    <n v="276000"/>
  </r>
  <r>
    <x v="23"/>
    <x v="1"/>
    <x v="23"/>
    <x v="1"/>
    <x v="0"/>
    <x v="0"/>
    <n v="55"/>
    <n v="561275"/>
    <n v="330000"/>
  </r>
  <r>
    <x v="0"/>
    <x v="0"/>
    <x v="0"/>
    <x v="1"/>
    <x v="0"/>
    <x v="1"/>
    <n v="61"/>
    <n v="782691"/>
    <n v="431880"/>
  </r>
  <r>
    <x v="1"/>
    <x v="0"/>
    <x v="1"/>
    <x v="1"/>
    <x v="0"/>
    <x v="1"/>
    <n v="38"/>
    <n v="491606"/>
    <n v="269040"/>
  </r>
  <r>
    <x v="2"/>
    <x v="0"/>
    <x v="2"/>
    <x v="1"/>
    <x v="0"/>
    <x v="1"/>
    <n v="31"/>
    <n v="380153"/>
    <n v="219480"/>
  </r>
  <r>
    <x v="3"/>
    <x v="0"/>
    <x v="3"/>
    <x v="1"/>
    <x v="0"/>
    <x v="1"/>
    <n v="57"/>
    <n v="793383"/>
    <n v="403560"/>
  </r>
  <r>
    <x v="4"/>
    <x v="0"/>
    <x v="4"/>
    <x v="1"/>
    <x v="0"/>
    <x v="1"/>
    <n v="72"/>
    <n v="953928"/>
    <n v="509760"/>
  </r>
  <r>
    <x v="5"/>
    <x v="0"/>
    <x v="5"/>
    <x v="1"/>
    <x v="0"/>
    <x v="1"/>
    <n v="69"/>
    <n v="904314"/>
    <n v="488520"/>
  </r>
  <r>
    <x v="6"/>
    <x v="0"/>
    <x v="6"/>
    <x v="1"/>
    <x v="0"/>
    <x v="1"/>
    <n v="72"/>
    <n v="826632"/>
    <n v="509760"/>
  </r>
  <r>
    <x v="7"/>
    <x v="0"/>
    <x v="7"/>
    <x v="1"/>
    <x v="0"/>
    <x v="1"/>
    <n v="61"/>
    <n v="776347"/>
    <n v="431880"/>
  </r>
  <r>
    <x v="8"/>
    <x v="0"/>
    <x v="8"/>
    <x v="1"/>
    <x v="0"/>
    <x v="1"/>
    <n v="65"/>
    <n v="868010"/>
    <n v="460200"/>
  </r>
  <r>
    <x v="9"/>
    <x v="0"/>
    <x v="9"/>
    <x v="1"/>
    <x v="0"/>
    <x v="1"/>
    <n v="53"/>
    <n v="717461"/>
    <n v="375240"/>
  </r>
  <r>
    <x v="10"/>
    <x v="0"/>
    <x v="10"/>
    <x v="1"/>
    <x v="0"/>
    <x v="1"/>
    <n v="38"/>
    <n v="515432"/>
    <n v="269040"/>
  </r>
  <r>
    <x v="11"/>
    <x v="0"/>
    <x v="11"/>
    <x v="1"/>
    <x v="0"/>
    <x v="1"/>
    <n v="46"/>
    <n v="572976"/>
    <n v="325680"/>
  </r>
  <r>
    <x v="12"/>
    <x v="1"/>
    <x v="12"/>
    <x v="1"/>
    <x v="0"/>
    <x v="1"/>
    <n v="67"/>
    <n v="875824"/>
    <n v="474360"/>
  </r>
  <r>
    <x v="13"/>
    <x v="1"/>
    <x v="13"/>
    <x v="1"/>
    <x v="0"/>
    <x v="1"/>
    <n v="42"/>
    <n v="564102"/>
    <n v="297360"/>
  </r>
  <r>
    <x v="14"/>
    <x v="1"/>
    <x v="14"/>
    <x v="1"/>
    <x v="0"/>
    <x v="1"/>
    <n v="34"/>
    <n v="420478"/>
    <n v="240720"/>
  </r>
  <r>
    <x v="15"/>
    <x v="1"/>
    <x v="15"/>
    <x v="1"/>
    <x v="0"/>
    <x v="1"/>
    <n v="63"/>
    <n v="848106"/>
    <n v="446040"/>
  </r>
  <r>
    <x v="16"/>
    <x v="1"/>
    <x v="16"/>
    <x v="1"/>
    <x v="0"/>
    <x v="1"/>
    <n v="80"/>
    <n v="1134160"/>
    <n v="566400"/>
  </r>
  <r>
    <x v="17"/>
    <x v="1"/>
    <x v="17"/>
    <x v="1"/>
    <x v="0"/>
    <x v="1"/>
    <n v="75"/>
    <n v="1019325"/>
    <n v="531000"/>
  </r>
  <r>
    <x v="18"/>
    <x v="1"/>
    <x v="18"/>
    <x v="1"/>
    <x v="0"/>
    <x v="1"/>
    <n v="80"/>
    <n v="956720"/>
    <n v="566400"/>
  </r>
  <r>
    <x v="19"/>
    <x v="1"/>
    <x v="19"/>
    <x v="1"/>
    <x v="0"/>
    <x v="1"/>
    <n v="67"/>
    <n v="858940"/>
    <n v="474360"/>
  </r>
  <r>
    <x v="20"/>
    <x v="1"/>
    <x v="20"/>
    <x v="1"/>
    <x v="0"/>
    <x v="1"/>
    <n v="71"/>
    <n v="917746"/>
    <n v="502680"/>
  </r>
  <r>
    <x v="21"/>
    <x v="1"/>
    <x v="21"/>
    <x v="1"/>
    <x v="0"/>
    <x v="1"/>
    <n v="59"/>
    <n v="798801"/>
    <n v="417720"/>
  </r>
  <r>
    <x v="22"/>
    <x v="1"/>
    <x v="22"/>
    <x v="1"/>
    <x v="0"/>
    <x v="1"/>
    <n v="42"/>
    <n v="558768"/>
    <n v="297360"/>
  </r>
  <r>
    <x v="23"/>
    <x v="1"/>
    <x v="23"/>
    <x v="1"/>
    <x v="0"/>
    <x v="1"/>
    <n v="50"/>
    <n v="630450"/>
    <n v="354000"/>
  </r>
  <r>
    <x v="0"/>
    <x v="0"/>
    <x v="0"/>
    <x v="1"/>
    <x v="0"/>
    <x v="2"/>
    <n v="61"/>
    <n v="1628700"/>
    <n v="640500"/>
  </r>
  <r>
    <x v="1"/>
    <x v="0"/>
    <x v="1"/>
    <x v="1"/>
    <x v="0"/>
    <x v="2"/>
    <n v="38"/>
    <n v="1003922"/>
    <n v="399000"/>
  </r>
  <r>
    <x v="2"/>
    <x v="0"/>
    <x v="2"/>
    <x v="1"/>
    <x v="0"/>
    <x v="2"/>
    <n v="31"/>
    <n v="778627"/>
    <n v="325500"/>
  </r>
  <r>
    <x v="3"/>
    <x v="0"/>
    <x v="3"/>
    <x v="1"/>
    <x v="0"/>
    <x v="2"/>
    <n v="57"/>
    <n v="1544301"/>
    <n v="598500"/>
  </r>
  <r>
    <x v="4"/>
    <x v="0"/>
    <x v="4"/>
    <x v="1"/>
    <x v="0"/>
    <x v="2"/>
    <n v="72"/>
    <n v="1948032"/>
    <n v="756000"/>
  </r>
  <r>
    <x v="5"/>
    <x v="0"/>
    <x v="5"/>
    <x v="1"/>
    <x v="0"/>
    <x v="2"/>
    <n v="69"/>
    <n v="1816287"/>
    <n v="724500"/>
  </r>
  <r>
    <x v="6"/>
    <x v="0"/>
    <x v="6"/>
    <x v="1"/>
    <x v="0"/>
    <x v="2"/>
    <n v="72"/>
    <n v="1798344"/>
    <n v="756000"/>
  </r>
  <r>
    <x v="7"/>
    <x v="0"/>
    <x v="7"/>
    <x v="1"/>
    <x v="0"/>
    <x v="2"/>
    <n v="61"/>
    <n v="1597895"/>
    <n v="640500"/>
  </r>
  <r>
    <x v="8"/>
    <x v="0"/>
    <x v="8"/>
    <x v="1"/>
    <x v="0"/>
    <x v="2"/>
    <n v="65"/>
    <n v="1691560"/>
    <n v="682500"/>
  </r>
  <r>
    <x v="9"/>
    <x v="0"/>
    <x v="9"/>
    <x v="1"/>
    <x v="0"/>
    <x v="2"/>
    <n v="53"/>
    <n v="1395861"/>
    <n v="556500"/>
  </r>
  <r>
    <x v="10"/>
    <x v="0"/>
    <x v="10"/>
    <x v="1"/>
    <x v="0"/>
    <x v="2"/>
    <n v="38"/>
    <n v="1006620"/>
    <n v="399000"/>
  </r>
  <r>
    <x v="11"/>
    <x v="0"/>
    <x v="11"/>
    <x v="1"/>
    <x v="0"/>
    <x v="2"/>
    <n v="46"/>
    <n v="1198530"/>
    <n v="483000"/>
  </r>
  <r>
    <x v="12"/>
    <x v="1"/>
    <x v="12"/>
    <x v="1"/>
    <x v="0"/>
    <x v="2"/>
    <n v="67"/>
    <n v="1770140"/>
    <n v="703500"/>
  </r>
  <r>
    <x v="13"/>
    <x v="1"/>
    <x v="13"/>
    <x v="1"/>
    <x v="0"/>
    <x v="2"/>
    <n v="42"/>
    <n v="1117704"/>
    <n v="441000"/>
  </r>
  <r>
    <x v="14"/>
    <x v="1"/>
    <x v="14"/>
    <x v="1"/>
    <x v="0"/>
    <x v="2"/>
    <n v="34"/>
    <n v="877166"/>
    <n v="357000"/>
  </r>
  <r>
    <x v="15"/>
    <x v="1"/>
    <x v="15"/>
    <x v="1"/>
    <x v="0"/>
    <x v="2"/>
    <n v="63"/>
    <n v="1654758"/>
    <n v="661500"/>
  </r>
  <r>
    <x v="16"/>
    <x v="1"/>
    <x v="16"/>
    <x v="1"/>
    <x v="0"/>
    <x v="2"/>
    <n v="80"/>
    <n v="2181840"/>
    <n v="840000"/>
  </r>
  <r>
    <x v="17"/>
    <x v="1"/>
    <x v="17"/>
    <x v="1"/>
    <x v="0"/>
    <x v="2"/>
    <n v="75"/>
    <n v="1982025"/>
    <n v="787500"/>
  </r>
  <r>
    <x v="18"/>
    <x v="1"/>
    <x v="18"/>
    <x v="1"/>
    <x v="0"/>
    <x v="2"/>
    <n v="80"/>
    <n v="1997840"/>
    <n v="840000"/>
  </r>
  <r>
    <x v="19"/>
    <x v="1"/>
    <x v="19"/>
    <x v="1"/>
    <x v="0"/>
    <x v="2"/>
    <n v="67"/>
    <n v="1724111"/>
    <n v="703500"/>
  </r>
  <r>
    <x v="20"/>
    <x v="1"/>
    <x v="20"/>
    <x v="1"/>
    <x v="0"/>
    <x v="2"/>
    <n v="71"/>
    <n v="1836841"/>
    <n v="745500"/>
  </r>
  <r>
    <x v="21"/>
    <x v="1"/>
    <x v="21"/>
    <x v="1"/>
    <x v="0"/>
    <x v="2"/>
    <n v="59"/>
    <n v="1564621"/>
    <n v="619500"/>
  </r>
  <r>
    <x v="22"/>
    <x v="1"/>
    <x v="22"/>
    <x v="1"/>
    <x v="0"/>
    <x v="2"/>
    <n v="42"/>
    <n v="1100442"/>
    <n v="441000"/>
  </r>
  <r>
    <x v="23"/>
    <x v="1"/>
    <x v="23"/>
    <x v="1"/>
    <x v="0"/>
    <x v="2"/>
    <n v="50"/>
    <n v="1301550"/>
    <n v="525000"/>
  </r>
  <r>
    <x v="0"/>
    <x v="0"/>
    <x v="0"/>
    <x v="1"/>
    <x v="0"/>
    <x v="3"/>
    <n v="66"/>
    <n v="1221264"/>
    <n v="493680"/>
  </r>
  <r>
    <x v="1"/>
    <x v="0"/>
    <x v="1"/>
    <x v="1"/>
    <x v="0"/>
    <x v="3"/>
    <n v="41"/>
    <n v="748701"/>
    <n v="306680"/>
  </r>
  <r>
    <x v="2"/>
    <x v="0"/>
    <x v="2"/>
    <x v="1"/>
    <x v="0"/>
    <x v="3"/>
    <n v="33"/>
    <n v="577401"/>
    <n v="246840"/>
  </r>
  <r>
    <x v="3"/>
    <x v="0"/>
    <x v="3"/>
    <x v="1"/>
    <x v="0"/>
    <x v="3"/>
    <n v="62"/>
    <n v="1172854"/>
    <n v="463760"/>
  </r>
  <r>
    <x v="4"/>
    <x v="0"/>
    <x v="4"/>
    <x v="1"/>
    <x v="0"/>
    <x v="3"/>
    <n v="78"/>
    <n v="1480050"/>
    <n v="583440"/>
  </r>
  <r>
    <x v="5"/>
    <x v="0"/>
    <x v="5"/>
    <x v="1"/>
    <x v="0"/>
    <x v="3"/>
    <n v="74"/>
    <n v="1311946"/>
    <n v="553520"/>
  </r>
  <r>
    <x v="6"/>
    <x v="0"/>
    <x v="6"/>
    <x v="1"/>
    <x v="0"/>
    <x v="3"/>
    <n v="78"/>
    <n v="1327014"/>
    <n v="583440"/>
  </r>
  <r>
    <x v="7"/>
    <x v="0"/>
    <x v="7"/>
    <x v="1"/>
    <x v="0"/>
    <x v="3"/>
    <n v="66"/>
    <n v="1217106"/>
    <n v="493680"/>
  </r>
  <r>
    <x v="8"/>
    <x v="0"/>
    <x v="8"/>
    <x v="1"/>
    <x v="0"/>
    <x v="3"/>
    <n v="70"/>
    <n v="1269660"/>
    <n v="523600"/>
  </r>
  <r>
    <x v="9"/>
    <x v="0"/>
    <x v="9"/>
    <x v="1"/>
    <x v="0"/>
    <x v="3"/>
    <n v="58"/>
    <n v="1092430"/>
    <n v="433840"/>
  </r>
  <r>
    <x v="10"/>
    <x v="0"/>
    <x v="10"/>
    <x v="1"/>
    <x v="0"/>
    <x v="3"/>
    <n v="41"/>
    <n v="763092"/>
    <n v="306680"/>
  </r>
  <r>
    <x v="11"/>
    <x v="0"/>
    <x v="11"/>
    <x v="1"/>
    <x v="0"/>
    <x v="3"/>
    <n v="50"/>
    <n v="894200"/>
    <n v="374000"/>
  </r>
  <r>
    <x v="12"/>
    <x v="1"/>
    <x v="12"/>
    <x v="1"/>
    <x v="0"/>
    <x v="3"/>
    <n v="73"/>
    <n v="1313270"/>
    <n v="546040"/>
  </r>
  <r>
    <x v="13"/>
    <x v="1"/>
    <x v="13"/>
    <x v="1"/>
    <x v="0"/>
    <x v="3"/>
    <n v="46"/>
    <n v="837798"/>
    <n v="344080"/>
  </r>
  <r>
    <x v="14"/>
    <x v="1"/>
    <x v="14"/>
    <x v="1"/>
    <x v="0"/>
    <x v="3"/>
    <n v="37"/>
    <n v="664705"/>
    <n v="276760"/>
  </r>
  <r>
    <x v="15"/>
    <x v="1"/>
    <x v="15"/>
    <x v="1"/>
    <x v="0"/>
    <x v="3"/>
    <n v="68"/>
    <n v="1244672"/>
    <n v="508640"/>
  </r>
  <r>
    <x v="16"/>
    <x v="1"/>
    <x v="16"/>
    <x v="1"/>
    <x v="0"/>
    <x v="3"/>
    <n v="86"/>
    <n v="1646900"/>
    <n v="643280"/>
  </r>
  <r>
    <x v="17"/>
    <x v="1"/>
    <x v="17"/>
    <x v="1"/>
    <x v="0"/>
    <x v="3"/>
    <n v="82"/>
    <n v="1537992"/>
    <n v="613360"/>
  </r>
  <r>
    <x v="18"/>
    <x v="1"/>
    <x v="18"/>
    <x v="1"/>
    <x v="0"/>
    <x v="3"/>
    <n v="86"/>
    <n v="1483586"/>
    <n v="643280"/>
  </r>
  <r>
    <x v="19"/>
    <x v="1"/>
    <x v="19"/>
    <x v="1"/>
    <x v="0"/>
    <x v="3"/>
    <n v="73"/>
    <n v="1268229"/>
    <n v="546040"/>
  </r>
  <r>
    <x v="20"/>
    <x v="1"/>
    <x v="20"/>
    <x v="1"/>
    <x v="0"/>
    <x v="3"/>
    <n v="77"/>
    <n v="1415876"/>
    <n v="575960"/>
  </r>
  <r>
    <x v="21"/>
    <x v="1"/>
    <x v="21"/>
    <x v="1"/>
    <x v="0"/>
    <x v="3"/>
    <n v="64"/>
    <n v="1145664"/>
    <n v="478720"/>
  </r>
  <r>
    <x v="22"/>
    <x v="1"/>
    <x v="22"/>
    <x v="1"/>
    <x v="0"/>
    <x v="3"/>
    <n v="46"/>
    <n v="852334"/>
    <n v="344080"/>
  </r>
  <r>
    <x v="23"/>
    <x v="1"/>
    <x v="23"/>
    <x v="1"/>
    <x v="0"/>
    <x v="3"/>
    <n v="55"/>
    <n v="984830"/>
    <n v="411400"/>
  </r>
  <r>
    <x v="0"/>
    <x v="0"/>
    <x v="0"/>
    <x v="1"/>
    <x v="0"/>
    <x v="4"/>
    <n v="51"/>
    <n v="1604970"/>
    <n v="856800"/>
  </r>
  <r>
    <x v="1"/>
    <x v="0"/>
    <x v="1"/>
    <x v="1"/>
    <x v="0"/>
    <x v="4"/>
    <n v="32"/>
    <n v="990496"/>
    <n v="537600"/>
  </r>
  <r>
    <x v="2"/>
    <x v="0"/>
    <x v="2"/>
    <x v="1"/>
    <x v="0"/>
    <x v="4"/>
    <n v="26"/>
    <n v="805480"/>
    <n v="436800"/>
  </r>
  <r>
    <x v="3"/>
    <x v="0"/>
    <x v="3"/>
    <x v="1"/>
    <x v="0"/>
    <x v="4"/>
    <n v="48"/>
    <n v="1535568"/>
    <n v="806400"/>
  </r>
  <r>
    <x v="4"/>
    <x v="0"/>
    <x v="4"/>
    <x v="1"/>
    <x v="0"/>
    <x v="4"/>
    <n v="61"/>
    <n v="1963773"/>
    <n v="1024800"/>
  </r>
  <r>
    <x v="5"/>
    <x v="0"/>
    <x v="5"/>
    <x v="1"/>
    <x v="0"/>
    <x v="4"/>
    <n v="58"/>
    <n v="1781412"/>
    <n v="974400"/>
  </r>
  <r>
    <x v="6"/>
    <x v="0"/>
    <x v="6"/>
    <x v="1"/>
    <x v="0"/>
    <x v="4"/>
    <n v="61"/>
    <n v="1837869"/>
    <n v="1024800"/>
  </r>
  <r>
    <x v="7"/>
    <x v="0"/>
    <x v="7"/>
    <x v="1"/>
    <x v="0"/>
    <x v="4"/>
    <n v="51"/>
    <n v="1563507"/>
    <n v="856800"/>
  </r>
  <r>
    <x v="8"/>
    <x v="0"/>
    <x v="8"/>
    <x v="1"/>
    <x v="0"/>
    <x v="4"/>
    <n v="55"/>
    <n v="1697520"/>
    <n v="924000"/>
  </r>
  <r>
    <x v="9"/>
    <x v="0"/>
    <x v="9"/>
    <x v="1"/>
    <x v="0"/>
    <x v="4"/>
    <n v="45"/>
    <n v="1390770"/>
    <n v="756000"/>
  </r>
  <r>
    <x v="10"/>
    <x v="0"/>
    <x v="10"/>
    <x v="1"/>
    <x v="0"/>
    <x v="4"/>
    <n v="32"/>
    <n v="996736"/>
    <n v="537600"/>
  </r>
  <r>
    <x v="11"/>
    <x v="0"/>
    <x v="11"/>
    <x v="1"/>
    <x v="0"/>
    <x v="4"/>
    <n v="39"/>
    <n v="1188018"/>
    <n v="655200"/>
  </r>
  <r>
    <x v="12"/>
    <x v="1"/>
    <x v="12"/>
    <x v="1"/>
    <x v="0"/>
    <x v="4"/>
    <n v="57"/>
    <n v="1803822"/>
    <n v="957600"/>
  </r>
  <r>
    <x v="13"/>
    <x v="1"/>
    <x v="13"/>
    <x v="1"/>
    <x v="0"/>
    <x v="4"/>
    <n v="36"/>
    <n v="1146168"/>
    <n v="604800"/>
  </r>
  <r>
    <x v="14"/>
    <x v="1"/>
    <x v="14"/>
    <x v="1"/>
    <x v="0"/>
    <x v="4"/>
    <n v="29"/>
    <n v="897840"/>
    <n v="487200"/>
  </r>
  <r>
    <x v="15"/>
    <x v="1"/>
    <x v="15"/>
    <x v="1"/>
    <x v="0"/>
    <x v="4"/>
    <n v="53"/>
    <n v="1673104"/>
    <n v="890400"/>
  </r>
  <r>
    <x v="16"/>
    <x v="1"/>
    <x v="16"/>
    <x v="1"/>
    <x v="0"/>
    <x v="4"/>
    <n v="67"/>
    <n v="2126848"/>
    <n v="1125600"/>
  </r>
  <r>
    <x v="17"/>
    <x v="1"/>
    <x v="17"/>
    <x v="1"/>
    <x v="0"/>
    <x v="4"/>
    <n v="64"/>
    <n v="2014336"/>
    <n v="1075200"/>
  </r>
  <r>
    <x v="18"/>
    <x v="1"/>
    <x v="18"/>
    <x v="1"/>
    <x v="0"/>
    <x v="4"/>
    <n v="67"/>
    <n v="1975495"/>
    <n v="1125600"/>
  </r>
  <r>
    <x v="19"/>
    <x v="1"/>
    <x v="19"/>
    <x v="1"/>
    <x v="0"/>
    <x v="4"/>
    <n v="57"/>
    <n v="1755885"/>
    <n v="957600"/>
  </r>
  <r>
    <x v="20"/>
    <x v="1"/>
    <x v="20"/>
    <x v="1"/>
    <x v="0"/>
    <x v="4"/>
    <n v="60"/>
    <n v="1842960"/>
    <n v="1008000"/>
  </r>
  <r>
    <x v="21"/>
    <x v="1"/>
    <x v="21"/>
    <x v="1"/>
    <x v="0"/>
    <x v="4"/>
    <n v="50"/>
    <n v="1563450"/>
    <n v="840000"/>
  </r>
  <r>
    <x v="22"/>
    <x v="1"/>
    <x v="22"/>
    <x v="1"/>
    <x v="0"/>
    <x v="4"/>
    <n v="36"/>
    <n v="1133568"/>
    <n v="604800"/>
  </r>
  <r>
    <x v="23"/>
    <x v="1"/>
    <x v="23"/>
    <x v="1"/>
    <x v="0"/>
    <x v="4"/>
    <n v="43"/>
    <n v="1331968"/>
    <n v="722400"/>
  </r>
  <r>
    <x v="0"/>
    <x v="0"/>
    <x v="0"/>
    <x v="1"/>
    <x v="0"/>
    <x v="5"/>
    <n v="49"/>
    <n v="770084"/>
    <n v="301350"/>
  </r>
  <r>
    <x v="1"/>
    <x v="0"/>
    <x v="1"/>
    <x v="1"/>
    <x v="0"/>
    <x v="5"/>
    <n v="31"/>
    <n v="505269"/>
    <n v="190650"/>
  </r>
  <r>
    <x v="2"/>
    <x v="0"/>
    <x v="2"/>
    <x v="1"/>
    <x v="0"/>
    <x v="5"/>
    <n v="25"/>
    <n v="397525"/>
    <n v="153750"/>
  </r>
  <r>
    <x v="3"/>
    <x v="0"/>
    <x v="3"/>
    <x v="1"/>
    <x v="0"/>
    <x v="5"/>
    <n v="46"/>
    <n v="779102"/>
    <n v="282900"/>
  </r>
  <r>
    <x v="4"/>
    <x v="0"/>
    <x v="4"/>
    <x v="1"/>
    <x v="0"/>
    <x v="5"/>
    <n v="58"/>
    <n v="992032"/>
    <n v="356700"/>
  </r>
  <r>
    <x v="5"/>
    <x v="0"/>
    <x v="5"/>
    <x v="1"/>
    <x v="0"/>
    <x v="5"/>
    <n v="55"/>
    <n v="873840"/>
    <n v="338250"/>
  </r>
  <r>
    <x v="6"/>
    <x v="0"/>
    <x v="6"/>
    <x v="1"/>
    <x v="0"/>
    <x v="5"/>
    <n v="58"/>
    <n v="880962"/>
    <n v="356700"/>
  </r>
  <r>
    <x v="7"/>
    <x v="0"/>
    <x v="7"/>
    <x v="1"/>
    <x v="0"/>
    <x v="5"/>
    <n v="49"/>
    <n v="789684"/>
    <n v="301350"/>
  </r>
  <r>
    <x v="8"/>
    <x v="0"/>
    <x v="8"/>
    <x v="1"/>
    <x v="0"/>
    <x v="5"/>
    <n v="52"/>
    <n v="838292"/>
    <n v="319800"/>
  </r>
  <r>
    <x v="9"/>
    <x v="0"/>
    <x v="9"/>
    <x v="1"/>
    <x v="0"/>
    <x v="5"/>
    <n v="43"/>
    <n v="680346"/>
    <n v="264450"/>
  </r>
  <r>
    <x v="10"/>
    <x v="0"/>
    <x v="10"/>
    <x v="1"/>
    <x v="0"/>
    <x v="5"/>
    <n v="31"/>
    <n v="510849"/>
    <n v="190650"/>
  </r>
  <r>
    <x v="11"/>
    <x v="0"/>
    <x v="11"/>
    <x v="1"/>
    <x v="0"/>
    <x v="5"/>
    <n v="37"/>
    <n v="575202"/>
    <n v="227550"/>
  </r>
  <r>
    <x v="12"/>
    <x v="1"/>
    <x v="12"/>
    <x v="1"/>
    <x v="0"/>
    <x v="5"/>
    <n v="54"/>
    <n v="881496"/>
    <n v="332100"/>
  </r>
  <r>
    <x v="13"/>
    <x v="1"/>
    <x v="13"/>
    <x v="1"/>
    <x v="0"/>
    <x v="5"/>
    <n v="34"/>
    <n v="550936"/>
    <n v="209100"/>
  </r>
  <r>
    <x v="14"/>
    <x v="1"/>
    <x v="14"/>
    <x v="1"/>
    <x v="0"/>
    <x v="5"/>
    <n v="27"/>
    <n v="442071"/>
    <n v="166050"/>
  </r>
  <r>
    <x v="15"/>
    <x v="1"/>
    <x v="15"/>
    <x v="1"/>
    <x v="0"/>
    <x v="5"/>
    <n v="51"/>
    <n v="840990"/>
    <n v="313650"/>
  </r>
  <r>
    <x v="16"/>
    <x v="1"/>
    <x v="16"/>
    <x v="1"/>
    <x v="0"/>
    <x v="5"/>
    <n v="64"/>
    <n v="1084352"/>
    <n v="393600"/>
  </r>
  <r>
    <x v="17"/>
    <x v="1"/>
    <x v="17"/>
    <x v="1"/>
    <x v="0"/>
    <x v="5"/>
    <n v="61"/>
    <n v="987712"/>
    <n v="375150"/>
  </r>
  <r>
    <x v="18"/>
    <x v="1"/>
    <x v="18"/>
    <x v="1"/>
    <x v="0"/>
    <x v="5"/>
    <n v="64"/>
    <n v="947584"/>
    <n v="393600"/>
  </r>
  <r>
    <x v="19"/>
    <x v="1"/>
    <x v="19"/>
    <x v="1"/>
    <x v="0"/>
    <x v="5"/>
    <n v="54"/>
    <n v="849636"/>
    <n v="332100"/>
  </r>
  <r>
    <x v="20"/>
    <x v="1"/>
    <x v="20"/>
    <x v="1"/>
    <x v="0"/>
    <x v="5"/>
    <n v="57"/>
    <n v="929670"/>
    <n v="350550"/>
  </r>
  <r>
    <x v="21"/>
    <x v="1"/>
    <x v="21"/>
    <x v="1"/>
    <x v="0"/>
    <x v="5"/>
    <n v="47"/>
    <n v="754585"/>
    <n v="289050"/>
  </r>
  <r>
    <x v="22"/>
    <x v="1"/>
    <x v="22"/>
    <x v="1"/>
    <x v="0"/>
    <x v="5"/>
    <n v="34"/>
    <n v="537676"/>
    <n v="209100"/>
  </r>
  <r>
    <x v="23"/>
    <x v="1"/>
    <x v="23"/>
    <x v="1"/>
    <x v="0"/>
    <x v="5"/>
    <n v="41"/>
    <n v="637345"/>
    <n v="252150"/>
  </r>
  <r>
    <x v="0"/>
    <x v="0"/>
    <x v="0"/>
    <x v="1"/>
    <x v="0"/>
    <x v="6"/>
    <n v="64"/>
    <n v="770752"/>
    <n v="281600"/>
  </r>
  <r>
    <x v="1"/>
    <x v="0"/>
    <x v="1"/>
    <x v="1"/>
    <x v="0"/>
    <x v="6"/>
    <n v="40"/>
    <n v="504680"/>
    <n v="176000"/>
  </r>
  <r>
    <x v="2"/>
    <x v="0"/>
    <x v="2"/>
    <x v="1"/>
    <x v="0"/>
    <x v="6"/>
    <n v="32"/>
    <n v="382432"/>
    <n v="140800"/>
  </r>
  <r>
    <x v="3"/>
    <x v="0"/>
    <x v="3"/>
    <x v="1"/>
    <x v="0"/>
    <x v="6"/>
    <n v="60"/>
    <n v="750420"/>
    <n v="264000"/>
  </r>
  <r>
    <x v="4"/>
    <x v="0"/>
    <x v="4"/>
    <x v="1"/>
    <x v="0"/>
    <x v="6"/>
    <n v="76"/>
    <n v="1023036"/>
    <n v="334400"/>
  </r>
  <r>
    <x v="5"/>
    <x v="0"/>
    <x v="5"/>
    <x v="1"/>
    <x v="0"/>
    <x v="6"/>
    <n v="72"/>
    <n v="870552"/>
    <n v="316800"/>
  </r>
  <r>
    <x v="6"/>
    <x v="0"/>
    <x v="6"/>
    <x v="1"/>
    <x v="0"/>
    <x v="6"/>
    <n v="76"/>
    <n v="791540"/>
    <n v="334400"/>
  </r>
  <r>
    <x v="7"/>
    <x v="0"/>
    <x v="7"/>
    <x v="1"/>
    <x v="0"/>
    <x v="6"/>
    <n v="64"/>
    <n v="733184"/>
    <n v="281600"/>
  </r>
  <r>
    <x v="8"/>
    <x v="0"/>
    <x v="8"/>
    <x v="1"/>
    <x v="0"/>
    <x v="6"/>
    <n v="68"/>
    <n v="807432"/>
    <n v="299200"/>
  </r>
  <r>
    <x v="9"/>
    <x v="0"/>
    <x v="9"/>
    <x v="1"/>
    <x v="0"/>
    <x v="6"/>
    <n v="56"/>
    <n v="717864"/>
    <n v="246400"/>
  </r>
  <r>
    <x v="10"/>
    <x v="0"/>
    <x v="10"/>
    <x v="1"/>
    <x v="0"/>
    <x v="6"/>
    <n v="40"/>
    <n v="487200"/>
    <n v="176000"/>
  </r>
  <r>
    <x v="11"/>
    <x v="0"/>
    <x v="11"/>
    <x v="1"/>
    <x v="0"/>
    <x v="6"/>
    <n v="48"/>
    <n v="561840"/>
    <n v="211200"/>
  </r>
  <r>
    <x v="12"/>
    <x v="1"/>
    <x v="12"/>
    <x v="1"/>
    <x v="0"/>
    <x v="6"/>
    <n v="71"/>
    <n v="898860"/>
    <n v="312400"/>
  </r>
  <r>
    <x v="13"/>
    <x v="1"/>
    <x v="13"/>
    <x v="1"/>
    <x v="0"/>
    <x v="6"/>
    <n v="44"/>
    <n v="568788"/>
    <n v="193600"/>
  </r>
  <r>
    <x v="14"/>
    <x v="1"/>
    <x v="14"/>
    <x v="1"/>
    <x v="0"/>
    <x v="6"/>
    <n v="36"/>
    <n v="413640"/>
    <n v="158400"/>
  </r>
  <r>
    <x v="15"/>
    <x v="1"/>
    <x v="15"/>
    <x v="1"/>
    <x v="0"/>
    <x v="6"/>
    <n v="66"/>
    <n v="863610"/>
    <n v="290400"/>
  </r>
  <r>
    <x v="16"/>
    <x v="1"/>
    <x v="16"/>
    <x v="1"/>
    <x v="0"/>
    <x v="6"/>
    <n v="84"/>
    <n v="1074696"/>
    <n v="369600"/>
  </r>
  <r>
    <x v="17"/>
    <x v="1"/>
    <x v="17"/>
    <x v="1"/>
    <x v="0"/>
    <x v="6"/>
    <n v="80"/>
    <n v="1010080"/>
    <n v="352000"/>
  </r>
  <r>
    <x v="18"/>
    <x v="1"/>
    <x v="18"/>
    <x v="1"/>
    <x v="0"/>
    <x v="6"/>
    <n v="84"/>
    <n v="905184"/>
    <n v="369600"/>
  </r>
  <r>
    <x v="19"/>
    <x v="1"/>
    <x v="19"/>
    <x v="1"/>
    <x v="0"/>
    <x v="6"/>
    <n v="71"/>
    <n v="824949"/>
    <n v="312400"/>
  </r>
  <r>
    <x v="20"/>
    <x v="1"/>
    <x v="20"/>
    <x v="1"/>
    <x v="0"/>
    <x v="6"/>
    <n v="75"/>
    <n v="874875"/>
    <n v="330000"/>
  </r>
  <r>
    <x v="21"/>
    <x v="1"/>
    <x v="21"/>
    <x v="1"/>
    <x v="0"/>
    <x v="6"/>
    <n v="62"/>
    <n v="777790"/>
    <n v="272800"/>
  </r>
  <r>
    <x v="22"/>
    <x v="1"/>
    <x v="22"/>
    <x v="1"/>
    <x v="0"/>
    <x v="6"/>
    <n v="44"/>
    <n v="517440"/>
    <n v="193600"/>
  </r>
  <r>
    <x v="23"/>
    <x v="1"/>
    <x v="23"/>
    <x v="1"/>
    <x v="0"/>
    <x v="6"/>
    <n v="53"/>
    <n v="616231"/>
    <n v="233200"/>
  </r>
  <r>
    <x v="0"/>
    <x v="0"/>
    <x v="0"/>
    <x v="1"/>
    <x v="1"/>
    <x v="7"/>
    <n v="33"/>
    <n v="146652"/>
    <n v="59829"/>
  </r>
  <r>
    <x v="1"/>
    <x v="0"/>
    <x v="1"/>
    <x v="1"/>
    <x v="1"/>
    <x v="7"/>
    <n v="21"/>
    <n v="106218"/>
    <n v="38073"/>
  </r>
  <r>
    <x v="2"/>
    <x v="0"/>
    <x v="2"/>
    <x v="1"/>
    <x v="1"/>
    <x v="7"/>
    <n v="17"/>
    <n v="83062"/>
    <n v="30821"/>
  </r>
  <r>
    <x v="3"/>
    <x v="0"/>
    <x v="3"/>
    <x v="1"/>
    <x v="1"/>
    <x v="7"/>
    <n v="31"/>
    <n v="165943"/>
    <n v="56203"/>
  </r>
  <r>
    <x v="4"/>
    <x v="0"/>
    <x v="4"/>
    <x v="1"/>
    <x v="1"/>
    <x v="7"/>
    <n v="39"/>
    <n v="213681"/>
    <n v="70707"/>
  </r>
  <r>
    <x v="5"/>
    <x v="0"/>
    <x v="5"/>
    <x v="1"/>
    <x v="1"/>
    <x v="7"/>
    <n v="37"/>
    <n v="166241"/>
    <n v="67081"/>
  </r>
  <r>
    <x v="6"/>
    <x v="0"/>
    <x v="6"/>
    <x v="1"/>
    <x v="1"/>
    <x v="7"/>
    <n v="39"/>
    <n v="135642"/>
    <n v="70707"/>
  </r>
  <r>
    <x v="7"/>
    <x v="0"/>
    <x v="7"/>
    <x v="1"/>
    <x v="1"/>
    <x v="7"/>
    <n v="33"/>
    <n v="150051"/>
    <n v="59829"/>
  </r>
  <r>
    <x v="8"/>
    <x v="0"/>
    <x v="8"/>
    <x v="1"/>
    <x v="1"/>
    <x v="7"/>
    <n v="35"/>
    <n v="158865"/>
    <n v="63455"/>
  </r>
  <r>
    <x v="9"/>
    <x v="0"/>
    <x v="9"/>
    <x v="1"/>
    <x v="1"/>
    <x v="7"/>
    <n v="29"/>
    <n v="163908"/>
    <n v="52577"/>
  </r>
  <r>
    <x v="10"/>
    <x v="0"/>
    <x v="10"/>
    <x v="1"/>
    <x v="1"/>
    <x v="7"/>
    <n v="21"/>
    <n v="106932"/>
    <n v="38073"/>
  </r>
  <r>
    <x v="11"/>
    <x v="0"/>
    <x v="11"/>
    <x v="1"/>
    <x v="1"/>
    <x v="7"/>
    <n v="25"/>
    <n v="116950"/>
    <n v="45325"/>
  </r>
  <r>
    <x v="12"/>
    <x v="1"/>
    <x v="12"/>
    <x v="1"/>
    <x v="1"/>
    <x v="7"/>
    <n v="36"/>
    <n v="175320"/>
    <n v="65268"/>
  </r>
  <r>
    <x v="13"/>
    <x v="1"/>
    <x v="13"/>
    <x v="1"/>
    <x v="1"/>
    <x v="7"/>
    <n v="23"/>
    <n v="130203"/>
    <n v="41699"/>
  </r>
  <r>
    <x v="14"/>
    <x v="1"/>
    <x v="14"/>
    <x v="1"/>
    <x v="1"/>
    <x v="7"/>
    <n v="18"/>
    <n v="75816"/>
    <n v="32634"/>
  </r>
  <r>
    <x v="15"/>
    <x v="1"/>
    <x v="15"/>
    <x v="1"/>
    <x v="1"/>
    <x v="7"/>
    <n v="34"/>
    <n v="171768"/>
    <n v="61642"/>
  </r>
  <r>
    <x v="16"/>
    <x v="1"/>
    <x v="16"/>
    <x v="1"/>
    <x v="1"/>
    <x v="7"/>
    <n v="43"/>
    <n v="236328"/>
    <n v="77959"/>
  </r>
  <r>
    <x v="17"/>
    <x v="1"/>
    <x v="17"/>
    <x v="1"/>
    <x v="1"/>
    <x v="7"/>
    <n v="40"/>
    <n v="203680"/>
    <n v="72520"/>
  </r>
  <r>
    <x v="18"/>
    <x v="1"/>
    <x v="18"/>
    <x v="1"/>
    <x v="1"/>
    <x v="7"/>
    <n v="43"/>
    <n v="132741"/>
    <n v="77959"/>
  </r>
  <r>
    <x v="19"/>
    <x v="1"/>
    <x v="19"/>
    <x v="1"/>
    <x v="1"/>
    <x v="7"/>
    <n v="36"/>
    <n v="157140"/>
    <n v="65268"/>
  </r>
  <r>
    <x v="20"/>
    <x v="1"/>
    <x v="20"/>
    <x v="1"/>
    <x v="1"/>
    <x v="7"/>
    <n v="38"/>
    <n v="149834"/>
    <n v="68894"/>
  </r>
  <r>
    <x v="21"/>
    <x v="1"/>
    <x v="21"/>
    <x v="1"/>
    <x v="1"/>
    <x v="7"/>
    <n v="31"/>
    <n v="176111"/>
    <n v="56203"/>
  </r>
  <r>
    <x v="22"/>
    <x v="1"/>
    <x v="22"/>
    <x v="1"/>
    <x v="1"/>
    <x v="7"/>
    <n v="23"/>
    <n v="110515"/>
    <n v="41699"/>
  </r>
  <r>
    <x v="23"/>
    <x v="1"/>
    <x v="23"/>
    <x v="1"/>
    <x v="1"/>
    <x v="7"/>
    <n v="27"/>
    <n v="111132"/>
    <n v="48951"/>
  </r>
  <r>
    <x v="0"/>
    <x v="0"/>
    <x v="0"/>
    <x v="1"/>
    <x v="1"/>
    <x v="8"/>
    <n v="26"/>
    <n v="95602"/>
    <n v="29900"/>
  </r>
  <r>
    <x v="1"/>
    <x v="0"/>
    <x v="1"/>
    <x v="1"/>
    <x v="1"/>
    <x v="8"/>
    <n v="16"/>
    <n v="70912"/>
    <n v="18400"/>
  </r>
  <r>
    <x v="2"/>
    <x v="0"/>
    <x v="2"/>
    <x v="1"/>
    <x v="1"/>
    <x v="8"/>
    <n v="13"/>
    <n v="44408"/>
    <n v="14950"/>
  </r>
  <r>
    <x v="3"/>
    <x v="0"/>
    <x v="3"/>
    <x v="1"/>
    <x v="1"/>
    <x v="8"/>
    <n v="24"/>
    <n v="96264"/>
    <n v="27600"/>
  </r>
  <r>
    <x v="4"/>
    <x v="0"/>
    <x v="4"/>
    <x v="1"/>
    <x v="1"/>
    <x v="8"/>
    <n v="30"/>
    <n v="131790"/>
    <n v="34500"/>
  </r>
  <r>
    <x v="5"/>
    <x v="0"/>
    <x v="5"/>
    <x v="1"/>
    <x v="1"/>
    <x v="8"/>
    <n v="29"/>
    <n v="113158"/>
    <n v="33350"/>
  </r>
  <r>
    <x v="6"/>
    <x v="0"/>
    <x v="6"/>
    <x v="1"/>
    <x v="1"/>
    <x v="8"/>
    <n v="30"/>
    <n v="57570"/>
    <n v="34500"/>
  </r>
  <r>
    <x v="7"/>
    <x v="0"/>
    <x v="7"/>
    <x v="1"/>
    <x v="1"/>
    <x v="8"/>
    <n v="26"/>
    <n v="87152"/>
    <n v="29900"/>
  </r>
  <r>
    <x v="8"/>
    <x v="0"/>
    <x v="8"/>
    <x v="1"/>
    <x v="1"/>
    <x v="8"/>
    <n v="27"/>
    <n v="85374"/>
    <n v="31050"/>
  </r>
  <r>
    <x v="9"/>
    <x v="0"/>
    <x v="9"/>
    <x v="1"/>
    <x v="1"/>
    <x v="8"/>
    <n v="23"/>
    <n v="91701"/>
    <n v="26450"/>
  </r>
  <r>
    <x v="10"/>
    <x v="0"/>
    <x v="10"/>
    <x v="1"/>
    <x v="1"/>
    <x v="8"/>
    <n v="16"/>
    <n v="66576"/>
    <n v="18400"/>
  </r>
  <r>
    <x v="11"/>
    <x v="0"/>
    <x v="11"/>
    <x v="1"/>
    <x v="1"/>
    <x v="8"/>
    <n v="19"/>
    <n v="61028"/>
    <n v="21850"/>
  </r>
  <r>
    <x v="12"/>
    <x v="1"/>
    <x v="12"/>
    <x v="1"/>
    <x v="1"/>
    <x v="8"/>
    <n v="28"/>
    <n v="103376"/>
    <n v="32200"/>
  </r>
  <r>
    <x v="13"/>
    <x v="1"/>
    <x v="13"/>
    <x v="1"/>
    <x v="1"/>
    <x v="8"/>
    <n v="18"/>
    <n v="73890"/>
    <n v="20700"/>
  </r>
  <r>
    <x v="14"/>
    <x v="1"/>
    <x v="14"/>
    <x v="1"/>
    <x v="1"/>
    <x v="8"/>
    <n v="14"/>
    <n v="47530"/>
    <n v="16100"/>
  </r>
  <r>
    <x v="15"/>
    <x v="1"/>
    <x v="15"/>
    <x v="1"/>
    <x v="1"/>
    <x v="8"/>
    <n v="26"/>
    <n v="105430"/>
    <n v="29900"/>
  </r>
  <r>
    <x v="16"/>
    <x v="1"/>
    <x v="16"/>
    <x v="1"/>
    <x v="1"/>
    <x v="8"/>
    <n v="33"/>
    <n v="138138"/>
    <n v="37950"/>
  </r>
  <r>
    <x v="17"/>
    <x v="1"/>
    <x v="17"/>
    <x v="1"/>
    <x v="1"/>
    <x v="8"/>
    <n v="32"/>
    <n v="110080"/>
    <n v="36800"/>
  </r>
  <r>
    <x v="18"/>
    <x v="1"/>
    <x v="18"/>
    <x v="1"/>
    <x v="1"/>
    <x v="8"/>
    <n v="33"/>
    <n v="71544"/>
    <n v="37950"/>
  </r>
  <r>
    <x v="19"/>
    <x v="1"/>
    <x v="19"/>
    <x v="1"/>
    <x v="1"/>
    <x v="8"/>
    <n v="28"/>
    <n v="104776"/>
    <n v="32200"/>
  </r>
  <r>
    <x v="20"/>
    <x v="1"/>
    <x v="20"/>
    <x v="1"/>
    <x v="1"/>
    <x v="8"/>
    <n v="30"/>
    <n v="97380"/>
    <n v="34500"/>
  </r>
  <r>
    <x v="21"/>
    <x v="1"/>
    <x v="21"/>
    <x v="1"/>
    <x v="1"/>
    <x v="8"/>
    <n v="25"/>
    <n v="111325"/>
    <n v="28750"/>
  </r>
  <r>
    <x v="22"/>
    <x v="1"/>
    <x v="22"/>
    <x v="1"/>
    <x v="1"/>
    <x v="8"/>
    <n v="18"/>
    <n v="63612"/>
    <n v="20700"/>
  </r>
  <r>
    <x v="23"/>
    <x v="1"/>
    <x v="23"/>
    <x v="1"/>
    <x v="1"/>
    <x v="8"/>
    <n v="21"/>
    <n v="65541"/>
    <n v="24150"/>
  </r>
  <r>
    <x v="0"/>
    <x v="0"/>
    <x v="0"/>
    <x v="1"/>
    <x v="1"/>
    <x v="9"/>
    <n v="33"/>
    <n v="138171"/>
    <n v="44022"/>
  </r>
  <r>
    <x v="1"/>
    <x v="0"/>
    <x v="1"/>
    <x v="1"/>
    <x v="1"/>
    <x v="9"/>
    <n v="21"/>
    <n v="92799"/>
    <n v="28014"/>
  </r>
  <r>
    <x v="2"/>
    <x v="0"/>
    <x v="2"/>
    <x v="1"/>
    <x v="1"/>
    <x v="9"/>
    <n v="17"/>
    <n v="66062"/>
    <n v="22678"/>
  </r>
  <r>
    <x v="3"/>
    <x v="0"/>
    <x v="3"/>
    <x v="1"/>
    <x v="1"/>
    <x v="9"/>
    <n v="31"/>
    <n v="155744"/>
    <n v="41354"/>
  </r>
  <r>
    <x v="4"/>
    <x v="0"/>
    <x v="4"/>
    <x v="1"/>
    <x v="1"/>
    <x v="9"/>
    <n v="39"/>
    <n v="198978"/>
    <n v="52026"/>
  </r>
  <r>
    <x v="5"/>
    <x v="0"/>
    <x v="5"/>
    <x v="1"/>
    <x v="1"/>
    <x v="9"/>
    <n v="37"/>
    <n v="167129"/>
    <n v="49358"/>
  </r>
  <r>
    <x v="6"/>
    <x v="0"/>
    <x v="6"/>
    <x v="1"/>
    <x v="1"/>
    <x v="9"/>
    <n v="39"/>
    <n v="120861"/>
    <n v="52026"/>
  </r>
  <r>
    <x v="7"/>
    <x v="0"/>
    <x v="7"/>
    <x v="1"/>
    <x v="1"/>
    <x v="9"/>
    <n v="33"/>
    <n v="111276"/>
    <n v="44022"/>
  </r>
  <r>
    <x v="8"/>
    <x v="0"/>
    <x v="8"/>
    <x v="1"/>
    <x v="1"/>
    <x v="9"/>
    <n v="35"/>
    <n v="134050"/>
    <n v="46690"/>
  </r>
  <r>
    <x v="9"/>
    <x v="0"/>
    <x v="9"/>
    <x v="1"/>
    <x v="1"/>
    <x v="9"/>
    <n v="29"/>
    <n v="132356"/>
    <n v="38686"/>
  </r>
  <r>
    <x v="10"/>
    <x v="0"/>
    <x v="10"/>
    <x v="1"/>
    <x v="1"/>
    <x v="9"/>
    <n v="21"/>
    <n v="88158"/>
    <n v="28014"/>
  </r>
  <r>
    <x v="11"/>
    <x v="0"/>
    <x v="11"/>
    <x v="1"/>
    <x v="1"/>
    <x v="9"/>
    <n v="25"/>
    <n v="97000"/>
    <n v="33350"/>
  </r>
  <r>
    <x v="12"/>
    <x v="1"/>
    <x v="12"/>
    <x v="1"/>
    <x v="1"/>
    <x v="9"/>
    <n v="36"/>
    <n v="140148"/>
    <n v="48024"/>
  </r>
  <r>
    <x v="13"/>
    <x v="1"/>
    <x v="13"/>
    <x v="1"/>
    <x v="1"/>
    <x v="9"/>
    <n v="23"/>
    <n v="103753"/>
    <n v="30682"/>
  </r>
  <r>
    <x v="14"/>
    <x v="1"/>
    <x v="14"/>
    <x v="1"/>
    <x v="1"/>
    <x v="9"/>
    <n v="18"/>
    <n v="61146"/>
    <n v="24012"/>
  </r>
  <r>
    <x v="15"/>
    <x v="1"/>
    <x v="15"/>
    <x v="1"/>
    <x v="1"/>
    <x v="9"/>
    <n v="34"/>
    <n v="166940"/>
    <n v="45356"/>
  </r>
  <r>
    <x v="16"/>
    <x v="1"/>
    <x v="16"/>
    <x v="1"/>
    <x v="1"/>
    <x v="9"/>
    <n v="43"/>
    <n v="203046"/>
    <n v="57362"/>
  </r>
  <r>
    <x v="17"/>
    <x v="1"/>
    <x v="17"/>
    <x v="1"/>
    <x v="1"/>
    <x v="9"/>
    <n v="41"/>
    <n v="166583"/>
    <n v="54694"/>
  </r>
  <r>
    <x v="18"/>
    <x v="1"/>
    <x v="18"/>
    <x v="1"/>
    <x v="1"/>
    <x v="9"/>
    <n v="43"/>
    <n v="129086"/>
    <n v="57362"/>
  </r>
  <r>
    <x v="19"/>
    <x v="1"/>
    <x v="19"/>
    <x v="1"/>
    <x v="1"/>
    <x v="9"/>
    <n v="36"/>
    <n v="129168"/>
    <n v="48024"/>
  </r>
  <r>
    <x v="20"/>
    <x v="1"/>
    <x v="20"/>
    <x v="1"/>
    <x v="1"/>
    <x v="9"/>
    <n v="38"/>
    <n v="151658"/>
    <n v="50692"/>
  </r>
  <r>
    <x v="21"/>
    <x v="1"/>
    <x v="21"/>
    <x v="1"/>
    <x v="1"/>
    <x v="9"/>
    <n v="32"/>
    <n v="137888"/>
    <n v="42688"/>
  </r>
  <r>
    <x v="22"/>
    <x v="1"/>
    <x v="22"/>
    <x v="1"/>
    <x v="1"/>
    <x v="9"/>
    <n v="23"/>
    <n v="101154"/>
    <n v="30682"/>
  </r>
  <r>
    <x v="23"/>
    <x v="1"/>
    <x v="23"/>
    <x v="1"/>
    <x v="1"/>
    <x v="9"/>
    <n v="27"/>
    <n v="97551"/>
    <n v="36018"/>
  </r>
  <r>
    <x v="0"/>
    <x v="0"/>
    <x v="0"/>
    <x v="1"/>
    <x v="1"/>
    <x v="10"/>
    <n v="27"/>
    <n v="149499"/>
    <n v="54432"/>
  </r>
  <r>
    <x v="1"/>
    <x v="0"/>
    <x v="1"/>
    <x v="1"/>
    <x v="1"/>
    <x v="10"/>
    <n v="17"/>
    <n v="101252"/>
    <n v="34272"/>
  </r>
  <r>
    <x v="2"/>
    <x v="0"/>
    <x v="2"/>
    <x v="1"/>
    <x v="1"/>
    <x v="10"/>
    <n v="14"/>
    <n v="59976"/>
    <n v="28224"/>
  </r>
  <r>
    <x v="3"/>
    <x v="0"/>
    <x v="3"/>
    <x v="1"/>
    <x v="1"/>
    <x v="10"/>
    <n v="26"/>
    <n v="149162"/>
    <n v="52416"/>
  </r>
  <r>
    <x v="4"/>
    <x v="0"/>
    <x v="4"/>
    <x v="1"/>
    <x v="1"/>
    <x v="10"/>
    <n v="32"/>
    <n v="185472"/>
    <n v="64512"/>
  </r>
  <r>
    <x v="5"/>
    <x v="0"/>
    <x v="5"/>
    <x v="1"/>
    <x v="1"/>
    <x v="10"/>
    <n v="31"/>
    <n v="175770"/>
    <n v="62496"/>
  </r>
  <r>
    <x v="6"/>
    <x v="0"/>
    <x v="6"/>
    <x v="1"/>
    <x v="1"/>
    <x v="10"/>
    <n v="32"/>
    <n v="122560"/>
    <n v="64512"/>
  </r>
  <r>
    <x v="7"/>
    <x v="0"/>
    <x v="7"/>
    <x v="1"/>
    <x v="1"/>
    <x v="10"/>
    <n v="27"/>
    <n v="152280"/>
    <n v="54432"/>
  </r>
  <r>
    <x v="8"/>
    <x v="0"/>
    <x v="8"/>
    <x v="1"/>
    <x v="1"/>
    <x v="10"/>
    <n v="29"/>
    <n v="145667"/>
    <n v="58464"/>
  </r>
  <r>
    <x v="9"/>
    <x v="0"/>
    <x v="9"/>
    <x v="1"/>
    <x v="1"/>
    <x v="10"/>
    <n v="24"/>
    <n v="120144"/>
    <n v="48384"/>
  </r>
  <r>
    <x v="10"/>
    <x v="0"/>
    <x v="10"/>
    <x v="1"/>
    <x v="1"/>
    <x v="10"/>
    <n v="17"/>
    <n v="99943"/>
    <n v="34272"/>
  </r>
  <r>
    <x v="11"/>
    <x v="0"/>
    <x v="11"/>
    <x v="1"/>
    <x v="1"/>
    <x v="10"/>
    <n v="21"/>
    <n v="107856"/>
    <n v="42336"/>
  </r>
  <r>
    <x v="12"/>
    <x v="1"/>
    <x v="12"/>
    <x v="1"/>
    <x v="1"/>
    <x v="10"/>
    <n v="30"/>
    <n v="161040"/>
    <n v="60480"/>
  </r>
  <r>
    <x v="13"/>
    <x v="1"/>
    <x v="13"/>
    <x v="1"/>
    <x v="1"/>
    <x v="10"/>
    <n v="19"/>
    <n v="102486"/>
    <n v="38304"/>
  </r>
  <r>
    <x v="14"/>
    <x v="1"/>
    <x v="14"/>
    <x v="1"/>
    <x v="1"/>
    <x v="10"/>
    <n v="15"/>
    <n v="75195"/>
    <n v="30240"/>
  </r>
  <r>
    <x v="15"/>
    <x v="1"/>
    <x v="15"/>
    <x v="1"/>
    <x v="1"/>
    <x v="10"/>
    <n v="28"/>
    <n v="154812"/>
    <n v="56448"/>
  </r>
  <r>
    <x v="16"/>
    <x v="1"/>
    <x v="16"/>
    <x v="1"/>
    <x v="1"/>
    <x v="10"/>
    <n v="36"/>
    <n v="239004"/>
    <n v="72576"/>
  </r>
  <r>
    <x v="17"/>
    <x v="1"/>
    <x v="17"/>
    <x v="1"/>
    <x v="1"/>
    <x v="10"/>
    <n v="34"/>
    <n v="190332"/>
    <n v="68544"/>
  </r>
  <r>
    <x v="18"/>
    <x v="1"/>
    <x v="18"/>
    <x v="1"/>
    <x v="1"/>
    <x v="10"/>
    <n v="36"/>
    <n v="147060"/>
    <n v="72576"/>
  </r>
  <r>
    <x v="19"/>
    <x v="1"/>
    <x v="19"/>
    <x v="1"/>
    <x v="1"/>
    <x v="10"/>
    <n v="30"/>
    <n v="139260"/>
    <n v="60480"/>
  </r>
  <r>
    <x v="20"/>
    <x v="1"/>
    <x v="20"/>
    <x v="1"/>
    <x v="1"/>
    <x v="10"/>
    <n v="32"/>
    <n v="167200"/>
    <n v="64512"/>
  </r>
  <r>
    <x v="21"/>
    <x v="1"/>
    <x v="21"/>
    <x v="1"/>
    <x v="1"/>
    <x v="10"/>
    <n v="26"/>
    <n v="163202"/>
    <n v="52416"/>
  </r>
  <r>
    <x v="22"/>
    <x v="1"/>
    <x v="22"/>
    <x v="1"/>
    <x v="1"/>
    <x v="10"/>
    <n v="19"/>
    <n v="104120"/>
    <n v="38304"/>
  </r>
  <r>
    <x v="23"/>
    <x v="1"/>
    <x v="23"/>
    <x v="1"/>
    <x v="1"/>
    <x v="10"/>
    <n v="23"/>
    <n v="121302"/>
    <n v="46368"/>
  </r>
  <r>
    <x v="0"/>
    <x v="0"/>
    <x v="0"/>
    <x v="1"/>
    <x v="1"/>
    <x v="11"/>
    <n v="25"/>
    <n v="67075"/>
    <n v="23375.000000000004"/>
  </r>
  <r>
    <x v="1"/>
    <x v="0"/>
    <x v="1"/>
    <x v="1"/>
    <x v="1"/>
    <x v="11"/>
    <n v="16"/>
    <n v="44336"/>
    <n v="14960.000000000002"/>
  </r>
  <r>
    <x v="2"/>
    <x v="0"/>
    <x v="2"/>
    <x v="1"/>
    <x v="1"/>
    <x v="11"/>
    <n v="13"/>
    <n v="29796"/>
    <n v="12155.000000000002"/>
  </r>
  <r>
    <x v="3"/>
    <x v="0"/>
    <x v="3"/>
    <x v="1"/>
    <x v="1"/>
    <x v="11"/>
    <n v="23"/>
    <n v="75785"/>
    <n v="21505.000000000004"/>
  </r>
  <r>
    <x v="4"/>
    <x v="0"/>
    <x v="4"/>
    <x v="1"/>
    <x v="1"/>
    <x v="11"/>
    <n v="29"/>
    <n v="101500"/>
    <n v="27115.000000000004"/>
  </r>
  <r>
    <x v="5"/>
    <x v="0"/>
    <x v="5"/>
    <x v="1"/>
    <x v="1"/>
    <x v="11"/>
    <n v="28"/>
    <n v="88032"/>
    <n v="26180.000000000004"/>
  </r>
  <r>
    <x v="6"/>
    <x v="0"/>
    <x v="6"/>
    <x v="1"/>
    <x v="1"/>
    <x v="11"/>
    <n v="29"/>
    <n v="30044"/>
    <n v="27115.000000000004"/>
  </r>
  <r>
    <x v="7"/>
    <x v="0"/>
    <x v="7"/>
    <x v="1"/>
    <x v="1"/>
    <x v="11"/>
    <n v="25"/>
    <n v="56750"/>
    <n v="23375.000000000004"/>
  </r>
  <r>
    <x v="8"/>
    <x v="0"/>
    <x v="8"/>
    <x v="1"/>
    <x v="1"/>
    <x v="11"/>
    <n v="26"/>
    <n v="61178"/>
    <n v="24310.000000000004"/>
  </r>
  <r>
    <x v="9"/>
    <x v="0"/>
    <x v="9"/>
    <x v="1"/>
    <x v="1"/>
    <x v="11"/>
    <n v="22"/>
    <n v="60390"/>
    <n v="20570.000000000004"/>
  </r>
  <r>
    <x v="10"/>
    <x v="0"/>
    <x v="10"/>
    <x v="1"/>
    <x v="1"/>
    <x v="11"/>
    <n v="16"/>
    <n v="44288"/>
    <n v="14960.000000000002"/>
  </r>
  <r>
    <x v="11"/>
    <x v="0"/>
    <x v="11"/>
    <x v="1"/>
    <x v="1"/>
    <x v="11"/>
    <n v="19"/>
    <n v="36898"/>
    <n v="17765.000000000004"/>
  </r>
  <r>
    <x v="12"/>
    <x v="1"/>
    <x v="12"/>
    <x v="1"/>
    <x v="1"/>
    <x v="11"/>
    <n v="27"/>
    <n v="77058"/>
    <n v="25245.000000000004"/>
  </r>
  <r>
    <x v="13"/>
    <x v="1"/>
    <x v="13"/>
    <x v="1"/>
    <x v="1"/>
    <x v="11"/>
    <n v="17"/>
    <n v="46954"/>
    <n v="15895.000000000002"/>
  </r>
  <r>
    <x v="14"/>
    <x v="1"/>
    <x v="14"/>
    <x v="1"/>
    <x v="1"/>
    <x v="11"/>
    <n v="14"/>
    <n v="34454"/>
    <n v="13090.000000000002"/>
  </r>
  <r>
    <x v="15"/>
    <x v="1"/>
    <x v="15"/>
    <x v="1"/>
    <x v="1"/>
    <x v="11"/>
    <n v="26"/>
    <n v="93990"/>
    <n v="24310.000000000004"/>
  </r>
  <r>
    <x v="16"/>
    <x v="1"/>
    <x v="16"/>
    <x v="1"/>
    <x v="1"/>
    <x v="11"/>
    <n v="32"/>
    <n v="126688"/>
    <n v="29920.000000000004"/>
  </r>
  <r>
    <x v="17"/>
    <x v="1"/>
    <x v="17"/>
    <x v="1"/>
    <x v="1"/>
    <x v="11"/>
    <n v="31"/>
    <n v="81282"/>
    <n v="28985.000000000004"/>
  </r>
  <r>
    <x v="18"/>
    <x v="1"/>
    <x v="18"/>
    <x v="1"/>
    <x v="1"/>
    <x v="11"/>
    <n v="32"/>
    <n v="64224"/>
    <n v="29920.000000000004"/>
  </r>
  <r>
    <x v="19"/>
    <x v="1"/>
    <x v="19"/>
    <x v="1"/>
    <x v="1"/>
    <x v="11"/>
    <n v="27"/>
    <n v="68337"/>
    <n v="25245.000000000004"/>
  </r>
  <r>
    <x v="20"/>
    <x v="1"/>
    <x v="20"/>
    <x v="1"/>
    <x v="1"/>
    <x v="11"/>
    <n v="29"/>
    <n v="76328"/>
    <n v="27115.000000000004"/>
  </r>
  <r>
    <x v="21"/>
    <x v="1"/>
    <x v="21"/>
    <x v="1"/>
    <x v="1"/>
    <x v="11"/>
    <n v="24"/>
    <n v="64032"/>
    <n v="22440.000000000004"/>
  </r>
  <r>
    <x v="22"/>
    <x v="1"/>
    <x v="22"/>
    <x v="1"/>
    <x v="1"/>
    <x v="11"/>
    <n v="17"/>
    <n v="49487"/>
    <n v="15895.000000000002"/>
  </r>
  <r>
    <x v="23"/>
    <x v="1"/>
    <x v="23"/>
    <x v="1"/>
    <x v="1"/>
    <x v="11"/>
    <n v="21"/>
    <n v="58002"/>
    <n v="19635.000000000004"/>
  </r>
  <r>
    <x v="0"/>
    <x v="0"/>
    <x v="0"/>
    <x v="1"/>
    <x v="1"/>
    <x v="12"/>
    <n v="30"/>
    <n v="144690"/>
    <n v="59280"/>
  </r>
  <r>
    <x v="1"/>
    <x v="0"/>
    <x v="1"/>
    <x v="1"/>
    <x v="1"/>
    <x v="12"/>
    <n v="19"/>
    <n v="103265"/>
    <n v="37544"/>
  </r>
  <r>
    <x v="2"/>
    <x v="0"/>
    <x v="2"/>
    <x v="1"/>
    <x v="1"/>
    <x v="12"/>
    <n v="15"/>
    <n v="67110"/>
    <n v="29640"/>
  </r>
  <r>
    <x v="3"/>
    <x v="0"/>
    <x v="3"/>
    <x v="1"/>
    <x v="1"/>
    <x v="12"/>
    <n v="29"/>
    <n v="178872"/>
    <n v="57304"/>
  </r>
  <r>
    <x v="4"/>
    <x v="0"/>
    <x v="4"/>
    <x v="1"/>
    <x v="1"/>
    <x v="12"/>
    <n v="36"/>
    <n v="189000"/>
    <n v="71136"/>
  </r>
  <r>
    <x v="5"/>
    <x v="0"/>
    <x v="5"/>
    <x v="1"/>
    <x v="1"/>
    <x v="12"/>
    <n v="34"/>
    <n v="167212"/>
    <n v="67184"/>
  </r>
  <r>
    <x v="6"/>
    <x v="0"/>
    <x v="6"/>
    <x v="1"/>
    <x v="1"/>
    <x v="12"/>
    <n v="36"/>
    <n v="125964"/>
    <n v="71136"/>
  </r>
  <r>
    <x v="7"/>
    <x v="0"/>
    <x v="7"/>
    <x v="1"/>
    <x v="1"/>
    <x v="12"/>
    <n v="30"/>
    <n v="153390"/>
    <n v="59280"/>
  </r>
  <r>
    <x v="8"/>
    <x v="0"/>
    <x v="8"/>
    <x v="1"/>
    <x v="1"/>
    <x v="12"/>
    <n v="32"/>
    <n v="146112"/>
    <n v="63232"/>
  </r>
  <r>
    <x v="9"/>
    <x v="0"/>
    <x v="9"/>
    <x v="1"/>
    <x v="1"/>
    <x v="12"/>
    <n v="27"/>
    <n v="139401"/>
    <n v="53352"/>
  </r>
  <r>
    <x v="10"/>
    <x v="0"/>
    <x v="10"/>
    <x v="1"/>
    <x v="1"/>
    <x v="12"/>
    <n v="19"/>
    <n v="101232"/>
    <n v="37544"/>
  </r>
  <r>
    <x v="11"/>
    <x v="0"/>
    <x v="11"/>
    <x v="1"/>
    <x v="1"/>
    <x v="12"/>
    <n v="23"/>
    <n v="110722"/>
    <n v="45448"/>
  </r>
  <r>
    <x v="12"/>
    <x v="1"/>
    <x v="12"/>
    <x v="1"/>
    <x v="1"/>
    <x v="12"/>
    <n v="33"/>
    <n v="169488"/>
    <n v="65208"/>
  </r>
  <r>
    <x v="13"/>
    <x v="1"/>
    <x v="13"/>
    <x v="1"/>
    <x v="1"/>
    <x v="12"/>
    <n v="21"/>
    <n v="117264"/>
    <n v="41496"/>
  </r>
  <r>
    <x v="14"/>
    <x v="1"/>
    <x v="14"/>
    <x v="1"/>
    <x v="1"/>
    <x v="12"/>
    <n v="17"/>
    <n v="69224"/>
    <n v="33592"/>
  </r>
  <r>
    <x v="15"/>
    <x v="1"/>
    <x v="15"/>
    <x v="1"/>
    <x v="1"/>
    <x v="12"/>
    <n v="31"/>
    <n v="156116"/>
    <n v="61256"/>
  </r>
  <r>
    <x v="16"/>
    <x v="1"/>
    <x v="16"/>
    <x v="1"/>
    <x v="1"/>
    <x v="12"/>
    <n v="40"/>
    <n v="233960"/>
    <n v="79040"/>
  </r>
  <r>
    <x v="17"/>
    <x v="1"/>
    <x v="17"/>
    <x v="1"/>
    <x v="1"/>
    <x v="12"/>
    <n v="38"/>
    <n v="221198"/>
    <n v="75088"/>
  </r>
  <r>
    <x v="18"/>
    <x v="1"/>
    <x v="18"/>
    <x v="1"/>
    <x v="1"/>
    <x v="12"/>
    <n v="40"/>
    <n v="132960"/>
    <n v="79040"/>
  </r>
  <r>
    <x v="19"/>
    <x v="1"/>
    <x v="19"/>
    <x v="1"/>
    <x v="1"/>
    <x v="12"/>
    <n v="33"/>
    <n v="142164"/>
    <n v="65208"/>
  </r>
  <r>
    <x v="20"/>
    <x v="1"/>
    <x v="20"/>
    <x v="1"/>
    <x v="1"/>
    <x v="12"/>
    <n v="36"/>
    <n v="175068"/>
    <n v="71136"/>
  </r>
  <r>
    <x v="21"/>
    <x v="1"/>
    <x v="21"/>
    <x v="1"/>
    <x v="1"/>
    <x v="12"/>
    <n v="29"/>
    <n v="155382"/>
    <n v="57304"/>
  </r>
  <r>
    <x v="22"/>
    <x v="1"/>
    <x v="22"/>
    <x v="1"/>
    <x v="1"/>
    <x v="12"/>
    <n v="21"/>
    <n v="113169"/>
    <n v="41496"/>
  </r>
  <r>
    <x v="23"/>
    <x v="1"/>
    <x v="23"/>
    <x v="1"/>
    <x v="1"/>
    <x v="12"/>
    <n v="25"/>
    <n v="100875"/>
    <n v="49400"/>
  </r>
  <r>
    <x v="0"/>
    <x v="0"/>
    <x v="0"/>
    <x v="1"/>
    <x v="1"/>
    <x v="13"/>
    <n v="27"/>
    <n v="148392"/>
    <n v="48600"/>
  </r>
  <r>
    <x v="1"/>
    <x v="0"/>
    <x v="1"/>
    <x v="1"/>
    <x v="1"/>
    <x v="13"/>
    <n v="17"/>
    <n v="100878"/>
    <n v="30600"/>
  </r>
  <r>
    <x v="2"/>
    <x v="0"/>
    <x v="2"/>
    <x v="1"/>
    <x v="1"/>
    <x v="13"/>
    <n v="14"/>
    <n v="76132"/>
    <n v="25200"/>
  </r>
  <r>
    <x v="3"/>
    <x v="0"/>
    <x v="3"/>
    <x v="1"/>
    <x v="1"/>
    <x v="13"/>
    <n v="26"/>
    <n v="161668"/>
    <n v="46800"/>
  </r>
  <r>
    <x v="4"/>
    <x v="0"/>
    <x v="4"/>
    <x v="1"/>
    <x v="1"/>
    <x v="13"/>
    <n v="32"/>
    <n v="209600"/>
    <n v="57600"/>
  </r>
  <r>
    <x v="5"/>
    <x v="0"/>
    <x v="5"/>
    <x v="1"/>
    <x v="1"/>
    <x v="13"/>
    <n v="31"/>
    <n v="176917"/>
    <n v="55800"/>
  </r>
  <r>
    <x v="6"/>
    <x v="0"/>
    <x v="6"/>
    <x v="1"/>
    <x v="1"/>
    <x v="13"/>
    <n v="32"/>
    <n v="140896"/>
    <n v="57600"/>
  </r>
  <r>
    <x v="7"/>
    <x v="0"/>
    <x v="7"/>
    <x v="1"/>
    <x v="1"/>
    <x v="13"/>
    <n v="27"/>
    <n v="138348"/>
    <n v="48600"/>
  </r>
  <r>
    <x v="8"/>
    <x v="0"/>
    <x v="8"/>
    <x v="1"/>
    <x v="1"/>
    <x v="13"/>
    <n v="29"/>
    <n v="150568"/>
    <n v="52200"/>
  </r>
  <r>
    <x v="9"/>
    <x v="0"/>
    <x v="9"/>
    <x v="1"/>
    <x v="1"/>
    <x v="13"/>
    <n v="24"/>
    <n v="143112"/>
    <n v="43200"/>
  </r>
  <r>
    <x v="10"/>
    <x v="0"/>
    <x v="10"/>
    <x v="1"/>
    <x v="1"/>
    <x v="13"/>
    <n v="17"/>
    <n v="90610"/>
    <n v="30600"/>
  </r>
  <r>
    <x v="11"/>
    <x v="0"/>
    <x v="11"/>
    <x v="1"/>
    <x v="1"/>
    <x v="13"/>
    <n v="21"/>
    <n v="110586"/>
    <n v="37800"/>
  </r>
  <r>
    <x v="12"/>
    <x v="1"/>
    <x v="12"/>
    <x v="1"/>
    <x v="1"/>
    <x v="13"/>
    <n v="30"/>
    <n v="190200"/>
    <n v="54000"/>
  </r>
  <r>
    <x v="13"/>
    <x v="1"/>
    <x v="13"/>
    <x v="1"/>
    <x v="1"/>
    <x v="13"/>
    <n v="19"/>
    <n v="120688"/>
    <n v="34200"/>
  </r>
  <r>
    <x v="14"/>
    <x v="1"/>
    <x v="14"/>
    <x v="1"/>
    <x v="1"/>
    <x v="13"/>
    <n v="15"/>
    <n v="88650"/>
    <n v="27000"/>
  </r>
  <r>
    <x v="15"/>
    <x v="1"/>
    <x v="15"/>
    <x v="1"/>
    <x v="1"/>
    <x v="13"/>
    <n v="28"/>
    <n v="161280"/>
    <n v="50400"/>
  </r>
  <r>
    <x v="16"/>
    <x v="1"/>
    <x v="16"/>
    <x v="1"/>
    <x v="1"/>
    <x v="13"/>
    <n v="36"/>
    <n v="228312"/>
    <n v="64800"/>
  </r>
  <r>
    <x v="17"/>
    <x v="1"/>
    <x v="17"/>
    <x v="1"/>
    <x v="1"/>
    <x v="13"/>
    <n v="34"/>
    <n v="189346"/>
    <n v="61200"/>
  </r>
  <r>
    <x v="18"/>
    <x v="1"/>
    <x v="18"/>
    <x v="1"/>
    <x v="1"/>
    <x v="13"/>
    <n v="36"/>
    <n v="140904"/>
    <n v="64800"/>
  </r>
  <r>
    <x v="19"/>
    <x v="1"/>
    <x v="19"/>
    <x v="1"/>
    <x v="1"/>
    <x v="13"/>
    <n v="30"/>
    <n v="155250"/>
    <n v="54000"/>
  </r>
  <r>
    <x v="20"/>
    <x v="1"/>
    <x v="20"/>
    <x v="1"/>
    <x v="1"/>
    <x v="13"/>
    <n v="32"/>
    <n v="161088"/>
    <n v="57600"/>
  </r>
  <r>
    <x v="21"/>
    <x v="1"/>
    <x v="21"/>
    <x v="1"/>
    <x v="1"/>
    <x v="13"/>
    <n v="26"/>
    <n v="170846"/>
    <n v="46800"/>
  </r>
  <r>
    <x v="22"/>
    <x v="1"/>
    <x v="22"/>
    <x v="1"/>
    <x v="1"/>
    <x v="13"/>
    <n v="19"/>
    <n v="116299"/>
    <n v="34200"/>
  </r>
  <r>
    <x v="23"/>
    <x v="1"/>
    <x v="23"/>
    <x v="1"/>
    <x v="1"/>
    <x v="13"/>
    <n v="23"/>
    <n v="119416"/>
    <n v="41400"/>
  </r>
  <r>
    <x v="0"/>
    <x v="0"/>
    <x v="0"/>
    <x v="1"/>
    <x v="2"/>
    <x v="14"/>
    <n v="18"/>
    <n v="653580"/>
    <n v="371700"/>
  </r>
  <r>
    <x v="1"/>
    <x v="0"/>
    <x v="1"/>
    <x v="1"/>
    <x v="2"/>
    <x v="14"/>
    <n v="12"/>
    <n v="431496"/>
    <n v="247800"/>
  </r>
  <r>
    <x v="2"/>
    <x v="0"/>
    <x v="2"/>
    <x v="1"/>
    <x v="2"/>
    <x v="14"/>
    <n v="9"/>
    <n v="326736"/>
    <n v="185850"/>
  </r>
  <r>
    <x v="3"/>
    <x v="0"/>
    <x v="3"/>
    <x v="1"/>
    <x v="2"/>
    <x v="14"/>
    <n v="17"/>
    <n v="618358"/>
    <n v="351050"/>
  </r>
  <r>
    <x v="4"/>
    <x v="0"/>
    <x v="4"/>
    <x v="1"/>
    <x v="2"/>
    <x v="14"/>
    <n v="22"/>
    <n v="822140"/>
    <n v="454300"/>
  </r>
  <r>
    <x v="5"/>
    <x v="0"/>
    <x v="5"/>
    <x v="1"/>
    <x v="2"/>
    <x v="14"/>
    <n v="21"/>
    <n v="766815"/>
    <n v="433650"/>
  </r>
  <r>
    <x v="6"/>
    <x v="0"/>
    <x v="6"/>
    <x v="1"/>
    <x v="2"/>
    <x v="14"/>
    <n v="22"/>
    <n v="756668"/>
    <n v="454300"/>
  </r>
  <r>
    <x v="7"/>
    <x v="0"/>
    <x v="7"/>
    <x v="1"/>
    <x v="2"/>
    <x v="14"/>
    <n v="18"/>
    <n v="644616"/>
    <n v="371700"/>
  </r>
  <r>
    <x v="8"/>
    <x v="0"/>
    <x v="8"/>
    <x v="1"/>
    <x v="2"/>
    <x v="14"/>
    <n v="20"/>
    <n v="704700"/>
    <n v="413000"/>
  </r>
  <r>
    <x v="9"/>
    <x v="0"/>
    <x v="9"/>
    <x v="1"/>
    <x v="2"/>
    <x v="14"/>
    <n v="16"/>
    <n v="591376"/>
    <n v="330400"/>
  </r>
  <r>
    <x v="10"/>
    <x v="0"/>
    <x v="10"/>
    <x v="1"/>
    <x v="2"/>
    <x v="14"/>
    <n v="12"/>
    <n v="435984"/>
    <n v="247800"/>
  </r>
  <r>
    <x v="11"/>
    <x v="0"/>
    <x v="11"/>
    <x v="1"/>
    <x v="2"/>
    <x v="14"/>
    <n v="14"/>
    <n v="493682"/>
    <n v="289100"/>
  </r>
  <r>
    <x v="12"/>
    <x v="1"/>
    <x v="12"/>
    <x v="1"/>
    <x v="2"/>
    <x v="14"/>
    <n v="20"/>
    <n v="720060"/>
    <n v="413000"/>
  </r>
  <r>
    <x v="13"/>
    <x v="1"/>
    <x v="13"/>
    <x v="1"/>
    <x v="2"/>
    <x v="14"/>
    <n v="13"/>
    <n v="474240"/>
    <n v="268450"/>
  </r>
  <r>
    <x v="14"/>
    <x v="1"/>
    <x v="14"/>
    <x v="1"/>
    <x v="2"/>
    <x v="14"/>
    <n v="10"/>
    <n v="359190"/>
    <n v="206500"/>
  </r>
  <r>
    <x v="15"/>
    <x v="1"/>
    <x v="15"/>
    <x v="1"/>
    <x v="2"/>
    <x v="14"/>
    <n v="19"/>
    <n v="696749"/>
    <n v="392350"/>
  </r>
  <r>
    <x v="16"/>
    <x v="1"/>
    <x v="16"/>
    <x v="1"/>
    <x v="2"/>
    <x v="14"/>
    <n v="24"/>
    <n v="892920"/>
    <n v="495600"/>
  </r>
  <r>
    <x v="17"/>
    <x v="1"/>
    <x v="17"/>
    <x v="1"/>
    <x v="2"/>
    <x v="14"/>
    <n v="23"/>
    <n v="841363"/>
    <n v="474950"/>
  </r>
  <r>
    <x v="18"/>
    <x v="1"/>
    <x v="18"/>
    <x v="1"/>
    <x v="2"/>
    <x v="14"/>
    <n v="24"/>
    <n v="834552"/>
    <n v="495600"/>
  </r>
  <r>
    <x v="19"/>
    <x v="1"/>
    <x v="19"/>
    <x v="1"/>
    <x v="2"/>
    <x v="14"/>
    <n v="20"/>
    <n v="705020"/>
    <n v="413000"/>
  </r>
  <r>
    <x v="20"/>
    <x v="1"/>
    <x v="20"/>
    <x v="1"/>
    <x v="2"/>
    <x v="14"/>
    <n v="22"/>
    <n v="799128"/>
    <n v="454300"/>
  </r>
  <r>
    <x v="21"/>
    <x v="1"/>
    <x v="21"/>
    <x v="1"/>
    <x v="2"/>
    <x v="14"/>
    <n v="18"/>
    <n v="661032"/>
    <n v="371700"/>
  </r>
  <r>
    <x v="22"/>
    <x v="1"/>
    <x v="22"/>
    <x v="1"/>
    <x v="2"/>
    <x v="14"/>
    <n v="13"/>
    <n v="475644"/>
    <n v="268450"/>
  </r>
  <r>
    <x v="23"/>
    <x v="1"/>
    <x v="23"/>
    <x v="1"/>
    <x v="2"/>
    <x v="14"/>
    <n v="15"/>
    <n v="534345"/>
    <n v="309750"/>
  </r>
  <r>
    <x v="0"/>
    <x v="0"/>
    <x v="0"/>
    <x v="1"/>
    <x v="2"/>
    <x v="15"/>
    <n v="15"/>
    <n v="499950"/>
    <n v="235200"/>
  </r>
  <r>
    <x v="1"/>
    <x v="0"/>
    <x v="1"/>
    <x v="1"/>
    <x v="2"/>
    <x v="15"/>
    <n v="10"/>
    <n v="334110"/>
    <n v="156800"/>
  </r>
  <r>
    <x v="2"/>
    <x v="0"/>
    <x v="2"/>
    <x v="1"/>
    <x v="2"/>
    <x v="15"/>
    <n v="8"/>
    <n v="258376"/>
    <n v="125440"/>
  </r>
  <r>
    <x v="3"/>
    <x v="0"/>
    <x v="3"/>
    <x v="1"/>
    <x v="2"/>
    <x v="15"/>
    <n v="14"/>
    <n v="473522"/>
    <n v="219520"/>
  </r>
  <r>
    <x v="4"/>
    <x v="0"/>
    <x v="4"/>
    <x v="1"/>
    <x v="2"/>
    <x v="15"/>
    <n v="18"/>
    <n v="602802"/>
    <n v="282240"/>
  </r>
  <r>
    <x v="5"/>
    <x v="0"/>
    <x v="5"/>
    <x v="1"/>
    <x v="2"/>
    <x v="15"/>
    <n v="17"/>
    <n v="564213"/>
    <n v="266560"/>
  </r>
  <r>
    <x v="6"/>
    <x v="0"/>
    <x v="6"/>
    <x v="1"/>
    <x v="2"/>
    <x v="15"/>
    <n v="18"/>
    <n v="581472"/>
    <n v="282240"/>
  </r>
  <r>
    <x v="7"/>
    <x v="0"/>
    <x v="7"/>
    <x v="1"/>
    <x v="2"/>
    <x v="15"/>
    <n v="15"/>
    <n v="484530"/>
    <n v="235200"/>
  </r>
  <r>
    <x v="8"/>
    <x v="0"/>
    <x v="8"/>
    <x v="1"/>
    <x v="2"/>
    <x v="15"/>
    <n v="16"/>
    <n v="530624"/>
    <n v="250880"/>
  </r>
  <r>
    <x v="9"/>
    <x v="0"/>
    <x v="9"/>
    <x v="1"/>
    <x v="2"/>
    <x v="15"/>
    <n v="13"/>
    <n v="435058"/>
    <n v="203840"/>
  </r>
  <r>
    <x v="10"/>
    <x v="0"/>
    <x v="10"/>
    <x v="1"/>
    <x v="2"/>
    <x v="15"/>
    <n v="10"/>
    <n v="337130"/>
    <n v="156800"/>
  </r>
  <r>
    <x v="11"/>
    <x v="0"/>
    <x v="11"/>
    <x v="1"/>
    <x v="2"/>
    <x v="15"/>
    <n v="11"/>
    <n v="361834"/>
    <n v="172480"/>
  </r>
  <r>
    <x v="12"/>
    <x v="1"/>
    <x v="12"/>
    <x v="1"/>
    <x v="2"/>
    <x v="15"/>
    <n v="16"/>
    <n v="525936"/>
    <n v="250880"/>
  </r>
  <r>
    <x v="13"/>
    <x v="1"/>
    <x v="13"/>
    <x v="1"/>
    <x v="2"/>
    <x v="15"/>
    <n v="10"/>
    <n v="334580"/>
    <n v="156800"/>
  </r>
  <r>
    <x v="14"/>
    <x v="1"/>
    <x v="14"/>
    <x v="1"/>
    <x v="2"/>
    <x v="15"/>
    <n v="8"/>
    <n v="261640"/>
    <n v="125440"/>
  </r>
  <r>
    <x v="15"/>
    <x v="1"/>
    <x v="15"/>
    <x v="1"/>
    <x v="2"/>
    <x v="15"/>
    <n v="15"/>
    <n v="509565"/>
    <n v="235200"/>
  </r>
  <r>
    <x v="16"/>
    <x v="1"/>
    <x v="16"/>
    <x v="1"/>
    <x v="2"/>
    <x v="15"/>
    <n v="19"/>
    <n v="650332"/>
    <n v="297920"/>
  </r>
  <r>
    <x v="17"/>
    <x v="1"/>
    <x v="17"/>
    <x v="1"/>
    <x v="2"/>
    <x v="15"/>
    <n v="18"/>
    <n v="591120"/>
    <n v="282240"/>
  </r>
  <r>
    <x v="18"/>
    <x v="1"/>
    <x v="18"/>
    <x v="1"/>
    <x v="2"/>
    <x v="15"/>
    <n v="19"/>
    <n v="606157"/>
    <n v="297920"/>
  </r>
  <r>
    <x v="19"/>
    <x v="1"/>
    <x v="19"/>
    <x v="1"/>
    <x v="2"/>
    <x v="15"/>
    <n v="16"/>
    <n v="525664"/>
    <n v="250880"/>
  </r>
  <r>
    <x v="20"/>
    <x v="1"/>
    <x v="20"/>
    <x v="1"/>
    <x v="2"/>
    <x v="15"/>
    <n v="17"/>
    <n v="562989"/>
    <n v="266560"/>
  </r>
  <r>
    <x v="21"/>
    <x v="1"/>
    <x v="21"/>
    <x v="1"/>
    <x v="2"/>
    <x v="15"/>
    <n v="14"/>
    <n v="466634"/>
    <n v="219520"/>
  </r>
  <r>
    <x v="22"/>
    <x v="1"/>
    <x v="22"/>
    <x v="1"/>
    <x v="2"/>
    <x v="15"/>
    <n v="10"/>
    <n v="335000"/>
    <n v="156800"/>
  </r>
  <r>
    <x v="23"/>
    <x v="1"/>
    <x v="23"/>
    <x v="1"/>
    <x v="2"/>
    <x v="15"/>
    <n v="12"/>
    <n v="393204"/>
    <n v="188160"/>
  </r>
  <r>
    <x v="0"/>
    <x v="0"/>
    <x v="0"/>
    <x v="1"/>
    <x v="2"/>
    <x v="16"/>
    <n v="17"/>
    <n v="731000"/>
    <n v="307020"/>
  </r>
  <r>
    <x v="1"/>
    <x v="0"/>
    <x v="1"/>
    <x v="1"/>
    <x v="2"/>
    <x v="16"/>
    <n v="11"/>
    <n v="475772"/>
    <n v="198660"/>
  </r>
  <r>
    <x v="2"/>
    <x v="0"/>
    <x v="2"/>
    <x v="1"/>
    <x v="2"/>
    <x v="16"/>
    <n v="9"/>
    <n v="379647"/>
    <n v="162540"/>
  </r>
  <r>
    <x v="3"/>
    <x v="0"/>
    <x v="3"/>
    <x v="1"/>
    <x v="2"/>
    <x v="16"/>
    <n v="16"/>
    <n v="706704"/>
    <n v="288960"/>
  </r>
  <r>
    <x v="4"/>
    <x v="0"/>
    <x v="4"/>
    <x v="1"/>
    <x v="2"/>
    <x v="16"/>
    <n v="20"/>
    <n v="884680"/>
    <n v="361200"/>
  </r>
  <r>
    <x v="5"/>
    <x v="0"/>
    <x v="5"/>
    <x v="1"/>
    <x v="2"/>
    <x v="16"/>
    <n v="19"/>
    <n v="829008"/>
    <n v="343140"/>
  </r>
  <r>
    <x v="6"/>
    <x v="0"/>
    <x v="6"/>
    <x v="1"/>
    <x v="2"/>
    <x v="16"/>
    <n v="20"/>
    <n v="836380"/>
    <n v="361200"/>
  </r>
  <r>
    <x v="7"/>
    <x v="0"/>
    <x v="7"/>
    <x v="1"/>
    <x v="2"/>
    <x v="16"/>
    <n v="17"/>
    <n v="727396"/>
    <n v="307020"/>
  </r>
  <r>
    <x v="8"/>
    <x v="0"/>
    <x v="8"/>
    <x v="1"/>
    <x v="2"/>
    <x v="16"/>
    <n v="18"/>
    <n v="771840"/>
    <n v="325080"/>
  </r>
  <r>
    <x v="9"/>
    <x v="0"/>
    <x v="9"/>
    <x v="1"/>
    <x v="2"/>
    <x v="16"/>
    <n v="15"/>
    <n v="649140"/>
    <n v="270900"/>
  </r>
  <r>
    <x v="10"/>
    <x v="0"/>
    <x v="10"/>
    <x v="1"/>
    <x v="2"/>
    <x v="16"/>
    <n v="11"/>
    <n v="472362"/>
    <n v="198660"/>
  </r>
  <r>
    <x v="11"/>
    <x v="0"/>
    <x v="11"/>
    <x v="1"/>
    <x v="2"/>
    <x v="16"/>
    <n v="13"/>
    <n v="556231"/>
    <n v="234780"/>
  </r>
  <r>
    <x v="12"/>
    <x v="1"/>
    <x v="12"/>
    <x v="1"/>
    <x v="2"/>
    <x v="16"/>
    <n v="18"/>
    <n v="778878"/>
    <n v="325080"/>
  </r>
  <r>
    <x v="13"/>
    <x v="1"/>
    <x v="13"/>
    <x v="1"/>
    <x v="2"/>
    <x v="16"/>
    <n v="12"/>
    <n v="525768"/>
    <n v="216720"/>
  </r>
  <r>
    <x v="14"/>
    <x v="1"/>
    <x v="14"/>
    <x v="1"/>
    <x v="2"/>
    <x v="16"/>
    <n v="9"/>
    <n v="379926"/>
    <n v="162540"/>
  </r>
  <r>
    <x v="15"/>
    <x v="1"/>
    <x v="15"/>
    <x v="1"/>
    <x v="2"/>
    <x v="16"/>
    <n v="17"/>
    <n v="741778"/>
    <n v="307020"/>
  </r>
  <r>
    <x v="16"/>
    <x v="1"/>
    <x v="16"/>
    <x v="1"/>
    <x v="2"/>
    <x v="16"/>
    <n v="22"/>
    <n v="979528"/>
    <n v="397320"/>
  </r>
  <r>
    <x v="17"/>
    <x v="1"/>
    <x v="17"/>
    <x v="1"/>
    <x v="2"/>
    <x v="16"/>
    <n v="20"/>
    <n v="879680"/>
    <n v="361200"/>
  </r>
  <r>
    <x v="18"/>
    <x v="1"/>
    <x v="18"/>
    <x v="1"/>
    <x v="2"/>
    <x v="16"/>
    <n v="22"/>
    <n v="907632"/>
    <n v="397320"/>
  </r>
  <r>
    <x v="19"/>
    <x v="1"/>
    <x v="19"/>
    <x v="1"/>
    <x v="2"/>
    <x v="16"/>
    <n v="18"/>
    <n v="775530"/>
    <n v="325080"/>
  </r>
  <r>
    <x v="20"/>
    <x v="1"/>
    <x v="20"/>
    <x v="1"/>
    <x v="2"/>
    <x v="16"/>
    <n v="19"/>
    <n v="816316"/>
    <n v="343140"/>
  </r>
  <r>
    <x v="21"/>
    <x v="1"/>
    <x v="21"/>
    <x v="1"/>
    <x v="2"/>
    <x v="16"/>
    <n v="16"/>
    <n v="698864"/>
    <n v="288960"/>
  </r>
  <r>
    <x v="22"/>
    <x v="1"/>
    <x v="22"/>
    <x v="1"/>
    <x v="2"/>
    <x v="16"/>
    <n v="12"/>
    <n v="513180"/>
    <n v="216720"/>
  </r>
  <r>
    <x v="23"/>
    <x v="1"/>
    <x v="23"/>
    <x v="1"/>
    <x v="2"/>
    <x v="16"/>
    <n v="14"/>
    <n v="596638"/>
    <n v="252840"/>
  </r>
  <r>
    <x v="0"/>
    <x v="0"/>
    <x v="0"/>
    <x v="1"/>
    <x v="2"/>
    <x v="17"/>
    <n v="15"/>
    <n v="439245"/>
    <n v="168000"/>
  </r>
  <r>
    <x v="1"/>
    <x v="0"/>
    <x v="1"/>
    <x v="1"/>
    <x v="2"/>
    <x v="17"/>
    <n v="10"/>
    <n v="296100"/>
    <n v="112000"/>
  </r>
  <r>
    <x v="2"/>
    <x v="0"/>
    <x v="2"/>
    <x v="1"/>
    <x v="2"/>
    <x v="17"/>
    <n v="8"/>
    <n v="228432"/>
    <n v="89600"/>
  </r>
  <r>
    <x v="3"/>
    <x v="0"/>
    <x v="3"/>
    <x v="1"/>
    <x v="2"/>
    <x v="17"/>
    <n v="14"/>
    <n v="420448"/>
    <n v="156800"/>
  </r>
  <r>
    <x v="4"/>
    <x v="0"/>
    <x v="4"/>
    <x v="1"/>
    <x v="2"/>
    <x v="17"/>
    <n v="18"/>
    <n v="536886"/>
    <n v="201600"/>
  </r>
  <r>
    <x v="5"/>
    <x v="0"/>
    <x v="5"/>
    <x v="1"/>
    <x v="2"/>
    <x v="17"/>
    <n v="17"/>
    <n v="487560"/>
    <n v="190400"/>
  </r>
  <r>
    <x v="6"/>
    <x v="0"/>
    <x v="6"/>
    <x v="1"/>
    <x v="2"/>
    <x v="17"/>
    <n v="18"/>
    <n v="501498"/>
    <n v="201600"/>
  </r>
  <r>
    <x v="7"/>
    <x v="0"/>
    <x v="7"/>
    <x v="1"/>
    <x v="2"/>
    <x v="17"/>
    <n v="15"/>
    <n v="441405"/>
    <n v="168000"/>
  </r>
  <r>
    <x v="8"/>
    <x v="0"/>
    <x v="8"/>
    <x v="1"/>
    <x v="2"/>
    <x v="17"/>
    <n v="16"/>
    <n v="452400"/>
    <n v="179200"/>
  </r>
  <r>
    <x v="9"/>
    <x v="0"/>
    <x v="9"/>
    <x v="1"/>
    <x v="2"/>
    <x v="17"/>
    <n v="13"/>
    <n v="388427"/>
    <n v="145600"/>
  </r>
  <r>
    <x v="10"/>
    <x v="0"/>
    <x v="10"/>
    <x v="1"/>
    <x v="2"/>
    <x v="17"/>
    <n v="10"/>
    <n v="298420"/>
    <n v="112000"/>
  </r>
  <r>
    <x v="11"/>
    <x v="0"/>
    <x v="11"/>
    <x v="1"/>
    <x v="2"/>
    <x v="17"/>
    <n v="11"/>
    <n v="308242"/>
    <n v="123200"/>
  </r>
  <r>
    <x v="12"/>
    <x v="1"/>
    <x v="12"/>
    <x v="1"/>
    <x v="2"/>
    <x v="17"/>
    <n v="17"/>
    <n v="498253"/>
    <n v="190400"/>
  </r>
  <r>
    <x v="13"/>
    <x v="1"/>
    <x v="13"/>
    <x v="1"/>
    <x v="2"/>
    <x v="17"/>
    <n v="11"/>
    <n v="326227"/>
    <n v="123200"/>
  </r>
  <r>
    <x v="14"/>
    <x v="1"/>
    <x v="14"/>
    <x v="1"/>
    <x v="2"/>
    <x v="17"/>
    <n v="9"/>
    <n v="259758"/>
    <n v="100800"/>
  </r>
  <r>
    <x v="15"/>
    <x v="1"/>
    <x v="15"/>
    <x v="1"/>
    <x v="2"/>
    <x v="17"/>
    <n v="16"/>
    <n v="478320"/>
    <n v="179200"/>
  </r>
  <r>
    <x v="16"/>
    <x v="1"/>
    <x v="16"/>
    <x v="1"/>
    <x v="2"/>
    <x v="17"/>
    <n v="20"/>
    <n v="597500"/>
    <n v="224000"/>
  </r>
  <r>
    <x v="17"/>
    <x v="1"/>
    <x v="17"/>
    <x v="1"/>
    <x v="2"/>
    <x v="17"/>
    <n v="19"/>
    <n v="559702"/>
    <n v="212800"/>
  </r>
  <r>
    <x v="18"/>
    <x v="1"/>
    <x v="18"/>
    <x v="1"/>
    <x v="2"/>
    <x v="17"/>
    <n v="20"/>
    <n v="553280"/>
    <n v="224000"/>
  </r>
  <r>
    <x v="19"/>
    <x v="1"/>
    <x v="19"/>
    <x v="1"/>
    <x v="2"/>
    <x v="17"/>
    <n v="17"/>
    <n v="496332"/>
    <n v="190400"/>
  </r>
  <r>
    <x v="20"/>
    <x v="1"/>
    <x v="20"/>
    <x v="1"/>
    <x v="2"/>
    <x v="17"/>
    <n v="18"/>
    <n v="518166"/>
    <n v="201600"/>
  </r>
  <r>
    <x v="21"/>
    <x v="1"/>
    <x v="21"/>
    <x v="1"/>
    <x v="2"/>
    <x v="17"/>
    <n v="15"/>
    <n v="446295"/>
    <n v="168000"/>
  </r>
  <r>
    <x v="22"/>
    <x v="1"/>
    <x v="22"/>
    <x v="1"/>
    <x v="2"/>
    <x v="17"/>
    <n v="11"/>
    <n v="327954"/>
    <n v="123200"/>
  </r>
  <r>
    <x v="23"/>
    <x v="1"/>
    <x v="23"/>
    <x v="1"/>
    <x v="2"/>
    <x v="17"/>
    <n v="13"/>
    <n v="375596"/>
    <n v="145600"/>
  </r>
  <r>
    <x v="0"/>
    <x v="0"/>
    <x v="0"/>
    <x v="1"/>
    <x v="2"/>
    <x v="18"/>
    <n v="19"/>
    <n v="876964"/>
    <n v="478800.00000000006"/>
  </r>
  <r>
    <x v="1"/>
    <x v="0"/>
    <x v="1"/>
    <x v="1"/>
    <x v="2"/>
    <x v="18"/>
    <n v="12"/>
    <n v="560472"/>
    <n v="302400.00000000006"/>
  </r>
  <r>
    <x v="2"/>
    <x v="0"/>
    <x v="2"/>
    <x v="1"/>
    <x v="2"/>
    <x v="18"/>
    <n v="10"/>
    <n v="460770"/>
    <n v="252000.00000000003"/>
  </r>
  <r>
    <x v="3"/>
    <x v="0"/>
    <x v="3"/>
    <x v="1"/>
    <x v="2"/>
    <x v="18"/>
    <n v="18"/>
    <n v="839718"/>
    <n v="453600.00000000006"/>
  </r>
  <r>
    <x v="4"/>
    <x v="0"/>
    <x v="4"/>
    <x v="1"/>
    <x v="2"/>
    <x v="18"/>
    <n v="22"/>
    <n v="1042734"/>
    <n v="554400.00000000012"/>
  </r>
  <r>
    <x v="5"/>
    <x v="0"/>
    <x v="5"/>
    <x v="1"/>
    <x v="2"/>
    <x v="18"/>
    <n v="21"/>
    <n v="973497"/>
    <n v="529200.00000000012"/>
  </r>
  <r>
    <x v="6"/>
    <x v="0"/>
    <x v="6"/>
    <x v="1"/>
    <x v="2"/>
    <x v="18"/>
    <n v="22"/>
    <n v="985666"/>
    <n v="554400.00000000012"/>
  </r>
  <r>
    <x v="7"/>
    <x v="0"/>
    <x v="7"/>
    <x v="1"/>
    <x v="2"/>
    <x v="18"/>
    <n v="19"/>
    <n v="874019"/>
    <n v="478800.00000000006"/>
  </r>
  <r>
    <x v="8"/>
    <x v="0"/>
    <x v="8"/>
    <x v="1"/>
    <x v="2"/>
    <x v="18"/>
    <n v="20"/>
    <n v="914680"/>
    <n v="504000.00000000006"/>
  </r>
  <r>
    <x v="9"/>
    <x v="0"/>
    <x v="9"/>
    <x v="1"/>
    <x v="2"/>
    <x v="18"/>
    <n v="17"/>
    <n v="790500"/>
    <n v="428400.00000000006"/>
  </r>
  <r>
    <x v="10"/>
    <x v="0"/>
    <x v="10"/>
    <x v="1"/>
    <x v="2"/>
    <x v="18"/>
    <n v="12"/>
    <n v="556944"/>
    <n v="302400.00000000006"/>
  </r>
  <r>
    <x v="11"/>
    <x v="0"/>
    <x v="11"/>
    <x v="1"/>
    <x v="2"/>
    <x v="18"/>
    <n v="14"/>
    <n v="643930"/>
    <n v="352800.00000000006"/>
  </r>
  <r>
    <x v="12"/>
    <x v="1"/>
    <x v="12"/>
    <x v="1"/>
    <x v="2"/>
    <x v="18"/>
    <n v="21"/>
    <n v="959301"/>
    <n v="529200.00000000012"/>
  </r>
  <r>
    <x v="13"/>
    <x v="1"/>
    <x v="13"/>
    <x v="1"/>
    <x v="2"/>
    <x v="18"/>
    <n v="13"/>
    <n v="605605"/>
    <n v="327600.00000000006"/>
  </r>
  <r>
    <x v="14"/>
    <x v="1"/>
    <x v="14"/>
    <x v="1"/>
    <x v="2"/>
    <x v="18"/>
    <n v="11"/>
    <n v="500995"/>
    <n v="277200.00000000006"/>
  </r>
  <r>
    <x v="15"/>
    <x v="1"/>
    <x v="15"/>
    <x v="1"/>
    <x v="2"/>
    <x v="18"/>
    <n v="20"/>
    <n v="932260"/>
    <n v="504000.00000000006"/>
  </r>
  <r>
    <x v="16"/>
    <x v="1"/>
    <x v="16"/>
    <x v="1"/>
    <x v="2"/>
    <x v="18"/>
    <n v="25"/>
    <n v="1169275"/>
    <n v="630000.00000000012"/>
  </r>
  <r>
    <x v="17"/>
    <x v="1"/>
    <x v="17"/>
    <x v="1"/>
    <x v="2"/>
    <x v="18"/>
    <n v="23"/>
    <n v="1079482"/>
    <n v="579600.00000000012"/>
  </r>
  <r>
    <x v="18"/>
    <x v="1"/>
    <x v="18"/>
    <x v="1"/>
    <x v="2"/>
    <x v="18"/>
    <n v="25"/>
    <n v="1110475"/>
    <n v="630000.00000000012"/>
  </r>
  <r>
    <x v="19"/>
    <x v="1"/>
    <x v="19"/>
    <x v="1"/>
    <x v="2"/>
    <x v="18"/>
    <n v="21"/>
    <n v="973140"/>
    <n v="529200.00000000012"/>
  </r>
  <r>
    <x v="20"/>
    <x v="1"/>
    <x v="20"/>
    <x v="1"/>
    <x v="2"/>
    <x v="18"/>
    <n v="22"/>
    <n v="1019370"/>
    <n v="554400.00000000012"/>
  </r>
  <r>
    <x v="21"/>
    <x v="1"/>
    <x v="21"/>
    <x v="1"/>
    <x v="2"/>
    <x v="18"/>
    <n v="18"/>
    <n v="832878"/>
    <n v="453600.00000000006"/>
  </r>
  <r>
    <x v="22"/>
    <x v="1"/>
    <x v="22"/>
    <x v="1"/>
    <x v="2"/>
    <x v="18"/>
    <n v="13"/>
    <n v="606944"/>
    <n v="327600.00000000006"/>
  </r>
  <r>
    <x v="23"/>
    <x v="1"/>
    <x v="23"/>
    <x v="1"/>
    <x v="2"/>
    <x v="18"/>
    <n v="16"/>
    <n v="737600"/>
    <n v="403200.00000000006"/>
  </r>
  <r>
    <x v="0"/>
    <x v="0"/>
    <x v="0"/>
    <x v="1"/>
    <x v="2"/>
    <x v="19"/>
    <n v="19"/>
    <n v="346104"/>
    <n v="180880"/>
  </r>
  <r>
    <x v="1"/>
    <x v="0"/>
    <x v="1"/>
    <x v="1"/>
    <x v="2"/>
    <x v="19"/>
    <n v="12"/>
    <n v="222432"/>
    <n v="114240"/>
  </r>
  <r>
    <x v="2"/>
    <x v="0"/>
    <x v="2"/>
    <x v="1"/>
    <x v="2"/>
    <x v="19"/>
    <n v="10"/>
    <n v="173620"/>
    <n v="95200"/>
  </r>
  <r>
    <x v="3"/>
    <x v="0"/>
    <x v="3"/>
    <x v="1"/>
    <x v="2"/>
    <x v="19"/>
    <n v="18"/>
    <n v="330786"/>
    <n v="171360"/>
  </r>
  <r>
    <x v="4"/>
    <x v="0"/>
    <x v="4"/>
    <x v="1"/>
    <x v="2"/>
    <x v="19"/>
    <n v="22"/>
    <n v="409904"/>
    <n v="209440"/>
  </r>
  <r>
    <x v="5"/>
    <x v="0"/>
    <x v="5"/>
    <x v="1"/>
    <x v="2"/>
    <x v="19"/>
    <n v="21"/>
    <n v="377517"/>
    <n v="199920"/>
  </r>
  <r>
    <x v="6"/>
    <x v="0"/>
    <x v="6"/>
    <x v="1"/>
    <x v="2"/>
    <x v="19"/>
    <n v="22"/>
    <n v="378664"/>
    <n v="209440"/>
  </r>
  <r>
    <x v="7"/>
    <x v="0"/>
    <x v="7"/>
    <x v="1"/>
    <x v="2"/>
    <x v="19"/>
    <n v="19"/>
    <n v="332671"/>
    <n v="180880"/>
  </r>
  <r>
    <x v="8"/>
    <x v="0"/>
    <x v="8"/>
    <x v="1"/>
    <x v="2"/>
    <x v="19"/>
    <n v="20"/>
    <n v="361540"/>
    <n v="190400"/>
  </r>
  <r>
    <x v="9"/>
    <x v="0"/>
    <x v="9"/>
    <x v="1"/>
    <x v="2"/>
    <x v="19"/>
    <n v="17"/>
    <n v="319515"/>
    <n v="161840"/>
  </r>
  <r>
    <x v="10"/>
    <x v="0"/>
    <x v="10"/>
    <x v="1"/>
    <x v="2"/>
    <x v="19"/>
    <n v="12"/>
    <n v="225672"/>
    <n v="114240"/>
  </r>
  <r>
    <x v="11"/>
    <x v="0"/>
    <x v="11"/>
    <x v="1"/>
    <x v="2"/>
    <x v="19"/>
    <n v="14"/>
    <n v="251846"/>
    <n v="133280"/>
  </r>
  <r>
    <x v="12"/>
    <x v="1"/>
    <x v="12"/>
    <x v="1"/>
    <x v="2"/>
    <x v="19"/>
    <n v="21"/>
    <n v="378609"/>
    <n v="199920"/>
  </r>
  <r>
    <x v="13"/>
    <x v="1"/>
    <x v="13"/>
    <x v="1"/>
    <x v="2"/>
    <x v="19"/>
    <n v="13"/>
    <n v="245076"/>
    <n v="123760"/>
  </r>
  <r>
    <x v="14"/>
    <x v="1"/>
    <x v="14"/>
    <x v="1"/>
    <x v="2"/>
    <x v="19"/>
    <n v="11"/>
    <n v="194689"/>
    <n v="104720"/>
  </r>
  <r>
    <x v="15"/>
    <x v="1"/>
    <x v="15"/>
    <x v="1"/>
    <x v="2"/>
    <x v="19"/>
    <n v="20"/>
    <n v="375520"/>
    <n v="190400"/>
  </r>
  <r>
    <x v="16"/>
    <x v="1"/>
    <x v="16"/>
    <x v="1"/>
    <x v="2"/>
    <x v="19"/>
    <n v="25"/>
    <n v="467750"/>
    <n v="238000"/>
  </r>
  <r>
    <x v="17"/>
    <x v="1"/>
    <x v="17"/>
    <x v="1"/>
    <x v="2"/>
    <x v="19"/>
    <n v="23"/>
    <n v="416369"/>
    <n v="218960"/>
  </r>
  <r>
    <x v="18"/>
    <x v="1"/>
    <x v="18"/>
    <x v="1"/>
    <x v="2"/>
    <x v="19"/>
    <n v="25"/>
    <n v="412525"/>
    <n v="238000"/>
  </r>
  <r>
    <x v="19"/>
    <x v="1"/>
    <x v="19"/>
    <x v="1"/>
    <x v="2"/>
    <x v="19"/>
    <n v="21"/>
    <n v="368424"/>
    <n v="199920"/>
  </r>
  <r>
    <x v="20"/>
    <x v="1"/>
    <x v="20"/>
    <x v="1"/>
    <x v="2"/>
    <x v="19"/>
    <n v="22"/>
    <n v="398530"/>
    <n v="209440"/>
  </r>
  <r>
    <x v="21"/>
    <x v="1"/>
    <x v="21"/>
    <x v="1"/>
    <x v="2"/>
    <x v="19"/>
    <n v="18"/>
    <n v="331470"/>
    <n v="171360"/>
  </r>
  <r>
    <x v="22"/>
    <x v="1"/>
    <x v="22"/>
    <x v="1"/>
    <x v="2"/>
    <x v="19"/>
    <n v="13"/>
    <n v="246051"/>
    <n v="123760"/>
  </r>
  <r>
    <x v="23"/>
    <x v="1"/>
    <x v="23"/>
    <x v="1"/>
    <x v="2"/>
    <x v="19"/>
    <n v="16"/>
    <n v="283408"/>
    <n v="152320"/>
  </r>
  <r>
    <x v="0"/>
    <x v="0"/>
    <x v="0"/>
    <x v="1"/>
    <x v="2"/>
    <x v="20"/>
    <n v="15"/>
    <n v="602190"/>
    <n v="245700"/>
  </r>
  <r>
    <x v="1"/>
    <x v="0"/>
    <x v="1"/>
    <x v="1"/>
    <x v="2"/>
    <x v="20"/>
    <n v="10"/>
    <n v="403580"/>
    <n v="163800"/>
  </r>
  <r>
    <x v="2"/>
    <x v="0"/>
    <x v="2"/>
    <x v="1"/>
    <x v="2"/>
    <x v="20"/>
    <n v="8"/>
    <n v="317696"/>
    <n v="131040"/>
  </r>
  <r>
    <x v="3"/>
    <x v="0"/>
    <x v="3"/>
    <x v="1"/>
    <x v="2"/>
    <x v="20"/>
    <n v="14"/>
    <n v="573566"/>
    <n v="229320"/>
  </r>
  <r>
    <x v="4"/>
    <x v="0"/>
    <x v="4"/>
    <x v="1"/>
    <x v="2"/>
    <x v="20"/>
    <n v="18"/>
    <n v="743346"/>
    <n v="294840"/>
  </r>
  <r>
    <x v="5"/>
    <x v="0"/>
    <x v="5"/>
    <x v="1"/>
    <x v="2"/>
    <x v="20"/>
    <n v="17"/>
    <n v="689469"/>
    <n v="278460"/>
  </r>
  <r>
    <x v="6"/>
    <x v="0"/>
    <x v="6"/>
    <x v="1"/>
    <x v="2"/>
    <x v="20"/>
    <n v="18"/>
    <n v="707130"/>
    <n v="294840"/>
  </r>
  <r>
    <x v="7"/>
    <x v="0"/>
    <x v="7"/>
    <x v="1"/>
    <x v="2"/>
    <x v="20"/>
    <n v="15"/>
    <n v="592980"/>
    <n v="245700"/>
  </r>
  <r>
    <x v="8"/>
    <x v="0"/>
    <x v="8"/>
    <x v="1"/>
    <x v="2"/>
    <x v="20"/>
    <n v="16"/>
    <n v="645312"/>
    <n v="262080"/>
  </r>
  <r>
    <x v="9"/>
    <x v="0"/>
    <x v="9"/>
    <x v="1"/>
    <x v="2"/>
    <x v="20"/>
    <n v="13"/>
    <n v="521105"/>
    <n v="212940"/>
  </r>
  <r>
    <x v="10"/>
    <x v="0"/>
    <x v="10"/>
    <x v="1"/>
    <x v="2"/>
    <x v="20"/>
    <n v="10"/>
    <n v="406300"/>
    <n v="163800"/>
  </r>
  <r>
    <x v="11"/>
    <x v="0"/>
    <x v="11"/>
    <x v="1"/>
    <x v="2"/>
    <x v="20"/>
    <n v="12"/>
    <n v="474276"/>
    <n v="196560"/>
  </r>
  <r>
    <x v="12"/>
    <x v="1"/>
    <x v="12"/>
    <x v="1"/>
    <x v="2"/>
    <x v="20"/>
    <n v="17"/>
    <n v="679966"/>
    <n v="278460"/>
  </r>
  <r>
    <x v="13"/>
    <x v="1"/>
    <x v="13"/>
    <x v="1"/>
    <x v="2"/>
    <x v="20"/>
    <n v="11"/>
    <n v="452155"/>
    <n v="180180"/>
  </r>
  <r>
    <x v="14"/>
    <x v="1"/>
    <x v="14"/>
    <x v="1"/>
    <x v="2"/>
    <x v="20"/>
    <n v="9"/>
    <n v="362205"/>
    <n v="147420"/>
  </r>
  <r>
    <x v="15"/>
    <x v="1"/>
    <x v="15"/>
    <x v="1"/>
    <x v="2"/>
    <x v="20"/>
    <n v="16"/>
    <n v="649712"/>
    <n v="262080"/>
  </r>
  <r>
    <x v="16"/>
    <x v="1"/>
    <x v="16"/>
    <x v="1"/>
    <x v="2"/>
    <x v="20"/>
    <n v="20"/>
    <n v="829720"/>
    <n v="327600"/>
  </r>
  <r>
    <x v="17"/>
    <x v="1"/>
    <x v="17"/>
    <x v="1"/>
    <x v="2"/>
    <x v="20"/>
    <n v="19"/>
    <n v="760684"/>
    <n v="311220"/>
  </r>
  <r>
    <x v="18"/>
    <x v="1"/>
    <x v="18"/>
    <x v="1"/>
    <x v="2"/>
    <x v="20"/>
    <n v="20"/>
    <n v="781040"/>
    <n v="327600"/>
  </r>
  <r>
    <x v="19"/>
    <x v="1"/>
    <x v="19"/>
    <x v="1"/>
    <x v="2"/>
    <x v="20"/>
    <n v="17"/>
    <n v="675784"/>
    <n v="278460"/>
  </r>
  <r>
    <x v="20"/>
    <x v="1"/>
    <x v="20"/>
    <x v="1"/>
    <x v="2"/>
    <x v="20"/>
    <n v="18"/>
    <n v="708876"/>
    <n v="294840"/>
  </r>
  <r>
    <x v="21"/>
    <x v="1"/>
    <x v="21"/>
    <x v="1"/>
    <x v="2"/>
    <x v="20"/>
    <n v="15"/>
    <n v="610140"/>
    <n v="245700"/>
  </r>
  <r>
    <x v="22"/>
    <x v="1"/>
    <x v="22"/>
    <x v="1"/>
    <x v="2"/>
    <x v="20"/>
    <n v="11"/>
    <n v="445016"/>
    <n v="180180"/>
  </r>
  <r>
    <x v="23"/>
    <x v="1"/>
    <x v="23"/>
    <x v="1"/>
    <x v="2"/>
    <x v="20"/>
    <n v="13"/>
    <n v="514813"/>
    <n v="212940"/>
  </r>
  <r>
    <x v="0"/>
    <x v="0"/>
    <x v="0"/>
    <x v="1"/>
    <x v="3"/>
    <x v="21"/>
    <n v="47"/>
    <n v="280355"/>
    <n v="108100"/>
  </r>
  <r>
    <x v="1"/>
    <x v="0"/>
    <x v="1"/>
    <x v="1"/>
    <x v="3"/>
    <x v="21"/>
    <n v="29"/>
    <n v="205059"/>
    <n v="66700"/>
  </r>
  <r>
    <x v="2"/>
    <x v="0"/>
    <x v="2"/>
    <x v="1"/>
    <x v="3"/>
    <x v="21"/>
    <n v="24"/>
    <n v="125328"/>
    <n v="55200"/>
  </r>
  <r>
    <x v="3"/>
    <x v="0"/>
    <x v="3"/>
    <x v="1"/>
    <x v="3"/>
    <x v="21"/>
    <n v="44"/>
    <n v="285648"/>
    <n v="101200"/>
  </r>
  <r>
    <x v="4"/>
    <x v="0"/>
    <x v="4"/>
    <x v="1"/>
    <x v="3"/>
    <x v="21"/>
    <n v="55"/>
    <n v="386980"/>
    <n v="126500"/>
  </r>
  <r>
    <x v="5"/>
    <x v="0"/>
    <x v="5"/>
    <x v="1"/>
    <x v="3"/>
    <x v="21"/>
    <n v="52"/>
    <n v="338624"/>
    <n v="119600"/>
  </r>
  <r>
    <x v="6"/>
    <x v="0"/>
    <x v="6"/>
    <x v="1"/>
    <x v="3"/>
    <x v="21"/>
    <n v="55"/>
    <n v="276815"/>
    <n v="126500"/>
  </r>
  <r>
    <x v="7"/>
    <x v="0"/>
    <x v="7"/>
    <x v="1"/>
    <x v="3"/>
    <x v="21"/>
    <n v="47"/>
    <n v="283974"/>
    <n v="108100"/>
  </r>
  <r>
    <x v="8"/>
    <x v="0"/>
    <x v="8"/>
    <x v="1"/>
    <x v="3"/>
    <x v="21"/>
    <n v="50"/>
    <n v="285500"/>
    <n v="115000"/>
  </r>
  <r>
    <x v="9"/>
    <x v="0"/>
    <x v="9"/>
    <x v="1"/>
    <x v="3"/>
    <x v="21"/>
    <n v="41"/>
    <n v="258218"/>
    <n v="94300"/>
  </r>
  <r>
    <x v="10"/>
    <x v="0"/>
    <x v="10"/>
    <x v="1"/>
    <x v="3"/>
    <x v="21"/>
    <n v="29"/>
    <n v="175392"/>
    <n v="66700"/>
  </r>
  <r>
    <x v="11"/>
    <x v="0"/>
    <x v="11"/>
    <x v="1"/>
    <x v="3"/>
    <x v="21"/>
    <n v="35"/>
    <n v="183610"/>
    <n v="80500"/>
  </r>
  <r>
    <x v="12"/>
    <x v="1"/>
    <x v="12"/>
    <x v="1"/>
    <x v="3"/>
    <x v="21"/>
    <n v="51"/>
    <n v="335019"/>
    <n v="117300"/>
  </r>
  <r>
    <x v="13"/>
    <x v="1"/>
    <x v="13"/>
    <x v="1"/>
    <x v="3"/>
    <x v="21"/>
    <n v="32"/>
    <n v="197184"/>
    <n v="73600"/>
  </r>
  <r>
    <x v="14"/>
    <x v="1"/>
    <x v="14"/>
    <x v="1"/>
    <x v="3"/>
    <x v="21"/>
    <n v="26"/>
    <n v="158236"/>
    <n v="59800"/>
  </r>
  <r>
    <x v="15"/>
    <x v="1"/>
    <x v="15"/>
    <x v="1"/>
    <x v="3"/>
    <x v="21"/>
    <n v="48"/>
    <n v="322896"/>
    <n v="110400"/>
  </r>
  <r>
    <x v="16"/>
    <x v="1"/>
    <x v="16"/>
    <x v="1"/>
    <x v="3"/>
    <x v="21"/>
    <n v="61"/>
    <n v="397232"/>
    <n v="140300"/>
  </r>
  <r>
    <x v="17"/>
    <x v="1"/>
    <x v="17"/>
    <x v="1"/>
    <x v="3"/>
    <x v="21"/>
    <n v="58"/>
    <n v="378450"/>
    <n v="133400"/>
  </r>
  <r>
    <x v="18"/>
    <x v="1"/>
    <x v="18"/>
    <x v="1"/>
    <x v="3"/>
    <x v="21"/>
    <n v="61"/>
    <n v="318969"/>
    <n v="140300"/>
  </r>
  <r>
    <x v="19"/>
    <x v="1"/>
    <x v="19"/>
    <x v="1"/>
    <x v="3"/>
    <x v="21"/>
    <n v="51"/>
    <n v="302787"/>
    <n v="117300"/>
  </r>
  <r>
    <x v="20"/>
    <x v="1"/>
    <x v="20"/>
    <x v="1"/>
    <x v="3"/>
    <x v="21"/>
    <n v="54"/>
    <n v="285984"/>
    <n v="124200"/>
  </r>
  <r>
    <x v="21"/>
    <x v="1"/>
    <x v="21"/>
    <x v="1"/>
    <x v="3"/>
    <x v="21"/>
    <n v="45"/>
    <n v="296280"/>
    <n v="103500"/>
  </r>
  <r>
    <x v="22"/>
    <x v="1"/>
    <x v="22"/>
    <x v="1"/>
    <x v="3"/>
    <x v="21"/>
    <n v="32"/>
    <n v="206176"/>
    <n v="73600"/>
  </r>
  <r>
    <x v="23"/>
    <x v="1"/>
    <x v="23"/>
    <x v="1"/>
    <x v="3"/>
    <x v="21"/>
    <n v="39"/>
    <n v="197925"/>
    <n v="89700"/>
  </r>
  <r>
    <x v="0"/>
    <x v="0"/>
    <x v="0"/>
    <x v="1"/>
    <x v="3"/>
    <x v="22"/>
    <n v="41"/>
    <n v="426728"/>
    <n v="166050"/>
  </r>
  <r>
    <x v="1"/>
    <x v="0"/>
    <x v="1"/>
    <x v="1"/>
    <x v="3"/>
    <x v="22"/>
    <n v="26"/>
    <n v="254046"/>
    <n v="105300"/>
  </r>
  <r>
    <x v="2"/>
    <x v="0"/>
    <x v="2"/>
    <x v="1"/>
    <x v="3"/>
    <x v="22"/>
    <n v="21"/>
    <n v="201411"/>
    <n v="85050"/>
  </r>
  <r>
    <x v="3"/>
    <x v="0"/>
    <x v="3"/>
    <x v="1"/>
    <x v="3"/>
    <x v="22"/>
    <n v="39"/>
    <n v="407043"/>
    <n v="157950"/>
  </r>
  <r>
    <x v="4"/>
    <x v="0"/>
    <x v="4"/>
    <x v="1"/>
    <x v="3"/>
    <x v="22"/>
    <n v="49"/>
    <n v="531601"/>
    <n v="198450"/>
  </r>
  <r>
    <x v="5"/>
    <x v="0"/>
    <x v="5"/>
    <x v="1"/>
    <x v="3"/>
    <x v="22"/>
    <n v="46"/>
    <n v="483552"/>
    <n v="186300"/>
  </r>
  <r>
    <x v="6"/>
    <x v="0"/>
    <x v="6"/>
    <x v="1"/>
    <x v="3"/>
    <x v="22"/>
    <n v="49"/>
    <n v="439824"/>
    <n v="198450"/>
  </r>
  <r>
    <x v="7"/>
    <x v="0"/>
    <x v="7"/>
    <x v="1"/>
    <x v="3"/>
    <x v="22"/>
    <n v="41"/>
    <n v="415002"/>
    <n v="166050"/>
  </r>
  <r>
    <x v="8"/>
    <x v="0"/>
    <x v="8"/>
    <x v="1"/>
    <x v="3"/>
    <x v="22"/>
    <n v="44"/>
    <n v="431508"/>
    <n v="178200"/>
  </r>
  <r>
    <x v="9"/>
    <x v="0"/>
    <x v="9"/>
    <x v="1"/>
    <x v="3"/>
    <x v="22"/>
    <n v="36"/>
    <n v="382176"/>
    <n v="145800"/>
  </r>
  <r>
    <x v="10"/>
    <x v="0"/>
    <x v="10"/>
    <x v="1"/>
    <x v="3"/>
    <x v="22"/>
    <n v="26"/>
    <n v="278434"/>
    <n v="105300"/>
  </r>
  <r>
    <x v="11"/>
    <x v="0"/>
    <x v="11"/>
    <x v="1"/>
    <x v="3"/>
    <x v="22"/>
    <n v="31"/>
    <n v="294996"/>
    <n v="125550"/>
  </r>
  <r>
    <x v="12"/>
    <x v="1"/>
    <x v="12"/>
    <x v="1"/>
    <x v="3"/>
    <x v="22"/>
    <n v="45"/>
    <n v="453960"/>
    <n v="182250"/>
  </r>
  <r>
    <x v="13"/>
    <x v="1"/>
    <x v="13"/>
    <x v="1"/>
    <x v="3"/>
    <x v="22"/>
    <n v="29"/>
    <n v="305428"/>
    <n v="117450"/>
  </r>
  <r>
    <x v="14"/>
    <x v="1"/>
    <x v="14"/>
    <x v="1"/>
    <x v="3"/>
    <x v="22"/>
    <n v="23"/>
    <n v="222226"/>
    <n v="93150"/>
  </r>
  <r>
    <x v="15"/>
    <x v="1"/>
    <x v="15"/>
    <x v="1"/>
    <x v="3"/>
    <x v="22"/>
    <n v="43"/>
    <n v="460229"/>
    <n v="174150"/>
  </r>
  <r>
    <x v="16"/>
    <x v="1"/>
    <x v="16"/>
    <x v="1"/>
    <x v="3"/>
    <x v="22"/>
    <n v="54"/>
    <n v="557820"/>
    <n v="218700"/>
  </r>
  <r>
    <x v="17"/>
    <x v="1"/>
    <x v="17"/>
    <x v="1"/>
    <x v="3"/>
    <x v="22"/>
    <n v="51"/>
    <n v="539580"/>
    <n v="206550"/>
  </r>
  <r>
    <x v="18"/>
    <x v="1"/>
    <x v="18"/>
    <x v="1"/>
    <x v="3"/>
    <x v="22"/>
    <n v="54"/>
    <n v="460944"/>
    <n v="218700"/>
  </r>
  <r>
    <x v="19"/>
    <x v="1"/>
    <x v="19"/>
    <x v="1"/>
    <x v="3"/>
    <x v="22"/>
    <n v="45"/>
    <n v="435510"/>
    <n v="182250"/>
  </r>
  <r>
    <x v="20"/>
    <x v="1"/>
    <x v="20"/>
    <x v="1"/>
    <x v="3"/>
    <x v="22"/>
    <n v="48"/>
    <n v="500976"/>
    <n v="194400"/>
  </r>
  <r>
    <x v="21"/>
    <x v="1"/>
    <x v="21"/>
    <x v="1"/>
    <x v="3"/>
    <x v="22"/>
    <n v="40"/>
    <n v="431120"/>
    <n v="162000"/>
  </r>
  <r>
    <x v="22"/>
    <x v="1"/>
    <x v="22"/>
    <x v="1"/>
    <x v="3"/>
    <x v="22"/>
    <n v="29"/>
    <n v="285186"/>
    <n v="117450"/>
  </r>
  <r>
    <x v="23"/>
    <x v="1"/>
    <x v="23"/>
    <x v="1"/>
    <x v="3"/>
    <x v="22"/>
    <n v="34"/>
    <n v="338266"/>
    <n v="137700"/>
  </r>
  <r>
    <x v="0"/>
    <x v="0"/>
    <x v="0"/>
    <x v="1"/>
    <x v="3"/>
    <x v="23"/>
    <n v="47"/>
    <n v="375624"/>
    <n v="187529.99999999997"/>
  </r>
  <r>
    <x v="1"/>
    <x v="0"/>
    <x v="1"/>
    <x v="1"/>
    <x v="3"/>
    <x v="23"/>
    <n v="29"/>
    <n v="248791"/>
    <n v="115709.99999999999"/>
  </r>
  <r>
    <x v="2"/>
    <x v="0"/>
    <x v="2"/>
    <x v="1"/>
    <x v="3"/>
    <x v="23"/>
    <n v="24"/>
    <n v="196608"/>
    <n v="95759.999999999985"/>
  </r>
  <r>
    <x v="3"/>
    <x v="0"/>
    <x v="3"/>
    <x v="1"/>
    <x v="3"/>
    <x v="23"/>
    <n v="44"/>
    <n v="386452"/>
    <n v="175559.99999999997"/>
  </r>
  <r>
    <x v="4"/>
    <x v="0"/>
    <x v="4"/>
    <x v="1"/>
    <x v="3"/>
    <x v="23"/>
    <n v="55"/>
    <n v="529100"/>
    <n v="219449.99999999997"/>
  </r>
  <r>
    <x v="5"/>
    <x v="0"/>
    <x v="5"/>
    <x v="1"/>
    <x v="3"/>
    <x v="23"/>
    <n v="52"/>
    <n v="429780"/>
    <n v="207479.99999999997"/>
  </r>
  <r>
    <x v="6"/>
    <x v="0"/>
    <x v="6"/>
    <x v="1"/>
    <x v="3"/>
    <x v="23"/>
    <n v="55"/>
    <n v="368665"/>
    <n v="219449.99999999997"/>
  </r>
  <r>
    <x v="7"/>
    <x v="0"/>
    <x v="7"/>
    <x v="1"/>
    <x v="3"/>
    <x v="23"/>
    <n v="47"/>
    <n v="364391"/>
    <n v="187529.99999999997"/>
  </r>
  <r>
    <x v="8"/>
    <x v="0"/>
    <x v="8"/>
    <x v="1"/>
    <x v="3"/>
    <x v="23"/>
    <n v="50"/>
    <n v="369250"/>
    <n v="199499.99999999997"/>
  </r>
  <r>
    <x v="9"/>
    <x v="0"/>
    <x v="9"/>
    <x v="1"/>
    <x v="3"/>
    <x v="23"/>
    <n v="41"/>
    <n v="333371"/>
    <n v="163589.99999999997"/>
  </r>
  <r>
    <x v="10"/>
    <x v="0"/>
    <x v="10"/>
    <x v="1"/>
    <x v="3"/>
    <x v="23"/>
    <n v="29"/>
    <n v="252967"/>
    <n v="115709.99999999999"/>
  </r>
  <r>
    <x v="11"/>
    <x v="0"/>
    <x v="11"/>
    <x v="1"/>
    <x v="3"/>
    <x v="23"/>
    <n v="35"/>
    <n v="285565"/>
    <n v="139649.99999999997"/>
  </r>
  <r>
    <x v="12"/>
    <x v="1"/>
    <x v="12"/>
    <x v="1"/>
    <x v="3"/>
    <x v="23"/>
    <n v="51"/>
    <n v="428808"/>
    <n v="203489.99999999997"/>
  </r>
  <r>
    <x v="13"/>
    <x v="1"/>
    <x v="13"/>
    <x v="1"/>
    <x v="3"/>
    <x v="23"/>
    <n v="32"/>
    <n v="279008"/>
    <n v="127679.99999999999"/>
  </r>
  <r>
    <x v="14"/>
    <x v="1"/>
    <x v="14"/>
    <x v="1"/>
    <x v="3"/>
    <x v="23"/>
    <n v="26"/>
    <n v="213174"/>
    <n v="103739.99999999999"/>
  </r>
  <r>
    <x v="15"/>
    <x v="1"/>
    <x v="15"/>
    <x v="1"/>
    <x v="3"/>
    <x v="23"/>
    <n v="48"/>
    <n v="448032"/>
    <n v="191519.99999999997"/>
  </r>
  <r>
    <x v="16"/>
    <x v="1"/>
    <x v="16"/>
    <x v="1"/>
    <x v="3"/>
    <x v="23"/>
    <n v="61"/>
    <n v="572790"/>
    <n v="243389.99999999997"/>
  </r>
  <r>
    <x v="17"/>
    <x v="1"/>
    <x v="17"/>
    <x v="1"/>
    <x v="3"/>
    <x v="23"/>
    <n v="58"/>
    <n v="471946"/>
    <n v="231419.99999999997"/>
  </r>
  <r>
    <x v="18"/>
    <x v="1"/>
    <x v="18"/>
    <x v="1"/>
    <x v="3"/>
    <x v="23"/>
    <n v="61"/>
    <n v="390461"/>
    <n v="243389.99999999997"/>
  </r>
  <r>
    <x v="19"/>
    <x v="1"/>
    <x v="19"/>
    <x v="1"/>
    <x v="3"/>
    <x v="23"/>
    <n v="51"/>
    <n v="411621"/>
    <n v="203489.99999999997"/>
  </r>
  <r>
    <x v="20"/>
    <x v="1"/>
    <x v="20"/>
    <x v="1"/>
    <x v="3"/>
    <x v="23"/>
    <n v="54"/>
    <n v="427734"/>
    <n v="215459.99999999997"/>
  </r>
  <r>
    <x v="21"/>
    <x v="1"/>
    <x v="21"/>
    <x v="1"/>
    <x v="3"/>
    <x v="23"/>
    <n v="45"/>
    <n v="393615"/>
    <n v="179549.99999999997"/>
  </r>
  <r>
    <x v="22"/>
    <x v="1"/>
    <x v="22"/>
    <x v="1"/>
    <x v="3"/>
    <x v="23"/>
    <n v="32"/>
    <n v="250496"/>
    <n v="127679.99999999999"/>
  </r>
  <r>
    <x v="23"/>
    <x v="1"/>
    <x v="23"/>
    <x v="1"/>
    <x v="3"/>
    <x v="23"/>
    <n v="39"/>
    <n v="281853"/>
    <n v="155609.99999999997"/>
  </r>
  <r>
    <x v="0"/>
    <x v="0"/>
    <x v="0"/>
    <x v="1"/>
    <x v="3"/>
    <x v="24"/>
    <n v="41"/>
    <n v="418856"/>
    <n v="170765"/>
  </r>
  <r>
    <x v="1"/>
    <x v="0"/>
    <x v="1"/>
    <x v="1"/>
    <x v="3"/>
    <x v="24"/>
    <n v="26"/>
    <n v="262704"/>
    <n v="108290"/>
  </r>
  <r>
    <x v="2"/>
    <x v="0"/>
    <x v="2"/>
    <x v="1"/>
    <x v="3"/>
    <x v="24"/>
    <n v="21"/>
    <n v="184632"/>
    <n v="87465"/>
  </r>
  <r>
    <x v="3"/>
    <x v="0"/>
    <x v="3"/>
    <x v="1"/>
    <x v="3"/>
    <x v="24"/>
    <n v="38"/>
    <n v="401812"/>
    <n v="158270"/>
  </r>
  <r>
    <x v="4"/>
    <x v="0"/>
    <x v="4"/>
    <x v="1"/>
    <x v="3"/>
    <x v="24"/>
    <n v="48"/>
    <n v="500160"/>
    <n v="199920"/>
  </r>
  <r>
    <x v="5"/>
    <x v="0"/>
    <x v="5"/>
    <x v="1"/>
    <x v="3"/>
    <x v="24"/>
    <n v="46"/>
    <n v="436356"/>
    <n v="191590"/>
  </r>
  <r>
    <x v="6"/>
    <x v="0"/>
    <x v="6"/>
    <x v="1"/>
    <x v="3"/>
    <x v="24"/>
    <n v="48"/>
    <n v="404736"/>
    <n v="199920"/>
  </r>
  <r>
    <x v="7"/>
    <x v="0"/>
    <x v="7"/>
    <x v="1"/>
    <x v="3"/>
    <x v="24"/>
    <n v="41"/>
    <n v="354445"/>
    <n v="170765"/>
  </r>
  <r>
    <x v="8"/>
    <x v="0"/>
    <x v="8"/>
    <x v="1"/>
    <x v="3"/>
    <x v="24"/>
    <n v="43"/>
    <n v="409661"/>
    <n v="179095"/>
  </r>
  <r>
    <x v="9"/>
    <x v="0"/>
    <x v="9"/>
    <x v="1"/>
    <x v="3"/>
    <x v="24"/>
    <n v="36"/>
    <n v="377532"/>
    <n v="149940"/>
  </r>
  <r>
    <x v="10"/>
    <x v="0"/>
    <x v="10"/>
    <x v="1"/>
    <x v="3"/>
    <x v="24"/>
    <n v="26"/>
    <n v="261872"/>
    <n v="108290"/>
  </r>
  <r>
    <x v="11"/>
    <x v="0"/>
    <x v="11"/>
    <x v="1"/>
    <x v="3"/>
    <x v="24"/>
    <n v="31"/>
    <n v="294469"/>
    <n v="129115"/>
  </r>
  <r>
    <x v="12"/>
    <x v="1"/>
    <x v="12"/>
    <x v="1"/>
    <x v="3"/>
    <x v="24"/>
    <n v="45"/>
    <n v="459225"/>
    <n v="187425"/>
  </r>
  <r>
    <x v="13"/>
    <x v="1"/>
    <x v="13"/>
    <x v="1"/>
    <x v="3"/>
    <x v="24"/>
    <n v="28"/>
    <n v="278040"/>
    <n v="116620"/>
  </r>
  <r>
    <x v="14"/>
    <x v="1"/>
    <x v="14"/>
    <x v="1"/>
    <x v="3"/>
    <x v="24"/>
    <n v="23"/>
    <n v="216844"/>
    <n v="95795"/>
  </r>
  <r>
    <x v="15"/>
    <x v="1"/>
    <x v="15"/>
    <x v="1"/>
    <x v="3"/>
    <x v="24"/>
    <n v="42"/>
    <n v="444192"/>
    <n v="174930"/>
  </r>
  <r>
    <x v="16"/>
    <x v="1"/>
    <x v="16"/>
    <x v="1"/>
    <x v="3"/>
    <x v="24"/>
    <n v="53"/>
    <n v="562807"/>
    <n v="220745"/>
  </r>
  <r>
    <x v="17"/>
    <x v="1"/>
    <x v="17"/>
    <x v="1"/>
    <x v="3"/>
    <x v="24"/>
    <n v="50"/>
    <n v="482800"/>
    <n v="208250"/>
  </r>
  <r>
    <x v="18"/>
    <x v="1"/>
    <x v="18"/>
    <x v="1"/>
    <x v="3"/>
    <x v="24"/>
    <n v="53"/>
    <n v="439370"/>
    <n v="220745"/>
  </r>
  <r>
    <x v="19"/>
    <x v="1"/>
    <x v="19"/>
    <x v="1"/>
    <x v="3"/>
    <x v="24"/>
    <n v="45"/>
    <n v="415350"/>
    <n v="187425"/>
  </r>
  <r>
    <x v="20"/>
    <x v="1"/>
    <x v="20"/>
    <x v="1"/>
    <x v="3"/>
    <x v="24"/>
    <n v="48"/>
    <n v="469488"/>
    <n v="199920"/>
  </r>
  <r>
    <x v="21"/>
    <x v="1"/>
    <x v="21"/>
    <x v="1"/>
    <x v="3"/>
    <x v="24"/>
    <n v="39"/>
    <n v="381888"/>
    <n v="162435"/>
  </r>
  <r>
    <x v="22"/>
    <x v="1"/>
    <x v="22"/>
    <x v="1"/>
    <x v="3"/>
    <x v="24"/>
    <n v="28"/>
    <n v="277004"/>
    <n v="116620"/>
  </r>
  <r>
    <x v="23"/>
    <x v="1"/>
    <x v="23"/>
    <x v="1"/>
    <x v="3"/>
    <x v="24"/>
    <n v="34"/>
    <n v="311202"/>
    <n v="141610"/>
  </r>
  <r>
    <x v="0"/>
    <x v="0"/>
    <x v="0"/>
    <x v="1"/>
    <x v="3"/>
    <x v="25"/>
    <n v="41"/>
    <n v="301965"/>
    <n v="125460"/>
  </r>
  <r>
    <x v="1"/>
    <x v="0"/>
    <x v="1"/>
    <x v="1"/>
    <x v="3"/>
    <x v="25"/>
    <n v="26"/>
    <n v="199212"/>
    <n v="79560"/>
  </r>
  <r>
    <x v="2"/>
    <x v="0"/>
    <x v="2"/>
    <x v="1"/>
    <x v="3"/>
    <x v="25"/>
    <n v="21"/>
    <n v="135954"/>
    <n v="64260"/>
  </r>
  <r>
    <x v="3"/>
    <x v="0"/>
    <x v="3"/>
    <x v="1"/>
    <x v="3"/>
    <x v="25"/>
    <n v="38"/>
    <n v="307572"/>
    <n v="116280"/>
  </r>
  <r>
    <x v="4"/>
    <x v="0"/>
    <x v="4"/>
    <x v="1"/>
    <x v="3"/>
    <x v="25"/>
    <n v="48"/>
    <n v="380736"/>
    <n v="146880"/>
  </r>
  <r>
    <x v="5"/>
    <x v="0"/>
    <x v="5"/>
    <x v="1"/>
    <x v="3"/>
    <x v="25"/>
    <n v="46"/>
    <n v="316986"/>
    <n v="140760"/>
  </r>
  <r>
    <x v="6"/>
    <x v="0"/>
    <x v="6"/>
    <x v="1"/>
    <x v="3"/>
    <x v="25"/>
    <n v="48"/>
    <n v="289680"/>
    <n v="146880"/>
  </r>
  <r>
    <x v="7"/>
    <x v="0"/>
    <x v="7"/>
    <x v="1"/>
    <x v="3"/>
    <x v="25"/>
    <n v="41"/>
    <n v="253462"/>
    <n v="125460"/>
  </r>
  <r>
    <x v="8"/>
    <x v="0"/>
    <x v="8"/>
    <x v="1"/>
    <x v="3"/>
    <x v="25"/>
    <n v="43"/>
    <n v="285219"/>
    <n v="131580"/>
  </r>
  <r>
    <x v="9"/>
    <x v="0"/>
    <x v="9"/>
    <x v="1"/>
    <x v="3"/>
    <x v="25"/>
    <n v="36"/>
    <n v="256644"/>
    <n v="110160"/>
  </r>
  <r>
    <x v="10"/>
    <x v="0"/>
    <x v="10"/>
    <x v="1"/>
    <x v="3"/>
    <x v="25"/>
    <n v="26"/>
    <n v="173524"/>
    <n v="79560"/>
  </r>
  <r>
    <x v="11"/>
    <x v="0"/>
    <x v="11"/>
    <x v="1"/>
    <x v="3"/>
    <x v="25"/>
    <n v="31"/>
    <n v="220534"/>
    <n v="94860"/>
  </r>
  <r>
    <x v="12"/>
    <x v="1"/>
    <x v="12"/>
    <x v="1"/>
    <x v="3"/>
    <x v="25"/>
    <n v="45"/>
    <n v="311445"/>
    <n v="137700"/>
  </r>
  <r>
    <x v="13"/>
    <x v="1"/>
    <x v="13"/>
    <x v="1"/>
    <x v="3"/>
    <x v="25"/>
    <n v="28"/>
    <n v="194124"/>
    <n v="85680"/>
  </r>
  <r>
    <x v="14"/>
    <x v="1"/>
    <x v="14"/>
    <x v="1"/>
    <x v="3"/>
    <x v="25"/>
    <n v="23"/>
    <n v="148327"/>
    <n v="70380"/>
  </r>
  <r>
    <x v="15"/>
    <x v="1"/>
    <x v="15"/>
    <x v="1"/>
    <x v="3"/>
    <x v="25"/>
    <n v="42"/>
    <n v="308532"/>
    <n v="128520"/>
  </r>
  <r>
    <x v="16"/>
    <x v="1"/>
    <x v="16"/>
    <x v="1"/>
    <x v="3"/>
    <x v="25"/>
    <n v="53"/>
    <n v="421085"/>
    <n v="162180"/>
  </r>
  <r>
    <x v="17"/>
    <x v="1"/>
    <x v="17"/>
    <x v="1"/>
    <x v="3"/>
    <x v="25"/>
    <n v="50"/>
    <n v="356250"/>
    <n v="153000"/>
  </r>
  <r>
    <x v="18"/>
    <x v="1"/>
    <x v="18"/>
    <x v="1"/>
    <x v="3"/>
    <x v="25"/>
    <n v="53"/>
    <n v="336126"/>
    <n v="162180"/>
  </r>
  <r>
    <x v="19"/>
    <x v="1"/>
    <x v="19"/>
    <x v="1"/>
    <x v="3"/>
    <x v="25"/>
    <n v="45"/>
    <n v="325260"/>
    <n v="137700"/>
  </r>
  <r>
    <x v="20"/>
    <x v="1"/>
    <x v="20"/>
    <x v="1"/>
    <x v="3"/>
    <x v="25"/>
    <n v="48"/>
    <n v="345984"/>
    <n v="146880"/>
  </r>
  <r>
    <x v="21"/>
    <x v="1"/>
    <x v="21"/>
    <x v="1"/>
    <x v="3"/>
    <x v="25"/>
    <n v="39"/>
    <n v="279123"/>
    <n v="119340"/>
  </r>
  <r>
    <x v="22"/>
    <x v="1"/>
    <x v="22"/>
    <x v="1"/>
    <x v="3"/>
    <x v="25"/>
    <n v="28"/>
    <n v="200536"/>
    <n v="85680"/>
  </r>
  <r>
    <x v="23"/>
    <x v="1"/>
    <x v="23"/>
    <x v="1"/>
    <x v="3"/>
    <x v="25"/>
    <n v="34"/>
    <n v="240550"/>
    <n v="104040"/>
  </r>
  <r>
    <x v="0"/>
    <x v="0"/>
    <x v="0"/>
    <x v="1"/>
    <x v="3"/>
    <x v="26"/>
    <n v="43"/>
    <n v="371993"/>
    <n v="148608"/>
  </r>
  <r>
    <x v="1"/>
    <x v="0"/>
    <x v="1"/>
    <x v="1"/>
    <x v="3"/>
    <x v="26"/>
    <n v="27"/>
    <n v="230553"/>
    <n v="93312"/>
  </r>
  <r>
    <x v="2"/>
    <x v="0"/>
    <x v="2"/>
    <x v="1"/>
    <x v="3"/>
    <x v="26"/>
    <n v="22"/>
    <n v="174460"/>
    <n v="76032"/>
  </r>
  <r>
    <x v="3"/>
    <x v="0"/>
    <x v="3"/>
    <x v="1"/>
    <x v="3"/>
    <x v="26"/>
    <n v="40"/>
    <n v="344080"/>
    <n v="138240"/>
  </r>
  <r>
    <x v="4"/>
    <x v="0"/>
    <x v="4"/>
    <x v="1"/>
    <x v="3"/>
    <x v="26"/>
    <n v="51"/>
    <n v="463029"/>
    <n v="176256"/>
  </r>
  <r>
    <x v="5"/>
    <x v="0"/>
    <x v="5"/>
    <x v="1"/>
    <x v="3"/>
    <x v="26"/>
    <n v="48"/>
    <n v="434304"/>
    <n v="165888"/>
  </r>
  <r>
    <x v="6"/>
    <x v="0"/>
    <x v="6"/>
    <x v="1"/>
    <x v="3"/>
    <x v="26"/>
    <n v="51"/>
    <n v="323187"/>
    <n v="176256"/>
  </r>
  <r>
    <x v="7"/>
    <x v="0"/>
    <x v="7"/>
    <x v="1"/>
    <x v="3"/>
    <x v="26"/>
    <n v="43"/>
    <n v="342667"/>
    <n v="148608"/>
  </r>
  <r>
    <x v="8"/>
    <x v="0"/>
    <x v="8"/>
    <x v="1"/>
    <x v="3"/>
    <x v="26"/>
    <n v="45"/>
    <n v="351315"/>
    <n v="155520"/>
  </r>
  <r>
    <x v="9"/>
    <x v="0"/>
    <x v="9"/>
    <x v="1"/>
    <x v="3"/>
    <x v="26"/>
    <n v="37"/>
    <n v="322233"/>
    <n v="127872"/>
  </r>
  <r>
    <x v="10"/>
    <x v="0"/>
    <x v="10"/>
    <x v="1"/>
    <x v="3"/>
    <x v="26"/>
    <n v="27"/>
    <n v="215865"/>
    <n v="93312"/>
  </r>
  <r>
    <x v="11"/>
    <x v="0"/>
    <x v="11"/>
    <x v="1"/>
    <x v="3"/>
    <x v="26"/>
    <n v="32"/>
    <n v="267264"/>
    <n v="110592"/>
  </r>
  <r>
    <x v="12"/>
    <x v="1"/>
    <x v="12"/>
    <x v="1"/>
    <x v="3"/>
    <x v="26"/>
    <n v="47"/>
    <n v="410921"/>
    <n v="162432"/>
  </r>
  <r>
    <x v="13"/>
    <x v="1"/>
    <x v="13"/>
    <x v="1"/>
    <x v="3"/>
    <x v="26"/>
    <n v="29"/>
    <n v="252532"/>
    <n v="100224"/>
  </r>
  <r>
    <x v="14"/>
    <x v="1"/>
    <x v="14"/>
    <x v="1"/>
    <x v="3"/>
    <x v="26"/>
    <n v="24"/>
    <n v="190608"/>
    <n v="82944"/>
  </r>
  <r>
    <x v="15"/>
    <x v="1"/>
    <x v="15"/>
    <x v="1"/>
    <x v="3"/>
    <x v="26"/>
    <n v="44"/>
    <n v="397672"/>
    <n v="152064"/>
  </r>
  <r>
    <x v="16"/>
    <x v="1"/>
    <x v="16"/>
    <x v="1"/>
    <x v="3"/>
    <x v="26"/>
    <n v="56"/>
    <n v="511168"/>
    <n v="193536"/>
  </r>
  <r>
    <x v="17"/>
    <x v="1"/>
    <x v="17"/>
    <x v="1"/>
    <x v="3"/>
    <x v="26"/>
    <n v="53"/>
    <n v="428982"/>
    <n v="183168"/>
  </r>
  <r>
    <x v="18"/>
    <x v="1"/>
    <x v="18"/>
    <x v="1"/>
    <x v="3"/>
    <x v="26"/>
    <n v="56"/>
    <n v="390320"/>
    <n v="193536"/>
  </r>
  <r>
    <x v="19"/>
    <x v="1"/>
    <x v="19"/>
    <x v="1"/>
    <x v="3"/>
    <x v="26"/>
    <n v="47"/>
    <n v="374543"/>
    <n v="162432"/>
  </r>
  <r>
    <x v="20"/>
    <x v="1"/>
    <x v="20"/>
    <x v="1"/>
    <x v="3"/>
    <x v="26"/>
    <n v="50"/>
    <n v="388100"/>
    <n v="172800"/>
  </r>
  <r>
    <x v="21"/>
    <x v="1"/>
    <x v="21"/>
    <x v="1"/>
    <x v="3"/>
    <x v="26"/>
    <n v="41"/>
    <n v="351042"/>
    <n v="141696"/>
  </r>
  <r>
    <x v="22"/>
    <x v="1"/>
    <x v="22"/>
    <x v="1"/>
    <x v="3"/>
    <x v="26"/>
    <n v="29"/>
    <n v="235045"/>
    <n v="100224"/>
  </r>
  <r>
    <x v="23"/>
    <x v="1"/>
    <x v="23"/>
    <x v="1"/>
    <x v="3"/>
    <x v="26"/>
    <n v="35"/>
    <n v="286510"/>
    <n v="120960"/>
  </r>
  <r>
    <x v="0"/>
    <x v="0"/>
    <x v="0"/>
    <x v="1"/>
    <x v="3"/>
    <x v="27"/>
    <n v="44"/>
    <n v="477444"/>
    <n v="228228"/>
  </r>
  <r>
    <x v="1"/>
    <x v="0"/>
    <x v="1"/>
    <x v="1"/>
    <x v="3"/>
    <x v="27"/>
    <n v="28"/>
    <n v="295344"/>
    <n v="145236"/>
  </r>
  <r>
    <x v="2"/>
    <x v="0"/>
    <x v="2"/>
    <x v="1"/>
    <x v="3"/>
    <x v="27"/>
    <n v="22"/>
    <n v="222310"/>
    <n v="114114"/>
  </r>
  <r>
    <x v="3"/>
    <x v="0"/>
    <x v="3"/>
    <x v="1"/>
    <x v="3"/>
    <x v="27"/>
    <n v="41"/>
    <n v="446982"/>
    <n v="212667"/>
  </r>
  <r>
    <x v="4"/>
    <x v="0"/>
    <x v="4"/>
    <x v="1"/>
    <x v="3"/>
    <x v="27"/>
    <n v="52"/>
    <n v="562276"/>
    <n v="269724"/>
  </r>
  <r>
    <x v="5"/>
    <x v="0"/>
    <x v="5"/>
    <x v="1"/>
    <x v="3"/>
    <x v="27"/>
    <n v="49"/>
    <n v="525525"/>
    <n v="254163"/>
  </r>
  <r>
    <x v="6"/>
    <x v="0"/>
    <x v="6"/>
    <x v="1"/>
    <x v="3"/>
    <x v="27"/>
    <n v="52"/>
    <n v="451880"/>
    <n v="269724"/>
  </r>
  <r>
    <x v="7"/>
    <x v="0"/>
    <x v="7"/>
    <x v="1"/>
    <x v="3"/>
    <x v="27"/>
    <n v="44"/>
    <n v="422752"/>
    <n v="228228"/>
  </r>
  <r>
    <x v="8"/>
    <x v="0"/>
    <x v="8"/>
    <x v="1"/>
    <x v="3"/>
    <x v="27"/>
    <n v="47"/>
    <n v="478413"/>
    <n v="243789"/>
  </r>
  <r>
    <x v="9"/>
    <x v="0"/>
    <x v="9"/>
    <x v="1"/>
    <x v="3"/>
    <x v="27"/>
    <n v="39"/>
    <n v="418821"/>
    <n v="202293"/>
  </r>
  <r>
    <x v="10"/>
    <x v="0"/>
    <x v="10"/>
    <x v="1"/>
    <x v="3"/>
    <x v="27"/>
    <n v="28"/>
    <n v="297388"/>
    <n v="145236"/>
  </r>
  <r>
    <x v="11"/>
    <x v="0"/>
    <x v="11"/>
    <x v="1"/>
    <x v="3"/>
    <x v="27"/>
    <n v="33"/>
    <n v="339669"/>
    <n v="171171"/>
  </r>
  <r>
    <x v="12"/>
    <x v="1"/>
    <x v="12"/>
    <x v="1"/>
    <x v="3"/>
    <x v="27"/>
    <n v="48"/>
    <n v="492672"/>
    <n v="248976"/>
  </r>
  <r>
    <x v="13"/>
    <x v="1"/>
    <x v="13"/>
    <x v="1"/>
    <x v="3"/>
    <x v="27"/>
    <n v="30"/>
    <n v="312630"/>
    <n v="155610"/>
  </r>
  <r>
    <x v="14"/>
    <x v="1"/>
    <x v="14"/>
    <x v="1"/>
    <x v="3"/>
    <x v="27"/>
    <n v="24"/>
    <n v="245760"/>
    <n v="124488"/>
  </r>
  <r>
    <x v="15"/>
    <x v="1"/>
    <x v="15"/>
    <x v="1"/>
    <x v="3"/>
    <x v="27"/>
    <n v="45"/>
    <n v="456840"/>
    <n v="233415"/>
  </r>
  <r>
    <x v="16"/>
    <x v="1"/>
    <x v="16"/>
    <x v="1"/>
    <x v="3"/>
    <x v="27"/>
    <n v="57"/>
    <n v="635607"/>
    <n v="295659"/>
  </r>
  <r>
    <x v="17"/>
    <x v="1"/>
    <x v="17"/>
    <x v="1"/>
    <x v="3"/>
    <x v="27"/>
    <n v="54"/>
    <n v="560790"/>
    <n v="280098"/>
  </r>
  <r>
    <x v="18"/>
    <x v="1"/>
    <x v="18"/>
    <x v="1"/>
    <x v="3"/>
    <x v="27"/>
    <n v="57"/>
    <n v="492708"/>
    <n v="295659"/>
  </r>
  <r>
    <x v="19"/>
    <x v="1"/>
    <x v="19"/>
    <x v="1"/>
    <x v="3"/>
    <x v="27"/>
    <n v="48"/>
    <n v="464256"/>
    <n v="248976"/>
  </r>
  <r>
    <x v="20"/>
    <x v="1"/>
    <x v="20"/>
    <x v="1"/>
    <x v="3"/>
    <x v="27"/>
    <n v="51"/>
    <n v="510816"/>
    <n v="264537"/>
  </r>
  <r>
    <x v="21"/>
    <x v="1"/>
    <x v="21"/>
    <x v="1"/>
    <x v="3"/>
    <x v="27"/>
    <n v="42"/>
    <n v="427980"/>
    <n v="217854"/>
  </r>
  <r>
    <x v="22"/>
    <x v="1"/>
    <x v="22"/>
    <x v="1"/>
    <x v="3"/>
    <x v="27"/>
    <n v="30"/>
    <n v="323670"/>
    <n v="155610"/>
  </r>
  <r>
    <x v="23"/>
    <x v="1"/>
    <x v="23"/>
    <x v="1"/>
    <x v="3"/>
    <x v="27"/>
    <n v="36"/>
    <n v="340092"/>
    <n v="186732"/>
  </r>
  <r>
    <x v="0"/>
    <x v="0"/>
    <x v="0"/>
    <x v="1"/>
    <x v="4"/>
    <x v="28"/>
    <n v="47"/>
    <n v="623267"/>
    <n v="282000"/>
  </r>
  <r>
    <x v="1"/>
    <x v="0"/>
    <x v="1"/>
    <x v="1"/>
    <x v="4"/>
    <x v="28"/>
    <n v="30"/>
    <n v="406470"/>
    <n v="180000"/>
  </r>
  <r>
    <x v="2"/>
    <x v="0"/>
    <x v="2"/>
    <x v="1"/>
    <x v="4"/>
    <x v="28"/>
    <n v="24"/>
    <n v="313440"/>
    <n v="144000"/>
  </r>
  <r>
    <x v="3"/>
    <x v="0"/>
    <x v="3"/>
    <x v="1"/>
    <x v="4"/>
    <x v="28"/>
    <n v="44"/>
    <n v="585904"/>
    <n v="264000"/>
  </r>
  <r>
    <x v="4"/>
    <x v="0"/>
    <x v="4"/>
    <x v="1"/>
    <x v="4"/>
    <x v="28"/>
    <n v="56"/>
    <n v="768152"/>
    <n v="336000"/>
  </r>
  <r>
    <x v="5"/>
    <x v="0"/>
    <x v="5"/>
    <x v="1"/>
    <x v="4"/>
    <x v="28"/>
    <n v="53"/>
    <n v="716242"/>
    <n v="318000"/>
  </r>
  <r>
    <x v="6"/>
    <x v="0"/>
    <x v="6"/>
    <x v="1"/>
    <x v="4"/>
    <x v="28"/>
    <n v="56"/>
    <n v="664440"/>
    <n v="336000"/>
  </r>
  <r>
    <x v="7"/>
    <x v="0"/>
    <x v="7"/>
    <x v="1"/>
    <x v="4"/>
    <x v="28"/>
    <n v="47"/>
    <n v="619836"/>
    <n v="282000"/>
  </r>
  <r>
    <x v="8"/>
    <x v="0"/>
    <x v="8"/>
    <x v="1"/>
    <x v="4"/>
    <x v="28"/>
    <n v="50"/>
    <n v="627900"/>
    <n v="300000"/>
  </r>
  <r>
    <x v="9"/>
    <x v="0"/>
    <x v="9"/>
    <x v="1"/>
    <x v="4"/>
    <x v="28"/>
    <n v="41"/>
    <n v="559445"/>
    <n v="246000"/>
  </r>
  <r>
    <x v="10"/>
    <x v="0"/>
    <x v="10"/>
    <x v="1"/>
    <x v="4"/>
    <x v="28"/>
    <n v="30"/>
    <n v="390990"/>
    <n v="180000"/>
  </r>
  <r>
    <x v="11"/>
    <x v="0"/>
    <x v="11"/>
    <x v="1"/>
    <x v="4"/>
    <x v="28"/>
    <n v="35"/>
    <n v="450660"/>
    <n v="210000"/>
  </r>
  <r>
    <x v="12"/>
    <x v="1"/>
    <x v="12"/>
    <x v="1"/>
    <x v="4"/>
    <x v="28"/>
    <n v="52"/>
    <n v="665288"/>
    <n v="312000"/>
  </r>
  <r>
    <x v="13"/>
    <x v="1"/>
    <x v="13"/>
    <x v="1"/>
    <x v="4"/>
    <x v="28"/>
    <n v="33"/>
    <n v="450318"/>
    <n v="198000"/>
  </r>
  <r>
    <x v="14"/>
    <x v="1"/>
    <x v="14"/>
    <x v="1"/>
    <x v="4"/>
    <x v="28"/>
    <n v="26"/>
    <n v="331318"/>
    <n v="156000"/>
  </r>
  <r>
    <x v="15"/>
    <x v="1"/>
    <x v="15"/>
    <x v="1"/>
    <x v="4"/>
    <x v="28"/>
    <n v="49"/>
    <n v="675122"/>
    <n v="294000"/>
  </r>
  <r>
    <x v="16"/>
    <x v="1"/>
    <x v="16"/>
    <x v="1"/>
    <x v="4"/>
    <x v="28"/>
    <n v="61"/>
    <n v="855342"/>
    <n v="366000"/>
  </r>
  <r>
    <x v="17"/>
    <x v="1"/>
    <x v="17"/>
    <x v="1"/>
    <x v="4"/>
    <x v="28"/>
    <n v="58"/>
    <n v="750926"/>
    <n v="348000"/>
  </r>
  <r>
    <x v="18"/>
    <x v="1"/>
    <x v="18"/>
    <x v="1"/>
    <x v="4"/>
    <x v="28"/>
    <n v="61"/>
    <n v="692289"/>
    <n v="366000"/>
  </r>
  <r>
    <x v="19"/>
    <x v="1"/>
    <x v="19"/>
    <x v="1"/>
    <x v="4"/>
    <x v="28"/>
    <n v="52"/>
    <n v="664404"/>
    <n v="312000"/>
  </r>
  <r>
    <x v="20"/>
    <x v="1"/>
    <x v="20"/>
    <x v="1"/>
    <x v="4"/>
    <x v="28"/>
    <n v="55"/>
    <n v="708455"/>
    <n v="330000"/>
  </r>
  <r>
    <x v="21"/>
    <x v="1"/>
    <x v="21"/>
    <x v="1"/>
    <x v="4"/>
    <x v="28"/>
    <n v="45"/>
    <n v="576720"/>
    <n v="270000"/>
  </r>
  <r>
    <x v="22"/>
    <x v="1"/>
    <x v="22"/>
    <x v="1"/>
    <x v="4"/>
    <x v="28"/>
    <n v="33"/>
    <n v="434544"/>
    <n v="198000"/>
  </r>
  <r>
    <x v="23"/>
    <x v="1"/>
    <x v="23"/>
    <x v="1"/>
    <x v="4"/>
    <x v="28"/>
    <n v="39"/>
    <n v="500136"/>
    <n v="234000"/>
  </r>
  <r>
    <x v="0"/>
    <x v="0"/>
    <x v="0"/>
    <x v="1"/>
    <x v="4"/>
    <x v="29"/>
    <n v="34"/>
    <n v="332384"/>
    <n v="180540"/>
  </r>
  <r>
    <x v="1"/>
    <x v="0"/>
    <x v="1"/>
    <x v="1"/>
    <x v="4"/>
    <x v="29"/>
    <n v="22"/>
    <n v="222244"/>
    <n v="116820"/>
  </r>
  <r>
    <x v="2"/>
    <x v="0"/>
    <x v="2"/>
    <x v="1"/>
    <x v="4"/>
    <x v="29"/>
    <n v="17"/>
    <n v="159154"/>
    <n v="90270"/>
  </r>
  <r>
    <x v="3"/>
    <x v="0"/>
    <x v="3"/>
    <x v="1"/>
    <x v="4"/>
    <x v="29"/>
    <n v="32"/>
    <n v="336928"/>
    <n v="169920"/>
  </r>
  <r>
    <x v="4"/>
    <x v="0"/>
    <x v="4"/>
    <x v="1"/>
    <x v="4"/>
    <x v="29"/>
    <n v="41"/>
    <n v="455223"/>
    <n v="217710"/>
  </r>
  <r>
    <x v="5"/>
    <x v="0"/>
    <x v="5"/>
    <x v="1"/>
    <x v="4"/>
    <x v="29"/>
    <n v="38"/>
    <n v="372324"/>
    <n v="201780"/>
  </r>
  <r>
    <x v="6"/>
    <x v="0"/>
    <x v="6"/>
    <x v="1"/>
    <x v="4"/>
    <x v="29"/>
    <n v="41"/>
    <n v="357397"/>
    <n v="217710"/>
  </r>
  <r>
    <x v="7"/>
    <x v="0"/>
    <x v="7"/>
    <x v="1"/>
    <x v="4"/>
    <x v="29"/>
    <n v="34"/>
    <n v="351696"/>
    <n v="180540"/>
  </r>
  <r>
    <x v="8"/>
    <x v="0"/>
    <x v="8"/>
    <x v="1"/>
    <x v="4"/>
    <x v="29"/>
    <n v="36"/>
    <n v="363204"/>
    <n v="191160"/>
  </r>
  <r>
    <x v="9"/>
    <x v="0"/>
    <x v="9"/>
    <x v="1"/>
    <x v="4"/>
    <x v="29"/>
    <n v="30"/>
    <n v="327030"/>
    <n v="159300"/>
  </r>
  <r>
    <x v="10"/>
    <x v="0"/>
    <x v="10"/>
    <x v="1"/>
    <x v="4"/>
    <x v="29"/>
    <n v="22"/>
    <n v="232078"/>
    <n v="116820"/>
  </r>
  <r>
    <x v="11"/>
    <x v="0"/>
    <x v="11"/>
    <x v="1"/>
    <x v="4"/>
    <x v="29"/>
    <n v="26"/>
    <n v="263536"/>
    <n v="138060"/>
  </r>
  <r>
    <x v="12"/>
    <x v="1"/>
    <x v="12"/>
    <x v="1"/>
    <x v="4"/>
    <x v="29"/>
    <n v="38"/>
    <n v="390716"/>
    <n v="201780"/>
  </r>
  <r>
    <x v="13"/>
    <x v="1"/>
    <x v="13"/>
    <x v="1"/>
    <x v="4"/>
    <x v="29"/>
    <n v="24"/>
    <n v="258768"/>
    <n v="127440"/>
  </r>
  <r>
    <x v="14"/>
    <x v="1"/>
    <x v="14"/>
    <x v="1"/>
    <x v="4"/>
    <x v="29"/>
    <n v="19"/>
    <n v="188385"/>
    <n v="100890"/>
  </r>
  <r>
    <x v="15"/>
    <x v="1"/>
    <x v="15"/>
    <x v="1"/>
    <x v="4"/>
    <x v="29"/>
    <n v="35"/>
    <n v="376915"/>
    <n v="185850"/>
  </r>
  <r>
    <x v="16"/>
    <x v="1"/>
    <x v="16"/>
    <x v="1"/>
    <x v="4"/>
    <x v="29"/>
    <n v="45"/>
    <n v="518760"/>
    <n v="238950"/>
  </r>
  <r>
    <x v="17"/>
    <x v="1"/>
    <x v="17"/>
    <x v="1"/>
    <x v="4"/>
    <x v="29"/>
    <n v="42"/>
    <n v="428736"/>
    <n v="223020"/>
  </r>
  <r>
    <x v="18"/>
    <x v="1"/>
    <x v="18"/>
    <x v="1"/>
    <x v="4"/>
    <x v="29"/>
    <n v="45"/>
    <n v="409410"/>
    <n v="238950"/>
  </r>
  <r>
    <x v="19"/>
    <x v="1"/>
    <x v="19"/>
    <x v="1"/>
    <x v="4"/>
    <x v="29"/>
    <n v="38"/>
    <n v="382090"/>
    <n v="201780"/>
  </r>
  <r>
    <x v="20"/>
    <x v="1"/>
    <x v="20"/>
    <x v="1"/>
    <x v="4"/>
    <x v="29"/>
    <n v="40"/>
    <n v="414520"/>
    <n v="212400"/>
  </r>
  <r>
    <x v="21"/>
    <x v="1"/>
    <x v="21"/>
    <x v="1"/>
    <x v="4"/>
    <x v="29"/>
    <n v="33"/>
    <n v="349800"/>
    <n v="175230"/>
  </r>
  <r>
    <x v="22"/>
    <x v="1"/>
    <x v="22"/>
    <x v="1"/>
    <x v="4"/>
    <x v="29"/>
    <n v="24"/>
    <n v="241296"/>
    <n v="127440"/>
  </r>
  <r>
    <x v="23"/>
    <x v="1"/>
    <x v="23"/>
    <x v="1"/>
    <x v="4"/>
    <x v="29"/>
    <n v="28"/>
    <n v="288232"/>
    <n v="148680"/>
  </r>
  <r>
    <x v="0"/>
    <x v="0"/>
    <x v="0"/>
    <x v="1"/>
    <x v="4"/>
    <x v="30"/>
    <n v="33"/>
    <n v="270105"/>
    <n v="106260"/>
  </r>
  <r>
    <x v="1"/>
    <x v="0"/>
    <x v="1"/>
    <x v="1"/>
    <x v="4"/>
    <x v="30"/>
    <n v="21"/>
    <n v="182952"/>
    <n v="67620"/>
  </r>
  <r>
    <x v="2"/>
    <x v="0"/>
    <x v="2"/>
    <x v="1"/>
    <x v="4"/>
    <x v="30"/>
    <n v="17"/>
    <n v="135201"/>
    <n v="54740"/>
  </r>
  <r>
    <x v="3"/>
    <x v="0"/>
    <x v="3"/>
    <x v="1"/>
    <x v="4"/>
    <x v="30"/>
    <n v="31"/>
    <n v="272242"/>
    <n v="99820"/>
  </r>
  <r>
    <x v="4"/>
    <x v="0"/>
    <x v="4"/>
    <x v="1"/>
    <x v="4"/>
    <x v="30"/>
    <n v="39"/>
    <n v="361959"/>
    <n v="125580"/>
  </r>
  <r>
    <x v="5"/>
    <x v="0"/>
    <x v="5"/>
    <x v="1"/>
    <x v="4"/>
    <x v="30"/>
    <n v="37"/>
    <n v="299922"/>
    <n v="119140"/>
  </r>
  <r>
    <x v="6"/>
    <x v="0"/>
    <x v="6"/>
    <x v="1"/>
    <x v="4"/>
    <x v="30"/>
    <n v="39"/>
    <n v="248079"/>
    <n v="125580"/>
  </r>
  <r>
    <x v="7"/>
    <x v="0"/>
    <x v="7"/>
    <x v="1"/>
    <x v="4"/>
    <x v="30"/>
    <n v="33"/>
    <n v="239778"/>
    <n v="106260"/>
  </r>
  <r>
    <x v="8"/>
    <x v="0"/>
    <x v="8"/>
    <x v="1"/>
    <x v="4"/>
    <x v="30"/>
    <n v="35"/>
    <n v="261205"/>
    <n v="112700"/>
  </r>
  <r>
    <x v="9"/>
    <x v="0"/>
    <x v="9"/>
    <x v="1"/>
    <x v="4"/>
    <x v="30"/>
    <n v="29"/>
    <n v="235132"/>
    <n v="93380"/>
  </r>
  <r>
    <x v="10"/>
    <x v="0"/>
    <x v="10"/>
    <x v="1"/>
    <x v="4"/>
    <x v="30"/>
    <n v="21"/>
    <n v="159894"/>
    <n v="67620"/>
  </r>
  <r>
    <x v="11"/>
    <x v="0"/>
    <x v="11"/>
    <x v="1"/>
    <x v="4"/>
    <x v="30"/>
    <n v="25"/>
    <n v="204525"/>
    <n v="80500"/>
  </r>
  <r>
    <x v="12"/>
    <x v="1"/>
    <x v="12"/>
    <x v="1"/>
    <x v="4"/>
    <x v="30"/>
    <n v="36"/>
    <n v="292212"/>
    <n v="115920"/>
  </r>
  <r>
    <x v="13"/>
    <x v="1"/>
    <x v="13"/>
    <x v="1"/>
    <x v="4"/>
    <x v="30"/>
    <n v="23"/>
    <n v="208288"/>
    <n v="74060"/>
  </r>
  <r>
    <x v="14"/>
    <x v="1"/>
    <x v="14"/>
    <x v="1"/>
    <x v="4"/>
    <x v="30"/>
    <n v="18"/>
    <n v="146016"/>
    <n v="57960"/>
  </r>
  <r>
    <x v="15"/>
    <x v="1"/>
    <x v="15"/>
    <x v="1"/>
    <x v="4"/>
    <x v="30"/>
    <n v="34"/>
    <n v="296446"/>
    <n v="109480"/>
  </r>
  <r>
    <x v="16"/>
    <x v="1"/>
    <x v="16"/>
    <x v="1"/>
    <x v="4"/>
    <x v="30"/>
    <n v="42"/>
    <n v="399042"/>
    <n v="135240"/>
  </r>
  <r>
    <x v="17"/>
    <x v="1"/>
    <x v="17"/>
    <x v="1"/>
    <x v="4"/>
    <x v="30"/>
    <n v="40"/>
    <n v="321920"/>
    <n v="128800"/>
  </r>
  <r>
    <x v="18"/>
    <x v="1"/>
    <x v="18"/>
    <x v="1"/>
    <x v="4"/>
    <x v="30"/>
    <n v="42"/>
    <n v="297612"/>
    <n v="135240"/>
  </r>
  <r>
    <x v="19"/>
    <x v="1"/>
    <x v="19"/>
    <x v="1"/>
    <x v="4"/>
    <x v="30"/>
    <n v="36"/>
    <n v="273996"/>
    <n v="115920"/>
  </r>
  <r>
    <x v="20"/>
    <x v="1"/>
    <x v="20"/>
    <x v="1"/>
    <x v="4"/>
    <x v="30"/>
    <n v="38"/>
    <n v="292144"/>
    <n v="122360"/>
  </r>
  <r>
    <x v="21"/>
    <x v="1"/>
    <x v="21"/>
    <x v="1"/>
    <x v="4"/>
    <x v="30"/>
    <n v="31"/>
    <n v="265763"/>
    <n v="99820"/>
  </r>
  <r>
    <x v="22"/>
    <x v="1"/>
    <x v="22"/>
    <x v="1"/>
    <x v="4"/>
    <x v="30"/>
    <n v="23"/>
    <n v="191038"/>
    <n v="74060"/>
  </r>
  <r>
    <x v="23"/>
    <x v="1"/>
    <x v="23"/>
    <x v="1"/>
    <x v="4"/>
    <x v="30"/>
    <n v="27"/>
    <n v="206442"/>
    <n v="86940"/>
  </r>
  <r>
    <x v="0"/>
    <x v="0"/>
    <x v="0"/>
    <x v="1"/>
    <x v="4"/>
    <x v="31"/>
    <n v="40"/>
    <n v="304560"/>
    <n v="132600"/>
  </r>
  <r>
    <x v="1"/>
    <x v="0"/>
    <x v="1"/>
    <x v="1"/>
    <x v="4"/>
    <x v="31"/>
    <n v="25"/>
    <n v="202775"/>
    <n v="82875"/>
  </r>
  <r>
    <x v="2"/>
    <x v="0"/>
    <x v="2"/>
    <x v="1"/>
    <x v="4"/>
    <x v="31"/>
    <n v="20"/>
    <n v="135700"/>
    <n v="66300"/>
  </r>
  <r>
    <x v="3"/>
    <x v="0"/>
    <x v="3"/>
    <x v="1"/>
    <x v="4"/>
    <x v="31"/>
    <n v="38"/>
    <n v="304722"/>
    <n v="125970"/>
  </r>
  <r>
    <x v="4"/>
    <x v="0"/>
    <x v="4"/>
    <x v="1"/>
    <x v="4"/>
    <x v="31"/>
    <n v="48"/>
    <n v="428304"/>
    <n v="159120"/>
  </r>
  <r>
    <x v="5"/>
    <x v="0"/>
    <x v="5"/>
    <x v="1"/>
    <x v="4"/>
    <x v="31"/>
    <n v="45"/>
    <n v="347625"/>
    <n v="149175"/>
  </r>
  <r>
    <x v="6"/>
    <x v="0"/>
    <x v="6"/>
    <x v="1"/>
    <x v="4"/>
    <x v="31"/>
    <n v="48"/>
    <n v="314112"/>
    <n v="159120"/>
  </r>
  <r>
    <x v="7"/>
    <x v="0"/>
    <x v="7"/>
    <x v="1"/>
    <x v="4"/>
    <x v="31"/>
    <n v="40"/>
    <n v="274080"/>
    <n v="132600"/>
  </r>
  <r>
    <x v="8"/>
    <x v="0"/>
    <x v="8"/>
    <x v="1"/>
    <x v="4"/>
    <x v="31"/>
    <n v="43"/>
    <n v="301430"/>
    <n v="142545"/>
  </r>
  <r>
    <x v="9"/>
    <x v="0"/>
    <x v="9"/>
    <x v="1"/>
    <x v="4"/>
    <x v="31"/>
    <n v="35"/>
    <n v="274645"/>
    <n v="116025"/>
  </r>
  <r>
    <x v="10"/>
    <x v="0"/>
    <x v="10"/>
    <x v="1"/>
    <x v="4"/>
    <x v="31"/>
    <n v="25"/>
    <n v="195825"/>
    <n v="82875"/>
  </r>
  <r>
    <x v="11"/>
    <x v="0"/>
    <x v="11"/>
    <x v="1"/>
    <x v="4"/>
    <x v="31"/>
    <n v="30"/>
    <n v="211320"/>
    <n v="99450"/>
  </r>
  <r>
    <x v="12"/>
    <x v="1"/>
    <x v="12"/>
    <x v="1"/>
    <x v="4"/>
    <x v="31"/>
    <n v="44"/>
    <n v="326392"/>
    <n v="145860"/>
  </r>
  <r>
    <x v="13"/>
    <x v="1"/>
    <x v="13"/>
    <x v="1"/>
    <x v="4"/>
    <x v="31"/>
    <n v="28"/>
    <n v="215600"/>
    <n v="92820"/>
  </r>
  <r>
    <x v="14"/>
    <x v="1"/>
    <x v="14"/>
    <x v="1"/>
    <x v="4"/>
    <x v="31"/>
    <n v="22"/>
    <n v="167420"/>
    <n v="72930"/>
  </r>
  <r>
    <x v="15"/>
    <x v="1"/>
    <x v="15"/>
    <x v="1"/>
    <x v="4"/>
    <x v="31"/>
    <n v="42"/>
    <n v="371154"/>
    <n v="139230"/>
  </r>
  <r>
    <x v="16"/>
    <x v="1"/>
    <x v="16"/>
    <x v="1"/>
    <x v="4"/>
    <x v="31"/>
    <n v="53"/>
    <n v="438999"/>
    <n v="175695"/>
  </r>
  <r>
    <x v="17"/>
    <x v="1"/>
    <x v="17"/>
    <x v="1"/>
    <x v="4"/>
    <x v="31"/>
    <n v="50"/>
    <n v="392100"/>
    <n v="165750"/>
  </r>
  <r>
    <x v="18"/>
    <x v="1"/>
    <x v="18"/>
    <x v="1"/>
    <x v="4"/>
    <x v="31"/>
    <n v="53"/>
    <n v="341373"/>
    <n v="175695"/>
  </r>
  <r>
    <x v="19"/>
    <x v="1"/>
    <x v="19"/>
    <x v="1"/>
    <x v="4"/>
    <x v="31"/>
    <n v="44"/>
    <n v="301620"/>
    <n v="145860"/>
  </r>
  <r>
    <x v="20"/>
    <x v="1"/>
    <x v="20"/>
    <x v="1"/>
    <x v="4"/>
    <x v="31"/>
    <n v="47"/>
    <n v="327872"/>
    <n v="155805"/>
  </r>
  <r>
    <x v="21"/>
    <x v="1"/>
    <x v="21"/>
    <x v="1"/>
    <x v="4"/>
    <x v="31"/>
    <n v="39"/>
    <n v="295815"/>
    <n v="129285"/>
  </r>
  <r>
    <x v="22"/>
    <x v="1"/>
    <x v="22"/>
    <x v="1"/>
    <x v="4"/>
    <x v="31"/>
    <n v="28"/>
    <n v="205492"/>
    <n v="92820"/>
  </r>
  <r>
    <x v="23"/>
    <x v="1"/>
    <x v="23"/>
    <x v="1"/>
    <x v="4"/>
    <x v="31"/>
    <n v="33"/>
    <n v="252384"/>
    <n v="109395"/>
  </r>
  <r>
    <x v="0"/>
    <x v="0"/>
    <x v="0"/>
    <x v="1"/>
    <x v="4"/>
    <x v="32"/>
    <n v="44"/>
    <n v="495924"/>
    <n v="206800"/>
  </r>
  <r>
    <x v="1"/>
    <x v="0"/>
    <x v="1"/>
    <x v="1"/>
    <x v="4"/>
    <x v="32"/>
    <n v="28"/>
    <n v="333368"/>
    <n v="131600"/>
  </r>
  <r>
    <x v="2"/>
    <x v="0"/>
    <x v="2"/>
    <x v="1"/>
    <x v="4"/>
    <x v="32"/>
    <n v="22"/>
    <n v="241230"/>
    <n v="103400"/>
  </r>
  <r>
    <x v="3"/>
    <x v="0"/>
    <x v="3"/>
    <x v="1"/>
    <x v="4"/>
    <x v="32"/>
    <n v="42"/>
    <n v="475734"/>
    <n v="197400"/>
  </r>
  <r>
    <x v="4"/>
    <x v="0"/>
    <x v="4"/>
    <x v="1"/>
    <x v="4"/>
    <x v="32"/>
    <n v="53"/>
    <n v="599536"/>
    <n v="249100"/>
  </r>
  <r>
    <x v="5"/>
    <x v="0"/>
    <x v="5"/>
    <x v="1"/>
    <x v="4"/>
    <x v="32"/>
    <n v="50"/>
    <n v="556000"/>
    <n v="235000"/>
  </r>
  <r>
    <x v="6"/>
    <x v="0"/>
    <x v="6"/>
    <x v="1"/>
    <x v="4"/>
    <x v="32"/>
    <n v="53"/>
    <n v="539699"/>
    <n v="249100"/>
  </r>
  <r>
    <x v="7"/>
    <x v="0"/>
    <x v="7"/>
    <x v="1"/>
    <x v="4"/>
    <x v="32"/>
    <n v="44"/>
    <n v="466840"/>
    <n v="206800"/>
  </r>
  <r>
    <x v="8"/>
    <x v="0"/>
    <x v="8"/>
    <x v="1"/>
    <x v="4"/>
    <x v="32"/>
    <n v="47"/>
    <n v="508540"/>
    <n v="220900"/>
  </r>
  <r>
    <x v="9"/>
    <x v="0"/>
    <x v="9"/>
    <x v="1"/>
    <x v="4"/>
    <x v="32"/>
    <n v="39"/>
    <n v="462189"/>
    <n v="183300"/>
  </r>
  <r>
    <x v="10"/>
    <x v="0"/>
    <x v="10"/>
    <x v="1"/>
    <x v="4"/>
    <x v="32"/>
    <n v="28"/>
    <n v="324604"/>
    <n v="131600"/>
  </r>
  <r>
    <x v="11"/>
    <x v="0"/>
    <x v="11"/>
    <x v="1"/>
    <x v="4"/>
    <x v="32"/>
    <n v="33"/>
    <n v="372372"/>
    <n v="155100"/>
  </r>
  <r>
    <x v="12"/>
    <x v="1"/>
    <x v="12"/>
    <x v="1"/>
    <x v="4"/>
    <x v="32"/>
    <n v="49"/>
    <n v="577171"/>
    <n v="230300"/>
  </r>
  <r>
    <x v="13"/>
    <x v="1"/>
    <x v="13"/>
    <x v="1"/>
    <x v="4"/>
    <x v="32"/>
    <n v="31"/>
    <n v="366389"/>
    <n v="145700"/>
  </r>
  <r>
    <x v="14"/>
    <x v="1"/>
    <x v="14"/>
    <x v="1"/>
    <x v="4"/>
    <x v="32"/>
    <n v="25"/>
    <n v="274150"/>
    <n v="117500"/>
  </r>
  <r>
    <x v="15"/>
    <x v="1"/>
    <x v="15"/>
    <x v="1"/>
    <x v="4"/>
    <x v="32"/>
    <n v="46"/>
    <n v="545330"/>
    <n v="216200"/>
  </r>
  <r>
    <x v="16"/>
    <x v="1"/>
    <x v="16"/>
    <x v="1"/>
    <x v="4"/>
    <x v="32"/>
    <n v="58"/>
    <n v="721752"/>
    <n v="272600"/>
  </r>
  <r>
    <x v="17"/>
    <x v="1"/>
    <x v="17"/>
    <x v="1"/>
    <x v="4"/>
    <x v="32"/>
    <n v="55"/>
    <n v="597575"/>
    <n v="258500"/>
  </r>
  <r>
    <x v="18"/>
    <x v="1"/>
    <x v="18"/>
    <x v="1"/>
    <x v="4"/>
    <x v="32"/>
    <n v="58"/>
    <n v="561208"/>
    <n v="272600"/>
  </r>
  <r>
    <x v="19"/>
    <x v="1"/>
    <x v="19"/>
    <x v="1"/>
    <x v="4"/>
    <x v="32"/>
    <n v="49"/>
    <n v="519253"/>
    <n v="230300"/>
  </r>
  <r>
    <x v="20"/>
    <x v="1"/>
    <x v="20"/>
    <x v="1"/>
    <x v="4"/>
    <x v="32"/>
    <n v="52"/>
    <n v="534924"/>
    <n v="244400"/>
  </r>
  <r>
    <x v="21"/>
    <x v="1"/>
    <x v="21"/>
    <x v="1"/>
    <x v="4"/>
    <x v="32"/>
    <n v="43"/>
    <n v="515914"/>
    <n v="202100"/>
  </r>
  <r>
    <x v="22"/>
    <x v="1"/>
    <x v="22"/>
    <x v="1"/>
    <x v="4"/>
    <x v="32"/>
    <n v="31"/>
    <n v="343666"/>
    <n v="145700"/>
  </r>
  <r>
    <x v="23"/>
    <x v="1"/>
    <x v="23"/>
    <x v="1"/>
    <x v="4"/>
    <x v="32"/>
    <n v="37"/>
    <n v="405705"/>
    <n v="173900"/>
  </r>
  <r>
    <x v="0"/>
    <x v="0"/>
    <x v="0"/>
    <x v="1"/>
    <x v="4"/>
    <x v="33"/>
    <n v="47"/>
    <n v="490868"/>
    <n v="252343"/>
  </r>
  <r>
    <x v="1"/>
    <x v="0"/>
    <x v="1"/>
    <x v="1"/>
    <x v="4"/>
    <x v="33"/>
    <n v="29"/>
    <n v="295104"/>
    <n v="155701"/>
  </r>
  <r>
    <x v="2"/>
    <x v="0"/>
    <x v="2"/>
    <x v="1"/>
    <x v="4"/>
    <x v="33"/>
    <n v="24"/>
    <n v="237288"/>
    <n v="128856"/>
  </r>
  <r>
    <x v="3"/>
    <x v="0"/>
    <x v="3"/>
    <x v="1"/>
    <x v="4"/>
    <x v="33"/>
    <n v="44"/>
    <n v="488136"/>
    <n v="236236"/>
  </r>
  <r>
    <x v="4"/>
    <x v="0"/>
    <x v="4"/>
    <x v="1"/>
    <x v="4"/>
    <x v="33"/>
    <n v="55"/>
    <n v="619300"/>
    <n v="295295"/>
  </r>
  <r>
    <x v="5"/>
    <x v="0"/>
    <x v="5"/>
    <x v="1"/>
    <x v="4"/>
    <x v="33"/>
    <n v="53"/>
    <n v="558408"/>
    <n v="284557"/>
  </r>
  <r>
    <x v="6"/>
    <x v="0"/>
    <x v="6"/>
    <x v="1"/>
    <x v="4"/>
    <x v="33"/>
    <n v="55"/>
    <n v="456830"/>
    <n v="295295"/>
  </r>
  <r>
    <x v="7"/>
    <x v="0"/>
    <x v="7"/>
    <x v="1"/>
    <x v="4"/>
    <x v="33"/>
    <n v="47"/>
    <n v="448850"/>
    <n v="252343"/>
  </r>
  <r>
    <x v="8"/>
    <x v="0"/>
    <x v="8"/>
    <x v="1"/>
    <x v="4"/>
    <x v="33"/>
    <n v="50"/>
    <n v="476900"/>
    <n v="268450"/>
  </r>
  <r>
    <x v="9"/>
    <x v="0"/>
    <x v="9"/>
    <x v="1"/>
    <x v="4"/>
    <x v="33"/>
    <n v="41"/>
    <n v="432468"/>
    <n v="220129"/>
  </r>
  <r>
    <x v="10"/>
    <x v="0"/>
    <x v="10"/>
    <x v="1"/>
    <x v="4"/>
    <x v="33"/>
    <n v="29"/>
    <n v="305573"/>
    <n v="155701"/>
  </r>
  <r>
    <x v="11"/>
    <x v="0"/>
    <x v="11"/>
    <x v="1"/>
    <x v="4"/>
    <x v="33"/>
    <n v="35"/>
    <n v="338345"/>
    <n v="187915"/>
  </r>
  <r>
    <x v="12"/>
    <x v="1"/>
    <x v="12"/>
    <x v="1"/>
    <x v="4"/>
    <x v="33"/>
    <n v="51"/>
    <n v="540651"/>
    <n v="273819"/>
  </r>
  <r>
    <x v="13"/>
    <x v="1"/>
    <x v="13"/>
    <x v="1"/>
    <x v="4"/>
    <x v="33"/>
    <n v="32"/>
    <n v="321536"/>
    <n v="171808"/>
  </r>
  <r>
    <x v="14"/>
    <x v="1"/>
    <x v="14"/>
    <x v="1"/>
    <x v="4"/>
    <x v="33"/>
    <n v="26"/>
    <n v="259142"/>
    <n v="139594"/>
  </r>
  <r>
    <x v="15"/>
    <x v="1"/>
    <x v="15"/>
    <x v="1"/>
    <x v="4"/>
    <x v="33"/>
    <n v="48"/>
    <n v="537696"/>
    <n v="257712"/>
  </r>
  <r>
    <x v="16"/>
    <x v="1"/>
    <x v="16"/>
    <x v="1"/>
    <x v="4"/>
    <x v="33"/>
    <n v="61"/>
    <n v="682529"/>
    <n v="327509"/>
  </r>
  <r>
    <x v="17"/>
    <x v="1"/>
    <x v="17"/>
    <x v="1"/>
    <x v="4"/>
    <x v="33"/>
    <n v="58"/>
    <n v="597458"/>
    <n v="311402"/>
  </r>
  <r>
    <x v="18"/>
    <x v="1"/>
    <x v="18"/>
    <x v="1"/>
    <x v="4"/>
    <x v="33"/>
    <n v="61"/>
    <n v="535885"/>
    <n v="327509"/>
  </r>
  <r>
    <x v="19"/>
    <x v="1"/>
    <x v="19"/>
    <x v="1"/>
    <x v="4"/>
    <x v="33"/>
    <n v="51"/>
    <n v="504747"/>
    <n v="273819"/>
  </r>
  <r>
    <x v="20"/>
    <x v="1"/>
    <x v="20"/>
    <x v="1"/>
    <x v="4"/>
    <x v="33"/>
    <n v="55"/>
    <n v="564190"/>
    <n v="295295"/>
  </r>
  <r>
    <x v="21"/>
    <x v="1"/>
    <x v="21"/>
    <x v="1"/>
    <x v="4"/>
    <x v="33"/>
    <n v="45"/>
    <n v="490950"/>
    <n v="241605"/>
  </r>
  <r>
    <x v="22"/>
    <x v="1"/>
    <x v="22"/>
    <x v="1"/>
    <x v="4"/>
    <x v="33"/>
    <n v="32"/>
    <n v="323264"/>
    <n v="171808"/>
  </r>
  <r>
    <x v="23"/>
    <x v="1"/>
    <x v="23"/>
    <x v="1"/>
    <x v="4"/>
    <x v="33"/>
    <n v="39"/>
    <n v="404040"/>
    <n v="209391"/>
  </r>
  <r>
    <x v="0"/>
    <x v="0"/>
    <x v="0"/>
    <x v="1"/>
    <x v="4"/>
    <x v="34"/>
    <n v="33"/>
    <n v="394944"/>
    <n v="181500"/>
  </r>
  <r>
    <x v="1"/>
    <x v="0"/>
    <x v="1"/>
    <x v="1"/>
    <x v="4"/>
    <x v="34"/>
    <n v="21"/>
    <n v="259245"/>
    <n v="115500"/>
  </r>
  <r>
    <x v="2"/>
    <x v="0"/>
    <x v="2"/>
    <x v="1"/>
    <x v="4"/>
    <x v="34"/>
    <n v="17"/>
    <n v="192950"/>
    <n v="93500"/>
  </r>
  <r>
    <x v="3"/>
    <x v="0"/>
    <x v="3"/>
    <x v="1"/>
    <x v="4"/>
    <x v="34"/>
    <n v="31"/>
    <n v="387252"/>
    <n v="170500"/>
  </r>
  <r>
    <x v="4"/>
    <x v="0"/>
    <x v="4"/>
    <x v="1"/>
    <x v="4"/>
    <x v="34"/>
    <n v="40"/>
    <n v="529280"/>
    <n v="220000"/>
  </r>
  <r>
    <x v="5"/>
    <x v="0"/>
    <x v="5"/>
    <x v="1"/>
    <x v="4"/>
    <x v="34"/>
    <n v="38"/>
    <n v="467172"/>
    <n v="209000"/>
  </r>
  <r>
    <x v="6"/>
    <x v="0"/>
    <x v="6"/>
    <x v="1"/>
    <x v="4"/>
    <x v="34"/>
    <n v="40"/>
    <n v="421520"/>
    <n v="220000"/>
  </r>
  <r>
    <x v="7"/>
    <x v="0"/>
    <x v="7"/>
    <x v="1"/>
    <x v="4"/>
    <x v="34"/>
    <n v="33"/>
    <n v="396363"/>
    <n v="181500"/>
  </r>
  <r>
    <x v="8"/>
    <x v="0"/>
    <x v="8"/>
    <x v="1"/>
    <x v="4"/>
    <x v="34"/>
    <n v="35"/>
    <n v="396130"/>
    <n v="192500"/>
  </r>
  <r>
    <x v="9"/>
    <x v="0"/>
    <x v="9"/>
    <x v="1"/>
    <x v="4"/>
    <x v="34"/>
    <n v="29"/>
    <n v="364762"/>
    <n v="159500"/>
  </r>
  <r>
    <x v="10"/>
    <x v="0"/>
    <x v="10"/>
    <x v="1"/>
    <x v="4"/>
    <x v="34"/>
    <n v="21"/>
    <n v="258384"/>
    <n v="115500"/>
  </r>
  <r>
    <x v="11"/>
    <x v="0"/>
    <x v="11"/>
    <x v="1"/>
    <x v="4"/>
    <x v="34"/>
    <n v="25"/>
    <n v="305450"/>
    <n v="137500"/>
  </r>
  <r>
    <x v="12"/>
    <x v="1"/>
    <x v="12"/>
    <x v="1"/>
    <x v="4"/>
    <x v="34"/>
    <n v="37"/>
    <n v="449920"/>
    <n v="203500"/>
  </r>
  <r>
    <x v="13"/>
    <x v="1"/>
    <x v="13"/>
    <x v="1"/>
    <x v="4"/>
    <x v="34"/>
    <n v="23"/>
    <n v="276920"/>
    <n v="126500"/>
  </r>
  <r>
    <x v="14"/>
    <x v="1"/>
    <x v="14"/>
    <x v="1"/>
    <x v="4"/>
    <x v="34"/>
    <n v="19"/>
    <n v="233358"/>
    <n v="104500"/>
  </r>
  <r>
    <x v="15"/>
    <x v="1"/>
    <x v="15"/>
    <x v="1"/>
    <x v="4"/>
    <x v="34"/>
    <n v="34"/>
    <n v="431222"/>
    <n v="187000"/>
  </r>
  <r>
    <x v="16"/>
    <x v="1"/>
    <x v="16"/>
    <x v="1"/>
    <x v="4"/>
    <x v="34"/>
    <n v="44"/>
    <n v="555676"/>
    <n v="242000"/>
  </r>
  <r>
    <x v="17"/>
    <x v="1"/>
    <x v="17"/>
    <x v="1"/>
    <x v="4"/>
    <x v="34"/>
    <n v="41"/>
    <n v="525415"/>
    <n v="225500"/>
  </r>
  <r>
    <x v="18"/>
    <x v="1"/>
    <x v="18"/>
    <x v="1"/>
    <x v="4"/>
    <x v="34"/>
    <n v="44"/>
    <n v="467324"/>
    <n v="242000"/>
  </r>
  <r>
    <x v="19"/>
    <x v="1"/>
    <x v="19"/>
    <x v="1"/>
    <x v="4"/>
    <x v="34"/>
    <n v="37"/>
    <n v="445369"/>
    <n v="203500"/>
  </r>
  <r>
    <x v="20"/>
    <x v="1"/>
    <x v="20"/>
    <x v="1"/>
    <x v="4"/>
    <x v="34"/>
    <n v="39"/>
    <n v="440427"/>
    <n v="214500"/>
  </r>
  <r>
    <x v="21"/>
    <x v="1"/>
    <x v="21"/>
    <x v="1"/>
    <x v="4"/>
    <x v="34"/>
    <n v="32"/>
    <n v="387584"/>
    <n v="176000"/>
  </r>
  <r>
    <x v="22"/>
    <x v="1"/>
    <x v="22"/>
    <x v="1"/>
    <x v="4"/>
    <x v="34"/>
    <n v="23"/>
    <n v="287799"/>
    <n v="126500"/>
  </r>
  <r>
    <x v="23"/>
    <x v="1"/>
    <x v="23"/>
    <x v="1"/>
    <x v="4"/>
    <x v="34"/>
    <n v="28"/>
    <n v="342104"/>
    <n v="154000"/>
  </r>
  <r>
    <x v="0"/>
    <x v="0"/>
    <x v="0"/>
    <x v="1"/>
    <x v="5"/>
    <x v="35"/>
    <n v="11"/>
    <n v="41712"/>
    <n v="16632"/>
  </r>
  <r>
    <x v="1"/>
    <x v="0"/>
    <x v="1"/>
    <x v="1"/>
    <x v="5"/>
    <x v="35"/>
    <n v="7"/>
    <n v="32396"/>
    <n v="10584"/>
  </r>
  <r>
    <x v="2"/>
    <x v="0"/>
    <x v="2"/>
    <x v="1"/>
    <x v="5"/>
    <x v="35"/>
    <n v="6"/>
    <n v="18414"/>
    <n v="9072"/>
  </r>
  <r>
    <x v="3"/>
    <x v="0"/>
    <x v="3"/>
    <x v="1"/>
    <x v="5"/>
    <x v="35"/>
    <n v="10"/>
    <n v="40850"/>
    <n v="15120"/>
  </r>
  <r>
    <x v="4"/>
    <x v="0"/>
    <x v="4"/>
    <x v="1"/>
    <x v="5"/>
    <x v="35"/>
    <n v="12"/>
    <n v="64932"/>
    <n v="18144"/>
  </r>
  <r>
    <x v="5"/>
    <x v="0"/>
    <x v="5"/>
    <x v="1"/>
    <x v="5"/>
    <x v="35"/>
    <n v="12"/>
    <n v="44340"/>
    <n v="18144"/>
  </r>
  <r>
    <x v="6"/>
    <x v="0"/>
    <x v="6"/>
    <x v="1"/>
    <x v="5"/>
    <x v="35"/>
    <n v="12"/>
    <n v="33552"/>
    <n v="18144"/>
  </r>
  <r>
    <x v="7"/>
    <x v="0"/>
    <x v="7"/>
    <x v="1"/>
    <x v="5"/>
    <x v="35"/>
    <n v="11"/>
    <n v="43153"/>
    <n v="16632"/>
  </r>
  <r>
    <x v="8"/>
    <x v="0"/>
    <x v="8"/>
    <x v="1"/>
    <x v="5"/>
    <x v="35"/>
    <n v="11"/>
    <n v="44858"/>
    <n v="16632"/>
  </r>
  <r>
    <x v="9"/>
    <x v="0"/>
    <x v="9"/>
    <x v="1"/>
    <x v="5"/>
    <x v="35"/>
    <n v="9"/>
    <n v="33714"/>
    <n v="13608"/>
  </r>
  <r>
    <x v="10"/>
    <x v="0"/>
    <x v="10"/>
    <x v="1"/>
    <x v="5"/>
    <x v="35"/>
    <n v="7"/>
    <n v="28658"/>
    <n v="10584"/>
  </r>
  <r>
    <x v="11"/>
    <x v="0"/>
    <x v="11"/>
    <x v="1"/>
    <x v="5"/>
    <x v="35"/>
    <n v="8"/>
    <n v="33128"/>
    <n v="12096"/>
  </r>
  <r>
    <x v="12"/>
    <x v="1"/>
    <x v="12"/>
    <x v="1"/>
    <x v="5"/>
    <x v="35"/>
    <n v="12"/>
    <n v="51960"/>
    <n v="18144"/>
  </r>
  <r>
    <x v="13"/>
    <x v="1"/>
    <x v="13"/>
    <x v="1"/>
    <x v="5"/>
    <x v="35"/>
    <n v="7"/>
    <n v="30744"/>
    <n v="10584"/>
  </r>
  <r>
    <x v="14"/>
    <x v="1"/>
    <x v="14"/>
    <x v="1"/>
    <x v="5"/>
    <x v="35"/>
    <n v="6"/>
    <n v="19380"/>
    <n v="9072"/>
  </r>
  <r>
    <x v="15"/>
    <x v="1"/>
    <x v="15"/>
    <x v="1"/>
    <x v="5"/>
    <x v="35"/>
    <n v="11"/>
    <n v="54692"/>
    <n v="16632"/>
  </r>
  <r>
    <x v="16"/>
    <x v="1"/>
    <x v="16"/>
    <x v="1"/>
    <x v="5"/>
    <x v="35"/>
    <n v="14"/>
    <n v="67172"/>
    <n v="21168"/>
  </r>
  <r>
    <x v="17"/>
    <x v="1"/>
    <x v="17"/>
    <x v="1"/>
    <x v="5"/>
    <x v="35"/>
    <n v="13"/>
    <n v="57434"/>
    <n v="19656"/>
  </r>
  <r>
    <x v="18"/>
    <x v="1"/>
    <x v="18"/>
    <x v="1"/>
    <x v="5"/>
    <x v="35"/>
    <n v="14"/>
    <n v="43344"/>
    <n v="21168"/>
  </r>
  <r>
    <x v="19"/>
    <x v="1"/>
    <x v="19"/>
    <x v="1"/>
    <x v="5"/>
    <x v="35"/>
    <n v="12"/>
    <n v="48996"/>
    <n v="18144"/>
  </r>
  <r>
    <x v="20"/>
    <x v="1"/>
    <x v="20"/>
    <x v="1"/>
    <x v="5"/>
    <x v="35"/>
    <n v="12"/>
    <n v="47016"/>
    <n v="18144"/>
  </r>
  <r>
    <x v="21"/>
    <x v="1"/>
    <x v="21"/>
    <x v="1"/>
    <x v="5"/>
    <x v="35"/>
    <n v="10"/>
    <n v="39650"/>
    <n v="15120"/>
  </r>
  <r>
    <x v="22"/>
    <x v="1"/>
    <x v="22"/>
    <x v="1"/>
    <x v="5"/>
    <x v="35"/>
    <n v="7"/>
    <n v="25837"/>
    <n v="10584"/>
  </r>
  <r>
    <x v="23"/>
    <x v="1"/>
    <x v="23"/>
    <x v="1"/>
    <x v="5"/>
    <x v="35"/>
    <n v="9"/>
    <n v="28179"/>
    <n v="13608"/>
  </r>
  <r>
    <x v="0"/>
    <x v="0"/>
    <x v="0"/>
    <x v="1"/>
    <x v="5"/>
    <x v="36"/>
    <n v="13"/>
    <n v="45669"/>
    <n v="10166"/>
  </r>
  <r>
    <x v="1"/>
    <x v="0"/>
    <x v="1"/>
    <x v="1"/>
    <x v="5"/>
    <x v="36"/>
    <n v="8"/>
    <n v="24440"/>
    <n v="6256"/>
  </r>
  <r>
    <x v="2"/>
    <x v="0"/>
    <x v="2"/>
    <x v="1"/>
    <x v="5"/>
    <x v="36"/>
    <n v="7"/>
    <n v="18886"/>
    <n v="5474"/>
  </r>
  <r>
    <x v="3"/>
    <x v="0"/>
    <x v="3"/>
    <x v="1"/>
    <x v="5"/>
    <x v="36"/>
    <n v="12"/>
    <n v="43836"/>
    <n v="9384"/>
  </r>
  <r>
    <x v="4"/>
    <x v="0"/>
    <x v="4"/>
    <x v="1"/>
    <x v="5"/>
    <x v="36"/>
    <n v="15"/>
    <n v="52065"/>
    <n v="11730"/>
  </r>
  <r>
    <x v="5"/>
    <x v="0"/>
    <x v="5"/>
    <x v="1"/>
    <x v="5"/>
    <x v="36"/>
    <n v="14"/>
    <n v="43722"/>
    <n v="10948"/>
  </r>
  <r>
    <x v="6"/>
    <x v="0"/>
    <x v="6"/>
    <x v="1"/>
    <x v="5"/>
    <x v="36"/>
    <n v="15"/>
    <n v="26235"/>
    <n v="11730"/>
  </r>
  <r>
    <x v="7"/>
    <x v="0"/>
    <x v="7"/>
    <x v="1"/>
    <x v="5"/>
    <x v="36"/>
    <n v="13"/>
    <n v="31044"/>
    <n v="10166"/>
  </r>
  <r>
    <x v="8"/>
    <x v="0"/>
    <x v="8"/>
    <x v="1"/>
    <x v="5"/>
    <x v="36"/>
    <n v="14"/>
    <n v="31584"/>
    <n v="10948"/>
  </r>
  <r>
    <x v="9"/>
    <x v="0"/>
    <x v="9"/>
    <x v="1"/>
    <x v="5"/>
    <x v="36"/>
    <n v="11"/>
    <n v="30250"/>
    <n v="8602"/>
  </r>
  <r>
    <x v="10"/>
    <x v="0"/>
    <x v="10"/>
    <x v="1"/>
    <x v="5"/>
    <x v="36"/>
    <n v="8"/>
    <n v="26920"/>
    <n v="6256"/>
  </r>
  <r>
    <x v="11"/>
    <x v="0"/>
    <x v="11"/>
    <x v="1"/>
    <x v="5"/>
    <x v="36"/>
    <n v="10"/>
    <n v="21790"/>
    <n v="7820"/>
  </r>
  <r>
    <x v="12"/>
    <x v="1"/>
    <x v="12"/>
    <x v="1"/>
    <x v="5"/>
    <x v="36"/>
    <n v="14"/>
    <n v="36820"/>
    <n v="10948"/>
  </r>
  <r>
    <x v="13"/>
    <x v="1"/>
    <x v="13"/>
    <x v="1"/>
    <x v="5"/>
    <x v="36"/>
    <n v="9"/>
    <n v="26370"/>
    <n v="7038"/>
  </r>
  <r>
    <x v="14"/>
    <x v="1"/>
    <x v="14"/>
    <x v="1"/>
    <x v="5"/>
    <x v="36"/>
    <n v="7"/>
    <n v="13965"/>
    <n v="5474"/>
  </r>
  <r>
    <x v="15"/>
    <x v="1"/>
    <x v="15"/>
    <x v="1"/>
    <x v="5"/>
    <x v="36"/>
    <n v="13"/>
    <n v="41210"/>
    <n v="10166"/>
  </r>
  <r>
    <x v="16"/>
    <x v="1"/>
    <x v="16"/>
    <x v="1"/>
    <x v="5"/>
    <x v="36"/>
    <n v="17"/>
    <n v="54978"/>
    <n v="13294"/>
  </r>
  <r>
    <x v="17"/>
    <x v="1"/>
    <x v="17"/>
    <x v="1"/>
    <x v="5"/>
    <x v="36"/>
    <n v="16"/>
    <n v="48448"/>
    <n v="12512"/>
  </r>
  <r>
    <x v="18"/>
    <x v="1"/>
    <x v="18"/>
    <x v="1"/>
    <x v="5"/>
    <x v="36"/>
    <n v="17"/>
    <n v="19176"/>
    <n v="13294"/>
  </r>
  <r>
    <x v="19"/>
    <x v="1"/>
    <x v="19"/>
    <x v="1"/>
    <x v="5"/>
    <x v="36"/>
    <n v="14"/>
    <n v="36274"/>
    <n v="10948"/>
  </r>
  <r>
    <x v="20"/>
    <x v="1"/>
    <x v="20"/>
    <x v="1"/>
    <x v="5"/>
    <x v="36"/>
    <n v="15"/>
    <n v="27825"/>
    <n v="11730"/>
  </r>
  <r>
    <x v="21"/>
    <x v="1"/>
    <x v="21"/>
    <x v="1"/>
    <x v="5"/>
    <x v="36"/>
    <n v="12"/>
    <n v="34956"/>
    <n v="9384"/>
  </r>
  <r>
    <x v="22"/>
    <x v="1"/>
    <x v="22"/>
    <x v="1"/>
    <x v="5"/>
    <x v="36"/>
    <n v="9"/>
    <n v="27909"/>
    <n v="7038"/>
  </r>
  <r>
    <x v="23"/>
    <x v="1"/>
    <x v="23"/>
    <x v="1"/>
    <x v="5"/>
    <x v="36"/>
    <n v="11"/>
    <n v="27995"/>
    <n v="8602"/>
  </r>
  <r>
    <x v="0"/>
    <x v="0"/>
    <x v="0"/>
    <x v="1"/>
    <x v="5"/>
    <x v="37"/>
    <n v="12"/>
    <n v="55632"/>
    <n v="21000"/>
  </r>
  <r>
    <x v="1"/>
    <x v="0"/>
    <x v="1"/>
    <x v="1"/>
    <x v="5"/>
    <x v="37"/>
    <n v="7"/>
    <n v="33894"/>
    <n v="12250"/>
  </r>
  <r>
    <x v="2"/>
    <x v="0"/>
    <x v="2"/>
    <x v="1"/>
    <x v="5"/>
    <x v="37"/>
    <n v="6"/>
    <n v="26916"/>
    <n v="10500"/>
  </r>
  <r>
    <x v="3"/>
    <x v="0"/>
    <x v="3"/>
    <x v="1"/>
    <x v="5"/>
    <x v="37"/>
    <n v="11"/>
    <n v="54417"/>
    <n v="19250"/>
  </r>
  <r>
    <x v="4"/>
    <x v="0"/>
    <x v="4"/>
    <x v="1"/>
    <x v="5"/>
    <x v="37"/>
    <n v="14"/>
    <n v="81452"/>
    <n v="24500"/>
  </r>
  <r>
    <x v="5"/>
    <x v="0"/>
    <x v="5"/>
    <x v="1"/>
    <x v="5"/>
    <x v="37"/>
    <n v="13"/>
    <n v="69576"/>
    <n v="22750"/>
  </r>
  <r>
    <x v="6"/>
    <x v="0"/>
    <x v="6"/>
    <x v="1"/>
    <x v="5"/>
    <x v="37"/>
    <n v="14"/>
    <n v="41608"/>
    <n v="24500"/>
  </r>
  <r>
    <x v="7"/>
    <x v="0"/>
    <x v="7"/>
    <x v="1"/>
    <x v="5"/>
    <x v="37"/>
    <n v="12"/>
    <n v="52944"/>
    <n v="21000"/>
  </r>
  <r>
    <x v="8"/>
    <x v="0"/>
    <x v="8"/>
    <x v="1"/>
    <x v="5"/>
    <x v="37"/>
    <n v="12"/>
    <n v="55596"/>
    <n v="21000"/>
  </r>
  <r>
    <x v="9"/>
    <x v="0"/>
    <x v="9"/>
    <x v="1"/>
    <x v="5"/>
    <x v="37"/>
    <n v="10"/>
    <n v="50380"/>
    <n v="17500"/>
  </r>
  <r>
    <x v="10"/>
    <x v="0"/>
    <x v="10"/>
    <x v="1"/>
    <x v="5"/>
    <x v="37"/>
    <n v="7"/>
    <n v="29862"/>
    <n v="12250"/>
  </r>
  <r>
    <x v="11"/>
    <x v="0"/>
    <x v="11"/>
    <x v="1"/>
    <x v="5"/>
    <x v="37"/>
    <n v="9"/>
    <n v="41796"/>
    <n v="15750"/>
  </r>
  <r>
    <x v="12"/>
    <x v="1"/>
    <x v="12"/>
    <x v="1"/>
    <x v="5"/>
    <x v="37"/>
    <n v="13"/>
    <n v="69706"/>
    <n v="22750"/>
  </r>
  <r>
    <x v="13"/>
    <x v="1"/>
    <x v="13"/>
    <x v="1"/>
    <x v="5"/>
    <x v="37"/>
    <n v="8"/>
    <n v="37264"/>
    <n v="14000"/>
  </r>
  <r>
    <x v="14"/>
    <x v="1"/>
    <x v="14"/>
    <x v="1"/>
    <x v="5"/>
    <x v="37"/>
    <n v="7"/>
    <n v="29771"/>
    <n v="12250"/>
  </r>
  <r>
    <x v="15"/>
    <x v="1"/>
    <x v="15"/>
    <x v="1"/>
    <x v="5"/>
    <x v="37"/>
    <n v="12"/>
    <n v="66492"/>
    <n v="21000"/>
  </r>
  <r>
    <x v="16"/>
    <x v="1"/>
    <x v="16"/>
    <x v="1"/>
    <x v="5"/>
    <x v="37"/>
    <n v="15"/>
    <n v="80865"/>
    <n v="26250"/>
  </r>
  <r>
    <x v="17"/>
    <x v="1"/>
    <x v="17"/>
    <x v="1"/>
    <x v="5"/>
    <x v="37"/>
    <n v="14"/>
    <n v="71820"/>
    <n v="24500"/>
  </r>
  <r>
    <x v="18"/>
    <x v="1"/>
    <x v="18"/>
    <x v="1"/>
    <x v="5"/>
    <x v="37"/>
    <n v="15"/>
    <n v="51390"/>
    <n v="26250"/>
  </r>
  <r>
    <x v="19"/>
    <x v="1"/>
    <x v="19"/>
    <x v="1"/>
    <x v="5"/>
    <x v="37"/>
    <n v="13"/>
    <n v="47333"/>
    <n v="22750"/>
  </r>
  <r>
    <x v="20"/>
    <x v="1"/>
    <x v="20"/>
    <x v="1"/>
    <x v="5"/>
    <x v="37"/>
    <n v="14"/>
    <n v="54110"/>
    <n v="24500"/>
  </r>
  <r>
    <x v="21"/>
    <x v="1"/>
    <x v="21"/>
    <x v="1"/>
    <x v="5"/>
    <x v="37"/>
    <n v="11"/>
    <n v="54043"/>
    <n v="19250"/>
  </r>
  <r>
    <x v="22"/>
    <x v="1"/>
    <x v="22"/>
    <x v="1"/>
    <x v="5"/>
    <x v="37"/>
    <n v="8"/>
    <n v="37856"/>
    <n v="14000"/>
  </r>
  <r>
    <x v="23"/>
    <x v="1"/>
    <x v="23"/>
    <x v="1"/>
    <x v="5"/>
    <x v="37"/>
    <n v="10"/>
    <n v="46610"/>
    <n v="17500"/>
  </r>
  <r>
    <x v="0"/>
    <x v="0"/>
    <x v="0"/>
    <x v="1"/>
    <x v="5"/>
    <x v="38"/>
    <n v="11"/>
    <n v="51788"/>
    <n v="27720"/>
  </r>
  <r>
    <x v="1"/>
    <x v="0"/>
    <x v="1"/>
    <x v="1"/>
    <x v="5"/>
    <x v="38"/>
    <n v="7"/>
    <n v="40320"/>
    <n v="17640"/>
  </r>
  <r>
    <x v="2"/>
    <x v="0"/>
    <x v="2"/>
    <x v="1"/>
    <x v="5"/>
    <x v="38"/>
    <n v="6"/>
    <n v="29424"/>
    <n v="15120"/>
  </r>
  <r>
    <x v="3"/>
    <x v="0"/>
    <x v="3"/>
    <x v="1"/>
    <x v="5"/>
    <x v="38"/>
    <n v="10"/>
    <n v="57620"/>
    <n v="25200"/>
  </r>
  <r>
    <x v="4"/>
    <x v="0"/>
    <x v="4"/>
    <x v="1"/>
    <x v="5"/>
    <x v="38"/>
    <n v="12"/>
    <n v="70560"/>
    <n v="30240"/>
  </r>
  <r>
    <x v="5"/>
    <x v="0"/>
    <x v="5"/>
    <x v="1"/>
    <x v="5"/>
    <x v="38"/>
    <n v="12"/>
    <n v="62484"/>
    <n v="30240"/>
  </r>
  <r>
    <x v="6"/>
    <x v="0"/>
    <x v="6"/>
    <x v="1"/>
    <x v="5"/>
    <x v="38"/>
    <n v="12"/>
    <n v="41892"/>
    <n v="30240"/>
  </r>
  <r>
    <x v="7"/>
    <x v="0"/>
    <x v="7"/>
    <x v="1"/>
    <x v="5"/>
    <x v="38"/>
    <n v="11"/>
    <n v="49291"/>
    <n v="27720"/>
  </r>
  <r>
    <x v="8"/>
    <x v="0"/>
    <x v="8"/>
    <x v="1"/>
    <x v="5"/>
    <x v="38"/>
    <n v="11"/>
    <n v="52844"/>
    <n v="27720"/>
  </r>
  <r>
    <x v="9"/>
    <x v="0"/>
    <x v="9"/>
    <x v="1"/>
    <x v="5"/>
    <x v="38"/>
    <n v="9"/>
    <n v="54315"/>
    <n v="22680"/>
  </r>
  <r>
    <x v="10"/>
    <x v="0"/>
    <x v="10"/>
    <x v="1"/>
    <x v="5"/>
    <x v="38"/>
    <n v="7"/>
    <n v="40306"/>
    <n v="17640"/>
  </r>
  <r>
    <x v="11"/>
    <x v="0"/>
    <x v="11"/>
    <x v="1"/>
    <x v="5"/>
    <x v="38"/>
    <n v="8"/>
    <n v="34776"/>
    <n v="20160"/>
  </r>
  <r>
    <x v="12"/>
    <x v="1"/>
    <x v="12"/>
    <x v="1"/>
    <x v="5"/>
    <x v="38"/>
    <n v="12"/>
    <n v="62052"/>
    <n v="30240"/>
  </r>
  <r>
    <x v="13"/>
    <x v="1"/>
    <x v="13"/>
    <x v="1"/>
    <x v="5"/>
    <x v="38"/>
    <n v="7"/>
    <n v="39585"/>
    <n v="17640"/>
  </r>
  <r>
    <x v="14"/>
    <x v="1"/>
    <x v="14"/>
    <x v="1"/>
    <x v="5"/>
    <x v="38"/>
    <n v="6"/>
    <n v="27732"/>
    <n v="15120"/>
  </r>
  <r>
    <x v="15"/>
    <x v="1"/>
    <x v="15"/>
    <x v="1"/>
    <x v="5"/>
    <x v="38"/>
    <n v="11"/>
    <n v="70345"/>
    <n v="27720"/>
  </r>
  <r>
    <x v="16"/>
    <x v="1"/>
    <x v="16"/>
    <x v="1"/>
    <x v="5"/>
    <x v="38"/>
    <n v="14"/>
    <n v="85946"/>
    <n v="35280"/>
  </r>
  <r>
    <x v="17"/>
    <x v="1"/>
    <x v="17"/>
    <x v="1"/>
    <x v="5"/>
    <x v="38"/>
    <n v="13"/>
    <n v="67951"/>
    <n v="32760"/>
  </r>
  <r>
    <x v="18"/>
    <x v="1"/>
    <x v="18"/>
    <x v="1"/>
    <x v="5"/>
    <x v="38"/>
    <n v="14"/>
    <n v="52332"/>
    <n v="35280"/>
  </r>
  <r>
    <x v="19"/>
    <x v="1"/>
    <x v="19"/>
    <x v="1"/>
    <x v="5"/>
    <x v="38"/>
    <n v="12"/>
    <n v="54888"/>
    <n v="30240"/>
  </r>
  <r>
    <x v="20"/>
    <x v="1"/>
    <x v="20"/>
    <x v="1"/>
    <x v="5"/>
    <x v="38"/>
    <n v="12"/>
    <n v="63612"/>
    <n v="30240"/>
  </r>
  <r>
    <x v="21"/>
    <x v="1"/>
    <x v="21"/>
    <x v="1"/>
    <x v="5"/>
    <x v="38"/>
    <n v="10"/>
    <n v="56150"/>
    <n v="25200"/>
  </r>
  <r>
    <x v="22"/>
    <x v="1"/>
    <x v="22"/>
    <x v="1"/>
    <x v="5"/>
    <x v="38"/>
    <n v="7"/>
    <n v="37968"/>
    <n v="17640"/>
  </r>
  <r>
    <x v="23"/>
    <x v="1"/>
    <x v="23"/>
    <x v="1"/>
    <x v="5"/>
    <x v="38"/>
    <n v="9"/>
    <n v="38565"/>
    <n v="22680"/>
  </r>
  <r>
    <x v="0"/>
    <x v="0"/>
    <x v="0"/>
    <x v="1"/>
    <x v="5"/>
    <x v="39"/>
    <n v="13"/>
    <n v="42419"/>
    <n v="12012"/>
  </r>
  <r>
    <x v="1"/>
    <x v="0"/>
    <x v="1"/>
    <x v="1"/>
    <x v="5"/>
    <x v="39"/>
    <n v="9"/>
    <n v="30969"/>
    <n v="8316"/>
  </r>
  <r>
    <x v="2"/>
    <x v="0"/>
    <x v="2"/>
    <x v="1"/>
    <x v="5"/>
    <x v="39"/>
    <n v="7"/>
    <n v="20748"/>
    <n v="6468"/>
  </r>
  <r>
    <x v="3"/>
    <x v="0"/>
    <x v="3"/>
    <x v="1"/>
    <x v="5"/>
    <x v="39"/>
    <n v="13"/>
    <n v="48763"/>
    <n v="12012"/>
  </r>
  <r>
    <x v="4"/>
    <x v="0"/>
    <x v="4"/>
    <x v="1"/>
    <x v="5"/>
    <x v="39"/>
    <n v="16"/>
    <n v="62928"/>
    <n v="14784"/>
  </r>
  <r>
    <x v="5"/>
    <x v="0"/>
    <x v="5"/>
    <x v="1"/>
    <x v="5"/>
    <x v="39"/>
    <n v="15"/>
    <n v="48690"/>
    <n v="13860"/>
  </r>
  <r>
    <x v="6"/>
    <x v="0"/>
    <x v="6"/>
    <x v="1"/>
    <x v="5"/>
    <x v="39"/>
    <n v="16"/>
    <n v="20720"/>
    <n v="14784"/>
  </r>
  <r>
    <x v="7"/>
    <x v="0"/>
    <x v="7"/>
    <x v="1"/>
    <x v="5"/>
    <x v="39"/>
    <n v="13"/>
    <n v="38090"/>
    <n v="12012"/>
  </r>
  <r>
    <x v="8"/>
    <x v="0"/>
    <x v="8"/>
    <x v="1"/>
    <x v="5"/>
    <x v="39"/>
    <n v="14"/>
    <n v="46914"/>
    <n v="12936"/>
  </r>
  <r>
    <x v="9"/>
    <x v="0"/>
    <x v="9"/>
    <x v="1"/>
    <x v="5"/>
    <x v="39"/>
    <n v="12"/>
    <n v="45252"/>
    <n v="11088"/>
  </r>
  <r>
    <x v="10"/>
    <x v="0"/>
    <x v="10"/>
    <x v="1"/>
    <x v="5"/>
    <x v="39"/>
    <n v="9"/>
    <n v="25920"/>
    <n v="8316"/>
  </r>
  <r>
    <x v="11"/>
    <x v="0"/>
    <x v="11"/>
    <x v="1"/>
    <x v="5"/>
    <x v="39"/>
    <n v="10"/>
    <n v="26740"/>
    <n v="9240"/>
  </r>
  <r>
    <x v="12"/>
    <x v="1"/>
    <x v="12"/>
    <x v="1"/>
    <x v="5"/>
    <x v="39"/>
    <n v="15"/>
    <n v="54075"/>
    <n v="13860"/>
  </r>
  <r>
    <x v="13"/>
    <x v="1"/>
    <x v="13"/>
    <x v="1"/>
    <x v="5"/>
    <x v="39"/>
    <n v="9"/>
    <n v="34605"/>
    <n v="8316"/>
  </r>
  <r>
    <x v="14"/>
    <x v="1"/>
    <x v="14"/>
    <x v="1"/>
    <x v="5"/>
    <x v="39"/>
    <n v="8"/>
    <n v="22536"/>
    <n v="7392"/>
  </r>
  <r>
    <x v="15"/>
    <x v="1"/>
    <x v="15"/>
    <x v="1"/>
    <x v="5"/>
    <x v="39"/>
    <n v="14"/>
    <n v="52710"/>
    <n v="12936"/>
  </r>
  <r>
    <x v="16"/>
    <x v="1"/>
    <x v="16"/>
    <x v="1"/>
    <x v="5"/>
    <x v="39"/>
    <n v="17"/>
    <n v="70635"/>
    <n v="15708"/>
  </r>
  <r>
    <x v="17"/>
    <x v="1"/>
    <x v="17"/>
    <x v="1"/>
    <x v="5"/>
    <x v="39"/>
    <n v="16"/>
    <n v="58080"/>
    <n v="14784"/>
  </r>
  <r>
    <x v="18"/>
    <x v="1"/>
    <x v="18"/>
    <x v="1"/>
    <x v="5"/>
    <x v="39"/>
    <n v="17"/>
    <n v="27608"/>
    <n v="15708"/>
  </r>
  <r>
    <x v="19"/>
    <x v="1"/>
    <x v="19"/>
    <x v="1"/>
    <x v="5"/>
    <x v="39"/>
    <n v="15"/>
    <n v="48465"/>
    <n v="13860"/>
  </r>
  <r>
    <x v="20"/>
    <x v="1"/>
    <x v="20"/>
    <x v="1"/>
    <x v="5"/>
    <x v="39"/>
    <n v="16"/>
    <n v="53696"/>
    <n v="14784"/>
  </r>
  <r>
    <x v="21"/>
    <x v="1"/>
    <x v="21"/>
    <x v="1"/>
    <x v="5"/>
    <x v="39"/>
    <n v="13"/>
    <n v="50934"/>
    <n v="12012"/>
  </r>
  <r>
    <x v="22"/>
    <x v="1"/>
    <x v="22"/>
    <x v="1"/>
    <x v="5"/>
    <x v="39"/>
    <n v="9"/>
    <n v="35712"/>
    <n v="8316"/>
  </r>
  <r>
    <x v="23"/>
    <x v="1"/>
    <x v="23"/>
    <x v="1"/>
    <x v="5"/>
    <x v="39"/>
    <n v="11"/>
    <n v="34034"/>
    <n v="10164"/>
  </r>
  <r>
    <x v="0"/>
    <x v="0"/>
    <x v="0"/>
    <x v="1"/>
    <x v="5"/>
    <x v="40"/>
    <n v="11"/>
    <n v="45331"/>
    <n v="12012"/>
  </r>
  <r>
    <x v="1"/>
    <x v="0"/>
    <x v="1"/>
    <x v="1"/>
    <x v="5"/>
    <x v="40"/>
    <n v="7"/>
    <n v="27993"/>
    <n v="7644"/>
  </r>
  <r>
    <x v="2"/>
    <x v="0"/>
    <x v="2"/>
    <x v="1"/>
    <x v="5"/>
    <x v="40"/>
    <n v="6"/>
    <n v="18150"/>
    <n v="6552"/>
  </r>
  <r>
    <x v="3"/>
    <x v="0"/>
    <x v="3"/>
    <x v="1"/>
    <x v="5"/>
    <x v="40"/>
    <n v="10"/>
    <n v="39180"/>
    <n v="10920"/>
  </r>
  <r>
    <x v="4"/>
    <x v="0"/>
    <x v="4"/>
    <x v="1"/>
    <x v="5"/>
    <x v="40"/>
    <n v="13"/>
    <n v="52728"/>
    <n v="14196"/>
  </r>
  <r>
    <x v="5"/>
    <x v="0"/>
    <x v="5"/>
    <x v="1"/>
    <x v="5"/>
    <x v="40"/>
    <n v="12"/>
    <n v="43356"/>
    <n v="13104"/>
  </r>
  <r>
    <x v="6"/>
    <x v="0"/>
    <x v="6"/>
    <x v="1"/>
    <x v="5"/>
    <x v="40"/>
    <n v="13"/>
    <n v="28951"/>
    <n v="14196"/>
  </r>
  <r>
    <x v="7"/>
    <x v="0"/>
    <x v="7"/>
    <x v="1"/>
    <x v="5"/>
    <x v="40"/>
    <n v="11"/>
    <n v="37378"/>
    <n v="12012"/>
  </r>
  <r>
    <x v="8"/>
    <x v="0"/>
    <x v="8"/>
    <x v="1"/>
    <x v="5"/>
    <x v="40"/>
    <n v="11"/>
    <n v="41481"/>
    <n v="12012"/>
  </r>
  <r>
    <x v="9"/>
    <x v="0"/>
    <x v="9"/>
    <x v="1"/>
    <x v="5"/>
    <x v="40"/>
    <n v="10"/>
    <n v="47200"/>
    <n v="10920"/>
  </r>
  <r>
    <x v="10"/>
    <x v="0"/>
    <x v="10"/>
    <x v="1"/>
    <x v="5"/>
    <x v="40"/>
    <n v="7"/>
    <n v="23618"/>
    <n v="7644"/>
  </r>
  <r>
    <x v="11"/>
    <x v="0"/>
    <x v="11"/>
    <x v="1"/>
    <x v="5"/>
    <x v="40"/>
    <n v="8"/>
    <n v="28576"/>
    <n v="8736"/>
  </r>
  <r>
    <x v="12"/>
    <x v="1"/>
    <x v="12"/>
    <x v="1"/>
    <x v="5"/>
    <x v="40"/>
    <n v="12"/>
    <n v="44544"/>
    <n v="13104"/>
  </r>
  <r>
    <x v="13"/>
    <x v="1"/>
    <x v="13"/>
    <x v="1"/>
    <x v="5"/>
    <x v="40"/>
    <n v="8"/>
    <n v="33448"/>
    <n v="8736"/>
  </r>
  <r>
    <x v="14"/>
    <x v="1"/>
    <x v="14"/>
    <x v="1"/>
    <x v="5"/>
    <x v="40"/>
    <n v="6"/>
    <n v="18606"/>
    <n v="6552"/>
  </r>
  <r>
    <x v="15"/>
    <x v="1"/>
    <x v="15"/>
    <x v="1"/>
    <x v="5"/>
    <x v="40"/>
    <n v="11"/>
    <n v="44231"/>
    <n v="12012"/>
  </r>
  <r>
    <x v="16"/>
    <x v="1"/>
    <x v="16"/>
    <x v="1"/>
    <x v="5"/>
    <x v="40"/>
    <n v="14"/>
    <n v="63042"/>
    <n v="15288"/>
  </r>
  <r>
    <x v="17"/>
    <x v="1"/>
    <x v="17"/>
    <x v="1"/>
    <x v="5"/>
    <x v="40"/>
    <n v="13"/>
    <n v="52871"/>
    <n v="14196"/>
  </r>
  <r>
    <x v="18"/>
    <x v="1"/>
    <x v="18"/>
    <x v="1"/>
    <x v="5"/>
    <x v="40"/>
    <n v="14"/>
    <n v="32340"/>
    <n v="15288"/>
  </r>
  <r>
    <x v="19"/>
    <x v="1"/>
    <x v="19"/>
    <x v="1"/>
    <x v="5"/>
    <x v="40"/>
    <n v="12"/>
    <n v="31992"/>
    <n v="13104"/>
  </r>
  <r>
    <x v="20"/>
    <x v="1"/>
    <x v="20"/>
    <x v="1"/>
    <x v="5"/>
    <x v="40"/>
    <n v="13"/>
    <n v="40989"/>
    <n v="14196"/>
  </r>
  <r>
    <x v="21"/>
    <x v="1"/>
    <x v="21"/>
    <x v="1"/>
    <x v="5"/>
    <x v="40"/>
    <n v="10"/>
    <n v="41140"/>
    <n v="10920"/>
  </r>
  <r>
    <x v="22"/>
    <x v="1"/>
    <x v="22"/>
    <x v="1"/>
    <x v="5"/>
    <x v="40"/>
    <n v="8"/>
    <n v="31312"/>
    <n v="8736"/>
  </r>
  <r>
    <x v="23"/>
    <x v="1"/>
    <x v="23"/>
    <x v="1"/>
    <x v="5"/>
    <x v="40"/>
    <n v="9"/>
    <n v="28899"/>
    <n v="9828"/>
  </r>
  <r>
    <x v="0"/>
    <x v="0"/>
    <x v="0"/>
    <x v="1"/>
    <x v="5"/>
    <x v="41"/>
    <n v="14"/>
    <n v="44856"/>
    <n v="12236"/>
  </r>
  <r>
    <x v="1"/>
    <x v="0"/>
    <x v="1"/>
    <x v="1"/>
    <x v="5"/>
    <x v="41"/>
    <n v="9"/>
    <n v="32805"/>
    <n v="7866"/>
  </r>
  <r>
    <x v="2"/>
    <x v="0"/>
    <x v="2"/>
    <x v="1"/>
    <x v="5"/>
    <x v="41"/>
    <n v="7"/>
    <n v="15813"/>
    <n v="6118"/>
  </r>
  <r>
    <x v="3"/>
    <x v="0"/>
    <x v="3"/>
    <x v="1"/>
    <x v="5"/>
    <x v="41"/>
    <n v="13"/>
    <n v="51103"/>
    <n v="11362"/>
  </r>
  <r>
    <x v="4"/>
    <x v="0"/>
    <x v="4"/>
    <x v="1"/>
    <x v="5"/>
    <x v="41"/>
    <n v="16"/>
    <n v="64288"/>
    <n v="13984"/>
  </r>
  <r>
    <x v="5"/>
    <x v="0"/>
    <x v="5"/>
    <x v="1"/>
    <x v="5"/>
    <x v="41"/>
    <n v="15"/>
    <n v="49470"/>
    <n v="13110"/>
  </r>
  <r>
    <x v="6"/>
    <x v="0"/>
    <x v="6"/>
    <x v="1"/>
    <x v="5"/>
    <x v="41"/>
    <n v="16"/>
    <n v="24736"/>
    <n v="13984"/>
  </r>
  <r>
    <x v="7"/>
    <x v="0"/>
    <x v="7"/>
    <x v="1"/>
    <x v="5"/>
    <x v="41"/>
    <n v="14"/>
    <n v="32074"/>
    <n v="12236"/>
  </r>
  <r>
    <x v="8"/>
    <x v="0"/>
    <x v="8"/>
    <x v="1"/>
    <x v="5"/>
    <x v="41"/>
    <n v="15"/>
    <n v="37560"/>
    <n v="13110"/>
  </r>
  <r>
    <x v="9"/>
    <x v="0"/>
    <x v="9"/>
    <x v="1"/>
    <x v="5"/>
    <x v="41"/>
    <n v="12"/>
    <n v="44688"/>
    <n v="10488"/>
  </r>
  <r>
    <x v="10"/>
    <x v="0"/>
    <x v="10"/>
    <x v="1"/>
    <x v="5"/>
    <x v="41"/>
    <n v="9"/>
    <n v="30951"/>
    <n v="7866"/>
  </r>
  <r>
    <x v="11"/>
    <x v="0"/>
    <x v="11"/>
    <x v="1"/>
    <x v="5"/>
    <x v="41"/>
    <n v="10"/>
    <n v="31440"/>
    <n v="8740"/>
  </r>
  <r>
    <x v="12"/>
    <x v="1"/>
    <x v="12"/>
    <x v="1"/>
    <x v="5"/>
    <x v="41"/>
    <n v="15"/>
    <n v="41085"/>
    <n v="13110"/>
  </r>
  <r>
    <x v="13"/>
    <x v="1"/>
    <x v="13"/>
    <x v="1"/>
    <x v="5"/>
    <x v="41"/>
    <n v="10"/>
    <n v="33120"/>
    <n v="8740"/>
  </r>
  <r>
    <x v="14"/>
    <x v="1"/>
    <x v="14"/>
    <x v="1"/>
    <x v="5"/>
    <x v="41"/>
    <n v="8"/>
    <n v="23288"/>
    <n v="6992"/>
  </r>
  <r>
    <x v="15"/>
    <x v="1"/>
    <x v="15"/>
    <x v="1"/>
    <x v="5"/>
    <x v="41"/>
    <n v="14"/>
    <n v="49966"/>
    <n v="12236"/>
  </r>
  <r>
    <x v="16"/>
    <x v="1"/>
    <x v="16"/>
    <x v="1"/>
    <x v="5"/>
    <x v="41"/>
    <n v="18"/>
    <n v="72090"/>
    <n v="15732"/>
  </r>
  <r>
    <x v="17"/>
    <x v="1"/>
    <x v="17"/>
    <x v="1"/>
    <x v="5"/>
    <x v="41"/>
    <n v="17"/>
    <n v="58786"/>
    <n v="14858"/>
  </r>
  <r>
    <x v="18"/>
    <x v="1"/>
    <x v="18"/>
    <x v="1"/>
    <x v="5"/>
    <x v="41"/>
    <n v="18"/>
    <n v="24426"/>
    <n v="15732"/>
  </r>
  <r>
    <x v="19"/>
    <x v="1"/>
    <x v="19"/>
    <x v="1"/>
    <x v="5"/>
    <x v="41"/>
    <n v="15"/>
    <n v="30075"/>
    <n v="13110"/>
  </r>
  <r>
    <x v="20"/>
    <x v="1"/>
    <x v="20"/>
    <x v="1"/>
    <x v="5"/>
    <x v="41"/>
    <n v="16"/>
    <n v="37680"/>
    <n v="13984"/>
  </r>
  <r>
    <x v="21"/>
    <x v="1"/>
    <x v="21"/>
    <x v="1"/>
    <x v="5"/>
    <x v="41"/>
    <n v="13"/>
    <n v="39351"/>
    <n v="11362"/>
  </r>
  <r>
    <x v="22"/>
    <x v="1"/>
    <x v="22"/>
    <x v="1"/>
    <x v="5"/>
    <x v="41"/>
    <n v="10"/>
    <n v="29880"/>
    <n v="8740"/>
  </r>
  <r>
    <x v="23"/>
    <x v="1"/>
    <x v="23"/>
    <x v="1"/>
    <x v="5"/>
    <x v="41"/>
    <n v="11"/>
    <n v="31383"/>
    <n v="9614"/>
  </r>
  <r>
    <x v="0"/>
    <x v="0"/>
    <x v="0"/>
    <x v="2"/>
    <x v="0"/>
    <x v="0"/>
    <n v="85"/>
    <n v="942480"/>
    <n v="510000"/>
  </r>
  <r>
    <x v="1"/>
    <x v="0"/>
    <x v="1"/>
    <x v="2"/>
    <x v="0"/>
    <x v="0"/>
    <n v="54"/>
    <n v="618894"/>
    <n v="324000"/>
  </r>
  <r>
    <x v="2"/>
    <x v="0"/>
    <x v="2"/>
    <x v="2"/>
    <x v="0"/>
    <x v="0"/>
    <n v="43"/>
    <n v="482116"/>
    <n v="258000"/>
  </r>
  <r>
    <x v="3"/>
    <x v="0"/>
    <x v="3"/>
    <x v="2"/>
    <x v="0"/>
    <x v="0"/>
    <n v="80"/>
    <n v="945040"/>
    <n v="480000"/>
  </r>
  <r>
    <x v="4"/>
    <x v="0"/>
    <x v="4"/>
    <x v="2"/>
    <x v="0"/>
    <x v="0"/>
    <n v="101"/>
    <n v="1260076"/>
    <n v="606000"/>
  </r>
  <r>
    <x v="5"/>
    <x v="0"/>
    <x v="5"/>
    <x v="2"/>
    <x v="0"/>
    <x v="0"/>
    <n v="96"/>
    <n v="1104960"/>
    <n v="576000"/>
  </r>
  <r>
    <x v="6"/>
    <x v="0"/>
    <x v="6"/>
    <x v="2"/>
    <x v="0"/>
    <x v="0"/>
    <n v="101"/>
    <n v="1014646"/>
    <n v="606000"/>
  </r>
  <r>
    <x v="7"/>
    <x v="0"/>
    <x v="7"/>
    <x v="2"/>
    <x v="0"/>
    <x v="0"/>
    <n v="85"/>
    <n v="884850"/>
    <n v="510000"/>
  </r>
  <r>
    <x v="8"/>
    <x v="0"/>
    <x v="8"/>
    <x v="2"/>
    <x v="0"/>
    <x v="0"/>
    <n v="91"/>
    <n v="968513"/>
    <n v="546000"/>
  </r>
  <r>
    <x v="9"/>
    <x v="0"/>
    <x v="9"/>
    <x v="2"/>
    <x v="0"/>
    <x v="0"/>
    <n v="75"/>
    <n v="877200"/>
    <n v="450000"/>
  </r>
  <r>
    <x v="10"/>
    <x v="0"/>
    <x v="10"/>
    <x v="2"/>
    <x v="0"/>
    <x v="0"/>
    <n v="54"/>
    <n v="629964"/>
    <n v="324000"/>
  </r>
  <r>
    <x v="11"/>
    <x v="0"/>
    <x v="11"/>
    <x v="2"/>
    <x v="0"/>
    <x v="0"/>
    <n v="64"/>
    <n v="693888"/>
    <n v="384000"/>
  </r>
  <r>
    <x v="12"/>
    <x v="1"/>
    <x v="12"/>
    <x v="2"/>
    <x v="0"/>
    <x v="0"/>
    <n v="94"/>
    <n v="989256"/>
    <n v="564000"/>
  </r>
  <r>
    <x v="13"/>
    <x v="1"/>
    <x v="13"/>
    <x v="2"/>
    <x v="0"/>
    <x v="0"/>
    <n v="59"/>
    <n v="653956"/>
    <n v="354000"/>
  </r>
  <r>
    <x v="14"/>
    <x v="1"/>
    <x v="14"/>
    <x v="2"/>
    <x v="0"/>
    <x v="0"/>
    <n v="47"/>
    <n v="504075"/>
    <n v="282000"/>
  </r>
  <r>
    <x v="15"/>
    <x v="1"/>
    <x v="15"/>
    <x v="2"/>
    <x v="0"/>
    <x v="0"/>
    <n v="88"/>
    <n v="1071224"/>
    <n v="528000"/>
  </r>
  <r>
    <x v="16"/>
    <x v="1"/>
    <x v="16"/>
    <x v="2"/>
    <x v="0"/>
    <x v="0"/>
    <n v="111"/>
    <n v="1297146"/>
    <n v="666000"/>
  </r>
  <r>
    <x v="17"/>
    <x v="1"/>
    <x v="17"/>
    <x v="2"/>
    <x v="0"/>
    <x v="0"/>
    <n v="106"/>
    <n v="1177978"/>
    <n v="636000"/>
  </r>
  <r>
    <x v="18"/>
    <x v="1"/>
    <x v="18"/>
    <x v="2"/>
    <x v="0"/>
    <x v="0"/>
    <n v="111"/>
    <n v="1149294"/>
    <n v="666000"/>
  </r>
  <r>
    <x v="19"/>
    <x v="1"/>
    <x v="19"/>
    <x v="2"/>
    <x v="0"/>
    <x v="0"/>
    <n v="94"/>
    <n v="987940"/>
    <n v="564000"/>
  </r>
  <r>
    <x v="20"/>
    <x v="1"/>
    <x v="20"/>
    <x v="2"/>
    <x v="0"/>
    <x v="0"/>
    <n v="100"/>
    <n v="1077000"/>
    <n v="600000"/>
  </r>
  <r>
    <x v="21"/>
    <x v="1"/>
    <x v="21"/>
    <x v="2"/>
    <x v="0"/>
    <x v="0"/>
    <n v="82"/>
    <n v="910938"/>
    <n v="492000"/>
  </r>
  <r>
    <x v="22"/>
    <x v="1"/>
    <x v="22"/>
    <x v="2"/>
    <x v="0"/>
    <x v="0"/>
    <n v="59"/>
    <n v="663691"/>
    <n v="354000"/>
  </r>
  <r>
    <x v="23"/>
    <x v="1"/>
    <x v="23"/>
    <x v="2"/>
    <x v="0"/>
    <x v="0"/>
    <n v="71"/>
    <n v="748766"/>
    <n v="426000"/>
  </r>
  <r>
    <x v="0"/>
    <x v="0"/>
    <x v="0"/>
    <x v="2"/>
    <x v="0"/>
    <x v="1"/>
    <n v="78"/>
    <n v="1000038"/>
    <n v="552240"/>
  </r>
  <r>
    <x v="1"/>
    <x v="0"/>
    <x v="1"/>
    <x v="2"/>
    <x v="0"/>
    <x v="1"/>
    <n v="49"/>
    <n v="680365"/>
    <n v="346920"/>
  </r>
  <r>
    <x v="2"/>
    <x v="0"/>
    <x v="2"/>
    <x v="2"/>
    <x v="0"/>
    <x v="1"/>
    <n v="39"/>
    <n v="503100"/>
    <n v="276120"/>
  </r>
  <r>
    <x v="3"/>
    <x v="0"/>
    <x v="3"/>
    <x v="2"/>
    <x v="0"/>
    <x v="1"/>
    <n v="73"/>
    <n v="1007108"/>
    <n v="516840"/>
  </r>
  <r>
    <x v="4"/>
    <x v="0"/>
    <x v="4"/>
    <x v="2"/>
    <x v="0"/>
    <x v="1"/>
    <n v="93"/>
    <n v="1304604"/>
    <n v="658440"/>
  </r>
  <r>
    <x v="5"/>
    <x v="0"/>
    <x v="5"/>
    <x v="2"/>
    <x v="0"/>
    <x v="1"/>
    <n v="88"/>
    <n v="1184392"/>
    <n v="623040"/>
  </r>
  <r>
    <x v="6"/>
    <x v="0"/>
    <x v="6"/>
    <x v="2"/>
    <x v="0"/>
    <x v="1"/>
    <n v="93"/>
    <n v="1121952"/>
    <n v="658440"/>
  </r>
  <r>
    <x v="7"/>
    <x v="0"/>
    <x v="7"/>
    <x v="2"/>
    <x v="0"/>
    <x v="1"/>
    <n v="78"/>
    <n v="981474"/>
    <n v="552240"/>
  </r>
  <r>
    <x v="8"/>
    <x v="0"/>
    <x v="8"/>
    <x v="2"/>
    <x v="0"/>
    <x v="1"/>
    <n v="83"/>
    <n v="1050780"/>
    <n v="587640"/>
  </r>
  <r>
    <x v="9"/>
    <x v="0"/>
    <x v="9"/>
    <x v="2"/>
    <x v="0"/>
    <x v="1"/>
    <n v="69"/>
    <n v="961653"/>
    <n v="488520"/>
  </r>
  <r>
    <x v="10"/>
    <x v="0"/>
    <x v="10"/>
    <x v="2"/>
    <x v="0"/>
    <x v="1"/>
    <n v="49"/>
    <n v="629797"/>
    <n v="346920"/>
  </r>
  <r>
    <x v="11"/>
    <x v="0"/>
    <x v="11"/>
    <x v="2"/>
    <x v="0"/>
    <x v="1"/>
    <n v="59"/>
    <n v="757855"/>
    <n v="417720"/>
  </r>
  <r>
    <x v="12"/>
    <x v="1"/>
    <x v="12"/>
    <x v="2"/>
    <x v="0"/>
    <x v="1"/>
    <n v="86"/>
    <n v="1101144"/>
    <n v="608880"/>
  </r>
  <r>
    <x v="13"/>
    <x v="1"/>
    <x v="13"/>
    <x v="2"/>
    <x v="0"/>
    <x v="1"/>
    <n v="54"/>
    <n v="702702"/>
    <n v="382320"/>
  </r>
  <r>
    <x v="14"/>
    <x v="1"/>
    <x v="14"/>
    <x v="2"/>
    <x v="0"/>
    <x v="1"/>
    <n v="43"/>
    <n v="555732"/>
    <n v="304440"/>
  </r>
  <r>
    <x v="15"/>
    <x v="1"/>
    <x v="15"/>
    <x v="2"/>
    <x v="0"/>
    <x v="1"/>
    <n v="81"/>
    <n v="1059156"/>
    <n v="573480"/>
  </r>
  <r>
    <x v="16"/>
    <x v="1"/>
    <x v="16"/>
    <x v="2"/>
    <x v="0"/>
    <x v="1"/>
    <n v="102"/>
    <n v="1484916"/>
    <n v="722160"/>
  </r>
  <r>
    <x v="17"/>
    <x v="1"/>
    <x v="17"/>
    <x v="2"/>
    <x v="0"/>
    <x v="1"/>
    <n v="97"/>
    <n v="1288839"/>
    <n v="686760"/>
  </r>
  <r>
    <x v="18"/>
    <x v="1"/>
    <x v="18"/>
    <x v="2"/>
    <x v="0"/>
    <x v="1"/>
    <n v="102"/>
    <n v="1149642"/>
    <n v="722160"/>
  </r>
  <r>
    <x v="19"/>
    <x v="1"/>
    <x v="19"/>
    <x v="2"/>
    <x v="0"/>
    <x v="1"/>
    <n v="86"/>
    <n v="1056768"/>
    <n v="608880"/>
  </r>
  <r>
    <x v="20"/>
    <x v="1"/>
    <x v="20"/>
    <x v="2"/>
    <x v="0"/>
    <x v="1"/>
    <n v="91"/>
    <n v="1188187"/>
    <n v="644280"/>
  </r>
  <r>
    <x v="21"/>
    <x v="1"/>
    <x v="21"/>
    <x v="2"/>
    <x v="0"/>
    <x v="1"/>
    <n v="75"/>
    <n v="1037175"/>
    <n v="531000"/>
  </r>
  <r>
    <x v="22"/>
    <x v="1"/>
    <x v="22"/>
    <x v="2"/>
    <x v="0"/>
    <x v="1"/>
    <n v="54"/>
    <n v="711612"/>
    <n v="382320"/>
  </r>
  <r>
    <x v="23"/>
    <x v="1"/>
    <x v="23"/>
    <x v="2"/>
    <x v="0"/>
    <x v="1"/>
    <n v="65"/>
    <n v="807820"/>
    <n v="460200"/>
  </r>
  <r>
    <x v="0"/>
    <x v="0"/>
    <x v="0"/>
    <x v="2"/>
    <x v="0"/>
    <x v="2"/>
    <n v="78"/>
    <n v="2013804"/>
    <n v="819000"/>
  </r>
  <r>
    <x v="1"/>
    <x v="0"/>
    <x v="1"/>
    <x v="2"/>
    <x v="0"/>
    <x v="2"/>
    <n v="49"/>
    <n v="1305017"/>
    <n v="514500"/>
  </r>
  <r>
    <x v="2"/>
    <x v="0"/>
    <x v="2"/>
    <x v="2"/>
    <x v="0"/>
    <x v="2"/>
    <n v="39"/>
    <n v="1010061"/>
    <n v="409500"/>
  </r>
  <r>
    <x v="3"/>
    <x v="0"/>
    <x v="3"/>
    <x v="2"/>
    <x v="0"/>
    <x v="2"/>
    <n v="73"/>
    <n v="1934208"/>
    <n v="766500"/>
  </r>
  <r>
    <x v="4"/>
    <x v="0"/>
    <x v="4"/>
    <x v="2"/>
    <x v="0"/>
    <x v="2"/>
    <n v="93"/>
    <n v="2516115"/>
    <n v="976500"/>
  </r>
  <r>
    <x v="5"/>
    <x v="0"/>
    <x v="5"/>
    <x v="2"/>
    <x v="0"/>
    <x v="2"/>
    <n v="88"/>
    <n v="2284480"/>
    <n v="924000"/>
  </r>
  <r>
    <x v="6"/>
    <x v="0"/>
    <x v="6"/>
    <x v="2"/>
    <x v="0"/>
    <x v="2"/>
    <n v="93"/>
    <n v="2296728"/>
    <n v="976500"/>
  </r>
  <r>
    <x v="7"/>
    <x v="0"/>
    <x v="7"/>
    <x v="2"/>
    <x v="0"/>
    <x v="2"/>
    <n v="78"/>
    <n v="2035644"/>
    <n v="819000"/>
  </r>
  <r>
    <x v="8"/>
    <x v="0"/>
    <x v="8"/>
    <x v="2"/>
    <x v="0"/>
    <x v="2"/>
    <n v="83"/>
    <n v="2096331"/>
    <n v="871500"/>
  </r>
  <r>
    <x v="9"/>
    <x v="0"/>
    <x v="9"/>
    <x v="2"/>
    <x v="0"/>
    <x v="2"/>
    <n v="69"/>
    <n v="1806696"/>
    <n v="724500"/>
  </r>
  <r>
    <x v="10"/>
    <x v="0"/>
    <x v="10"/>
    <x v="2"/>
    <x v="0"/>
    <x v="2"/>
    <n v="49"/>
    <n v="1254008"/>
    <n v="514500"/>
  </r>
  <r>
    <x v="11"/>
    <x v="0"/>
    <x v="11"/>
    <x v="2"/>
    <x v="0"/>
    <x v="2"/>
    <n v="59"/>
    <n v="1488275"/>
    <n v="619500"/>
  </r>
  <r>
    <x v="12"/>
    <x v="1"/>
    <x v="12"/>
    <x v="2"/>
    <x v="0"/>
    <x v="2"/>
    <n v="86"/>
    <n v="2263778"/>
    <n v="903000"/>
  </r>
  <r>
    <x v="13"/>
    <x v="1"/>
    <x v="13"/>
    <x v="2"/>
    <x v="0"/>
    <x v="2"/>
    <n v="54"/>
    <n v="1410858"/>
    <n v="567000"/>
  </r>
  <r>
    <x v="14"/>
    <x v="1"/>
    <x v="14"/>
    <x v="2"/>
    <x v="0"/>
    <x v="2"/>
    <n v="43"/>
    <n v="1123203"/>
    <n v="451500"/>
  </r>
  <r>
    <x v="15"/>
    <x v="1"/>
    <x v="15"/>
    <x v="2"/>
    <x v="0"/>
    <x v="2"/>
    <n v="81"/>
    <n v="2147553"/>
    <n v="850500"/>
  </r>
  <r>
    <x v="16"/>
    <x v="1"/>
    <x v="16"/>
    <x v="2"/>
    <x v="0"/>
    <x v="2"/>
    <n v="102"/>
    <n v="2760732"/>
    <n v="1071000"/>
  </r>
  <r>
    <x v="17"/>
    <x v="1"/>
    <x v="17"/>
    <x v="2"/>
    <x v="0"/>
    <x v="2"/>
    <n v="97"/>
    <n v="2615411"/>
    <n v="1018500"/>
  </r>
  <r>
    <x v="18"/>
    <x v="1"/>
    <x v="18"/>
    <x v="2"/>
    <x v="0"/>
    <x v="2"/>
    <n v="102"/>
    <n v="2582436"/>
    <n v="1071000"/>
  </r>
  <r>
    <x v="19"/>
    <x v="1"/>
    <x v="19"/>
    <x v="2"/>
    <x v="0"/>
    <x v="2"/>
    <n v="86"/>
    <n v="2205642"/>
    <n v="903000"/>
  </r>
  <r>
    <x v="20"/>
    <x v="1"/>
    <x v="20"/>
    <x v="2"/>
    <x v="0"/>
    <x v="2"/>
    <n v="91"/>
    <n v="2405312"/>
    <n v="955500"/>
  </r>
  <r>
    <x v="21"/>
    <x v="1"/>
    <x v="21"/>
    <x v="2"/>
    <x v="0"/>
    <x v="2"/>
    <n v="75"/>
    <n v="2019450"/>
    <n v="787500"/>
  </r>
  <r>
    <x v="22"/>
    <x v="1"/>
    <x v="22"/>
    <x v="2"/>
    <x v="0"/>
    <x v="2"/>
    <n v="54"/>
    <n v="1396602"/>
    <n v="567000"/>
  </r>
  <r>
    <x v="23"/>
    <x v="1"/>
    <x v="23"/>
    <x v="2"/>
    <x v="0"/>
    <x v="2"/>
    <n v="65"/>
    <n v="1707355"/>
    <n v="682500"/>
  </r>
  <r>
    <x v="0"/>
    <x v="0"/>
    <x v="0"/>
    <x v="2"/>
    <x v="0"/>
    <x v="3"/>
    <n v="85"/>
    <n v="1591370"/>
    <n v="635800"/>
  </r>
  <r>
    <x v="1"/>
    <x v="0"/>
    <x v="1"/>
    <x v="2"/>
    <x v="0"/>
    <x v="3"/>
    <n v="53"/>
    <n v="982355"/>
    <n v="396440"/>
  </r>
  <r>
    <x v="2"/>
    <x v="0"/>
    <x v="2"/>
    <x v="2"/>
    <x v="0"/>
    <x v="3"/>
    <n v="43"/>
    <n v="765314"/>
    <n v="321640"/>
  </r>
  <r>
    <x v="3"/>
    <x v="0"/>
    <x v="3"/>
    <x v="2"/>
    <x v="0"/>
    <x v="3"/>
    <n v="79"/>
    <n v="1499499"/>
    <n v="590920"/>
  </r>
  <r>
    <x v="4"/>
    <x v="0"/>
    <x v="4"/>
    <x v="2"/>
    <x v="0"/>
    <x v="3"/>
    <n v="101"/>
    <n v="1870015"/>
    <n v="755480"/>
  </r>
  <r>
    <x v="5"/>
    <x v="0"/>
    <x v="5"/>
    <x v="2"/>
    <x v="0"/>
    <x v="3"/>
    <n v="95"/>
    <n v="1789990"/>
    <n v="710600"/>
  </r>
  <r>
    <x v="6"/>
    <x v="0"/>
    <x v="6"/>
    <x v="2"/>
    <x v="0"/>
    <x v="3"/>
    <n v="101"/>
    <n v="1710435"/>
    <n v="755480"/>
  </r>
  <r>
    <x v="7"/>
    <x v="0"/>
    <x v="7"/>
    <x v="2"/>
    <x v="0"/>
    <x v="3"/>
    <n v="85"/>
    <n v="1543345"/>
    <n v="635800"/>
  </r>
  <r>
    <x v="8"/>
    <x v="0"/>
    <x v="8"/>
    <x v="2"/>
    <x v="0"/>
    <x v="3"/>
    <n v="90"/>
    <n v="1598400"/>
    <n v="673200"/>
  </r>
  <r>
    <x v="9"/>
    <x v="0"/>
    <x v="9"/>
    <x v="2"/>
    <x v="0"/>
    <x v="3"/>
    <n v="74"/>
    <n v="1373884"/>
    <n v="553520"/>
  </r>
  <r>
    <x v="10"/>
    <x v="0"/>
    <x v="10"/>
    <x v="2"/>
    <x v="0"/>
    <x v="3"/>
    <n v="53"/>
    <n v="1000958"/>
    <n v="396440"/>
  </r>
  <r>
    <x v="11"/>
    <x v="0"/>
    <x v="11"/>
    <x v="2"/>
    <x v="0"/>
    <x v="3"/>
    <n v="64"/>
    <n v="1147904"/>
    <n v="478720"/>
  </r>
  <r>
    <x v="12"/>
    <x v="1"/>
    <x v="12"/>
    <x v="2"/>
    <x v="0"/>
    <x v="3"/>
    <n v="93"/>
    <n v="1714362"/>
    <n v="695640"/>
  </r>
  <r>
    <x v="13"/>
    <x v="1"/>
    <x v="13"/>
    <x v="2"/>
    <x v="0"/>
    <x v="3"/>
    <n v="58"/>
    <n v="1035126"/>
    <n v="433840"/>
  </r>
  <r>
    <x v="14"/>
    <x v="1"/>
    <x v="14"/>
    <x v="2"/>
    <x v="0"/>
    <x v="3"/>
    <n v="47"/>
    <n v="809575"/>
    <n v="351560"/>
  </r>
  <r>
    <x v="15"/>
    <x v="1"/>
    <x v="15"/>
    <x v="2"/>
    <x v="0"/>
    <x v="3"/>
    <n v="87"/>
    <n v="1597233"/>
    <n v="650760"/>
  </r>
  <r>
    <x v="16"/>
    <x v="1"/>
    <x v="16"/>
    <x v="2"/>
    <x v="0"/>
    <x v="3"/>
    <n v="111"/>
    <n v="2094015"/>
    <n v="830280"/>
  </r>
  <r>
    <x v="17"/>
    <x v="1"/>
    <x v="17"/>
    <x v="2"/>
    <x v="0"/>
    <x v="3"/>
    <n v="105"/>
    <n v="1925280"/>
    <n v="785400"/>
  </r>
  <r>
    <x v="18"/>
    <x v="1"/>
    <x v="18"/>
    <x v="2"/>
    <x v="0"/>
    <x v="3"/>
    <n v="111"/>
    <n v="1866576"/>
    <n v="830280"/>
  </r>
  <r>
    <x v="19"/>
    <x v="1"/>
    <x v="19"/>
    <x v="2"/>
    <x v="0"/>
    <x v="3"/>
    <n v="93"/>
    <n v="1606854"/>
    <n v="695640"/>
  </r>
  <r>
    <x v="20"/>
    <x v="1"/>
    <x v="20"/>
    <x v="2"/>
    <x v="0"/>
    <x v="3"/>
    <n v="99"/>
    <n v="1828530"/>
    <n v="740520"/>
  </r>
  <r>
    <x v="21"/>
    <x v="1"/>
    <x v="21"/>
    <x v="2"/>
    <x v="0"/>
    <x v="3"/>
    <n v="82"/>
    <n v="1497484"/>
    <n v="613360"/>
  </r>
  <r>
    <x v="22"/>
    <x v="1"/>
    <x v="22"/>
    <x v="2"/>
    <x v="0"/>
    <x v="3"/>
    <n v="58"/>
    <n v="1093938"/>
    <n v="433840"/>
  </r>
  <r>
    <x v="23"/>
    <x v="1"/>
    <x v="23"/>
    <x v="2"/>
    <x v="0"/>
    <x v="3"/>
    <n v="70"/>
    <n v="1220450"/>
    <n v="523600"/>
  </r>
  <r>
    <x v="0"/>
    <x v="0"/>
    <x v="0"/>
    <x v="2"/>
    <x v="0"/>
    <x v="4"/>
    <n v="66"/>
    <n v="2064876"/>
    <n v="1108800"/>
  </r>
  <r>
    <x v="1"/>
    <x v="0"/>
    <x v="1"/>
    <x v="2"/>
    <x v="0"/>
    <x v="4"/>
    <n v="41"/>
    <n v="1311221"/>
    <n v="688800"/>
  </r>
  <r>
    <x v="2"/>
    <x v="0"/>
    <x v="2"/>
    <x v="2"/>
    <x v="0"/>
    <x v="4"/>
    <n v="33"/>
    <n v="1012374"/>
    <n v="554400"/>
  </r>
  <r>
    <x v="3"/>
    <x v="0"/>
    <x v="3"/>
    <x v="2"/>
    <x v="0"/>
    <x v="4"/>
    <n v="62"/>
    <n v="1969492"/>
    <n v="1041600"/>
  </r>
  <r>
    <x v="4"/>
    <x v="0"/>
    <x v="4"/>
    <x v="2"/>
    <x v="0"/>
    <x v="4"/>
    <n v="78"/>
    <n v="2495142"/>
    <n v="1310400"/>
  </r>
  <r>
    <x v="5"/>
    <x v="0"/>
    <x v="5"/>
    <x v="2"/>
    <x v="0"/>
    <x v="4"/>
    <n v="74"/>
    <n v="2343432"/>
    <n v="1243200"/>
  </r>
  <r>
    <x v="6"/>
    <x v="0"/>
    <x v="6"/>
    <x v="2"/>
    <x v="0"/>
    <x v="4"/>
    <n v="78"/>
    <n v="2309658"/>
    <n v="1310400"/>
  </r>
  <r>
    <x v="7"/>
    <x v="0"/>
    <x v="7"/>
    <x v="2"/>
    <x v="0"/>
    <x v="4"/>
    <n v="66"/>
    <n v="2008314"/>
    <n v="1108800"/>
  </r>
  <r>
    <x v="8"/>
    <x v="0"/>
    <x v="8"/>
    <x v="2"/>
    <x v="0"/>
    <x v="4"/>
    <n v="70"/>
    <n v="2132620"/>
    <n v="1176000"/>
  </r>
  <r>
    <x v="9"/>
    <x v="0"/>
    <x v="9"/>
    <x v="2"/>
    <x v="0"/>
    <x v="4"/>
    <n v="58"/>
    <n v="1805134"/>
    <n v="974400"/>
  </r>
  <r>
    <x v="10"/>
    <x v="0"/>
    <x v="10"/>
    <x v="2"/>
    <x v="0"/>
    <x v="4"/>
    <n v="41"/>
    <n v="1267228"/>
    <n v="688800"/>
  </r>
  <r>
    <x v="11"/>
    <x v="0"/>
    <x v="11"/>
    <x v="2"/>
    <x v="0"/>
    <x v="4"/>
    <n v="50"/>
    <n v="1532950"/>
    <n v="840000"/>
  </r>
  <r>
    <x v="12"/>
    <x v="1"/>
    <x v="12"/>
    <x v="2"/>
    <x v="0"/>
    <x v="4"/>
    <n v="73"/>
    <n v="2308552"/>
    <n v="1226400"/>
  </r>
  <r>
    <x v="13"/>
    <x v="1"/>
    <x v="13"/>
    <x v="2"/>
    <x v="0"/>
    <x v="4"/>
    <n v="46"/>
    <n v="1460914"/>
    <n v="772800"/>
  </r>
  <r>
    <x v="14"/>
    <x v="1"/>
    <x v="14"/>
    <x v="2"/>
    <x v="0"/>
    <x v="4"/>
    <n v="37"/>
    <n v="1161134"/>
    <n v="621600"/>
  </r>
  <r>
    <x v="15"/>
    <x v="1"/>
    <x v="15"/>
    <x v="2"/>
    <x v="0"/>
    <x v="4"/>
    <n v="68"/>
    <n v="2167364"/>
    <n v="1142400"/>
  </r>
  <r>
    <x v="16"/>
    <x v="1"/>
    <x v="16"/>
    <x v="2"/>
    <x v="0"/>
    <x v="4"/>
    <n v="86"/>
    <n v="2762062"/>
    <n v="1444800"/>
  </r>
  <r>
    <x v="17"/>
    <x v="1"/>
    <x v="17"/>
    <x v="2"/>
    <x v="0"/>
    <x v="4"/>
    <n v="82"/>
    <n v="2616538"/>
    <n v="1377600"/>
  </r>
  <r>
    <x v="18"/>
    <x v="1"/>
    <x v="18"/>
    <x v="2"/>
    <x v="0"/>
    <x v="4"/>
    <n v="86"/>
    <n v="2597716"/>
    <n v="1444800"/>
  </r>
  <r>
    <x v="19"/>
    <x v="1"/>
    <x v="19"/>
    <x v="2"/>
    <x v="0"/>
    <x v="4"/>
    <n v="73"/>
    <n v="2223069"/>
    <n v="1226400"/>
  </r>
  <r>
    <x v="20"/>
    <x v="1"/>
    <x v="20"/>
    <x v="2"/>
    <x v="0"/>
    <x v="4"/>
    <n v="77"/>
    <n v="2374680"/>
    <n v="1293600"/>
  </r>
  <r>
    <x v="21"/>
    <x v="1"/>
    <x v="21"/>
    <x v="2"/>
    <x v="0"/>
    <x v="4"/>
    <n v="64"/>
    <n v="2008960"/>
    <n v="1075200"/>
  </r>
  <r>
    <x v="22"/>
    <x v="1"/>
    <x v="22"/>
    <x v="2"/>
    <x v="0"/>
    <x v="4"/>
    <n v="46"/>
    <n v="1431658"/>
    <n v="772800"/>
  </r>
  <r>
    <x v="23"/>
    <x v="1"/>
    <x v="23"/>
    <x v="2"/>
    <x v="0"/>
    <x v="4"/>
    <n v="55"/>
    <n v="1714350"/>
    <n v="924000"/>
  </r>
  <r>
    <x v="0"/>
    <x v="0"/>
    <x v="0"/>
    <x v="2"/>
    <x v="0"/>
    <x v="5"/>
    <n v="63"/>
    <n v="1043028"/>
    <n v="387450"/>
  </r>
  <r>
    <x v="1"/>
    <x v="0"/>
    <x v="1"/>
    <x v="2"/>
    <x v="0"/>
    <x v="5"/>
    <n v="40"/>
    <n v="681440"/>
    <n v="246000"/>
  </r>
  <r>
    <x v="2"/>
    <x v="0"/>
    <x v="2"/>
    <x v="2"/>
    <x v="0"/>
    <x v="5"/>
    <n v="32"/>
    <n v="503008"/>
    <n v="196800"/>
  </r>
  <r>
    <x v="3"/>
    <x v="0"/>
    <x v="3"/>
    <x v="2"/>
    <x v="0"/>
    <x v="5"/>
    <n v="59"/>
    <n v="991495"/>
    <n v="362850"/>
  </r>
  <r>
    <x v="4"/>
    <x v="0"/>
    <x v="4"/>
    <x v="2"/>
    <x v="0"/>
    <x v="5"/>
    <n v="75"/>
    <n v="1254525"/>
    <n v="461250"/>
  </r>
  <r>
    <x v="5"/>
    <x v="0"/>
    <x v="5"/>
    <x v="2"/>
    <x v="0"/>
    <x v="5"/>
    <n v="71"/>
    <n v="1151549"/>
    <n v="436650"/>
  </r>
  <r>
    <x v="6"/>
    <x v="0"/>
    <x v="6"/>
    <x v="2"/>
    <x v="0"/>
    <x v="5"/>
    <n v="75"/>
    <n v="1158750"/>
    <n v="461250"/>
  </r>
  <r>
    <x v="7"/>
    <x v="0"/>
    <x v="7"/>
    <x v="2"/>
    <x v="0"/>
    <x v="5"/>
    <n v="63"/>
    <n v="1019844"/>
    <n v="387450"/>
  </r>
  <r>
    <x v="8"/>
    <x v="0"/>
    <x v="8"/>
    <x v="2"/>
    <x v="0"/>
    <x v="5"/>
    <n v="67"/>
    <n v="1043793"/>
    <n v="412050"/>
  </r>
  <r>
    <x v="9"/>
    <x v="0"/>
    <x v="9"/>
    <x v="2"/>
    <x v="0"/>
    <x v="5"/>
    <n v="55"/>
    <n v="890340"/>
    <n v="338250"/>
  </r>
  <r>
    <x v="10"/>
    <x v="0"/>
    <x v="10"/>
    <x v="2"/>
    <x v="0"/>
    <x v="5"/>
    <n v="40"/>
    <n v="633120"/>
    <n v="246000"/>
  </r>
  <r>
    <x v="11"/>
    <x v="0"/>
    <x v="11"/>
    <x v="2"/>
    <x v="0"/>
    <x v="5"/>
    <n v="47"/>
    <n v="744010"/>
    <n v="289050"/>
  </r>
  <r>
    <x v="12"/>
    <x v="1"/>
    <x v="12"/>
    <x v="2"/>
    <x v="0"/>
    <x v="5"/>
    <n v="69"/>
    <n v="1140156"/>
    <n v="424350"/>
  </r>
  <r>
    <x v="13"/>
    <x v="1"/>
    <x v="13"/>
    <x v="2"/>
    <x v="0"/>
    <x v="5"/>
    <n v="44"/>
    <n v="719180"/>
    <n v="270600"/>
  </r>
  <r>
    <x v="14"/>
    <x v="1"/>
    <x v="14"/>
    <x v="2"/>
    <x v="0"/>
    <x v="5"/>
    <n v="35"/>
    <n v="562625"/>
    <n v="215250"/>
  </r>
  <r>
    <x v="15"/>
    <x v="1"/>
    <x v="15"/>
    <x v="2"/>
    <x v="0"/>
    <x v="5"/>
    <n v="65"/>
    <n v="1083940"/>
    <n v="399750"/>
  </r>
  <r>
    <x v="16"/>
    <x v="1"/>
    <x v="16"/>
    <x v="2"/>
    <x v="0"/>
    <x v="5"/>
    <n v="82"/>
    <n v="1409744"/>
    <n v="504300"/>
  </r>
  <r>
    <x v="17"/>
    <x v="1"/>
    <x v="17"/>
    <x v="2"/>
    <x v="0"/>
    <x v="5"/>
    <n v="78"/>
    <n v="1245270"/>
    <n v="479700"/>
  </r>
  <r>
    <x v="18"/>
    <x v="1"/>
    <x v="18"/>
    <x v="2"/>
    <x v="0"/>
    <x v="5"/>
    <n v="82"/>
    <n v="1194904"/>
    <n v="504300"/>
  </r>
  <r>
    <x v="19"/>
    <x v="1"/>
    <x v="19"/>
    <x v="2"/>
    <x v="0"/>
    <x v="5"/>
    <n v="69"/>
    <n v="1041348"/>
    <n v="424350"/>
  </r>
  <r>
    <x v="20"/>
    <x v="1"/>
    <x v="20"/>
    <x v="2"/>
    <x v="0"/>
    <x v="5"/>
    <n v="74"/>
    <n v="1215894"/>
    <n v="455100"/>
  </r>
  <r>
    <x v="21"/>
    <x v="1"/>
    <x v="21"/>
    <x v="2"/>
    <x v="0"/>
    <x v="5"/>
    <n v="61"/>
    <n v="1035597"/>
    <n v="375150"/>
  </r>
  <r>
    <x v="22"/>
    <x v="1"/>
    <x v="22"/>
    <x v="2"/>
    <x v="0"/>
    <x v="5"/>
    <n v="44"/>
    <n v="709148"/>
    <n v="270600"/>
  </r>
  <r>
    <x v="23"/>
    <x v="1"/>
    <x v="23"/>
    <x v="2"/>
    <x v="0"/>
    <x v="5"/>
    <n v="52"/>
    <n v="825760"/>
    <n v="319800"/>
  </r>
  <r>
    <x v="0"/>
    <x v="0"/>
    <x v="0"/>
    <x v="2"/>
    <x v="0"/>
    <x v="6"/>
    <n v="83"/>
    <n v="968029"/>
    <n v="365200"/>
  </r>
  <r>
    <x v="1"/>
    <x v="0"/>
    <x v="1"/>
    <x v="2"/>
    <x v="0"/>
    <x v="6"/>
    <n v="52"/>
    <n v="651976"/>
    <n v="228800"/>
  </r>
  <r>
    <x v="2"/>
    <x v="0"/>
    <x v="2"/>
    <x v="2"/>
    <x v="0"/>
    <x v="6"/>
    <n v="42"/>
    <n v="491232"/>
    <n v="184800"/>
  </r>
  <r>
    <x v="3"/>
    <x v="0"/>
    <x v="3"/>
    <x v="2"/>
    <x v="0"/>
    <x v="6"/>
    <n v="77"/>
    <n v="984907"/>
    <n v="338800"/>
  </r>
  <r>
    <x v="4"/>
    <x v="0"/>
    <x v="4"/>
    <x v="2"/>
    <x v="0"/>
    <x v="6"/>
    <n v="98"/>
    <n v="1240190"/>
    <n v="431200"/>
  </r>
  <r>
    <x v="5"/>
    <x v="0"/>
    <x v="5"/>
    <x v="2"/>
    <x v="0"/>
    <x v="6"/>
    <n v="93"/>
    <n v="1096005"/>
    <n v="409200"/>
  </r>
  <r>
    <x v="6"/>
    <x v="0"/>
    <x v="6"/>
    <x v="2"/>
    <x v="0"/>
    <x v="6"/>
    <n v="98"/>
    <n v="1094268"/>
    <n v="431200"/>
  </r>
  <r>
    <x v="7"/>
    <x v="0"/>
    <x v="7"/>
    <x v="2"/>
    <x v="0"/>
    <x v="6"/>
    <n v="83"/>
    <n v="991269"/>
    <n v="365200"/>
  </r>
  <r>
    <x v="8"/>
    <x v="0"/>
    <x v="8"/>
    <x v="2"/>
    <x v="0"/>
    <x v="6"/>
    <n v="88"/>
    <n v="1038664"/>
    <n v="387200"/>
  </r>
  <r>
    <x v="9"/>
    <x v="0"/>
    <x v="9"/>
    <x v="2"/>
    <x v="0"/>
    <x v="6"/>
    <n v="72"/>
    <n v="924480"/>
    <n v="316800"/>
  </r>
  <r>
    <x v="10"/>
    <x v="0"/>
    <x v="10"/>
    <x v="2"/>
    <x v="0"/>
    <x v="6"/>
    <n v="52"/>
    <n v="647920"/>
    <n v="228800"/>
  </r>
  <r>
    <x v="11"/>
    <x v="0"/>
    <x v="11"/>
    <x v="2"/>
    <x v="0"/>
    <x v="6"/>
    <n v="62"/>
    <n v="729368"/>
    <n v="272800"/>
  </r>
  <r>
    <x v="12"/>
    <x v="1"/>
    <x v="12"/>
    <x v="2"/>
    <x v="0"/>
    <x v="6"/>
    <n v="91"/>
    <n v="1126853"/>
    <n v="400400"/>
  </r>
  <r>
    <x v="13"/>
    <x v="1"/>
    <x v="13"/>
    <x v="2"/>
    <x v="0"/>
    <x v="6"/>
    <n v="57"/>
    <n v="695400"/>
    <n v="250800"/>
  </r>
  <r>
    <x v="14"/>
    <x v="1"/>
    <x v="14"/>
    <x v="2"/>
    <x v="0"/>
    <x v="6"/>
    <n v="46"/>
    <n v="527022"/>
    <n v="202400"/>
  </r>
  <r>
    <x v="15"/>
    <x v="1"/>
    <x v="15"/>
    <x v="2"/>
    <x v="0"/>
    <x v="6"/>
    <n v="85"/>
    <n v="1133900"/>
    <n v="374000"/>
  </r>
  <r>
    <x v="16"/>
    <x v="1"/>
    <x v="16"/>
    <x v="2"/>
    <x v="0"/>
    <x v="6"/>
    <n v="108"/>
    <n v="1392876"/>
    <n v="475200"/>
  </r>
  <r>
    <x v="17"/>
    <x v="1"/>
    <x v="17"/>
    <x v="2"/>
    <x v="0"/>
    <x v="6"/>
    <n v="102"/>
    <n v="1320084"/>
    <n v="448800"/>
  </r>
  <r>
    <x v="18"/>
    <x v="1"/>
    <x v="18"/>
    <x v="2"/>
    <x v="0"/>
    <x v="6"/>
    <n v="108"/>
    <n v="1131516"/>
    <n v="475200"/>
  </r>
  <r>
    <x v="19"/>
    <x v="1"/>
    <x v="19"/>
    <x v="2"/>
    <x v="0"/>
    <x v="6"/>
    <n v="91"/>
    <n v="1084538"/>
    <n v="400400"/>
  </r>
  <r>
    <x v="20"/>
    <x v="1"/>
    <x v="20"/>
    <x v="2"/>
    <x v="0"/>
    <x v="6"/>
    <n v="96"/>
    <n v="1135104"/>
    <n v="422400"/>
  </r>
  <r>
    <x v="21"/>
    <x v="1"/>
    <x v="21"/>
    <x v="2"/>
    <x v="0"/>
    <x v="6"/>
    <n v="80"/>
    <n v="972880"/>
    <n v="352000"/>
  </r>
  <r>
    <x v="22"/>
    <x v="1"/>
    <x v="22"/>
    <x v="2"/>
    <x v="0"/>
    <x v="6"/>
    <n v="57"/>
    <n v="675336"/>
    <n v="250800"/>
  </r>
  <r>
    <x v="23"/>
    <x v="1"/>
    <x v="23"/>
    <x v="2"/>
    <x v="0"/>
    <x v="6"/>
    <n v="68"/>
    <n v="773636"/>
    <n v="299200"/>
  </r>
  <r>
    <x v="0"/>
    <x v="0"/>
    <x v="0"/>
    <x v="2"/>
    <x v="1"/>
    <x v="7"/>
    <n v="42"/>
    <n v="205506"/>
    <n v="76146"/>
  </r>
  <r>
    <x v="1"/>
    <x v="0"/>
    <x v="1"/>
    <x v="2"/>
    <x v="1"/>
    <x v="7"/>
    <n v="26"/>
    <n v="144326"/>
    <n v="47138"/>
  </r>
  <r>
    <x v="2"/>
    <x v="0"/>
    <x v="2"/>
    <x v="2"/>
    <x v="1"/>
    <x v="7"/>
    <n v="21"/>
    <n v="98868"/>
    <n v="38073"/>
  </r>
  <r>
    <x v="3"/>
    <x v="0"/>
    <x v="3"/>
    <x v="2"/>
    <x v="1"/>
    <x v="7"/>
    <n v="39"/>
    <n v="202995"/>
    <n v="70707"/>
  </r>
  <r>
    <x v="4"/>
    <x v="0"/>
    <x v="4"/>
    <x v="2"/>
    <x v="1"/>
    <x v="7"/>
    <n v="50"/>
    <n v="282050"/>
    <n v="90650"/>
  </r>
  <r>
    <x v="5"/>
    <x v="0"/>
    <x v="5"/>
    <x v="2"/>
    <x v="1"/>
    <x v="7"/>
    <n v="47"/>
    <n v="231052"/>
    <n v="85211"/>
  </r>
  <r>
    <x v="6"/>
    <x v="0"/>
    <x v="6"/>
    <x v="2"/>
    <x v="1"/>
    <x v="7"/>
    <n v="50"/>
    <n v="158750"/>
    <n v="90650"/>
  </r>
  <r>
    <x v="7"/>
    <x v="0"/>
    <x v="7"/>
    <x v="2"/>
    <x v="1"/>
    <x v="7"/>
    <n v="42"/>
    <n v="193116"/>
    <n v="76146"/>
  </r>
  <r>
    <x v="8"/>
    <x v="0"/>
    <x v="8"/>
    <x v="2"/>
    <x v="1"/>
    <x v="7"/>
    <n v="44"/>
    <n v="193160"/>
    <n v="79772"/>
  </r>
  <r>
    <x v="9"/>
    <x v="0"/>
    <x v="9"/>
    <x v="2"/>
    <x v="1"/>
    <x v="7"/>
    <n v="37"/>
    <n v="199208"/>
    <n v="67081"/>
  </r>
  <r>
    <x v="10"/>
    <x v="0"/>
    <x v="10"/>
    <x v="2"/>
    <x v="1"/>
    <x v="7"/>
    <n v="26"/>
    <n v="119158"/>
    <n v="47138"/>
  </r>
  <r>
    <x v="11"/>
    <x v="0"/>
    <x v="11"/>
    <x v="2"/>
    <x v="1"/>
    <x v="7"/>
    <n v="32"/>
    <n v="141120"/>
    <n v="58016"/>
  </r>
  <r>
    <x v="12"/>
    <x v="1"/>
    <x v="12"/>
    <x v="2"/>
    <x v="1"/>
    <x v="7"/>
    <n v="46"/>
    <n v="216706"/>
    <n v="83398"/>
  </r>
  <r>
    <x v="13"/>
    <x v="1"/>
    <x v="13"/>
    <x v="2"/>
    <x v="1"/>
    <x v="7"/>
    <n v="29"/>
    <n v="142013"/>
    <n v="52577"/>
  </r>
  <r>
    <x v="14"/>
    <x v="1"/>
    <x v="14"/>
    <x v="2"/>
    <x v="1"/>
    <x v="7"/>
    <n v="23"/>
    <n v="107410"/>
    <n v="41699"/>
  </r>
  <r>
    <x v="15"/>
    <x v="1"/>
    <x v="15"/>
    <x v="2"/>
    <x v="1"/>
    <x v="7"/>
    <n v="43"/>
    <n v="206056"/>
    <n v="77959"/>
  </r>
  <r>
    <x v="16"/>
    <x v="1"/>
    <x v="16"/>
    <x v="2"/>
    <x v="1"/>
    <x v="7"/>
    <n v="55"/>
    <n v="312290"/>
    <n v="99715"/>
  </r>
  <r>
    <x v="17"/>
    <x v="1"/>
    <x v="17"/>
    <x v="2"/>
    <x v="1"/>
    <x v="7"/>
    <n v="52"/>
    <n v="227032"/>
    <n v="94276"/>
  </r>
  <r>
    <x v="18"/>
    <x v="1"/>
    <x v="18"/>
    <x v="2"/>
    <x v="1"/>
    <x v="7"/>
    <n v="55"/>
    <n v="181555"/>
    <n v="99715"/>
  </r>
  <r>
    <x v="19"/>
    <x v="1"/>
    <x v="19"/>
    <x v="2"/>
    <x v="1"/>
    <x v="7"/>
    <n v="46"/>
    <n v="231564"/>
    <n v="83398"/>
  </r>
  <r>
    <x v="20"/>
    <x v="1"/>
    <x v="20"/>
    <x v="2"/>
    <x v="1"/>
    <x v="7"/>
    <n v="49"/>
    <n v="207956"/>
    <n v="88837"/>
  </r>
  <r>
    <x v="21"/>
    <x v="1"/>
    <x v="21"/>
    <x v="2"/>
    <x v="1"/>
    <x v="7"/>
    <n v="40"/>
    <n v="197520"/>
    <n v="72520"/>
  </r>
  <r>
    <x v="22"/>
    <x v="1"/>
    <x v="22"/>
    <x v="2"/>
    <x v="1"/>
    <x v="7"/>
    <n v="29"/>
    <n v="150713"/>
    <n v="52577"/>
  </r>
  <r>
    <x v="23"/>
    <x v="1"/>
    <x v="23"/>
    <x v="2"/>
    <x v="1"/>
    <x v="7"/>
    <n v="35"/>
    <n v="170100"/>
    <n v="63455"/>
  </r>
  <r>
    <x v="0"/>
    <x v="0"/>
    <x v="0"/>
    <x v="2"/>
    <x v="1"/>
    <x v="8"/>
    <n v="33"/>
    <n v="134211"/>
    <n v="37950"/>
  </r>
  <r>
    <x v="1"/>
    <x v="0"/>
    <x v="1"/>
    <x v="2"/>
    <x v="1"/>
    <x v="8"/>
    <n v="21"/>
    <n v="86709"/>
    <n v="24150"/>
  </r>
  <r>
    <x v="2"/>
    <x v="0"/>
    <x v="2"/>
    <x v="2"/>
    <x v="1"/>
    <x v="8"/>
    <n v="17"/>
    <n v="58225"/>
    <n v="19550"/>
  </r>
  <r>
    <x v="3"/>
    <x v="0"/>
    <x v="3"/>
    <x v="2"/>
    <x v="1"/>
    <x v="8"/>
    <n v="31"/>
    <n v="121303"/>
    <n v="35650"/>
  </r>
  <r>
    <x v="4"/>
    <x v="0"/>
    <x v="4"/>
    <x v="2"/>
    <x v="1"/>
    <x v="8"/>
    <n v="39"/>
    <n v="178581"/>
    <n v="44850"/>
  </r>
  <r>
    <x v="5"/>
    <x v="0"/>
    <x v="5"/>
    <x v="2"/>
    <x v="1"/>
    <x v="8"/>
    <n v="37"/>
    <n v="138195"/>
    <n v="42550"/>
  </r>
  <r>
    <x v="6"/>
    <x v="0"/>
    <x v="6"/>
    <x v="2"/>
    <x v="1"/>
    <x v="8"/>
    <n v="39"/>
    <n v="85293"/>
    <n v="44850"/>
  </r>
  <r>
    <x v="7"/>
    <x v="0"/>
    <x v="7"/>
    <x v="2"/>
    <x v="1"/>
    <x v="8"/>
    <n v="33"/>
    <n v="109626"/>
    <n v="37950"/>
  </r>
  <r>
    <x v="8"/>
    <x v="0"/>
    <x v="8"/>
    <x v="2"/>
    <x v="1"/>
    <x v="8"/>
    <n v="35"/>
    <n v="116795"/>
    <n v="40250"/>
  </r>
  <r>
    <x v="9"/>
    <x v="0"/>
    <x v="9"/>
    <x v="2"/>
    <x v="1"/>
    <x v="8"/>
    <n v="29"/>
    <n v="110664"/>
    <n v="33350"/>
  </r>
  <r>
    <x v="10"/>
    <x v="0"/>
    <x v="10"/>
    <x v="2"/>
    <x v="1"/>
    <x v="8"/>
    <n v="21"/>
    <n v="85281"/>
    <n v="24150"/>
  </r>
  <r>
    <x v="11"/>
    <x v="0"/>
    <x v="11"/>
    <x v="2"/>
    <x v="1"/>
    <x v="8"/>
    <n v="25"/>
    <n v="82400"/>
    <n v="28750"/>
  </r>
  <r>
    <x v="12"/>
    <x v="1"/>
    <x v="12"/>
    <x v="2"/>
    <x v="1"/>
    <x v="8"/>
    <n v="36"/>
    <n v="129780"/>
    <n v="41400"/>
  </r>
  <r>
    <x v="13"/>
    <x v="1"/>
    <x v="13"/>
    <x v="2"/>
    <x v="1"/>
    <x v="8"/>
    <n v="23"/>
    <n v="106283"/>
    <n v="26450"/>
  </r>
  <r>
    <x v="14"/>
    <x v="1"/>
    <x v="14"/>
    <x v="2"/>
    <x v="1"/>
    <x v="8"/>
    <n v="18"/>
    <n v="63054"/>
    <n v="20700"/>
  </r>
  <r>
    <x v="15"/>
    <x v="1"/>
    <x v="15"/>
    <x v="2"/>
    <x v="1"/>
    <x v="8"/>
    <n v="34"/>
    <n v="153238"/>
    <n v="39100"/>
  </r>
  <r>
    <x v="16"/>
    <x v="1"/>
    <x v="16"/>
    <x v="2"/>
    <x v="1"/>
    <x v="8"/>
    <n v="43"/>
    <n v="206873"/>
    <n v="49450"/>
  </r>
  <r>
    <x v="17"/>
    <x v="1"/>
    <x v="17"/>
    <x v="2"/>
    <x v="1"/>
    <x v="8"/>
    <n v="41"/>
    <n v="158711"/>
    <n v="47150"/>
  </r>
  <r>
    <x v="18"/>
    <x v="1"/>
    <x v="18"/>
    <x v="2"/>
    <x v="1"/>
    <x v="8"/>
    <n v="43"/>
    <n v="110940"/>
    <n v="49450"/>
  </r>
  <r>
    <x v="19"/>
    <x v="1"/>
    <x v="19"/>
    <x v="2"/>
    <x v="1"/>
    <x v="8"/>
    <n v="36"/>
    <n v="125316"/>
    <n v="41400"/>
  </r>
  <r>
    <x v="20"/>
    <x v="1"/>
    <x v="20"/>
    <x v="2"/>
    <x v="1"/>
    <x v="8"/>
    <n v="38"/>
    <n v="120080"/>
    <n v="43700"/>
  </r>
  <r>
    <x v="21"/>
    <x v="1"/>
    <x v="21"/>
    <x v="2"/>
    <x v="1"/>
    <x v="8"/>
    <n v="32"/>
    <n v="148256"/>
    <n v="36800"/>
  </r>
  <r>
    <x v="22"/>
    <x v="1"/>
    <x v="22"/>
    <x v="2"/>
    <x v="1"/>
    <x v="8"/>
    <n v="23"/>
    <n v="95887"/>
    <n v="26450"/>
  </r>
  <r>
    <x v="23"/>
    <x v="1"/>
    <x v="23"/>
    <x v="2"/>
    <x v="1"/>
    <x v="8"/>
    <n v="27"/>
    <n v="101898"/>
    <n v="31050"/>
  </r>
  <r>
    <x v="0"/>
    <x v="0"/>
    <x v="0"/>
    <x v="2"/>
    <x v="1"/>
    <x v="9"/>
    <n v="42"/>
    <n v="188664"/>
    <n v="56028"/>
  </r>
  <r>
    <x v="1"/>
    <x v="0"/>
    <x v="1"/>
    <x v="2"/>
    <x v="1"/>
    <x v="9"/>
    <n v="27"/>
    <n v="133299"/>
    <n v="36018"/>
  </r>
  <r>
    <x v="2"/>
    <x v="0"/>
    <x v="2"/>
    <x v="2"/>
    <x v="1"/>
    <x v="9"/>
    <n v="21"/>
    <n v="87234"/>
    <n v="28014"/>
  </r>
  <r>
    <x v="3"/>
    <x v="0"/>
    <x v="3"/>
    <x v="2"/>
    <x v="1"/>
    <x v="9"/>
    <n v="40"/>
    <n v="182120"/>
    <n v="53360"/>
  </r>
  <r>
    <x v="4"/>
    <x v="0"/>
    <x v="4"/>
    <x v="2"/>
    <x v="1"/>
    <x v="9"/>
    <n v="50"/>
    <n v="254950"/>
    <n v="66700"/>
  </r>
  <r>
    <x v="5"/>
    <x v="0"/>
    <x v="5"/>
    <x v="2"/>
    <x v="1"/>
    <x v="9"/>
    <n v="47"/>
    <n v="215824"/>
    <n v="62698"/>
  </r>
  <r>
    <x v="6"/>
    <x v="0"/>
    <x v="6"/>
    <x v="2"/>
    <x v="1"/>
    <x v="9"/>
    <n v="50"/>
    <n v="143050"/>
    <n v="66700"/>
  </r>
  <r>
    <x v="7"/>
    <x v="0"/>
    <x v="7"/>
    <x v="2"/>
    <x v="1"/>
    <x v="9"/>
    <n v="42"/>
    <n v="134610"/>
    <n v="56028"/>
  </r>
  <r>
    <x v="8"/>
    <x v="0"/>
    <x v="8"/>
    <x v="2"/>
    <x v="1"/>
    <x v="9"/>
    <n v="45"/>
    <n v="149670"/>
    <n v="60030"/>
  </r>
  <r>
    <x v="9"/>
    <x v="0"/>
    <x v="9"/>
    <x v="2"/>
    <x v="1"/>
    <x v="9"/>
    <n v="37"/>
    <n v="168905"/>
    <n v="49358"/>
  </r>
  <r>
    <x v="10"/>
    <x v="0"/>
    <x v="10"/>
    <x v="2"/>
    <x v="1"/>
    <x v="9"/>
    <n v="27"/>
    <n v="112725"/>
    <n v="36018"/>
  </r>
  <r>
    <x v="11"/>
    <x v="0"/>
    <x v="11"/>
    <x v="2"/>
    <x v="1"/>
    <x v="9"/>
    <n v="32"/>
    <n v="121216"/>
    <n v="42688"/>
  </r>
  <r>
    <x v="12"/>
    <x v="1"/>
    <x v="12"/>
    <x v="2"/>
    <x v="1"/>
    <x v="9"/>
    <n v="46"/>
    <n v="188002"/>
    <n v="61364"/>
  </r>
  <r>
    <x v="13"/>
    <x v="1"/>
    <x v="13"/>
    <x v="2"/>
    <x v="1"/>
    <x v="9"/>
    <n v="29"/>
    <n v="127600"/>
    <n v="38686"/>
  </r>
  <r>
    <x v="14"/>
    <x v="1"/>
    <x v="14"/>
    <x v="2"/>
    <x v="1"/>
    <x v="9"/>
    <n v="23"/>
    <n v="87653"/>
    <n v="30682"/>
  </r>
  <r>
    <x v="15"/>
    <x v="1"/>
    <x v="15"/>
    <x v="2"/>
    <x v="1"/>
    <x v="9"/>
    <n v="44"/>
    <n v="198484"/>
    <n v="58696"/>
  </r>
  <r>
    <x v="16"/>
    <x v="1"/>
    <x v="16"/>
    <x v="2"/>
    <x v="1"/>
    <x v="9"/>
    <n v="55"/>
    <n v="227865"/>
    <n v="73370"/>
  </r>
  <r>
    <x v="17"/>
    <x v="1"/>
    <x v="17"/>
    <x v="2"/>
    <x v="1"/>
    <x v="9"/>
    <n v="52"/>
    <n v="230464"/>
    <n v="69368"/>
  </r>
  <r>
    <x v="18"/>
    <x v="1"/>
    <x v="18"/>
    <x v="2"/>
    <x v="1"/>
    <x v="9"/>
    <n v="55"/>
    <n v="165110"/>
    <n v="73370"/>
  </r>
  <r>
    <x v="19"/>
    <x v="1"/>
    <x v="19"/>
    <x v="2"/>
    <x v="1"/>
    <x v="9"/>
    <n v="46"/>
    <n v="144164"/>
    <n v="61364"/>
  </r>
  <r>
    <x v="20"/>
    <x v="1"/>
    <x v="20"/>
    <x v="2"/>
    <x v="1"/>
    <x v="9"/>
    <n v="49"/>
    <n v="210945"/>
    <n v="65366"/>
  </r>
  <r>
    <x v="21"/>
    <x v="1"/>
    <x v="21"/>
    <x v="2"/>
    <x v="1"/>
    <x v="9"/>
    <n v="41"/>
    <n v="176505"/>
    <n v="54694"/>
  </r>
  <r>
    <x v="22"/>
    <x v="1"/>
    <x v="22"/>
    <x v="2"/>
    <x v="1"/>
    <x v="9"/>
    <n v="29"/>
    <n v="120495"/>
    <n v="38686"/>
  </r>
  <r>
    <x v="23"/>
    <x v="1"/>
    <x v="23"/>
    <x v="2"/>
    <x v="1"/>
    <x v="9"/>
    <n v="35"/>
    <n v="142485"/>
    <n v="46690"/>
  </r>
  <r>
    <x v="0"/>
    <x v="0"/>
    <x v="0"/>
    <x v="2"/>
    <x v="1"/>
    <x v="10"/>
    <n v="35"/>
    <n v="199955"/>
    <n v="70560"/>
  </r>
  <r>
    <x v="1"/>
    <x v="0"/>
    <x v="1"/>
    <x v="2"/>
    <x v="1"/>
    <x v="10"/>
    <n v="22"/>
    <n v="122144"/>
    <n v="44352"/>
  </r>
  <r>
    <x v="2"/>
    <x v="0"/>
    <x v="2"/>
    <x v="2"/>
    <x v="1"/>
    <x v="10"/>
    <n v="18"/>
    <n v="91188"/>
    <n v="36288"/>
  </r>
  <r>
    <x v="3"/>
    <x v="0"/>
    <x v="3"/>
    <x v="2"/>
    <x v="1"/>
    <x v="10"/>
    <n v="33"/>
    <n v="195591"/>
    <n v="66528"/>
  </r>
  <r>
    <x v="4"/>
    <x v="0"/>
    <x v="4"/>
    <x v="2"/>
    <x v="1"/>
    <x v="10"/>
    <n v="42"/>
    <n v="259770"/>
    <n v="84672"/>
  </r>
  <r>
    <x v="5"/>
    <x v="0"/>
    <x v="5"/>
    <x v="2"/>
    <x v="1"/>
    <x v="10"/>
    <n v="39"/>
    <n v="208260"/>
    <n v="78624"/>
  </r>
  <r>
    <x v="6"/>
    <x v="0"/>
    <x v="6"/>
    <x v="2"/>
    <x v="1"/>
    <x v="10"/>
    <n v="42"/>
    <n v="179466"/>
    <n v="84672"/>
  </r>
  <r>
    <x v="7"/>
    <x v="0"/>
    <x v="7"/>
    <x v="2"/>
    <x v="1"/>
    <x v="10"/>
    <n v="35"/>
    <n v="171990"/>
    <n v="70560"/>
  </r>
  <r>
    <x v="8"/>
    <x v="0"/>
    <x v="8"/>
    <x v="2"/>
    <x v="1"/>
    <x v="10"/>
    <n v="37"/>
    <n v="201243"/>
    <n v="74592"/>
  </r>
  <r>
    <x v="9"/>
    <x v="0"/>
    <x v="9"/>
    <x v="2"/>
    <x v="1"/>
    <x v="10"/>
    <n v="31"/>
    <n v="177537"/>
    <n v="62496"/>
  </r>
  <r>
    <x v="10"/>
    <x v="0"/>
    <x v="10"/>
    <x v="2"/>
    <x v="1"/>
    <x v="10"/>
    <n v="22"/>
    <n v="116358"/>
    <n v="44352"/>
  </r>
  <r>
    <x v="11"/>
    <x v="0"/>
    <x v="11"/>
    <x v="2"/>
    <x v="1"/>
    <x v="10"/>
    <n v="26"/>
    <n v="144248"/>
    <n v="52416"/>
  </r>
  <r>
    <x v="12"/>
    <x v="1"/>
    <x v="12"/>
    <x v="2"/>
    <x v="1"/>
    <x v="10"/>
    <n v="39"/>
    <n v="204477"/>
    <n v="78624"/>
  </r>
  <r>
    <x v="13"/>
    <x v="1"/>
    <x v="13"/>
    <x v="2"/>
    <x v="1"/>
    <x v="10"/>
    <n v="24"/>
    <n v="127416"/>
    <n v="48384"/>
  </r>
  <r>
    <x v="14"/>
    <x v="1"/>
    <x v="14"/>
    <x v="2"/>
    <x v="1"/>
    <x v="10"/>
    <n v="20"/>
    <n v="101520"/>
    <n v="40320"/>
  </r>
  <r>
    <x v="15"/>
    <x v="1"/>
    <x v="15"/>
    <x v="2"/>
    <x v="1"/>
    <x v="10"/>
    <n v="36"/>
    <n v="211140"/>
    <n v="72576"/>
  </r>
  <r>
    <x v="16"/>
    <x v="1"/>
    <x v="16"/>
    <x v="2"/>
    <x v="1"/>
    <x v="10"/>
    <n v="46"/>
    <n v="288328"/>
    <n v="92736"/>
  </r>
  <r>
    <x v="17"/>
    <x v="1"/>
    <x v="17"/>
    <x v="2"/>
    <x v="1"/>
    <x v="10"/>
    <n v="43"/>
    <n v="209367"/>
    <n v="86688"/>
  </r>
  <r>
    <x v="18"/>
    <x v="1"/>
    <x v="18"/>
    <x v="2"/>
    <x v="1"/>
    <x v="10"/>
    <n v="46"/>
    <n v="199548"/>
    <n v="92736"/>
  </r>
  <r>
    <x v="19"/>
    <x v="1"/>
    <x v="19"/>
    <x v="2"/>
    <x v="1"/>
    <x v="10"/>
    <n v="39"/>
    <n v="187707"/>
    <n v="78624"/>
  </r>
  <r>
    <x v="20"/>
    <x v="1"/>
    <x v="20"/>
    <x v="2"/>
    <x v="1"/>
    <x v="10"/>
    <n v="41"/>
    <n v="222671"/>
    <n v="82656"/>
  </r>
  <r>
    <x v="21"/>
    <x v="1"/>
    <x v="21"/>
    <x v="2"/>
    <x v="1"/>
    <x v="10"/>
    <n v="34"/>
    <n v="184280"/>
    <n v="68544"/>
  </r>
  <r>
    <x v="22"/>
    <x v="1"/>
    <x v="22"/>
    <x v="2"/>
    <x v="1"/>
    <x v="10"/>
    <n v="24"/>
    <n v="119712"/>
    <n v="48384"/>
  </r>
  <r>
    <x v="23"/>
    <x v="1"/>
    <x v="23"/>
    <x v="2"/>
    <x v="1"/>
    <x v="10"/>
    <n v="29"/>
    <n v="122351"/>
    <n v="58464"/>
  </r>
  <r>
    <x v="0"/>
    <x v="0"/>
    <x v="0"/>
    <x v="2"/>
    <x v="1"/>
    <x v="11"/>
    <n v="32"/>
    <n v="107712"/>
    <n v="29920.000000000004"/>
  </r>
  <r>
    <x v="1"/>
    <x v="0"/>
    <x v="1"/>
    <x v="2"/>
    <x v="1"/>
    <x v="11"/>
    <n v="20"/>
    <n v="54240"/>
    <n v="18700.000000000004"/>
  </r>
  <r>
    <x v="2"/>
    <x v="0"/>
    <x v="2"/>
    <x v="2"/>
    <x v="1"/>
    <x v="11"/>
    <n v="16"/>
    <n v="41072"/>
    <n v="14960.000000000002"/>
  </r>
  <r>
    <x v="3"/>
    <x v="0"/>
    <x v="3"/>
    <x v="2"/>
    <x v="1"/>
    <x v="11"/>
    <n v="30"/>
    <n v="97860"/>
    <n v="28050.000000000004"/>
  </r>
  <r>
    <x v="4"/>
    <x v="0"/>
    <x v="4"/>
    <x v="2"/>
    <x v="1"/>
    <x v="11"/>
    <n v="38"/>
    <n v="135014"/>
    <n v="35530.000000000007"/>
  </r>
  <r>
    <x v="5"/>
    <x v="0"/>
    <x v="5"/>
    <x v="2"/>
    <x v="1"/>
    <x v="11"/>
    <n v="36"/>
    <n v="98136"/>
    <n v="33660.000000000007"/>
  </r>
  <r>
    <x v="6"/>
    <x v="0"/>
    <x v="6"/>
    <x v="2"/>
    <x v="1"/>
    <x v="11"/>
    <n v="38"/>
    <n v="57000"/>
    <n v="35530.000000000007"/>
  </r>
  <r>
    <x v="7"/>
    <x v="0"/>
    <x v="7"/>
    <x v="2"/>
    <x v="1"/>
    <x v="11"/>
    <n v="32"/>
    <n v="83168"/>
    <n v="29920.000000000004"/>
  </r>
  <r>
    <x v="8"/>
    <x v="0"/>
    <x v="8"/>
    <x v="2"/>
    <x v="1"/>
    <x v="11"/>
    <n v="34"/>
    <n v="76806"/>
    <n v="31790.000000000004"/>
  </r>
  <r>
    <x v="9"/>
    <x v="0"/>
    <x v="9"/>
    <x v="2"/>
    <x v="1"/>
    <x v="11"/>
    <n v="28"/>
    <n v="102116"/>
    <n v="26180.000000000004"/>
  </r>
  <r>
    <x v="10"/>
    <x v="0"/>
    <x v="10"/>
    <x v="2"/>
    <x v="1"/>
    <x v="11"/>
    <n v="20"/>
    <n v="60940"/>
    <n v="18700.000000000004"/>
  </r>
  <r>
    <x v="11"/>
    <x v="0"/>
    <x v="11"/>
    <x v="2"/>
    <x v="1"/>
    <x v="11"/>
    <n v="24"/>
    <n v="75216"/>
    <n v="22440.000000000004"/>
  </r>
  <r>
    <x v="12"/>
    <x v="1"/>
    <x v="12"/>
    <x v="2"/>
    <x v="1"/>
    <x v="11"/>
    <n v="35"/>
    <n v="114940"/>
    <n v="32725.000000000004"/>
  </r>
  <r>
    <x v="13"/>
    <x v="1"/>
    <x v="13"/>
    <x v="2"/>
    <x v="1"/>
    <x v="11"/>
    <n v="22"/>
    <n v="69168"/>
    <n v="20570.000000000004"/>
  </r>
  <r>
    <x v="14"/>
    <x v="1"/>
    <x v="14"/>
    <x v="2"/>
    <x v="1"/>
    <x v="11"/>
    <n v="18"/>
    <n v="50868"/>
    <n v="16830.000000000004"/>
  </r>
  <r>
    <x v="15"/>
    <x v="1"/>
    <x v="15"/>
    <x v="2"/>
    <x v="1"/>
    <x v="11"/>
    <n v="33"/>
    <n v="102036"/>
    <n v="30855.000000000004"/>
  </r>
  <r>
    <x v="16"/>
    <x v="1"/>
    <x v="16"/>
    <x v="2"/>
    <x v="1"/>
    <x v="11"/>
    <n v="41"/>
    <n v="171667"/>
    <n v="38335.000000000007"/>
  </r>
  <r>
    <x v="17"/>
    <x v="1"/>
    <x v="17"/>
    <x v="2"/>
    <x v="1"/>
    <x v="11"/>
    <n v="39"/>
    <n v="148200"/>
    <n v="36465.000000000007"/>
  </r>
  <r>
    <x v="18"/>
    <x v="1"/>
    <x v="18"/>
    <x v="2"/>
    <x v="1"/>
    <x v="11"/>
    <n v="41"/>
    <n v="68019"/>
    <n v="38335.000000000007"/>
  </r>
  <r>
    <x v="19"/>
    <x v="1"/>
    <x v="19"/>
    <x v="2"/>
    <x v="1"/>
    <x v="11"/>
    <n v="35"/>
    <n v="79520"/>
    <n v="32725.000000000004"/>
  </r>
  <r>
    <x v="20"/>
    <x v="1"/>
    <x v="20"/>
    <x v="2"/>
    <x v="1"/>
    <x v="11"/>
    <n v="37"/>
    <n v="105117"/>
    <n v="34595.000000000007"/>
  </r>
  <r>
    <x v="21"/>
    <x v="1"/>
    <x v="21"/>
    <x v="2"/>
    <x v="1"/>
    <x v="11"/>
    <n v="31"/>
    <n v="91729"/>
    <n v="28985.000000000004"/>
  </r>
  <r>
    <x v="22"/>
    <x v="1"/>
    <x v="22"/>
    <x v="2"/>
    <x v="1"/>
    <x v="11"/>
    <n v="22"/>
    <n v="68376"/>
    <n v="20570.000000000004"/>
  </r>
  <r>
    <x v="23"/>
    <x v="1"/>
    <x v="23"/>
    <x v="2"/>
    <x v="1"/>
    <x v="11"/>
    <n v="26"/>
    <n v="52650"/>
    <n v="24310.000000000004"/>
  </r>
  <r>
    <x v="0"/>
    <x v="0"/>
    <x v="0"/>
    <x v="2"/>
    <x v="1"/>
    <x v="12"/>
    <n v="39"/>
    <n v="182832"/>
    <n v="77064"/>
  </r>
  <r>
    <x v="1"/>
    <x v="0"/>
    <x v="1"/>
    <x v="2"/>
    <x v="1"/>
    <x v="12"/>
    <n v="25"/>
    <n v="122225"/>
    <n v="49400"/>
  </r>
  <r>
    <x v="2"/>
    <x v="0"/>
    <x v="2"/>
    <x v="2"/>
    <x v="1"/>
    <x v="12"/>
    <n v="20"/>
    <n v="92260"/>
    <n v="39520"/>
  </r>
  <r>
    <x v="3"/>
    <x v="0"/>
    <x v="3"/>
    <x v="2"/>
    <x v="1"/>
    <x v="12"/>
    <n v="37"/>
    <n v="201650"/>
    <n v="73112"/>
  </r>
  <r>
    <x v="4"/>
    <x v="0"/>
    <x v="4"/>
    <x v="2"/>
    <x v="1"/>
    <x v="12"/>
    <n v="46"/>
    <n v="298770"/>
    <n v="90896"/>
  </r>
  <r>
    <x v="5"/>
    <x v="0"/>
    <x v="5"/>
    <x v="2"/>
    <x v="1"/>
    <x v="12"/>
    <n v="44"/>
    <n v="229416"/>
    <n v="86944"/>
  </r>
  <r>
    <x v="6"/>
    <x v="0"/>
    <x v="6"/>
    <x v="2"/>
    <x v="1"/>
    <x v="12"/>
    <n v="46"/>
    <n v="132664"/>
    <n v="90896"/>
  </r>
  <r>
    <x v="7"/>
    <x v="0"/>
    <x v="7"/>
    <x v="2"/>
    <x v="1"/>
    <x v="12"/>
    <n v="39"/>
    <n v="175890"/>
    <n v="77064"/>
  </r>
  <r>
    <x v="8"/>
    <x v="0"/>
    <x v="8"/>
    <x v="2"/>
    <x v="1"/>
    <x v="12"/>
    <n v="41"/>
    <n v="202212"/>
    <n v="81016"/>
  </r>
  <r>
    <x v="9"/>
    <x v="0"/>
    <x v="9"/>
    <x v="2"/>
    <x v="1"/>
    <x v="12"/>
    <n v="34"/>
    <n v="182750"/>
    <n v="67184"/>
  </r>
  <r>
    <x v="10"/>
    <x v="0"/>
    <x v="10"/>
    <x v="2"/>
    <x v="1"/>
    <x v="12"/>
    <n v="25"/>
    <n v="136625"/>
    <n v="49400"/>
  </r>
  <r>
    <x v="11"/>
    <x v="0"/>
    <x v="11"/>
    <x v="2"/>
    <x v="1"/>
    <x v="12"/>
    <n v="29"/>
    <n v="126469"/>
    <n v="57304"/>
  </r>
  <r>
    <x v="12"/>
    <x v="1"/>
    <x v="12"/>
    <x v="2"/>
    <x v="1"/>
    <x v="12"/>
    <n v="43"/>
    <n v="227771"/>
    <n v="84968"/>
  </r>
  <r>
    <x v="13"/>
    <x v="1"/>
    <x v="13"/>
    <x v="2"/>
    <x v="1"/>
    <x v="12"/>
    <n v="27"/>
    <n v="156924"/>
    <n v="53352"/>
  </r>
  <r>
    <x v="14"/>
    <x v="1"/>
    <x v="14"/>
    <x v="2"/>
    <x v="1"/>
    <x v="12"/>
    <n v="22"/>
    <n v="103092"/>
    <n v="43472"/>
  </r>
  <r>
    <x v="15"/>
    <x v="1"/>
    <x v="15"/>
    <x v="2"/>
    <x v="1"/>
    <x v="12"/>
    <n v="40"/>
    <n v="244080"/>
    <n v="79040"/>
  </r>
  <r>
    <x v="16"/>
    <x v="1"/>
    <x v="16"/>
    <x v="2"/>
    <x v="1"/>
    <x v="12"/>
    <n v="51"/>
    <n v="313038"/>
    <n v="100776"/>
  </r>
  <r>
    <x v="17"/>
    <x v="1"/>
    <x v="17"/>
    <x v="2"/>
    <x v="1"/>
    <x v="12"/>
    <n v="48"/>
    <n v="244128"/>
    <n v="94848"/>
  </r>
  <r>
    <x v="18"/>
    <x v="1"/>
    <x v="18"/>
    <x v="2"/>
    <x v="1"/>
    <x v="12"/>
    <n v="51"/>
    <n v="146676"/>
    <n v="100776"/>
  </r>
  <r>
    <x v="19"/>
    <x v="1"/>
    <x v="19"/>
    <x v="2"/>
    <x v="1"/>
    <x v="12"/>
    <n v="43"/>
    <n v="204852"/>
    <n v="84968"/>
  </r>
  <r>
    <x v="20"/>
    <x v="1"/>
    <x v="20"/>
    <x v="2"/>
    <x v="1"/>
    <x v="12"/>
    <n v="46"/>
    <n v="218408"/>
    <n v="90896"/>
  </r>
  <r>
    <x v="21"/>
    <x v="1"/>
    <x v="21"/>
    <x v="2"/>
    <x v="1"/>
    <x v="12"/>
    <n v="38"/>
    <n v="216904"/>
    <n v="75088"/>
  </r>
  <r>
    <x v="22"/>
    <x v="1"/>
    <x v="22"/>
    <x v="2"/>
    <x v="1"/>
    <x v="12"/>
    <n v="27"/>
    <n v="134730"/>
    <n v="53352"/>
  </r>
  <r>
    <x v="23"/>
    <x v="1"/>
    <x v="23"/>
    <x v="2"/>
    <x v="1"/>
    <x v="12"/>
    <n v="32"/>
    <n v="142144"/>
    <n v="63232"/>
  </r>
  <r>
    <x v="0"/>
    <x v="0"/>
    <x v="0"/>
    <x v="2"/>
    <x v="1"/>
    <x v="13"/>
    <n v="35"/>
    <n v="189910"/>
    <n v="63000"/>
  </r>
  <r>
    <x v="1"/>
    <x v="0"/>
    <x v="1"/>
    <x v="2"/>
    <x v="1"/>
    <x v="13"/>
    <n v="22"/>
    <n v="120780"/>
    <n v="39600"/>
  </r>
  <r>
    <x v="2"/>
    <x v="0"/>
    <x v="2"/>
    <x v="2"/>
    <x v="1"/>
    <x v="13"/>
    <n v="18"/>
    <n v="92448"/>
    <n v="32400"/>
  </r>
  <r>
    <x v="3"/>
    <x v="0"/>
    <x v="3"/>
    <x v="2"/>
    <x v="1"/>
    <x v="13"/>
    <n v="33"/>
    <n v="222948"/>
    <n v="59400"/>
  </r>
  <r>
    <x v="4"/>
    <x v="0"/>
    <x v="4"/>
    <x v="2"/>
    <x v="1"/>
    <x v="13"/>
    <n v="42"/>
    <n v="255360"/>
    <n v="75600"/>
  </r>
  <r>
    <x v="5"/>
    <x v="0"/>
    <x v="5"/>
    <x v="2"/>
    <x v="1"/>
    <x v="13"/>
    <n v="39"/>
    <n v="228735"/>
    <n v="70200"/>
  </r>
  <r>
    <x v="6"/>
    <x v="0"/>
    <x v="6"/>
    <x v="2"/>
    <x v="1"/>
    <x v="13"/>
    <n v="42"/>
    <n v="180264"/>
    <n v="75600"/>
  </r>
  <r>
    <x v="7"/>
    <x v="0"/>
    <x v="7"/>
    <x v="2"/>
    <x v="1"/>
    <x v="13"/>
    <n v="35"/>
    <n v="169085"/>
    <n v="63000"/>
  </r>
  <r>
    <x v="8"/>
    <x v="0"/>
    <x v="8"/>
    <x v="2"/>
    <x v="1"/>
    <x v="13"/>
    <n v="37"/>
    <n v="191623"/>
    <n v="66600"/>
  </r>
  <r>
    <x v="9"/>
    <x v="0"/>
    <x v="9"/>
    <x v="2"/>
    <x v="1"/>
    <x v="13"/>
    <n v="31"/>
    <n v="181877"/>
    <n v="55800"/>
  </r>
  <r>
    <x v="10"/>
    <x v="0"/>
    <x v="10"/>
    <x v="2"/>
    <x v="1"/>
    <x v="13"/>
    <n v="22"/>
    <n v="142758"/>
    <n v="39600"/>
  </r>
  <r>
    <x v="11"/>
    <x v="0"/>
    <x v="11"/>
    <x v="2"/>
    <x v="1"/>
    <x v="13"/>
    <n v="26"/>
    <n v="147108"/>
    <n v="46800"/>
  </r>
  <r>
    <x v="12"/>
    <x v="1"/>
    <x v="12"/>
    <x v="2"/>
    <x v="1"/>
    <x v="13"/>
    <n v="39"/>
    <n v="207402"/>
    <n v="70200"/>
  </r>
  <r>
    <x v="13"/>
    <x v="1"/>
    <x v="13"/>
    <x v="2"/>
    <x v="1"/>
    <x v="13"/>
    <n v="24"/>
    <n v="148872"/>
    <n v="43200"/>
  </r>
  <r>
    <x v="14"/>
    <x v="1"/>
    <x v="14"/>
    <x v="2"/>
    <x v="1"/>
    <x v="13"/>
    <n v="20"/>
    <n v="95020"/>
    <n v="36000"/>
  </r>
  <r>
    <x v="15"/>
    <x v="1"/>
    <x v="15"/>
    <x v="2"/>
    <x v="1"/>
    <x v="13"/>
    <n v="36"/>
    <n v="207756"/>
    <n v="64800"/>
  </r>
  <r>
    <x v="16"/>
    <x v="1"/>
    <x v="16"/>
    <x v="2"/>
    <x v="1"/>
    <x v="13"/>
    <n v="46"/>
    <n v="287316"/>
    <n v="82800"/>
  </r>
  <r>
    <x v="17"/>
    <x v="1"/>
    <x v="17"/>
    <x v="2"/>
    <x v="1"/>
    <x v="13"/>
    <n v="43"/>
    <n v="264278"/>
    <n v="77400"/>
  </r>
  <r>
    <x v="18"/>
    <x v="1"/>
    <x v="18"/>
    <x v="2"/>
    <x v="1"/>
    <x v="13"/>
    <n v="46"/>
    <n v="196052"/>
    <n v="82800"/>
  </r>
  <r>
    <x v="19"/>
    <x v="1"/>
    <x v="19"/>
    <x v="2"/>
    <x v="1"/>
    <x v="13"/>
    <n v="39"/>
    <n v="201396"/>
    <n v="70200"/>
  </r>
  <r>
    <x v="20"/>
    <x v="1"/>
    <x v="20"/>
    <x v="2"/>
    <x v="1"/>
    <x v="13"/>
    <n v="41"/>
    <n v="211765"/>
    <n v="73800"/>
  </r>
  <r>
    <x v="21"/>
    <x v="1"/>
    <x v="21"/>
    <x v="2"/>
    <x v="1"/>
    <x v="13"/>
    <n v="34"/>
    <n v="206244"/>
    <n v="61200"/>
  </r>
  <r>
    <x v="22"/>
    <x v="1"/>
    <x v="22"/>
    <x v="2"/>
    <x v="1"/>
    <x v="13"/>
    <n v="24"/>
    <n v="143880"/>
    <n v="43200"/>
  </r>
  <r>
    <x v="23"/>
    <x v="1"/>
    <x v="23"/>
    <x v="2"/>
    <x v="1"/>
    <x v="13"/>
    <n v="29"/>
    <n v="147813"/>
    <n v="52200"/>
  </r>
  <r>
    <x v="0"/>
    <x v="0"/>
    <x v="0"/>
    <x v="2"/>
    <x v="2"/>
    <x v="14"/>
    <n v="24"/>
    <n v="872856"/>
    <n v="495600"/>
  </r>
  <r>
    <x v="1"/>
    <x v="0"/>
    <x v="1"/>
    <x v="2"/>
    <x v="2"/>
    <x v="14"/>
    <n v="15"/>
    <n v="544320"/>
    <n v="309750"/>
  </r>
  <r>
    <x v="2"/>
    <x v="0"/>
    <x v="2"/>
    <x v="2"/>
    <x v="2"/>
    <x v="14"/>
    <n v="12"/>
    <n v="429096"/>
    <n v="247800"/>
  </r>
  <r>
    <x v="3"/>
    <x v="0"/>
    <x v="3"/>
    <x v="2"/>
    <x v="2"/>
    <x v="14"/>
    <n v="22"/>
    <n v="803836"/>
    <n v="454300"/>
  </r>
  <r>
    <x v="4"/>
    <x v="0"/>
    <x v="4"/>
    <x v="2"/>
    <x v="2"/>
    <x v="14"/>
    <n v="28"/>
    <n v="1044820"/>
    <n v="578200"/>
  </r>
  <r>
    <x v="5"/>
    <x v="0"/>
    <x v="5"/>
    <x v="2"/>
    <x v="2"/>
    <x v="14"/>
    <n v="27"/>
    <n v="978588"/>
    <n v="557550"/>
  </r>
  <r>
    <x v="6"/>
    <x v="0"/>
    <x v="6"/>
    <x v="2"/>
    <x v="2"/>
    <x v="14"/>
    <n v="28"/>
    <n v="984284"/>
    <n v="578200"/>
  </r>
  <r>
    <x v="7"/>
    <x v="0"/>
    <x v="7"/>
    <x v="2"/>
    <x v="2"/>
    <x v="14"/>
    <n v="24"/>
    <n v="866088"/>
    <n v="495600"/>
  </r>
  <r>
    <x v="8"/>
    <x v="0"/>
    <x v="8"/>
    <x v="2"/>
    <x v="2"/>
    <x v="14"/>
    <n v="25"/>
    <n v="879275"/>
    <n v="516250"/>
  </r>
  <r>
    <x v="9"/>
    <x v="0"/>
    <x v="9"/>
    <x v="2"/>
    <x v="2"/>
    <x v="14"/>
    <n v="21"/>
    <n v="765786"/>
    <n v="433650"/>
  </r>
  <r>
    <x v="10"/>
    <x v="0"/>
    <x v="10"/>
    <x v="2"/>
    <x v="2"/>
    <x v="14"/>
    <n v="15"/>
    <n v="552075"/>
    <n v="309750"/>
  </r>
  <r>
    <x v="11"/>
    <x v="0"/>
    <x v="11"/>
    <x v="2"/>
    <x v="2"/>
    <x v="14"/>
    <n v="18"/>
    <n v="648558"/>
    <n v="371700"/>
  </r>
  <r>
    <x v="12"/>
    <x v="1"/>
    <x v="12"/>
    <x v="2"/>
    <x v="2"/>
    <x v="14"/>
    <n v="26"/>
    <n v="937716"/>
    <n v="536900"/>
  </r>
  <r>
    <x v="13"/>
    <x v="1"/>
    <x v="13"/>
    <x v="2"/>
    <x v="2"/>
    <x v="14"/>
    <n v="16"/>
    <n v="585200"/>
    <n v="330400"/>
  </r>
  <r>
    <x v="14"/>
    <x v="1"/>
    <x v="14"/>
    <x v="2"/>
    <x v="2"/>
    <x v="14"/>
    <n v="13"/>
    <n v="468858"/>
    <n v="268450"/>
  </r>
  <r>
    <x v="15"/>
    <x v="1"/>
    <x v="15"/>
    <x v="2"/>
    <x v="2"/>
    <x v="14"/>
    <n v="24"/>
    <n v="878928"/>
    <n v="495600"/>
  </r>
  <r>
    <x v="16"/>
    <x v="1"/>
    <x v="16"/>
    <x v="2"/>
    <x v="2"/>
    <x v="14"/>
    <n v="31"/>
    <n v="1127005"/>
    <n v="640150"/>
  </r>
  <r>
    <x v="17"/>
    <x v="1"/>
    <x v="17"/>
    <x v="2"/>
    <x v="2"/>
    <x v="14"/>
    <n v="29"/>
    <n v="1062734"/>
    <n v="598850"/>
  </r>
  <r>
    <x v="18"/>
    <x v="1"/>
    <x v="18"/>
    <x v="2"/>
    <x v="2"/>
    <x v="14"/>
    <n v="31"/>
    <n v="1080040"/>
    <n v="640150"/>
  </r>
  <r>
    <x v="19"/>
    <x v="1"/>
    <x v="19"/>
    <x v="2"/>
    <x v="2"/>
    <x v="14"/>
    <n v="26"/>
    <n v="914446"/>
    <n v="536900"/>
  </r>
  <r>
    <x v="20"/>
    <x v="1"/>
    <x v="20"/>
    <x v="2"/>
    <x v="2"/>
    <x v="14"/>
    <n v="28"/>
    <n v="1012732"/>
    <n v="578200"/>
  </r>
  <r>
    <x v="21"/>
    <x v="1"/>
    <x v="21"/>
    <x v="2"/>
    <x v="2"/>
    <x v="14"/>
    <n v="23"/>
    <n v="852840"/>
    <n v="474950"/>
  </r>
  <r>
    <x v="22"/>
    <x v="1"/>
    <x v="22"/>
    <x v="2"/>
    <x v="2"/>
    <x v="14"/>
    <n v="16"/>
    <n v="575728"/>
    <n v="330400"/>
  </r>
  <r>
    <x v="23"/>
    <x v="1"/>
    <x v="23"/>
    <x v="2"/>
    <x v="2"/>
    <x v="14"/>
    <n v="20"/>
    <n v="713240"/>
    <n v="413000"/>
  </r>
  <r>
    <x v="0"/>
    <x v="0"/>
    <x v="0"/>
    <x v="2"/>
    <x v="2"/>
    <x v="15"/>
    <n v="19"/>
    <n v="636215"/>
    <n v="297920"/>
  </r>
  <r>
    <x v="1"/>
    <x v="0"/>
    <x v="1"/>
    <x v="2"/>
    <x v="2"/>
    <x v="15"/>
    <n v="12"/>
    <n v="398976"/>
    <n v="188160"/>
  </r>
  <r>
    <x v="2"/>
    <x v="0"/>
    <x v="2"/>
    <x v="2"/>
    <x v="2"/>
    <x v="15"/>
    <n v="10"/>
    <n v="327930"/>
    <n v="156800"/>
  </r>
  <r>
    <x v="3"/>
    <x v="0"/>
    <x v="3"/>
    <x v="2"/>
    <x v="2"/>
    <x v="15"/>
    <n v="18"/>
    <n v="607680"/>
    <n v="282240"/>
  </r>
  <r>
    <x v="4"/>
    <x v="0"/>
    <x v="4"/>
    <x v="2"/>
    <x v="2"/>
    <x v="15"/>
    <n v="23"/>
    <n v="774847"/>
    <n v="360640"/>
  </r>
  <r>
    <x v="5"/>
    <x v="0"/>
    <x v="5"/>
    <x v="2"/>
    <x v="2"/>
    <x v="15"/>
    <n v="21"/>
    <n v="699111"/>
    <n v="329280"/>
  </r>
  <r>
    <x v="6"/>
    <x v="0"/>
    <x v="6"/>
    <x v="2"/>
    <x v="2"/>
    <x v="15"/>
    <n v="23"/>
    <n v="720452"/>
    <n v="360640"/>
  </r>
  <r>
    <x v="7"/>
    <x v="0"/>
    <x v="7"/>
    <x v="2"/>
    <x v="2"/>
    <x v="15"/>
    <n v="19"/>
    <n v="626753"/>
    <n v="297920"/>
  </r>
  <r>
    <x v="8"/>
    <x v="0"/>
    <x v="8"/>
    <x v="2"/>
    <x v="2"/>
    <x v="15"/>
    <n v="20"/>
    <n v="650900"/>
    <n v="313600"/>
  </r>
  <r>
    <x v="9"/>
    <x v="0"/>
    <x v="9"/>
    <x v="2"/>
    <x v="2"/>
    <x v="15"/>
    <n v="17"/>
    <n v="563295"/>
    <n v="266560"/>
  </r>
  <r>
    <x v="10"/>
    <x v="0"/>
    <x v="10"/>
    <x v="2"/>
    <x v="2"/>
    <x v="15"/>
    <n v="12"/>
    <n v="401256"/>
    <n v="188160"/>
  </r>
  <r>
    <x v="11"/>
    <x v="0"/>
    <x v="11"/>
    <x v="2"/>
    <x v="2"/>
    <x v="15"/>
    <n v="14"/>
    <n v="461314"/>
    <n v="219520"/>
  </r>
  <r>
    <x v="12"/>
    <x v="1"/>
    <x v="12"/>
    <x v="2"/>
    <x v="2"/>
    <x v="15"/>
    <n v="21"/>
    <n v="698124"/>
    <n v="329280"/>
  </r>
  <r>
    <x v="13"/>
    <x v="1"/>
    <x v="13"/>
    <x v="2"/>
    <x v="2"/>
    <x v="15"/>
    <n v="13"/>
    <n v="427076"/>
    <n v="203840"/>
  </r>
  <r>
    <x v="14"/>
    <x v="1"/>
    <x v="14"/>
    <x v="2"/>
    <x v="2"/>
    <x v="15"/>
    <n v="11"/>
    <n v="362329"/>
    <n v="172480"/>
  </r>
  <r>
    <x v="15"/>
    <x v="1"/>
    <x v="15"/>
    <x v="2"/>
    <x v="2"/>
    <x v="15"/>
    <n v="20"/>
    <n v="667660"/>
    <n v="313600"/>
  </r>
  <r>
    <x v="16"/>
    <x v="1"/>
    <x v="16"/>
    <x v="2"/>
    <x v="2"/>
    <x v="15"/>
    <n v="25"/>
    <n v="832625"/>
    <n v="392000"/>
  </r>
  <r>
    <x v="17"/>
    <x v="1"/>
    <x v="17"/>
    <x v="2"/>
    <x v="2"/>
    <x v="15"/>
    <n v="23"/>
    <n v="763094"/>
    <n v="360640"/>
  </r>
  <r>
    <x v="18"/>
    <x v="1"/>
    <x v="18"/>
    <x v="2"/>
    <x v="2"/>
    <x v="15"/>
    <n v="25"/>
    <n v="794675"/>
    <n v="392000"/>
  </r>
  <r>
    <x v="19"/>
    <x v="1"/>
    <x v="19"/>
    <x v="2"/>
    <x v="2"/>
    <x v="15"/>
    <n v="21"/>
    <n v="691320"/>
    <n v="329280"/>
  </r>
  <r>
    <x v="20"/>
    <x v="1"/>
    <x v="20"/>
    <x v="2"/>
    <x v="2"/>
    <x v="15"/>
    <n v="22"/>
    <n v="715880"/>
    <n v="344960"/>
  </r>
  <r>
    <x v="21"/>
    <x v="1"/>
    <x v="21"/>
    <x v="2"/>
    <x v="2"/>
    <x v="15"/>
    <n v="18"/>
    <n v="604746"/>
    <n v="282240"/>
  </r>
  <r>
    <x v="22"/>
    <x v="1"/>
    <x v="22"/>
    <x v="2"/>
    <x v="2"/>
    <x v="15"/>
    <n v="13"/>
    <n v="426166"/>
    <n v="203840"/>
  </r>
  <r>
    <x v="23"/>
    <x v="1"/>
    <x v="23"/>
    <x v="2"/>
    <x v="2"/>
    <x v="15"/>
    <n v="16"/>
    <n v="530560"/>
    <n v="250880"/>
  </r>
  <r>
    <x v="0"/>
    <x v="0"/>
    <x v="0"/>
    <x v="2"/>
    <x v="2"/>
    <x v="16"/>
    <n v="21"/>
    <n v="893907"/>
    <n v="379260"/>
  </r>
  <r>
    <x v="1"/>
    <x v="0"/>
    <x v="1"/>
    <x v="2"/>
    <x v="2"/>
    <x v="16"/>
    <n v="13"/>
    <n v="567645"/>
    <n v="234780"/>
  </r>
  <r>
    <x v="2"/>
    <x v="0"/>
    <x v="2"/>
    <x v="2"/>
    <x v="2"/>
    <x v="16"/>
    <n v="11"/>
    <n v="472285"/>
    <n v="198660"/>
  </r>
  <r>
    <x v="3"/>
    <x v="0"/>
    <x v="3"/>
    <x v="2"/>
    <x v="2"/>
    <x v="16"/>
    <n v="20"/>
    <n v="878940"/>
    <n v="361200"/>
  </r>
  <r>
    <x v="4"/>
    <x v="0"/>
    <x v="4"/>
    <x v="2"/>
    <x v="2"/>
    <x v="16"/>
    <n v="25"/>
    <n v="1109450"/>
    <n v="451500"/>
  </r>
  <r>
    <x v="5"/>
    <x v="0"/>
    <x v="5"/>
    <x v="2"/>
    <x v="2"/>
    <x v="16"/>
    <n v="24"/>
    <n v="1028928"/>
    <n v="433440"/>
  </r>
  <r>
    <x v="6"/>
    <x v="0"/>
    <x v="6"/>
    <x v="2"/>
    <x v="2"/>
    <x v="16"/>
    <n v="25"/>
    <n v="1060475"/>
    <n v="451500"/>
  </r>
  <r>
    <x v="7"/>
    <x v="0"/>
    <x v="7"/>
    <x v="2"/>
    <x v="2"/>
    <x v="16"/>
    <n v="21"/>
    <n v="907263"/>
    <n v="379260"/>
  </r>
  <r>
    <x v="8"/>
    <x v="0"/>
    <x v="8"/>
    <x v="2"/>
    <x v="2"/>
    <x v="16"/>
    <n v="23"/>
    <n v="983733"/>
    <n v="415380"/>
  </r>
  <r>
    <x v="9"/>
    <x v="0"/>
    <x v="9"/>
    <x v="2"/>
    <x v="2"/>
    <x v="16"/>
    <n v="19"/>
    <n v="815499"/>
    <n v="343140"/>
  </r>
  <r>
    <x v="10"/>
    <x v="0"/>
    <x v="10"/>
    <x v="2"/>
    <x v="2"/>
    <x v="16"/>
    <n v="13"/>
    <n v="564720"/>
    <n v="234780"/>
  </r>
  <r>
    <x v="11"/>
    <x v="0"/>
    <x v="11"/>
    <x v="2"/>
    <x v="2"/>
    <x v="16"/>
    <n v="16"/>
    <n v="685360"/>
    <n v="288960"/>
  </r>
  <r>
    <x v="12"/>
    <x v="1"/>
    <x v="12"/>
    <x v="2"/>
    <x v="2"/>
    <x v="16"/>
    <n v="23"/>
    <n v="988356"/>
    <n v="415380"/>
  </r>
  <r>
    <x v="13"/>
    <x v="1"/>
    <x v="13"/>
    <x v="2"/>
    <x v="2"/>
    <x v="16"/>
    <n v="15"/>
    <n v="655185"/>
    <n v="270900"/>
  </r>
  <r>
    <x v="14"/>
    <x v="1"/>
    <x v="14"/>
    <x v="2"/>
    <x v="2"/>
    <x v="16"/>
    <n v="12"/>
    <n v="510132"/>
    <n v="216720"/>
  </r>
  <r>
    <x v="15"/>
    <x v="1"/>
    <x v="15"/>
    <x v="2"/>
    <x v="2"/>
    <x v="16"/>
    <n v="22"/>
    <n v="974490"/>
    <n v="397320"/>
  </r>
  <r>
    <x v="16"/>
    <x v="1"/>
    <x v="16"/>
    <x v="2"/>
    <x v="2"/>
    <x v="16"/>
    <n v="28"/>
    <n v="1242304"/>
    <n v="505680"/>
  </r>
  <r>
    <x v="17"/>
    <x v="1"/>
    <x v="17"/>
    <x v="2"/>
    <x v="2"/>
    <x v="16"/>
    <n v="26"/>
    <n v="1134380"/>
    <n v="469560"/>
  </r>
  <r>
    <x v="18"/>
    <x v="1"/>
    <x v="18"/>
    <x v="2"/>
    <x v="2"/>
    <x v="16"/>
    <n v="28"/>
    <n v="1166592"/>
    <n v="505680"/>
  </r>
  <r>
    <x v="19"/>
    <x v="1"/>
    <x v="19"/>
    <x v="2"/>
    <x v="2"/>
    <x v="16"/>
    <n v="23"/>
    <n v="979110"/>
    <n v="415380"/>
  </r>
  <r>
    <x v="20"/>
    <x v="1"/>
    <x v="20"/>
    <x v="2"/>
    <x v="2"/>
    <x v="16"/>
    <n v="25"/>
    <n v="1067525"/>
    <n v="451500"/>
  </r>
  <r>
    <x v="21"/>
    <x v="1"/>
    <x v="21"/>
    <x v="2"/>
    <x v="2"/>
    <x v="16"/>
    <n v="20"/>
    <n v="858140"/>
    <n v="361200"/>
  </r>
  <r>
    <x v="22"/>
    <x v="1"/>
    <x v="22"/>
    <x v="2"/>
    <x v="2"/>
    <x v="16"/>
    <n v="15"/>
    <n v="656955"/>
    <n v="270900"/>
  </r>
  <r>
    <x v="23"/>
    <x v="1"/>
    <x v="23"/>
    <x v="2"/>
    <x v="2"/>
    <x v="16"/>
    <n v="18"/>
    <n v="767160"/>
    <n v="325080"/>
  </r>
  <r>
    <x v="0"/>
    <x v="0"/>
    <x v="0"/>
    <x v="2"/>
    <x v="2"/>
    <x v="17"/>
    <n v="19"/>
    <n v="561678"/>
    <n v="212800"/>
  </r>
  <r>
    <x v="1"/>
    <x v="0"/>
    <x v="1"/>
    <x v="2"/>
    <x v="2"/>
    <x v="17"/>
    <n v="12"/>
    <n v="353472"/>
    <n v="134400"/>
  </r>
  <r>
    <x v="2"/>
    <x v="0"/>
    <x v="2"/>
    <x v="2"/>
    <x v="2"/>
    <x v="17"/>
    <n v="10"/>
    <n v="284380"/>
    <n v="112000"/>
  </r>
  <r>
    <x v="3"/>
    <x v="0"/>
    <x v="3"/>
    <x v="2"/>
    <x v="2"/>
    <x v="17"/>
    <n v="18"/>
    <n v="533448"/>
    <n v="201600"/>
  </r>
  <r>
    <x v="4"/>
    <x v="0"/>
    <x v="4"/>
    <x v="2"/>
    <x v="2"/>
    <x v="17"/>
    <n v="23"/>
    <n v="696486"/>
    <n v="257600"/>
  </r>
  <r>
    <x v="5"/>
    <x v="0"/>
    <x v="5"/>
    <x v="2"/>
    <x v="2"/>
    <x v="17"/>
    <n v="22"/>
    <n v="650430"/>
    <n v="246400"/>
  </r>
  <r>
    <x v="6"/>
    <x v="0"/>
    <x v="6"/>
    <x v="2"/>
    <x v="2"/>
    <x v="17"/>
    <n v="23"/>
    <n v="625094"/>
    <n v="257600"/>
  </r>
  <r>
    <x v="7"/>
    <x v="0"/>
    <x v="7"/>
    <x v="2"/>
    <x v="2"/>
    <x v="17"/>
    <n v="19"/>
    <n v="536788"/>
    <n v="212800"/>
  </r>
  <r>
    <x v="8"/>
    <x v="0"/>
    <x v="8"/>
    <x v="2"/>
    <x v="2"/>
    <x v="17"/>
    <n v="20"/>
    <n v="572580"/>
    <n v="224000"/>
  </r>
  <r>
    <x v="9"/>
    <x v="0"/>
    <x v="9"/>
    <x v="2"/>
    <x v="2"/>
    <x v="17"/>
    <n v="17"/>
    <n v="509456"/>
    <n v="190400"/>
  </r>
  <r>
    <x v="10"/>
    <x v="0"/>
    <x v="10"/>
    <x v="2"/>
    <x v="2"/>
    <x v="17"/>
    <n v="12"/>
    <n v="349932"/>
    <n v="134400"/>
  </r>
  <r>
    <x v="11"/>
    <x v="0"/>
    <x v="11"/>
    <x v="2"/>
    <x v="2"/>
    <x v="17"/>
    <n v="15"/>
    <n v="433485"/>
    <n v="168000"/>
  </r>
  <r>
    <x v="12"/>
    <x v="1"/>
    <x v="12"/>
    <x v="2"/>
    <x v="2"/>
    <x v="17"/>
    <n v="21"/>
    <n v="611520"/>
    <n v="235200"/>
  </r>
  <r>
    <x v="13"/>
    <x v="1"/>
    <x v="13"/>
    <x v="2"/>
    <x v="2"/>
    <x v="17"/>
    <n v="13"/>
    <n v="380367"/>
    <n v="145600"/>
  </r>
  <r>
    <x v="14"/>
    <x v="1"/>
    <x v="14"/>
    <x v="2"/>
    <x v="2"/>
    <x v="17"/>
    <n v="11"/>
    <n v="320474"/>
    <n v="123200"/>
  </r>
  <r>
    <x v="15"/>
    <x v="1"/>
    <x v="15"/>
    <x v="2"/>
    <x v="2"/>
    <x v="17"/>
    <n v="20"/>
    <n v="593640"/>
    <n v="224000"/>
  </r>
  <r>
    <x v="16"/>
    <x v="1"/>
    <x v="16"/>
    <x v="2"/>
    <x v="2"/>
    <x v="17"/>
    <n v="25"/>
    <n v="751200"/>
    <n v="280000"/>
  </r>
  <r>
    <x v="17"/>
    <x v="1"/>
    <x v="17"/>
    <x v="2"/>
    <x v="2"/>
    <x v="17"/>
    <n v="24"/>
    <n v="696648"/>
    <n v="268800"/>
  </r>
  <r>
    <x v="18"/>
    <x v="1"/>
    <x v="18"/>
    <x v="2"/>
    <x v="2"/>
    <x v="17"/>
    <n v="25"/>
    <n v="686125"/>
    <n v="280000"/>
  </r>
  <r>
    <x v="19"/>
    <x v="1"/>
    <x v="19"/>
    <x v="2"/>
    <x v="2"/>
    <x v="17"/>
    <n v="21"/>
    <n v="616476"/>
    <n v="235200"/>
  </r>
  <r>
    <x v="20"/>
    <x v="1"/>
    <x v="20"/>
    <x v="2"/>
    <x v="2"/>
    <x v="17"/>
    <n v="22"/>
    <n v="638110"/>
    <n v="246400"/>
  </r>
  <r>
    <x v="21"/>
    <x v="1"/>
    <x v="21"/>
    <x v="2"/>
    <x v="2"/>
    <x v="17"/>
    <n v="19"/>
    <n v="557042"/>
    <n v="212800"/>
  </r>
  <r>
    <x v="22"/>
    <x v="1"/>
    <x v="22"/>
    <x v="2"/>
    <x v="2"/>
    <x v="17"/>
    <n v="13"/>
    <n v="371865"/>
    <n v="145600"/>
  </r>
  <r>
    <x v="23"/>
    <x v="1"/>
    <x v="23"/>
    <x v="2"/>
    <x v="2"/>
    <x v="17"/>
    <n v="16"/>
    <n v="464688"/>
    <n v="179200"/>
  </r>
  <r>
    <x v="0"/>
    <x v="0"/>
    <x v="0"/>
    <x v="2"/>
    <x v="2"/>
    <x v="18"/>
    <n v="24"/>
    <n v="1111752"/>
    <n v="604800.00000000012"/>
  </r>
  <r>
    <x v="1"/>
    <x v="0"/>
    <x v="1"/>
    <x v="2"/>
    <x v="2"/>
    <x v="18"/>
    <n v="15"/>
    <n v="701055"/>
    <n v="378000.00000000006"/>
  </r>
  <r>
    <x v="2"/>
    <x v="0"/>
    <x v="2"/>
    <x v="2"/>
    <x v="2"/>
    <x v="18"/>
    <n v="12"/>
    <n v="547296"/>
    <n v="302400.00000000006"/>
  </r>
  <r>
    <x v="3"/>
    <x v="0"/>
    <x v="3"/>
    <x v="2"/>
    <x v="2"/>
    <x v="18"/>
    <n v="23"/>
    <n v="1084059"/>
    <n v="579600.00000000012"/>
  </r>
  <r>
    <x v="4"/>
    <x v="0"/>
    <x v="4"/>
    <x v="2"/>
    <x v="2"/>
    <x v="18"/>
    <n v="29"/>
    <n v="1352386"/>
    <n v="730800.00000000012"/>
  </r>
  <r>
    <x v="5"/>
    <x v="0"/>
    <x v="5"/>
    <x v="2"/>
    <x v="2"/>
    <x v="18"/>
    <n v="27"/>
    <n v="1242135"/>
    <n v="680400.00000000012"/>
  </r>
  <r>
    <x v="6"/>
    <x v="0"/>
    <x v="6"/>
    <x v="2"/>
    <x v="2"/>
    <x v="18"/>
    <n v="29"/>
    <n v="1309437"/>
    <n v="730800.00000000012"/>
  </r>
  <r>
    <x v="7"/>
    <x v="0"/>
    <x v="7"/>
    <x v="2"/>
    <x v="2"/>
    <x v="18"/>
    <n v="24"/>
    <n v="1096224"/>
    <n v="604800.00000000012"/>
  </r>
  <r>
    <x v="8"/>
    <x v="0"/>
    <x v="8"/>
    <x v="2"/>
    <x v="2"/>
    <x v="18"/>
    <n v="26"/>
    <n v="1195740"/>
    <n v="655200.00000000012"/>
  </r>
  <r>
    <x v="9"/>
    <x v="0"/>
    <x v="9"/>
    <x v="2"/>
    <x v="2"/>
    <x v="18"/>
    <n v="21"/>
    <n v="968184"/>
    <n v="529200.00000000012"/>
  </r>
  <r>
    <x v="10"/>
    <x v="0"/>
    <x v="10"/>
    <x v="2"/>
    <x v="2"/>
    <x v="18"/>
    <n v="15"/>
    <n v="699540"/>
    <n v="378000.00000000006"/>
  </r>
  <r>
    <x v="11"/>
    <x v="0"/>
    <x v="11"/>
    <x v="2"/>
    <x v="2"/>
    <x v="18"/>
    <n v="18"/>
    <n v="835596"/>
    <n v="453600.00000000006"/>
  </r>
  <r>
    <x v="12"/>
    <x v="1"/>
    <x v="12"/>
    <x v="2"/>
    <x v="2"/>
    <x v="18"/>
    <n v="27"/>
    <n v="1249209"/>
    <n v="680400.00000000012"/>
  </r>
  <r>
    <x v="13"/>
    <x v="1"/>
    <x v="13"/>
    <x v="2"/>
    <x v="2"/>
    <x v="18"/>
    <n v="17"/>
    <n v="797096"/>
    <n v="428400.00000000006"/>
  </r>
  <r>
    <x v="14"/>
    <x v="1"/>
    <x v="14"/>
    <x v="2"/>
    <x v="2"/>
    <x v="18"/>
    <n v="14"/>
    <n v="632268"/>
    <n v="352800.00000000006"/>
  </r>
  <r>
    <x v="15"/>
    <x v="1"/>
    <x v="15"/>
    <x v="2"/>
    <x v="2"/>
    <x v="18"/>
    <n v="25"/>
    <n v="1162125"/>
    <n v="630000.00000000012"/>
  </r>
  <r>
    <x v="16"/>
    <x v="1"/>
    <x v="16"/>
    <x v="2"/>
    <x v="2"/>
    <x v="18"/>
    <n v="32"/>
    <n v="1519584"/>
    <n v="806400.00000000012"/>
  </r>
  <r>
    <x v="17"/>
    <x v="1"/>
    <x v="17"/>
    <x v="2"/>
    <x v="2"/>
    <x v="18"/>
    <n v="30"/>
    <n v="1402620"/>
    <n v="756000.00000000012"/>
  </r>
  <r>
    <x v="18"/>
    <x v="1"/>
    <x v="18"/>
    <x v="2"/>
    <x v="2"/>
    <x v="18"/>
    <n v="32"/>
    <n v="1447328"/>
    <n v="806400.00000000012"/>
  </r>
  <r>
    <x v="19"/>
    <x v="1"/>
    <x v="19"/>
    <x v="2"/>
    <x v="2"/>
    <x v="18"/>
    <n v="27"/>
    <n v="1227339"/>
    <n v="680400.00000000012"/>
  </r>
  <r>
    <x v="20"/>
    <x v="1"/>
    <x v="20"/>
    <x v="2"/>
    <x v="2"/>
    <x v="18"/>
    <n v="28"/>
    <n v="1278032"/>
    <n v="705600.00000000012"/>
  </r>
  <r>
    <x v="21"/>
    <x v="1"/>
    <x v="21"/>
    <x v="2"/>
    <x v="2"/>
    <x v="18"/>
    <n v="23"/>
    <n v="1056620"/>
    <n v="579600.00000000012"/>
  </r>
  <r>
    <x v="22"/>
    <x v="1"/>
    <x v="22"/>
    <x v="2"/>
    <x v="2"/>
    <x v="18"/>
    <n v="17"/>
    <n v="798303"/>
    <n v="428400.00000000006"/>
  </r>
  <r>
    <x v="23"/>
    <x v="1"/>
    <x v="23"/>
    <x v="2"/>
    <x v="2"/>
    <x v="18"/>
    <n v="20"/>
    <n v="903140"/>
    <n v="504000.00000000006"/>
  </r>
  <r>
    <x v="0"/>
    <x v="0"/>
    <x v="0"/>
    <x v="2"/>
    <x v="2"/>
    <x v="19"/>
    <n v="24"/>
    <n v="443832"/>
    <n v="228480"/>
  </r>
  <r>
    <x v="1"/>
    <x v="0"/>
    <x v="1"/>
    <x v="2"/>
    <x v="2"/>
    <x v="19"/>
    <n v="15"/>
    <n v="276975"/>
    <n v="142800"/>
  </r>
  <r>
    <x v="2"/>
    <x v="0"/>
    <x v="2"/>
    <x v="2"/>
    <x v="2"/>
    <x v="19"/>
    <n v="12"/>
    <n v="216084"/>
    <n v="114240"/>
  </r>
  <r>
    <x v="3"/>
    <x v="0"/>
    <x v="3"/>
    <x v="2"/>
    <x v="2"/>
    <x v="19"/>
    <n v="23"/>
    <n v="423476"/>
    <n v="218960"/>
  </r>
  <r>
    <x v="4"/>
    <x v="0"/>
    <x v="4"/>
    <x v="2"/>
    <x v="2"/>
    <x v="19"/>
    <n v="29"/>
    <n v="550884"/>
    <n v="276080"/>
  </r>
  <r>
    <x v="5"/>
    <x v="0"/>
    <x v="5"/>
    <x v="2"/>
    <x v="2"/>
    <x v="19"/>
    <n v="27"/>
    <n v="493074"/>
    <n v="257040"/>
  </r>
  <r>
    <x v="6"/>
    <x v="0"/>
    <x v="6"/>
    <x v="2"/>
    <x v="2"/>
    <x v="19"/>
    <n v="29"/>
    <n v="503730"/>
    <n v="276080"/>
  </r>
  <r>
    <x v="7"/>
    <x v="0"/>
    <x v="7"/>
    <x v="2"/>
    <x v="2"/>
    <x v="19"/>
    <n v="24"/>
    <n v="420936"/>
    <n v="228480"/>
  </r>
  <r>
    <x v="8"/>
    <x v="0"/>
    <x v="8"/>
    <x v="2"/>
    <x v="2"/>
    <x v="19"/>
    <n v="26"/>
    <n v="452686"/>
    <n v="247520"/>
  </r>
  <r>
    <x v="9"/>
    <x v="0"/>
    <x v="9"/>
    <x v="2"/>
    <x v="2"/>
    <x v="19"/>
    <n v="21"/>
    <n v="388815"/>
    <n v="199920"/>
  </r>
  <r>
    <x v="10"/>
    <x v="0"/>
    <x v="10"/>
    <x v="2"/>
    <x v="2"/>
    <x v="19"/>
    <n v="15"/>
    <n v="276120"/>
    <n v="142800"/>
  </r>
  <r>
    <x v="11"/>
    <x v="0"/>
    <x v="11"/>
    <x v="2"/>
    <x v="2"/>
    <x v="19"/>
    <n v="18"/>
    <n v="321372"/>
    <n v="171360"/>
  </r>
  <r>
    <x v="12"/>
    <x v="1"/>
    <x v="12"/>
    <x v="2"/>
    <x v="2"/>
    <x v="19"/>
    <n v="27"/>
    <n v="506682"/>
    <n v="257040"/>
  </r>
  <r>
    <x v="13"/>
    <x v="1"/>
    <x v="13"/>
    <x v="2"/>
    <x v="2"/>
    <x v="19"/>
    <n v="17"/>
    <n v="309128"/>
    <n v="161840"/>
  </r>
  <r>
    <x v="14"/>
    <x v="1"/>
    <x v="14"/>
    <x v="2"/>
    <x v="2"/>
    <x v="19"/>
    <n v="14"/>
    <n v="254982"/>
    <n v="133280"/>
  </r>
  <r>
    <x v="15"/>
    <x v="1"/>
    <x v="15"/>
    <x v="2"/>
    <x v="2"/>
    <x v="19"/>
    <n v="25"/>
    <n v="480300"/>
    <n v="238000"/>
  </r>
  <r>
    <x v="16"/>
    <x v="1"/>
    <x v="16"/>
    <x v="2"/>
    <x v="2"/>
    <x v="19"/>
    <n v="32"/>
    <n v="593376"/>
    <n v="304640"/>
  </r>
  <r>
    <x v="17"/>
    <x v="1"/>
    <x v="17"/>
    <x v="2"/>
    <x v="2"/>
    <x v="19"/>
    <n v="30"/>
    <n v="532980"/>
    <n v="285600"/>
  </r>
  <r>
    <x v="18"/>
    <x v="1"/>
    <x v="18"/>
    <x v="2"/>
    <x v="2"/>
    <x v="19"/>
    <n v="32"/>
    <n v="523040"/>
    <n v="304640"/>
  </r>
  <r>
    <x v="19"/>
    <x v="1"/>
    <x v="19"/>
    <x v="2"/>
    <x v="2"/>
    <x v="19"/>
    <n v="27"/>
    <n v="468315"/>
    <n v="257040"/>
  </r>
  <r>
    <x v="20"/>
    <x v="1"/>
    <x v="20"/>
    <x v="2"/>
    <x v="2"/>
    <x v="19"/>
    <n v="28"/>
    <n v="496664"/>
    <n v="266560"/>
  </r>
  <r>
    <x v="21"/>
    <x v="1"/>
    <x v="21"/>
    <x v="2"/>
    <x v="2"/>
    <x v="19"/>
    <n v="23"/>
    <n v="426144"/>
    <n v="218960"/>
  </r>
  <r>
    <x v="22"/>
    <x v="1"/>
    <x v="22"/>
    <x v="2"/>
    <x v="2"/>
    <x v="19"/>
    <n v="17"/>
    <n v="316319"/>
    <n v="161840"/>
  </r>
  <r>
    <x v="23"/>
    <x v="1"/>
    <x v="23"/>
    <x v="2"/>
    <x v="2"/>
    <x v="19"/>
    <n v="20"/>
    <n v="351860"/>
    <n v="190400"/>
  </r>
  <r>
    <x v="0"/>
    <x v="0"/>
    <x v="0"/>
    <x v="2"/>
    <x v="2"/>
    <x v="20"/>
    <n v="20"/>
    <n v="808780"/>
    <n v="327600"/>
  </r>
  <r>
    <x v="1"/>
    <x v="0"/>
    <x v="1"/>
    <x v="2"/>
    <x v="2"/>
    <x v="20"/>
    <n v="12"/>
    <n v="492288"/>
    <n v="196560"/>
  </r>
  <r>
    <x v="2"/>
    <x v="0"/>
    <x v="2"/>
    <x v="2"/>
    <x v="2"/>
    <x v="20"/>
    <n v="10"/>
    <n v="394750"/>
    <n v="163800"/>
  </r>
  <r>
    <x v="3"/>
    <x v="0"/>
    <x v="3"/>
    <x v="2"/>
    <x v="2"/>
    <x v="20"/>
    <n v="18"/>
    <n v="745110"/>
    <n v="294840"/>
  </r>
  <r>
    <x v="4"/>
    <x v="0"/>
    <x v="4"/>
    <x v="2"/>
    <x v="2"/>
    <x v="20"/>
    <n v="23"/>
    <n v="947347"/>
    <n v="376740"/>
  </r>
  <r>
    <x v="5"/>
    <x v="0"/>
    <x v="5"/>
    <x v="2"/>
    <x v="2"/>
    <x v="20"/>
    <n v="22"/>
    <n v="890010"/>
    <n v="360360"/>
  </r>
  <r>
    <x v="6"/>
    <x v="0"/>
    <x v="6"/>
    <x v="2"/>
    <x v="2"/>
    <x v="20"/>
    <n v="23"/>
    <n v="885293"/>
    <n v="376740"/>
  </r>
  <r>
    <x v="7"/>
    <x v="0"/>
    <x v="7"/>
    <x v="2"/>
    <x v="2"/>
    <x v="20"/>
    <n v="20"/>
    <n v="796820"/>
    <n v="327600"/>
  </r>
  <r>
    <x v="8"/>
    <x v="0"/>
    <x v="8"/>
    <x v="2"/>
    <x v="2"/>
    <x v="20"/>
    <n v="21"/>
    <n v="827295"/>
    <n v="343980"/>
  </r>
  <r>
    <x v="9"/>
    <x v="0"/>
    <x v="9"/>
    <x v="2"/>
    <x v="2"/>
    <x v="20"/>
    <n v="17"/>
    <n v="685457"/>
    <n v="278460"/>
  </r>
  <r>
    <x v="10"/>
    <x v="0"/>
    <x v="10"/>
    <x v="2"/>
    <x v="2"/>
    <x v="20"/>
    <n v="12"/>
    <n v="484392"/>
    <n v="196560"/>
  </r>
  <r>
    <x v="11"/>
    <x v="0"/>
    <x v="11"/>
    <x v="2"/>
    <x v="2"/>
    <x v="20"/>
    <n v="15"/>
    <n v="594165"/>
    <n v="245700"/>
  </r>
  <r>
    <x v="12"/>
    <x v="1"/>
    <x v="12"/>
    <x v="2"/>
    <x v="2"/>
    <x v="20"/>
    <n v="21"/>
    <n v="847875"/>
    <n v="343980"/>
  </r>
  <r>
    <x v="13"/>
    <x v="1"/>
    <x v="13"/>
    <x v="2"/>
    <x v="2"/>
    <x v="20"/>
    <n v="14"/>
    <n v="567812"/>
    <n v="229320"/>
  </r>
  <r>
    <x v="14"/>
    <x v="1"/>
    <x v="14"/>
    <x v="2"/>
    <x v="2"/>
    <x v="20"/>
    <n v="11"/>
    <n v="433334"/>
    <n v="180180"/>
  </r>
  <r>
    <x v="15"/>
    <x v="1"/>
    <x v="15"/>
    <x v="2"/>
    <x v="2"/>
    <x v="20"/>
    <n v="20"/>
    <n v="812440"/>
    <n v="327600"/>
  </r>
  <r>
    <x v="16"/>
    <x v="1"/>
    <x v="16"/>
    <x v="2"/>
    <x v="2"/>
    <x v="20"/>
    <n v="25"/>
    <n v="1032100"/>
    <n v="409500"/>
  </r>
  <r>
    <x v="17"/>
    <x v="1"/>
    <x v="17"/>
    <x v="2"/>
    <x v="2"/>
    <x v="20"/>
    <n v="24"/>
    <n v="967680"/>
    <n v="393120"/>
  </r>
  <r>
    <x v="18"/>
    <x v="1"/>
    <x v="18"/>
    <x v="2"/>
    <x v="2"/>
    <x v="20"/>
    <n v="25"/>
    <n v="985950"/>
    <n v="409500"/>
  </r>
  <r>
    <x v="19"/>
    <x v="1"/>
    <x v="19"/>
    <x v="2"/>
    <x v="2"/>
    <x v="20"/>
    <n v="21"/>
    <n v="836724"/>
    <n v="343980"/>
  </r>
  <r>
    <x v="20"/>
    <x v="1"/>
    <x v="20"/>
    <x v="2"/>
    <x v="2"/>
    <x v="20"/>
    <n v="23"/>
    <n v="909627"/>
    <n v="376740"/>
  </r>
  <r>
    <x v="21"/>
    <x v="1"/>
    <x v="21"/>
    <x v="2"/>
    <x v="2"/>
    <x v="20"/>
    <n v="19"/>
    <n v="766498"/>
    <n v="311220"/>
  </r>
  <r>
    <x v="22"/>
    <x v="1"/>
    <x v="22"/>
    <x v="2"/>
    <x v="2"/>
    <x v="20"/>
    <n v="14"/>
    <n v="567000"/>
    <n v="229320"/>
  </r>
  <r>
    <x v="23"/>
    <x v="1"/>
    <x v="23"/>
    <x v="2"/>
    <x v="2"/>
    <x v="20"/>
    <n v="16"/>
    <n v="626432"/>
    <n v="262080"/>
  </r>
  <r>
    <x v="0"/>
    <x v="0"/>
    <x v="0"/>
    <x v="2"/>
    <x v="3"/>
    <x v="21"/>
    <n v="60"/>
    <n v="373200"/>
    <n v="138000"/>
  </r>
  <r>
    <x v="1"/>
    <x v="0"/>
    <x v="1"/>
    <x v="2"/>
    <x v="3"/>
    <x v="21"/>
    <n v="38"/>
    <n v="234232"/>
    <n v="87400"/>
  </r>
  <r>
    <x v="2"/>
    <x v="0"/>
    <x v="2"/>
    <x v="2"/>
    <x v="3"/>
    <x v="21"/>
    <n v="30"/>
    <n v="157800"/>
    <n v="69000"/>
  </r>
  <r>
    <x v="3"/>
    <x v="0"/>
    <x v="3"/>
    <x v="2"/>
    <x v="3"/>
    <x v="21"/>
    <n v="56"/>
    <n v="398552"/>
    <n v="128800"/>
  </r>
  <r>
    <x v="4"/>
    <x v="0"/>
    <x v="4"/>
    <x v="2"/>
    <x v="3"/>
    <x v="21"/>
    <n v="71"/>
    <n v="491391"/>
    <n v="163300"/>
  </r>
  <r>
    <x v="5"/>
    <x v="0"/>
    <x v="5"/>
    <x v="2"/>
    <x v="3"/>
    <x v="21"/>
    <n v="67"/>
    <n v="440391"/>
    <n v="154100"/>
  </r>
  <r>
    <x v="6"/>
    <x v="0"/>
    <x v="6"/>
    <x v="2"/>
    <x v="3"/>
    <x v="21"/>
    <n v="71"/>
    <n v="295857"/>
    <n v="163300"/>
  </r>
  <r>
    <x v="7"/>
    <x v="0"/>
    <x v="7"/>
    <x v="2"/>
    <x v="3"/>
    <x v="21"/>
    <n v="60"/>
    <n v="372840"/>
    <n v="138000"/>
  </r>
  <r>
    <x v="8"/>
    <x v="0"/>
    <x v="8"/>
    <x v="2"/>
    <x v="3"/>
    <x v="21"/>
    <n v="64"/>
    <n v="383424"/>
    <n v="147200"/>
  </r>
  <r>
    <x v="9"/>
    <x v="0"/>
    <x v="9"/>
    <x v="2"/>
    <x v="3"/>
    <x v="21"/>
    <n v="52"/>
    <n v="309816"/>
    <n v="119600"/>
  </r>
  <r>
    <x v="10"/>
    <x v="0"/>
    <x v="10"/>
    <x v="2"/>
    <x v="3"/>
    <x v="21"/>
    <n v="38"/>
    <n v="228342"/>
    <n v="87400"/>
  </r>
  <r>
    <x v="11"/>
    <x v="0"/>
    <x v="11"/>
    <x v="2"/>
    <x v="3"/>
    <x v="21"/>
    <n v="45"/>
    <n v="238005"/>
    <n v="103500"/>
  </r>
  <r>
    <x v="12"/>
    <x v="1"/>
    <x v="12"/>
    <x v="2"/>
    <x v="3"/>
    <x v="21"/>
    <n v="66"/>
    <n v="420222"/>
    <n v="151800"/>
  </r>
  <r>
    <x v="13"/>
    <x v="1"/>
    <x v="13"/>
    <x v="2"/>
    <x v="3"/>
    <x v="21"/>
    <n v="41"/>
    <n v="288353"/>
    <n v="94300"/>
  </r>
  <r>
    <x v="14"/>
    <x v="1"/>
    <x v="14"/>
    <x v="2"/>
    <x v="3"/>
    <x v="21"/>
    <n v="33"/>
    <n v="182655"/>
    <n v="75900"/>
  </r>
  <r>
    <x v="15"/>
    <x v="1"/>
    <x v="15"/>
    <x v="2"/>
    <x v="3"/>
    <x v="21"/>
    <n v="62"/>
    <n v="410378"/>
    <n v="142600"/>
  </r>
  <r>
    <x v="16"/>
    <x v="1"/>
    <x v="16"/>
    <x v="2"/>
    <x v="3"/>
    <x v="21"/>
    <n v="78"/>
    <n v="492726"/>
    <n v="179400"/>
  </r>
  <r>
    <x v="17"/>
    <x v="1"/>
    <x v="17"/>
    <x v="2"/>
    <x v="3"/>
    <x v="21"/>
    <n v="74"/>
    <n v="498760"/>
    <n v="170200"/>
  </r>
  <r>
    <x v="18"/>
    <x v="1"/>
    <x v="18"/>
    <x v="2"/>
    <x v="3"/>
    <x v="21"/>
    <n v="78"/>
    <n v="360828"/>
    <n v="179400"/>
  </r>
  <r>
    <x v="19"/>
    <x v="1"/>
    <x v="19"/>
    <x v="2"/>
    <x v="3"/>
    <x v="21"/>
    <n v="66"/>
    <n v="355740"/>
    <n v="151800"/>
  </r>
  <r>
    <x v="20"/>
    <x v="1"/>
    <x v="20"/>
    <x v="2"/>
    <x v="3"/>
    <x v="21"/>
    <n v="70"/>
    <n v="402500"/>
    <n v="161000"/>
  </r>
  <r>
    <x v="21"/>
    <x v="1"/>
    <x v="21"/>
    <x v="2"/>
    <x v="3"/>
    <x v="21"/>
    <n v="58"/>
    <n v="372418"/>
    <n v="133400"/>
  </r>
  <r>
    <x v="22"/>
    <x v="1"/>
    <x v="22"/>
    <x v="2"/>
    <x v="3"/>
    <x v="21"/>
    <n v="41"/>
    <n v="248009"/>
    <n v="94300"/>
  </r>
  <r>
    <x v="23"/>
    <x v="1"/>
    <x v="23"/>
    <x v="2"/>
    <x v="3"/>
    <x v="21"/>
    <n v="49"/>
    <n v="287189"/>
    <n v="112700"/>
  </r>
  <r>
    <x v="0"/>
    <x v="0"/>
    <x v="0"/>
    <x v="2"/>
    <x v="3"/>
    <x v="22"/>
    <n v="53"/>
    <n v="544893"/>
    <n v="214650"/>
  </r>
  <r>
    <x v="1"/>
    <x v="0"/>
    <x v="1"/>
    <x v="2"/>
    <x v="3"/>
    <x v="22"/>
    <n v="33"/>
    <n v="323994"/>
    <n v="133650"/>
  </r>
  <r>
    <x v="2"/>
    <x v="0"/>
    <x v="2"/>
    <x v="2"/>
    <x v="3"/>
    <x v="22"/>
    <n v="27"/>
    <n v="279126"/>
    <n v="109350"/>
  </r>
  <r>
    <x v="3"/>
    <x v="0"/>
    <x v="3"/>
    <x v="2"/>
    <x v="3"/>
    <x v="22"/>
    <n v="50"/>
    <n v="538300"/>
    <n v="202500"/>
  </r>
  <r>
    <x v="4"/>
    <x v="0"/>
    <x v="4"/>
    <x v="2"/>
    <x v="3"/>
    <x v="22"/>
    <n v="63"/>
    <n v="706797"/>
    <n v="255150"/>
  </r>
  <r>
    <x v="5"/>
    <x v="0"/>
    <x v="5"/>
    <x v="2"/>
    <x v="3"/>
    <x v="22"/>
    <n v="59"/>
    <n v="610709"/>
    <n v="238950"/>
  </r>
  <r>
    <x v="6"/>
    <x v="0"/>
    <x v="6"/>
    <x v="2"/>
    <x v="3"/>
    <x v="22"/>
    <n v="63"/>
    <n v="535311"/>
    <n v="255150"/>
  </r>
  <r>
    <x v="7"/>
    <x v="0"/>
    <x v="7"/>
    <x v="2"/>
    <x v="3"/>
    <x v="22"/>
    <n v="53"/>
    <n v="503129"/>
    <n v="214650"/>
  </r>
  <r>
    <x v="8"/>
    <x v="0"/>
    <x v="8"/>
    <x v="2"/>
    <x v="3"/>
    <x v="22"/>
    <n v="56"/>
    <n v="590856"/>
    <n v="226800"/>
  </r>
  <r>
    <x v="9"/>
    <x v="0"/>
    <x v="9"/>
    <x v="2"/>
    <x v="3"/>
    <x v="22"/>
    <n v="46"/>
    <n v="459356"/>
    <n v="186300"/>
  </r>
  <r>
    <x v="10"/>
    <x v="0"/>
    <x v="10"/>
    <x v="2"/>
    <x v="3"/>
    <x v="22"/>
    <n v="33"/>
    <n v="340890"/>
    <n v="133650"/>
  </r>
  <r>
    <x v="11"/>
    <x v="0"/>
    <x v="11"/>
    <x v="2"/>
    <x v="3"/>
    <x v="22"/>
    <n v="40"/>
    <n v="380640"/>
    <n v="162000"/>
  </r>
  <r>
    <x v="12"/>
    <x v="1"/>
    <x v="12"/>
    <x v="2"/>
    <x v="3"/>
    <x v="22"/>
    <n v="58"/>
    <n v="600880"/>
    <n v="234900"/>
  </r>
  <r>
    <x v="13"/>
    <x v="1"/>
    <x v="13"/>
    <x v="2"/>
    <x v="3"/>
    <x v="22"/>
    <n v="37"/>
    <n v="379324"/>
    <n v="149850"/>
  </r>
  <r>
    <x v="14"/>
    <x v="1"/>
    <x v="14"/>
    <x v="2"/>
    <x v="3"/>
    <x v="22"/>
    <n v="29"/>
    <n v="287100"/>
    <n v="117450"/>
  </r>
  <r>
    <x v="15"/>
    <x v="1"/>
    <x v="15"/>
    <x v="2"/>
    <x v="3"/>
    <x v="22"/>
    <n v="55"/>
    <n v="582120"/>
    <n v="222750"/>
  </r>
  <r>
    <x v="16"/>
    <x v="1"/>
    <x v="16"/>
    <x v="2"/>
    <x v="3"/>
    <x v="22"/>
    <n v="69"/>
    <n v="766521"/>
    <n v="279450"/>
  </r>
  <r>
    <x v="17"/>
    <x v="1"/>
    <x v="17"/>
    <x v="2"/>
    <x v="3"/>
    <x v="22"/>
    <n v="65"/>
    <n v="705835"/>
    <n v="263250"/>
  </r>
  <r>
    <x v="18"/>
    <x v="1"/>
    <x v="18"/>
    <x v="2"/>
    <x v="3"/>
    <x v="22"/>
    <n v="69"/>
    <n v="605199"/>
    <n v="279450"/>
  </r>
  <r>
    <x v="19"/>
    <x v="1"/>
    <x v="19"/>
    <x v="2"/>
    <x v="3"/>
    <x v="22"/>
    <n v="58"/>
    <n v="563180"/>
    <n v="234900"/>
  </r>
  <r>
    <x v="20"/>
    <x v="1"/>
    <x v="20"/>
    <x v="2"/>
    <x v="3"/>
    <x v="22"/>
    <n v="62"/>
    <n v="594084"/>
    <n v="251100"/>
  </r>
  <r>
    <x v="21"/>
    <x v="1"/>
    <x v="21"/>
    <x v="2"/>
    <x v="3"/>
    <x v="22"/>
    <n v="51"/>
    <n v="556461"/>
    <n v="206550"/>
  </r>
  <r>
    <x v="22"/>
    <x v="1"/>
    <x v="22"/>
    <x v="2"/>
    <x v="3"/>
    <x v="22"/>
    <n v="37"/>
    <n v="398379"/>
    <n v="149850"/>
  </r>
  <r>
    <x v="23"/>
    <x v="1"/>
    <x v="23"/>
    <x v="2"/>
    <x v="3"/>
    <x v="22"/>
    <n v="44"/>
    <n v="431772"/>
    <n v="178200"/>
  </r>
  <r>
    <x v="0"/>
    <x v="0"/>
    <x v="0"/>
    <x v="2"/>
    <x v="3"/>
    <x v="23"/>
    <n v="60"/>
    <n v="487200"/>
    <n v="239399.99999999997"/>
  </r>
  <r>
    <x v="1"/>
    <x v="0"/>
    <x v="1"/>
    <x v="2"/>
    <x v="3"/>
    <x v="23"/>
    <n v="38"/>
    <n v="326040"/>
    <n v="151619.99999999997"/>
  </r>
  <r>
    <x v="2"/>
    <x v="0"/>
    <x v="2"/>
    <x v="2"/>
    <x v="3"/>
    <x v="23"/>
    <n v="30"/>
    <n v="224700"/>
    <n v="119699.99999999999"/>
  </r>
  <r>
    <x v="3"/>
    <x v="0"/>
    <x v="3"/>
    <x v="2"/>
    <x v="3"/>
    <x v="23"/>
    <n v="56"/>
    <n v="500192"/>
    <n v="223439.99999999997"/>
  </r>
  <r>
    <x v="4"/>
    <x v="0"/>
    <x v="4"/>
    <x v="2"/>
    <x v="3"/>
    <x v="23"/>
    <n v="71"/>
    <n v="611026"/>
    <n v="283289.99999999994"/>
  </r>
  <r>
    <x v="5"/>
    <x v="0"/>
    <x v="5"/>
    <x v="2"/>
    <x v="3"/>
    <x v="23"/>
    <n v="67"/>
    <n v="577540"/>
    <n v="267329.99999999994"/>
  </r>
  <r>
    <x v="6"/>
    <x v="0"/>
    <x v="6"/>
    <x v="2"/>
    <x v="3"/>
    <x v="23"/>
    <n v="71"/>
    <n v="492030"/>
    <n v="283289.99999999994"/>
  </r>
  <r>
    <x v="7"/>
    <x v="0"/>
    <x v="7"/>
    <x v="2"/>
    <x v="3"/>
    <x v="23"/>
    <n v="60"/>
    <n v="506340"/>
    <n v="239399.99999999997"/>
  </r>
  <r>
    <x v="8"/>
    <x v="0"/>
    <x v="8"/>
    <x v="2"/>
    <x v="3"/>
    <x v="23"/>
    <n v="64"/>
    <n v="471872"/>
    <n v="255359.99999999997"/>
  </r>
  <r>
    <x v="9"/>
    <x v="0"/>
    <x v="9"/>
    <x v="2"/>
    <x v="3"/>
    <x v="23"/>
    <n v="52"/>
    <n v="439816"/>
    <n v="207479.99999999997"/>
  </r>
  <r>
    <x v="10"/>
    <x v="0"/>
    <x v="10"/>
    <x v="2"/>
    <x v="3"/>
    <x v="23"/>
    <n v="38"/>
    <n v="320264"/>
    <n v="151619.99999999997"/>
  </r>
  <r>
    <x v="11"/>
    <x v="0"/>
    <x v="11"/>
    <x v="2"/>
    <x v="3"/>
    <x v="23"/>
    <n v="45"/>
    <n v="377100"/>
    <n v="179549.99999999997"/>
  </r>
  <r>
    <x v="12"/>
    <x v="1"/>
    <x v="12"/>
    <x v="2"/>
    <x v="3"/>
    <x v="23"/>
    <n v="66"/>
    <n v="580206"/>
    <n v="263339.99999999994"/>
  </r>
  <r>
    <x v="13"/>
    <x v="1"/>
    <x v="13"/>
    <x v="2"/>
    <x v="3"/>
    <x v="23"/>
    <n v="41"/>
    <n v="367114"/>
    <n v="163589.99999999997"/>
  </r>
  <r>
    <x v="14"/>
    <x v="1"/>
    <x v="14"/>
    <x v="2"/>
    <x v="3"/>
    <x v="23"/>
    <n v="33"/>
    <n v="260733"/>
    <n v="131669.99999999997"/>
  </r>
  <r>
    <x v="15"/>
    <x v="1"/>
    <x v="15"/>
    <x v="2"/>
    <x v="3"/>
    <x v="23"/>
    <n v="62"/>
    <n v="567052"/>
    <n v="247379.99999999997"/>
  </r>
  <r>
    <x v="16"/>
    <x v="1"/>
    <x v="16"/>
    <x v="2"/>
    <x v="3"/>
    <x v="23"/>
    <n v="78"/>
    <n v="734058"/>
    <n v="311219.99999999994"/>
  </r>
  <r>
    <x v="17"/>
    <x v="1"/>
    <x v="17"/>
    <x v="2"/>
    <x v="3"/>
    <x v="23"/>
    <n v="74"/>
    <n v="621008"/>
    <n v="295259.99999999994"/>
  </r>
  <r>
    <x v="18"/>
    <x v="1"/>
    <x v="18"/>
    <x v="2"/>
    <x v="3"/>
    <x v="23"/>
    <n v="78"/>
    <n v="584220"/>
    <n v="311219.99999999994"/>
  </r>
  <r>
    <x v="19"/>
    <x v="1"/>
    <x v="19"/>
    <x v="2"/>
    <x v="3"/>
    <x v="23"/>
    <n v="66"/>
    <n v="468996"/>
    <n v="263339.99999999994"/>
  </r>
  <r>
    <x v="20"/>
    <x v="1"/>
    <x v="20"/>
    <x v="2"/>
    <x v="3"/>
    <x v="23"/>
    <n v="70"/>
    <n v="506800"/>
    <n v="279299.99999999994"/>
  </r>
  <r>
    <x v="21"/>
    <x v="1"/>
    <x v="21"/>
    <x v="2"/>
    <x v="3"/>
    <x v="23"/>
    <n v="58"/>
    <n v="493638"/>
    <n v="231419.99999999997"/>
  </r>
  <r>
    <x v="22"/>
    <x v="1"/>
    <x v="22"/>
    <x v="2"/>
    <x v="3"/>
    <x v="23"/>
    <n v="41"/>
    <n v="345876"/>
    <n v="163589.99999999997"/>
  </r>
  <r>
    <x v="23"/>
    <x v="1"/>
    <x v="23"/>
    <x v="2"/>
    <x v="3"/>
    <x v="23"/>
    <n v="49"/>
    <n v="363041"/>
    <n v="195509.99999999997"/>
  </r>
  <r>
    <x v="0"/>
    <x v="0"/>
    <x v="0"/>
    <x v="2"/>
    <x v="3"/>
    <x v="24"/>
    <n v="52"/>
    <n v="517972"/>
    <n v="216580"/>
  </r>
  <r>
    <x v="1"/>
    <x v="0"/>
    <x v="1"/>
    <x v="2"/>
    <x v="3"/>
    <x v="24"/>
    <n v="33"/>
    <n v="328680"/>
    <n v="137445"/>
  </r>
  <r>
    <x v="2"/>
    <x v="0"/>
    <x v="2"/>
    <x v="2"/>
    <x v="3"/>
    <x v="24"/>
    <n v="26"/>
    <n v="231114"/>
    <n v="108290"/>
  </r>
  <r>
    <x v="3"/>
    <x v="0"/>
    <x v="3"/>
    <x v="2"/>
    <x v="3"/>
    <x v="24"/>
    <n v="49"/>
    <n v="536599"/>
    <n v="204085"/>
  </r>
  <r>
    <x v="4"/>
    <x v="0"/>
    <x v="4"/>
    <x v="2"/>
    <x v="3"/>
    <x v="24"/>
    <n v="62"/>
    <n v="661478"/>
    <n v="258230"/>
  </r>
  <r>
    <x v="5"/>
    <x v="0"/>
    <x v="5"/>
    <x v="2"/>
    <x v="3"/>
    <x v="24"/>
    <n v="59"/>
    <n v="575663"/>
    <n v="245735"/>
  </r>
  <r>
    <x v="6"/>
    <x v="0"/>
    <x v="6"/>
    <x v="2"/>
    <x v="3"/>
    <x v="24"/>
    <n v="62"/>
    <n v="504618"/>
    <n v="258230"/>
  </r>
  <r>
    <x v="7"/>
    <x v="0"/>
    <x v="7"/>
    <x v="2"/>
    <x v="3"/>
    <x v="24"/>
    <n v="52"/>
    <n v="497380"/>
    <n v="216580"/>
  </r>
  <r>
    <x v="8"/>
    <x v="0"/>
    <x v="8"/>
    <x v="2"/>
    <x v="3"/>
    <x v="24"/>
    <n v="56"/>
    <n v="488320"/>
    <n v="233240"/>
  </r>
  <r>
    <x v="9"/>
    <x v="0"/>
    <x v="9"/>
    <x v="2"/>
    <x v="3"/>
    <x v="24"/>
    <n v="46"/>
    <n v="446384"/>
    <n v="191590"/>
  </r>
  <r>
    <x v="10"/>
    <x v="0"/>
    <x v="10"/>
    <x v="2"/>
    <x v="3"/>
    <x v="24"/>
    <n v="33"/>
    <n v="334125"/>
    <n v="137445"/>
  </r>
  <r>
    <x v="11"/>
    <x v="0"/>
    <x v="11"/>
    <x v="2"/>
    <x v="3"/>
    <x v="24"/>
    <n v="39"/>
    <n v="378495"/>
    <n v="162435"/>
  </r>
  <r>
    <x v="12"/>
    <x v="1"/>
    <x v="12"/>
    <x v="2"/>
    <x v="3"/>
    <x v="24"/>
    <n v="58"/>
    <n v="556220"/>
    <n v="241570"/>
  </r>
  <r>
    <x v="13"/>
    <x v="1"/>
    <x v="13"/>
    <x v="2"/>
    <x v="3"/>
    <x v="24"/>
    <n v="36"/>
    <n v="371268"/>
    <n v="149940"/>
  </r>
  <r>
    <x v="14"/>
    <x v="1"/>
    <x v="14"/>
    <x v="2"/>
    <x v="3"/>
    <x v="24"/>
    <n v="29"/>
    <n v="246906"/>
    <n v="120785"/>
  </r>
  <r>
    <x v="15"/>
    <x v="1"/>
    <x v="15"/>
    <x v="2"/>
    <x v="3"/>
    <x v="24"/>
    <n v="54"/>
    <n v="576450"/>
    <n v="224910"/>
  </r>
  <r>
    <x v="16"/>
    <x v="1"/>
    <x v="16"/>
    <x v="2"/>
    <x v="3"/>
    <x v="24"/>
    <n v="68"/>
    <n v="697136"/>
    <n v="283220"/>
  </r>
  <r>
    <x v="17"/>
    <x v="1"/>
    <x v="17"/>
    <x v="2"/>
    <x v="3"/>
    <x v="24"/>
    <n v="65"/>
    <n v="604695"/>
    <n v="270725"/>
  </r>
  <r>
    <x v="18"/>
    <x v="1"/>
    <x v="18"/>
    <x v="2"/>
    <x v="3"/>
    <x v="24"/>
    <n v="68"/>
    <n v="583848"/>
    <n v="283220"/>
  </r>
  <r>
    <x v="19"/>
    <x v="1"/>
    <x v="19"/>
    <x v="2"/>
    <x v="3"/>
    <x v="24"/>
    <n v="58"/>
    <n v="552682"/>
    <n v="241570"/>
  </r>
  <r>
    <x v="20"/>
    <x v="1"/>
    <x v="20"/>
    <x v="2"/>
    <x v="3"/>
    <x v="24"/>
    <n v="61"/>
    <n v="602375"/>
    <n v="254065"/>
  </r>
  <r>
    <x v="21"/>
    <x v="1"/>
    <x v="21"/>
    <x v="2"/>
    <x v="3"/>
    <x v="24"/>
    <n v="50"/>
    <n v="506750"/>
    <n v="208250"/>
  </r>
  <r>
    <x v="22"/>
    <x v="1"/>
    <x v="22"/>
    <x v="2"/>
    <x v="3"/>
    <x v="24"/>
    <n v="36"/>
    <n v="358380"/>
    <n v="149940"/>
  </r>
  <r>
    <x v="23"/>
    <x v="1"/>
    <x v="23"/>
    <x v="2"/>
    <x v="3"/>
    <x v="24"/>
    <n v="43"/>
    <n v="387258"/>
    <n v="179095"/>
  </r>
  <r>
    <x v="0"/>
    <x v="0"/>
    <x v="0"/>
    <x v="2"/>
    <x v="3"/>
    <x v="25"/>
    <n v="52"/>
    <n v="378872"/>
    <n v="159120"/>
  </r>
  <r>
    <x v="1"/>
    <x v="0"/>
    <x v="1"/>
    <x v="2"/>
    <x v="3"/>
    <x v="25"/>
    <n v="33"/>
    <n v="242385"/>
    <n v="100980"/>
  </r>
  <r>
    <x v="2"/>
    <x v="0"/>
    <x v="2"/>
    <x v="2"/>
    <x v="3"/>
    <x v="25"/>
    <n v="26"/>
    <n v="173992"/>
    <n v="79560"/>
  </r>
  <r>
    <x v="3"/>
    <x v="0"/>
    <x v="3"/>
    <x v="2"/>
    <x v="3"/>
    <x v="25"/>
    <n v="49"/>
    <n v="399497"/>
    <n v="149940"/>
  </r>
  <r>
    <x v="4"/>
    <x v="0"/>
    <x v="4"/>
    <x v="2"/>
    <x v="3"/>
    <x v="25"/>
    <n v="62"/>
    <n v="504432"/>
    <n v="189720"/>
  </r>
  <r>
    <x v="5"/>
    <x v="0"/>
    <x v="5"/>
    <x v="2"/>
    <x v="3"/>
    <x v="25"/>
    <n v="59"/>
    <n v="455480"/>
    <n v="180540"/>
  </r>
  <r>
    <x v="6"/>
    <x v="0"/>
    <x v="6"/>
    <x v="2"/>
    <x v="3"/>
    <x v="25"/>
    <n v="62"/>
    <n v="388182"/>
    <n v="189720"/>
  </r>
  <r>
    <x v="7"/>
    <x v="0"/>
    <x v="7"/>
    <x v="2"/>
    <x v="3"/>
    <x v="25"/>
    <n v="52"/>
    <n v="321620"/>
    <n v="159120"/>
  </r>
  <r>
    <x v="8"/>
    <x v="0"/>
    <x v="8"/>
    <x v="2"/>
    <x v="3"/>
    <x v="25"/>
    <n v="56"/>
    <n v="369768"/>
    <n v="171360"/>
  </r>
  <r>
    <x v="9"/>
    <x v="0"/>
    <x v="9"/>
    <x v="2"/>
    <x v="3"/>
    <x v="25"/>
    <n v="46"/>
    <n v="370852"/>
    <n v="140760"/>
  </r>
  <r>
    <x v="10"/>
    <x v="0"/>
    <x v="10"/>
    <x v="2"/>
    <x v="3"/>
    <x v="25"/>
    <n v="33"/>
    <n v="217239"/>
    <n v="100980"/>
  </r>
  <r>
    <x v="11"/>
    <x v="0"/>
    <x v="11"/>
    <x v="2"/>
    <x v="3"/>
    <x v="25"/>
    <n v="39"/>
    <n v="265980"/>
    <n v="119340"/>
  </r>
  <r>
    <x v="12"/>
    <x v="1"/>
    <x v="12"/>
    <x v="2"/>
    <x v="3"/>
    <x v="25"/>
    <n v="58"/>
    <n v="417542"/>
    <n v="177480"/>
  </r>
  <r>
    <x v="13"/>
    <x v="1"/>
    <x v="13"/>
    <x v="2"/>
    <x v="3"/>
    <x v="25"/>
    <n v="36"/>
    <n v="258444"/>
    <n v="110160"/>
  </r>
  <r>
    <x v="14"/>
    <x v="1"/>
    <x v="14"/>
    <x v="2"/>
    <x v="3"/>
    <x v="25"/>
    <n v="29"/>
    <n v="188790"/>
    <n v="88740"/>
  </r>
  <r>
    <x v="15"/>
    <x v="1"/>
    <x v="15"/>
    <x v="2"/>
    <x v="3"/>
    <x v="25"/>
    <n v="54"/>
    <n v="409806"/>
    <n v="165240"/>
  </r>
  <r>
    <x v="16"/>
    <x v="1"/>
    <x v="16"/>
    <x v="2"/>
    <x v="3"/>
    <x v="25"/>
    <n v="68"/>
    <n v="558688"/>
    <n v="208080"/>
  </r>
  <r>
    <x v="17"/>
    <x v="1"/>
    <x v="17"/>
    <x v="2"/>
    <x v="3"/>
    <x v="25"/>
    <n v="65"/>
    <n v="511810"/>
    <n v="198900"/>
  </r>
  <r>
    <x v="18"/>
    <x v="1"/>
    <x v="18"/>
    <x v="2"/>
    <x v="3"/>
    <x v="25"/>
    <n v="68"/>
    <n v="386648"/>
    <n v="208080"/>
  </r>
  <r>
    <x v="19"/>
    <x v="1"/>
    <x v="19"/>
    <x v="2"/>
    <x v="3"/>
    <x v="25"/>
    <n v="58"/>
    <n v="380422"/>
    <n v="177480"/>
  </r>
  <r>
    <x v="20"/>
    <x v="1"/>
    <x v="20"/>
    <x v="2"/>
    <x v="3"/>
    <x v="25"/>
    <n v="61"/>
    <n v="432063"/>
    <n v="186660"/>
  </r>
  <r>
    <x v="21"/>
    <x v="1"/>
    <x v="21"/>
    <x v="2"/>
    <x v="3"/>
    <x v="25"/>
    <n v="50"/>
    <n v="373500"/>
    <n v="153000"/>
  </r>
  <r>
    <x v="22"/>
    <x v="1"/>
    <x v="22"/>
    <x v="2"/>
    <x v="3"/>
    <x v="25"/>
    <n v="36"/>
    <n v="280764"/>
    <n v="110160"/>
  </r>
  <r>
    <x v="23"/>
    <x v="1"/>
    <x v="23"/>
    <x v="2"/>
    <x v="3"/>
    <x v="25"/>
    <n v="43"/>
    <n v="296528"/>
    <n v="131580"/>
  </r>
  <r>
    <x v="0"/>
    <x v="0"/>
    <x v="0"/>
    <x v="2"/>
    <x v="3"/>
    <x v="26"/>
    <n v="55"/>
    <n v="473275"/>
    <n v="190080"/>
  </r>
  <r>
    <x v="1"/>
    <x v="0"/>
    <x v="1"/>
    <x v="2"/>
    <x v="3"/>
    <x v="26"/>
    <n v="34"/>
    <n v="298214"/>
    <n v="117504"/>
  </r>
  <r>
    <x v="2"/>
    <x v="0"/>
    <x v="2"/>
    <x v="2"/>
    <x v="3"/>
    <x v="26"/>
    <n v="28"/>
    <n v="224532"/>
    <n v="96768"/>
  </r>
  <r>
    <x v="3"/>
    <x v="0"/>
    <x v="3"/>
    <x v="2"/>
    <x v="3"/>
    <x v="26"/>
    <n v="51"/>
    <n v="442170"/>
    <n v="176256"/>
  </r>
  <r>
    <x v="4"/>
    <x v="0"/>
    <x v="4"/>
    <x v="2"/>
    <x v="3"/>
    <x v="26"/>
    <n v="65"/>
    <n v="622765"/>
    <n v="224640"/>
  </r>
  <r>
    <x v="5"/>
    <x v="0"/>
    <x v="5"/>
    <x v="2"/>
    <x v="3"/>
    <x v="26"/>
    <n v="61"/>
    <n v="512705"/>
    <n v="210816"/>
  </r>
  <r>
    <x v="6"/>
    <x v="0"/>
    <x v="6"/>
    <x v="2"/>
    <x v="3"/>
    <x v="26"/>
    <n v="65"/>
    <n v="440375"/>
    <n v="224640"/>
  </r>
  <r>
    <x v="7"/>
    <x v="0"/>
    <x v="7"/>
    <x v="2"/>
    <x v="3"/>
    <x v="26"/>
    <n v="55"/>
    <n v="464310"/>
    <n v="190080"/>
  </r>
  <r>
    <x v="8"/>
    <x v="0"/>
    <x v="8"/>
    <x v="2"/>
    <x v="3"/>
    <x v="26"/>
    <n v="58"/>
    <n v="475948"/>
    <n v="200448"/>
  </r>
  <r>
    <x v="9"/>
    <x v="0"/>
    <x v="9"/>
    <x v="2"/>
    <x v="3"/>
    <x v="26"/>
    <n v="48"/>
    <n v="427056"/>
    <n v="165888"/>
  </r>
  <r>
    <x v="10"/>
    <x v="0"/>
    <x v="10"/>
    <x v="2"/>
    <x v="3"/>
    <x v="26"/>
    <n v="34"/>
    <n v="289850"/>
    <n v="117504"/>
  </r>
  <r>
    <x v="11"/>
    <x v="0"/>
    <x v="11"/>
    <x v="2"/>
    <x v="3"/>
    <x v="26"/>
    <n v="41"/>
    <n v="352354"/>
    <n v="141696"/>
  </r>
  <r>
    <x v="12"/>
    <x v="1"/>
    <x v="12"/>
    <x v="2"/>
    <x v="3"/>
    <x v="26"/>
    <n v="60"/>
    <n v="502260"/>
    <n v="207360"/>
  </r>
  <r>
    <x v="13"/>
    <x v="1"/>
    <x v="13"/>
    <x v="2"/>
    <x v="3"/>
    <x v="26"/>
    <n v="38"/>
    <n v="316920"/>
    <n v="131328"/>
  </r>
  <r>
    <x v="14"/>
    <x v="1"/>
    <x v="14"/>
    <x v="2"/>
    <x v="3"/>
    <x v="26"/>
    <n v="30"/>
    <n v="247200"/>
    <n v="103680"/>
  </r>
  <r>
    <x v="15"/>
    <x v="1"/>
    <x v="15"/>
    <x v="2"/>
    <x v="3"/>
    <x v="26"/>
    <n v="56"/>
    <n v="474600"/>
    <n v="193536"/>
  </r>
  <r>
    <x v="16"/>
    <x v="1"/>
    <x v="16"/>
    <x v="2"/>
    <x v="3"/>
    <x v="26"/>
    <n v="71"/>
    <n v="681032"/>
    <n v="245376"/>
  </r>
  <r>
    <x v="17"/>
    <x v="1"/>
    <x v="17"/>
    <x v="2"/>
    <x v="3"/>
    <x v="26"/>
    <n v="68"/>
    <n v="597176"/>
    <n v="235008"/>
  </r>
  <r>
    <x v="18"/>
    <x v="1"/>
    <x v="18"/>
    <x v="2"/>
    <x v="3"/>
    <x v="26"/>
    <n v="71"/>
    <n v="492527"/>
    <n v="245376"/>
  </r>
  <r>
    <x v="19"/>
    <x v="1"/>
    <x v="19"/>
    <x v="2"/>
    <x v="3"/>
    <x v="26"/>
    <n v="60"/>
    <n v="476520"/>
    <n v="207360"/>
  </r>
  <r>
    <x v="20"/>
    <x v="1"/>
    <x v="20"/>
    <x v="2"/>
    <x v="3"/>
    <x v="26"/>
    <n v="64"/>
    <n v="520576"/>
    <n v="221184"/>
  </r>
  <r>
    <x v="21"/>
    <x v="1"/>
    <x v="21"/>
    <x v="2"/>
    <x v="3"/>
    <x v="26"/>
    <n v="53"/>
    <n v="452567"/>
    <n v="183168"/>
  </r>
  <r>
    <x v="22"/>
    <x v="1"/>
    <x v="22"/>
    <x v="2"/>
    <x v="3"/>
    <x v="26"/>
    <n v="38"/>
    <n v="327788"/>
    <n v="131328"/>
  </r>
  <r>
    <x v="23"/>
    <x v="1"/>
    <x v="23"/>
    <x v="2"/>
    <x v="3"/>
    <x v="26"/>
    <n v="45"/>
    <n v="366390"/>
    <n v="155520"/>
  </r>
  <r>
    <x v="0"/>
    <x v="0"/>
    <x v="0"/>
    <x v="2"/>
    <x v="3"/>
    <x v="27"/>
    <n v="56"/>
    <n v="550872"/>
    <n v="290472"/>
  </r>
  <r>
    <x v="1"/>
    <x v="0"/>
    <x v="1"/>
    <x v="2"/>
    <x v="3"/>
    <x v="27"/>
    <n v="35"/>
    <n v="365925"/>
    <n v="181545"/>
  </r>
  <r>
    <x v="2"/>
    <x v="0"/>
    <x v="2"/>
    <x v="2"/>
    <x v="3"/>
    <x v="27"/>
    <n v="28"/>
    <n v="281624"/>
    <n v="145236"/>
  </r>
  <r>
    <x v="3"/>
    <x v="0"/>
    <x v="3"/>
    <x v="2"/>
    <x v="3"/>
    <x v="27"/>
    <n v="53"/>
    <n v="602610"/>
    <n v="274911"/>
  </r>
  <r>
    <x v="4"/>
    <x v="0"/>
    <x v="4"/>
    <x v="2"/>
    <x v="3"/>
    <x v="27"/>
    <n v="67"/>
    <n v="699078"/>
    <n v="347529"/>
  </r>
  <r>
    <x v="5"/>
    <x v="0"/>
    <x v="5"/>
    <x v="2"/>
    <x v="3"/>
    <x v="27"/>
    <n v="63"/>
    <n v="678447"/>
    <n v="326781"/>
  </r>
  <r>
    <x v="6"/>
    <x v="0"/>
    <x v="6"/>
    <x v="2"/>
    <x v="3"/>
    <x v="27"/>
    <n v="67"/>
    <n v="640855"/>
    <n v="347529"/>
  </r>
  <r>
    <x v="7"/>
    <x v="0"/>
    <x v="7"/>
    <x v="2"/>
    <x v="3"/>
    <x v="27"/>
    <n v="56"/>
    <n v="573944"/>
    <n v="290472"/>
  </r>
  <r>
    <x v="8"/>
    <x v="0"/>
    <x v="8"/>
    <x v="2"/>
    <x v="3"/>
    <x v="27"/>
    <n v="60"/>
    <n v="635100"/>
    <n v="311220"/>
  </r>
  <r>
    <x v="9"/>
    <x v="0"/>
    <x v="9"/>
    <x v="2"/>
    <x v="3"/>
    <x v="27"/>
    <n v="49"/>
    <n v="512589"/>
    <n v="254163"/>
  </r>
  <r>
    <x v="10"/>
    <x v="0"/>
    <x v="10"/>
    <x v="2"/>
    <x v="3"/>
    <x v="27"/>
    <n v="35"/>
    <n v="363055"/>
    <n v="181545"/>
  </r>
  <r>
    <x v="11"/>
    <x v="0"/>
    <x v="11"/>
    <x v="2"/>
    <x v="3"/>
    <x v="27"/>
    <n v="42"/>
    <n v="430962"/>
    <n v="217854"/>
  </r>
  <r>
    <x v="12"/>
    <x v="1"/>
    <x v="12"/>
    <x v="2"/>
    <x v="3"/>
    <x v="27"/>
    <n v="62"/>
    <n v="651000"/>
    <n v="321594"/>
  </r>
  <r>
    <x v="13"/>
    <x v="1"/>
    <x v="13"/>
    <x v="2"/>
    <x v="3"/>
    <x v="27"/>
    <n v="39"/>
    <n v="412113"/>
    <n v="202293"/>
  </r>
  <r>
    <x v="14"/>
    <x v="1"/>
    <x v="14"/>
    <x v="2"/>
    <x v="3"/>
    <x v="27"/>
    <n v="31"/>
    <n v="309380"/>
    <n v="160797"/>
  </r>
  <r>
    <x v="15"/>
    <x v="1"/>
    <x v="15"/>
    <x v="2"/>
    <x v="3"/>
    <x v="27"/>
    <n v="58"/>
    <n v="611088"/>
    <n v="300846"/>
  </r>
  <r>
    <x v="16"/>
    <x v="1"/>
    <x v="16"/>
    <x v="2"/>
    <x v="3"/>
    <x v="27"/>
    <n v="73"/>
    <n v="838697"/>
    <n v="378651"/>
  </r>
  <r>
    <x v="17"/>
    <x v="1"/>
    <x v="17"/>
    <x v="2"/>
    <x v="3"/>
    <x v="27"/>
    <n v="70"/>
    <n v="753270"/>
    <n v="363090"/>
  </r>
  <r>
    <x v="18"/>
    <x v="1"/>
    <x v="18"/>
    <x v="2"/>
    <x v="3"/>
    <x v="27"/>
    <n v="73"/>
    <n v="626778"/>
    <n v="378651"/>
  </r>
  <r>
    <x v="19"/>
    <x v="1"/>
    <x v="19"/>
    <x v="2"/>
    <x v="3"/>
    <x v="27"/>
    <n v="62"/>
    <n v="609398"/>
    <n v="321594"/>
  </r>
  <r>
    <x v="20"/>
    <x v="1"/>
    <x v="20"/>
    <x v="2"/>
    <x v="3"/>
    <x v="27"/>
    <n v="66"/>
    <n v="634722"/>
    <n v="342342"/>
  </r>
  <r>
    <x v="21"/>
    <x v="1"/>
    <x v="21"/>
    <x v="2"/>
    <x v="3"/>
    <x v="27"/>
    <n v="54"/>
    <n v="562842"/>
    <n v="280098"/>
  </r>
  <r>
    <x v="22"/>
    <x v="1"/>
    <x v="22"/>
    <x v="2"/>
    <x v="3"/>
    <x v="27"/>
    <n v="39"/>
    <n v="408408"/>
    <n v="202293"/>
  </r>
  <r>
    <x v="23"/>
    <x v="1"/>
    <x v="23"/>
    <x v="2"/>
    <x v="3"/>
    <x v="27"/>
    <n v="47"/>
    <n v="464642"/>
    <n v="243789"/>
  </r>
  <r>
    <x v="0"/>
    <x v="0"/>
    <x v="0"/>
    <x v="2"/>
    <x v="4"/>
    <x v="28"/>
    <n v="60"/>
    <n v="793140"/>
    <n v="360000"/>
  </r>
  <r>
    <x v="1"/>
    <x v="0"/>
    <x v="1"/>
    <x v="2"/>
    <x v="4"/>
    <x v="28"/>
    <n v="38"/>
    <n v="497610"/>
    <n v="228000"/>
  </r>
  <r>
    <x v="2"/>
    <x v="0"/>
    <x v="2"/>
    <x v="2"/>
    <x v="4"/>
    <x v="28"/>
    <n v="30"/>
    <n v="395580"/>
    <n v="180000"/>
  </r>
  <r>
    <x v="3"/>
    <x v="0"/>
    <x v="3"/>
    <x v="2"/>
    <x v="4"/>
    <x v="28"/>
    <n v="57"/>
    <n v="788595"/>
    <n v="342000"/>
  </r>
  <r>
    <x v="4"/>
    <x v="0"/>
    <x v="4"/>
    <x v="2"/>
    <x v="4"/>
    <x v="28"/>
    <n v="72"/>
    <n v="1001448"/>
    <n v="432000"/>
  </r>
  <r>
    <x v="5"/>
    <x v="0"/>
    <x v="5"/>
    <x v="2"/>
    <x v="4"/>
    <x v="28"/>
    <n v="68"/>
    <n v="905556"/>
    <n v="408000"/>
  </r>
  <r>
    <x v="6"/>
    <x v="0"/>
    <x v="6"/>
    <x v="2"/>
    <x v="4"/>
    <x v="28"/>
    <n v="72"/>
    <n v="800208"/>
    <n v="432000"/>
  </r>
  <r>
    <x v="7"/>
    <x v="0"/>
    <x v="7"/>
    <x v="2"/>
    <x v="4"/>
    <x v="28"/>
    <n v="60"/>
    <n v="751320"/>
    <n v="360000"/>
  </r>
  <r>
    <x v="8"/>
    <x v="0"/>
    <x v="8"/>
    <x v="2"/>
    <x v="4"/>
    <x v="28"/>
    <n v="64"/>
    <n v="834112"/>
    <n v="384000"/>
  </r>
  <r>
    <x v="9"/>
    <x v="0"/>
    <x v="9"/>
    <x v="2"/>
    <x v="4"/>
    <x v="28"/>
    <n v="53"/>
    <n v="728114"/>
    <n v="318000"/>
  </r>
  <r>
    <x v="10"/>
    <x v="0"/>
    <x v="10"/>
    <x v="2"/>
    <x v="4"/>
    <x v="28"/>
    <n v="38"/>
    <n v="515508"/>
    <n v="228000"/>
  </r>
  <r>
    <x v="11"/>
    <x v="0"/>
    <x v="11"/>
    <x v="2"/>
    <x v="4"/>
    <x v="28"/>
    <n v="45"/>
    <n v="567270"/>
    <n v="270000"/>
  </r>
  <r>
    <x v="12"/>
    <x v="1"/>
    <x v="12"/>
    <x v="2"/>
    <x v="4"/>
    <x v="28"/>
    <n v="66"/>
    <n v="891990"/>
    <n v="396000"/>
  </r>
  <r>
    <x v="13"/>
    <x v="1"/>
    <x v="13"/>
    <x v="2"/>
    <x v="4"/>
    <x v="28"/>
    <n v="42"/>
    <n v="547638"/>
    <n v="252000"/>
  </r>
  <r>
    <x v="14"/>
    <x v="1"/>
    <x v="14"/>
    <x v="2"/>
    <x v="4"/>
    <x v="28"/>
    <n v="33"/>
    <n v="417351"/>
    <n v="198000"/>
  </r>
  <r>
    <x v="15"/>
    <x v="1"/>
    <x v="15"/>
    <x v="2"/>
    <x v="4"/>
    <x v="28"/>
    <n v="62"/>
    <n v="859754"/>
    <n v="372000"/>
  </r>
  <r>
    <x v="16"/>
    <x v="1"/>
    <x v="16"/>
    <x v="2"/>
    <x v="4"/>
    <x v="28"/>
    <n v="79"/>
    <n v="1075506"/>
    <n v="474000"/>
  </r>
  <r>
    <x v="17"/>
    <x v="1"/>
    <x v="17"/>
    <x v="2"/>
    <x v="4"/>
    <x v="28"/>
    <n v="75"/>
    <n v="990675"/>
    <n v="450000"/>
  </r>
  <r>
    <x v="18"/>
    <x v="1"/>
    <x v="18"/>
    <x v="2"/>
    <x v="4"/>
    <x v="28"/>
    <n v="79"/>
    <n v="928092"/>
    <n v="474000"/>
  </r>
  <r>
    <x v="19"/>
    <x v="1"/>
    <x v="19"/>
    <x v="2"/>
    <x v="4"/>
    <x v="28"/>
    <n v="66"/>
    <n v="829884"/>
    <n v="396000"/>
  </r>
  <r>
    <x v="20"/>
    <x v="1"/>
    <x v="20"/>
    <x v="2"/>
    <x v="4"/>
    <x v="28"/>
    <n v="71"/>
    <n v="881110"/>
    <n v="426000"/>
  </r>
  <r>
    <x v="21"/>
    <x v="1"/>
    <x v="21"/>
    <x v="2"/>
    <x v="4"/>
    <x v="28"/>
    <n v="58"/>
    <n v="776794"/>
    <n v="348000"/>
  </r>
  <r>
    <x v="22"/>
    <x v="1"/>
    <x v="22"/>
    <x v="2"/>
    <x v="4"/>
    <x v="28"/>
    <n v="42"/>
    <n v="540834"/>
    <n v="252000"/>
  </r>
  <r>
    <x v="23"/>
    <x v="1"/>
    <x v="23"/>
    <x v="2"/>
    <x v="4"/>
    <x v="28"/>
    <n v="50"/>
    <n v="661700"/>
    <n v="300000"/>
  </r>
  <r>
    <x v="0"/>
    <x v="0"/>
    <x v="0"/>
    <x v="2"/>
    <x v="4"/>
    <x v="29"/>
    <n v="44"/>
    <n v="451264"/>
    <n v="233640"/>
  </r>
  <r>
    <x v="1"/>
    <x v="0"/>
    <x v="1"/>
    <x v="2"/>
    <x v="4"/>
    <x v="29"/>
    <n v="28"/>
    <n v="286048"/>
    <n v="148680"/>
  </r>
  <r>
    <x v="2"/>
    <x v="0"/>
    <x v="2"/>
    <x v="2"/>
    <x v="4"/>
    <x v="29"/>
    <n v="22"/>
    <n v="222464"/>
    <n v="116820"/>
  </r>
  <r>
    <x v="3"/>
    <x v="0"/>
    <x v="3"/>
    <x v="2"/>
    <x v="4"/>
    <x v="29"/>
    <n v="41"/>
    <n v="449401"/>
    <n v="217710"/>
  </r>
  <r>
    <x v="4"/>
    <x v="0"/>
    <x v="4"/>
    <x v="2"/>
    <x v="4"/>
    <x v="29"/>
    <n v="52"/>
    <n v="573612"/>
    <n v="276120"/>
  </r>
  <r>
    <x v="5"/>
    <x v="0"/>
    <x v="5"/>
    <x v="2"/>
    <x v="4"/>
    <x v="29"/>
    <n v="49"/>
    <n v="505239"/>
    <n v="260190"/>
  </r>
  <r>
    <x v="6"/>
    <x v="0"/>
    <x v="6"/>
    <x v="2"/>
    <x v="4"/>
    <x v="29"/>
    <n v="52"/>
    <n v="465816"/>
    <n v="276120"/>
  </r>
  <r>
    <x v="7"/>
    <x v="0"/>
    <x v="7"/>
    <x v="2"/>
    <x v="4"/>
    <x v="29"/>
    <n v="44"/>
    <n v="434984"/>
    <n v="233640"/>
  </r>
  <r>
    <x v="8"/>
    <x v="0"/>
    <x v="8"/>
    <x v="2"/>
    <x v="4"/>
    <x v="29"/>
    <n v="47"/>
    <n v="437993"/>
    <n v="249570"/>
  </r>
  <r>
    <x v="9"/>
    <x v="0"/>
    <x v="9"/>
    <x v="2"/>
    <x v="4"/>
    <x v="29"/>
    <n v="38"/>
    <n v="383686"/>
    <n v="201780"/>
  </r>
  <r>
    <x v="10"/>
    <x v="0"/>
    <x v="10"/>
    <x v="2"/>
    <x v="4"/>
    <x v="29"/>
    <n v="28"/>
    <n v="282660"/>
    <n v="148680"/>
  </r>
  <r>
    <x v="11"/>
    <x v="0"/>
    <x v="11"/>
    <x v="2"/>
    <x v="4"/>
    <x v="29"/>
    <n v="33"/>
    <n v="310662"/>
    <n v="175230"/>
  </r>
  <r>
    <x v="12"/>
    <x v="1"/>
    <x v="12"/>
    <x v="2"/>
    <x v="4"/>
    <x v="29"/>
    <n v="48"/>
    <n v="482064"/>
    <n v="254880"/>
  </r>
  <r>
    <x v="13"/>
    <x v="1"/>
    <x v="13"/>
    <x v="2"/>
    <x v="4"/>
    <x v="29"/>
    <n v="30"/>
    <n v="322740"/>
    <n v="159300"/>
  </r>
  <r>
    <x v="14"/>
    <x v="1"/>
    <x v="14"/>
    <x v="2"/>
    <x v="4"/>
    <x v="29"/>
    <n v="24"/>
    <n v="244440"/>
    <n v="127440"/>
  </r>
  <r>
    <x v="15"/>
    <x v="1"/>
    <x v="15"/>
    <x v="2"/>
    <x v="4"/>
    <x v="29"/>
    <n v="45"/>
    <n v="492840"/>
    <n v="238950"/>
  </r>
  <r>
    <x v="16"/>
    <x v="1"/>
    <x v="16"/>
    <x v="2"/>
    <x v="4"/>
    <x v="29"/>
    <n v="57"/>
    <n v="630306"/>
    <n v="302670"/>
  </r>
  <r>
    <x v="17"/>
    <x v="1"/>
    <x v="17"/>
    <x v="2"/>
    <x v="4"/>
    <x v="29"/>
    <n v="54"/>
    <n v="573696"/>
    <n v="286740"/>
  </r>
  <r>
    <x v="18"/>
    <x v="1"/>
    <x v="18"/>
    <x v="2"/>
    <x v="4"/>
    <x v="29"/>
    <n v="57"/>
    <n v="510891"/>
    <n v="302670"/>
  </r>
  <r>
    <x v="19"/>
    <x v="1"/>
    <x v="19"/>
    <x v="2"/>
    <x v="4"/>
    <x v="29"/>
    <n v="48"/>
    <n v="450336"/>
    <n v="254880"/>
  </r>
  <r>
    <x v="20"/>
    <x v="1"/>
    <x v="20"/>
    <x v="2"/>
    <x v="4"/>
    <x v="29"/>
    <n v="51"/>
    <n v="512703"/>
    <n v="270810"/>
  </r>
  <r>
    <x v="21"/>
    <x v="1"/>
    <x v="21"/>
    <x v="2"/>
    <x v="4"/>
    <x v="29"/>
    <n v="42"/>
    <n v="448224"/>
    <n v="223020"/>
  </r>
  <r>
    <x v="22"/>
    <x v="1"/>
    <x v="22"/>
    <x v="2"/>
    <x v="4"/>
    <x v="29"/>
    <n v="30"/>
    <n v="305880"/>
    <n v="159300"/>
  </r>
  <r>
    <x v="23"/>
    <x v="1"/>
    <x v="23"/>
    <x v="2"/>
    <x v="4"/>
    <x v="29"/>
    <n v="36"/>
    <n v="339984"/>
    <n v="191160"/>
  </r>
  <r>
    <x v="0"/>
    <x v="0"/>
    <x v="0"/>
    <x v="2"/>
    <x v="4"/>
    <x v="30"/>
    <n v="42"/>
    <n v="373800"/>
    <n v="135240"/>
  </r>
  <r>
    <x v="1"/>
    <x v="0"/>
    <x v="1"/>
    <x v="2"/>
    <x v="4"/>
    <x v="30"/>
    <n v="26"/>
    <n v="230594"/>
    <n v="83720"/>
  </r>
  <r>
    <x v="2"/>
    <x v="0"/>
    <x v="2"/>
    <x v="2"/>
    <x v="4"/>
    <x v="30"/>
    <n v="21"/>
    <n v="147966"/>
    <n v="67620"/>
  </r>
  <r>
    <x v="3"/>
    <x v="0"/>
    <x v="3"/>
    <x v="2"/>
    <x v="4"/>
    <x v="30"/>
    <n v="39"/>
    <n v="363402"/>
    <n v="125580"/>
  </r>
  <r>
    <x v="4"/>
    <x v="0"/>
    <x v="4"/>
    <x v="2"/>
    <x v="4"/>
    <x v="30"/>
    <n v="50"/>
    <n v="459900"/>
    <n v="161000"/>
  </r>
  <r>
    <x v="5"/>
    <x v="0"/>
    <x v="5"/>
    <x v="2"/>
    <x v="4"/>
    <x v="30"/>
    <n v="47"/>
    <n v="396821"/>
    <n v="151340"/>
  </r>
  <r>
    <x v="6"/>
    <x v="0"/>
    <x v="6"/>
    <x v="2"/>
    <x v="4"/>
    <x v="30"/>
    <n v="50"/>
    <n v="342550"/>
    <n v="161000"/>
  </r>
  <r>
    <x v="7"/>
    <x v="0"/>
    <x v="7"/>
    <x v="2"/>
    <x v="4"/>
    <x v="30"/>
    <n v="42"/>
    <n v="323736"/>
    <n v="135240"/>
  </r>
  <r>
    <x v="8"/>
    <x v="0"/>
    <x v="8"/>
    <x v="2"/>
    <x v="4"/>
    <x v="30"/>
    <n v="44"/>
    <n v="325820"/>
    <n v="141680"/>
  </r>
  <r>
    <x v="9"/>
    <x v="0"/>
    <x v="9"/>
    <x v="2"/>
    <x v="4"/>
    <x v="30"/>
    <n v="37"/>
    <n v="309135"/>
    <n v="119140"/>
  </r>
  <r>
    <x v="10"/>
    <x v="0"/>
    <x v="10"/>
    <x v="2"/>
    <x v="4"/>
    <x v="30"/>
    <n v="26"/>
    <n v="208806"/>
    <n v="83720"/>
  </r>
  <r>
    <x v="11"/>
    <x v="0"/>
    <x v="11"/>
    <x v="2"/>
    <x v="4"/>
    <x v="30"/>
    <n v="31"/>
    <n v="223045"/>
    <n v="99820"/>
  </r>
  <r>
    <x v="12"/>
    <x v="1"/>
    <x v="12"/>
    <x v="2"/>
    <x v="4"/>
    <x v="30"/>
    <n v="46"/>
    <n v="356730"/>
    <n v="148120"/>
  </r>
  <r>
    <x v="13"/>
    <x v="1"/>
    <x v="13"/>
    <x v="2"/>
    <x v="4"/>
    <x v="30"/>
    <n v="29"/>
    <n v="241454"/>
    <n v="93380"/>
  </r>
  <r>
    <x v="14"/>
    <x v="1"/>
    <x v="14"/>
    <x v="2"/>
    <x v="4"/>
    <x v="30"/>
    <n v="23"/>
    <n v="178434"/>
    <n v="74060"/>
  </r>
  <r>
    <x v="15"/>
    <x v="1"/>
    <x v="15"/>
    <x v="2"/>
    <x v="4"/>
    <x v="30"/>
    <n v="43"/>
    <n v="396546"/>
    <n v="138460"/>
  </r>
  <r>
    <x v="16"/>
    <x v="1"/>
    <x v="16"/>
    <x v="2"/>
    <x v="4"/>
    <x v="30"/>
    <n v="54"/>
    <n v="470934"/>
    <n v="173880"/>
  </r>
  <r>
    <x v="17"/>
    <x v="1"/>
    <x v="17"/>
    <x v="2"/>
    <x v="4"/>
    <x v="30"/>
    <n v="52"/>
    <n v="430404"/>
    <n v="167440"/>
  </r>
  <r>
    <x v="18"/>
    <x v="1"/>
    <x v="18"/>
    <x v="2"/>
    <x v="4"/>
    <x v="30"/>
    <n v="54"/>
    <n v="361476"/>
    <n v="173880"/>
  </r>
  <r>
    <x v="19"/>
    <x v="1"/>
    <x v="19"/>
    <x v="2"/>
    <x v="4"/>
    <x v="30"/>
    <n v="46"/>
    <n v="356868"/>
    <n v="148120"/>
  </r>
  <r>
    <x v="20"/>
    <x v="1"/>
    <x v="20"/>
    <x v="2"/>
    <x v="4"/>
    <x v="30"/>
    <n v="49"/>
    <n v="375879"/>
    <n v="157780"/>
  </r>
  <r>
    <x v="21"/>
    <x v="1"/>
    <x v="21"/>
    <x v="2"/>
    <x v="4"/>
    <x v="30"/>
    <n v="40"/>
    <n v="353640"/>
    <n v="128800"/>
  </r>
  <r>
    <x v="22"/>
    <x v="1"/>
    <x v="22"/>
    <x v="2"/>
    <x v="4"/>
    <x v="30"/>
    <n v="29"/>
    <n v="235654"/>
    <n v="93380"/>
  </r>
  <r>
    <x v="23"/>
    <x v="1"/>
    <x v="23"/>
    <x v="2"/>
    <x v="4"/>
    <x v="30"/>
    <n v="35"/>
    <n v="267925"/>
    <n v="112700"/>
  </r>
  <r>
    <x v="0"/>
    <x v="0"/>
    <x v="0"/>
    <x v="2"/>
    <x v="4"/>
    <x v="31"/>
    <n v="52"/>
    <n v="403312"/>
    <n v="172380"/>
  </r>
  <r>
    <x v="1"/>
    <x v="0"/>
    <x v="1"/>
    <x v="2"/>
    <x v="4"/>
    <x v="31"/>
    <n v="33"/>
    <n v="281754"/>
    <n v="109395"/>
  </r>
  <r>
    <x v="2"/>
    <x v="0"/>
    <x v="2"/>
    <x v="2"/>
    <x v="4"/>
    <x v="31"/>
    <n v="26"/>
    <n v="184392"/>
    <n v="86190"/>
  </r>
  <r>
    <x v="3"/>
    <x v="0"/>
    <x v="3"/>
    <x v="2"/>
    <x v="4"/>
    <x v="31"/>
    <n v="49"/>
    <n v="407337"/>
    <n v="162435"/>
  </r>
  <r>
    <x v="4"/>
    <x v="0"/>
    <x v="4"/>
    <x v="2"/>
    <x v="4"/>
    <x v="31"/>
    <n v="62"/>
    <n v="540206"/>
    <n v="205530"/>
  </r>
  <r>
    <x v="5"/>
    <x v="0"/>
    <x v="5"/>
    <x v="2"/>
    <x v="4"/>
    <x v="31"/>
    <n v="58"/>
    <n v="470728"/>
    <n v="192270"/>
  </r>
  <r>
    <x v="6"/>
    <x v="0"/>
    <x v="6"/>
    <x v="2"/>
    <x v="4"/>
    <x v="31"/>
    <n v="62"/>
    <n v="402566"/>
    <n v="205530"/>
  </r>
  <r>
    <x v="7"/>
    <x v="0"/>
    <x v="7"/>
    <x v="2"/>
    <x v="4"/>
    <x v="31"/>
    <n v="52"/>
    <n v="370968"/>
    <n v="172380"/>
  </r>
  <r>
    <x v="8"/>
    <x v="0"/>
    <x v="8"/>
    <x v="2"/>
    <x v="4"/>
    <x v="31"/>
    <n v="55"/>
    <n v="387860"/>
    <n v="182325"/>
  </r>
  <r>
    <x v="9"/>
    <x v="0"/>
    <x v="9"/>
    <x v="2"/>
    <x v="4"/>
    <x v="31"/>
    <n v="45"/>
    <n v="343845"/>
    <n v="149175"/>
  </r>
  <r>
    <x v="10"/>
    <x v="0"/>
    <x v="10"/>
    <x v="2"/>
    <x v="4"/>
    <x v="31"/>
    <n v="33"/>
    <n v="262482"/>
    <n v="109395"/>
  </r>
  <r>
    <x v="11"/>
    <x v="0"/>
    <x v="11"/>
    <x v="2"/>
    <x v="4"/>
    <x v="31"/>
    <n v="39"/>
    <n v="282009"/>
    <n v="129285"/>
  </r>
  <r>
    <x v="12"/>
    <x v="1"/>
    <x v="12"/>
    <x v="2"/>
    <x v="4"/>
    <x v="31"/>
    <n v="57"/>
    <n v="473499"/>
    <n v="188955"/>
  </r>
  <r>
    <x v="13"/>
    <x v="1"/>
    <x v="13"/>
    <x v="2"/>
    <x v="4"/>
    <x v="31"/>
    <n v="36"/>
    <n v="274428"/>
    <n v="119340"/>
  </r>
  <r>
    <x v="14"/>
    <x v="1"/>
    <x v="14"/>
    <x v="2"/>
    <x v="4"/>
    <x v="31"/>
    <n v="29"/>
    <n v="206509"/>
    <n v="96135"/>
  </r>
  <r>
    <x v="15"/>
    <x v="1"/>
    <x v="15"/>
    <x v="2"/>
    <x v="4"/>
    <x v="31"/>
    <n v="54"/>
    <n v="416664"/>
    <n v="179010"/>
  </r>
  <r>
    <x v="16"/>
    <x v="1"/>
    <x v="16"/>
    <x v="2"/>
    <x v="4"/>
    <x v="31"/>
    <n v="68"/>
    <n v="536044"/>
    <n v="225420"/>
  </r>
  <r>
    <x v="17"/>
    <x v="1"/>
    <x v="17"/>
    <x v="2"/>
    <x v="4"/>
    <x v="31"/>
    <n v="64"/>
    <n v="525120"/>
    <n v="212160"/>
  </r>
  <r>
    <x v="18"/>
    <x v="1"/>
    <x v="18"/>
    <x v="2"/>
    <x v="4"/>
    <x v="31"/>
    <n v="68"/>
    <n v="434384"/>
    <n v="225420"/>
  </r>
  <r>
    <x v="19"/>
    <x v="1"/>
    <x v="19"/>
    <x v="2"/>
    <x v="4"/>
    <x v="31"/>
    <n v="57"/>
    <n v="451611"/>
    <n v="188955"/>
  </r>
  <r>
    <x v="20"/>
    <x v="1"/>
    <x v="20"/>
    <x v="2"/>
    <x v="4"/>
    <x v="31"/>
    <n v="61"/>
    <n v="455975"/>
    <n v="202215"/>
  </r>
  <r>
    <x v="21"/>
    <x v="1"/>
    <x v="21"/>
    <x v="2"/>
    <x v="4"/>
    <x v="31"/>
    <n v="50"/>
    <n v="407000"/>
    <n v="165750"/>
  </r>
  <r>
    <x v="22"/>
    <x v="1"/>
    <x v="22"/>
    <x v="2"/>
    <x v="4"/>
    <x v="31"/>
    <n v="36"/>
    <n v="261360"/>
    <n v="119340"/>
  </r>
  <r>
    <x v="23"/>
    <x v="1"/>
    <x v="23"/>
    <x v="2"/>
    <x v="4"/>
    <x v="31"/>
    <n v="43"/>
    <n v="330713"/>
    <n v="142545"/>
  </r>
  <r>
    <x v="0"/>
    <x v="0"/>
    <x v="0"/>
    <x v="2"/>
    <x v="4"/>
    <x v="32"/>
    <n v="57"/>
    <n v="612066"/>
    <n v="267900"/>
  </r>
  <r>
    <x v="1"/>
    <x v="0"/>
    <x v="1"/>
    <x v="2"/>
    <x v="4"/>
    <x v="32"/>
    <n v="36"/>
    <n v="409284"/>
    <n v="169200"/>
  </r>
  <r>
    <x v="2"/>
    <x v="0"/>
    <x v="2"/>
    <x v="2"/>
    <x v="4"/>
    <x v="32"/>
    <n v="29"/>
    <n v="317405"/>
    <n v="136300"/>
  </r>
  <r>
    <x v="3"/>
    <x v="0"/>
    <x v="3"/>
    <x v="2"/>
    <x v="4"/>
    <x v="32"/>
    <n v="53"/>
    <n v="608016"/>
    <n v="249100"/>
  </r>
  <r>
    <x v="4"/>
    <x v="0"/>
    <x v="4"/>
    <x v="2"/>
    <x v="4"/>
    <x v="32"/>
    <n v="68"/>
    <n v="806480"/>
    <n v="319600"/>
  </r>
  <r>
    <x v="5"/>
    <x v="0"/>
    <x v="5"/>
    <x v="2"/>
    <x v="4"/>
    <x v="32"/>
    <n v="64"/>
    <n v="753280"/>
    <n v="300800"/>
  </r>
  <r>
    <x v="6"/>
    <x v="0"/>
    <x v="6"/>
    <x v="2"/>
    <x v="4"/>
    <x v="32"/>
    <n v="68"/>
    <n v="664224"/>
    <n v="319600"/>
  </r>
  <r>
    <x v="7"/>
    <x v="0"/>
    <x v="7"/>
    <x v="2"/>
    <x v="4"/>
    <x v="32"/>
    <n v="57"/>
    <n v="631959"/>
    <n v="267900"/>
  </r>
  <r>
    <x v="8"/>
    <x v="0"/>
    <x v="8"/>
    <x v="2"/>
    <x v="4"/>
    <x v="32"/>
    <n v="60"/>
    <n v="622560"/>
    <n v="282000"/>
  </r>
  <r>
    <x v="9"/>
    <x v="0"/>
    <x v="9"/>
    <x v="2"/>
    <x v="4"/>
    <x v="32"/>
    <n v="50"/>
    <n v="558650"/>
    <n v="235000"/>
  </r>
  <r>
    <x v="10"/>
    <x v="0"/>
    <x v="10"/>
    <x v="2"/>
    <x v="4"/>
    <x v="32"/>
    <n v="36"/>
    <n v="405864"/>
    <n v="169200"/>
  </r>
  <r>
    <x v="11"/>
    <x v="0"/>
    <x v="11"/>
    <x v="2"/>
    <x v="4"/>
    <x v="32"/>
    <n v="43"/>
    <n v="470936"/>
    <n v="202100"/>
  </r>
  <r>
    <x v="12"/>
    <x v="1"/>
    <x v="12"/>
    <x v="2"/>
    <x v="4"/>
    <x v="32"/>
    <n v="63"/>
    <n v="676242"/>
    <n v="296100"/>
  </r>
  <r>
    <x v="13"/>
    <x v="1"/>
    <x v="13"/>
    <x v="2"/>
    <x v="4"/>
    <x v="32"/>
    <n v="39"/>
    <n v="461019"/>
    <n v="183300"/>
  </r>
  <r>
    <x v="14"/>
    <x v="1"/>
    <x v="14"/>
    <x v="2"/>
    <x v="4"/>
    <x v="32"/>
    <n v="32"/>
    <n v="353888"/>
    <n v="150400"/>
  </r>
  <r>
    <x v="15"/>
    <x v="1"/>
    <x v="15"/>
    <x v="2"/>
    <x v="4"/>
    <x v="32"/>
    <n v="59"/>
    <n v="669237"/>
    <n v="277300"/>
  </r>
  <r>
    <x v="16"/>
    <x v="1"/>
    <x v="16"/>
    <x v="2"/>
    <x v="4"/>
    <x v="32"/>
    <n v="74"/>
    <n v="852184"/>
    <n v="347800"/>
  </r>
  <r>
    <x v="17"/>
    <x v="1"/>
    <x v="17"/>
    <x v="2"/>
    <x v="4"/>
    <x v="32"/>
    <n v="70"/>
    <n v="822710"/>
    <n v="329000"/>
  </r>
  <r>
    <x v="18"/>
    <x v="1"/>
    <x v="18"/>
    <x v="2"/>
    <x v="4"/>
    <x v="32"/>
    <n v="74"/>
    <n v="699374"/>
    <n v="347800"/>
  </r>
  <r>
    <x v="19"/>
    <x v="1"/>
    <x v="19"/>
    <x v="2"/>
    <x v="4"/>
    <x v="32"/>
    <n v="63"/>
    <n v="717129"/>
    <n v="296100"/>
  </r>
  <r>
    <x v="20"/>
    <x v="1"/>
    <x v="20"/>
    <x v="2"/>
    <x v="4"/>
    <x v="32"/>
    <n v="66"/>
    <n v="734316"/>
    <n v="310200"/>
  </r>
  <r>
    <x v="21"/>
    <x v="1"/>
    <x v="21"/>
    <x v="2"/>
    <x v="4"/>
    <x v="32"/>
    <n v="55"/>
    <n v="626890"/>
    <n v="258500"/>
  </r>
  <r>
    <x v="22"/>
    <x v="1"/>
    <x v="22"/>
    <x v="2"/>
    <x v="4"/>
    <x v="32"/>
    <n v="39"/>
    <n v="430716"/>
    <n v="183300"/>
  </r>
  <r>
    <x v="23"/>
    <x v="1"/>
    <x v="23"/>
    <x v="2"/>
    <x v="4"/>
    <x v="32"/>
    <n v="47"/>
    <n v="493218"/>
    <n v="220900"/>
  </r>
  <r>
    <x v="0"/>
    <x v="0"/>
    <x v="0"/>
    <x v="2"/>
    <x v="4"/>
    <x v="33"/>
    <n v="60"/>
    <n v="626340"/>
    <n v="322140"/>
  </r>
  <r>
    <x v="1"/>
    <x v="0"/>
    <x v="1"/>
    <x v="2"/>
    <x v="4"/>
    <x v="33"/>
    <n v="38"/>
    <n v="397708"/>
    <n v="204022"/>
  </r>
  <r>
    <x v="2"/>
    <x v="0"/>
    <x v="2"/>
    <x v="2"/>
    <x v="4"/>
    <x v="33"/>
    <n v="30"/>
    <n v="294930"/>
    <n v="161070"/>
  </r>
  <r>
    <x v="3"/>
    <x v="0"/>
    <x v="3"/>
    <x v="2"/>
    <x v="4"/>
    <x v="33"/>
    <n v="56"/>
    <n v="589008"/>
    <n v="300664"/>
  </r>
  <r>
    <x v="4"/>
    <x v="0"/>
    <x v="4"/>
    <x v="2"/>
    <x v="4"/>
    <x v="33"/>
    <n v="71"/>
    <n v="768788"/>
    <n v="381199"/>
  </r>
  <r>
    <x v="5"/>
    <x v="0"/>
    <x v="5"/>
    <x v="2"/>
    <x v="4"/>
    <x v="33"/>
    <n v="67"/>
    <n v="713416"/>
    <n v="359723"/>
  </r>
  <r>
    <x v="6"/>
    <x v="0"/>
    <x v="6"/>
    <x v="2"/>
    <x v="4"/>
    <x v="33"/>
    <n v="71"/>
    <n v="639000"/>
    <n v="381199"/>
  </r>
  <r>
    <x v="7"/>
    <x v="0"/>
    <x v="7"/>
    <x v="2"/>
    <x v="4"/>
    <x v="33"/>
    <n v="60"/>
    <n v="579360"/>
    <n v="322140"/>
  </r>
  <r>
    <x v="8"/>
    <x v="0"/>
    <x v="8"/>
    <x v="2"/>
    <x v="4"/>
    <x v="33"/>
    <n v="64"/>
    <n v="628672"/>
    <n v="343616"/>
  </r>
  <r>
    <x v="9"/>
    <x v="0"/>
    <x v="9"/>
    <x v="2"/>
    <x v="4"/>
    <x v="33"/>
    <n v="53"/>
    <n v="548868"/>
    <n v="284557"/>
  </r>
  <r>
    <x v="10"/>
    <x v="0"/>
    <x v="10"/>
    <x v="2"/>
    <x v="4"/>
    <x v="33"/>
    <n v="38"/>
    <n v="399912"/>
    <n v="204022"/>
  </r>
  <r>
    <x v="11"/>
    <x v="0"/>
    <x v="11"/>
    <x v="2"/>
    <x v="4"/>
    <x v="33"/>
    <n v="45"/>
    <n v="445545"/>
    <n v="241605"/>
  </r>
  <r>
    <x v="12"/>
    <x v="1"/>
    <x v="12"/>
    <x v="2"/>
    <x v="4"/>
    <x v="33"/>
    <n v="66"/>
    <n v="675444"/>
    <n v="354354"/>
  </r>
  <r>
    <x v="13"/>
    <x v="1"/>
    <x v="13"/>
    <x v="2"/>
    <x v="4"/>
    <x v="33"/>
    <n v="41"/>
    <n v="428696"/>
    <n v="220129"/>
  </r>
  <r>
    <x v="14"/>
    <x v="1"/>
    <x v="14"/>
    <x v="2"/>
    <x v="4"/>
    <x v="33"/>
    <n v="33"/>
    <n v="317460"/>
    <n v="177177"/>
  </r>
  <r>
    <x v="15"/>
    <x v="1"/>
    <x v="15"/>
    <x v="2"/>
    <x v="4"/>
    <x v="33"/>
    <n v="62"/>
    <n v="671088"/>
    <n v="332878"/>
  </r>
  <r>
    <x v="16"/>
    <x v="1"/>
    <x v="16"/>
    <x v="2"/>
    <x v="4"/>
    <x v="33"/>
    <n v="78"/>
    <n v="826722"/>
    <n v="418782"/>
  </r>
  <r>
    <x v="17"/>
    <x v="1"/>
    <x v="17"/>
    <x v="2"/>
    <x v="4"/>
    <x v="33"/>
    <n v="74"/>
    <n v="767158"/>
    <n v="397306"/>
  </r>
  <r>
    <x v="18"/>
    <x v="1"/>
    <x v="18"/>
    <x v="2"/>
    <x v="4"/>
    <x v="33"/>
    <n v="78"/>
    <n v="657228"/>
    <n v="418782"/>
  </r>
  <r>
    <x v="19"/>
    <x v="1"/>
    <x v="19"/>
    <x v="2"/>
    <x v="4"/>
    <x v="33"/>
    <n v="66"/>
    <n v="662442"/>
    <n v="354354"/>
  </r>
  <r>
    <x v="20"/>
    <x v="1"/>
    <x v="20"/>
    <x v="2"/>
    <x v="4"/>
    <x v="33"/>
    <n v="70"/>
    <n v="682920"/>
    <n v="375830"/>
  </r>
  <r>
    <x v="21"/>
    <x v="1"/>
    <x v="21"/>
    <x v="2"/>
    <x v="4"/>
    <x v="33"/>
    <n v="58"/>
    <n v="592238"/>
    <n v="311402"/>
  </r>
  <r>
    <x v="22"/>
    <x v="1"/>
    <x v="22"/>
    <x v="2"/>
    <x v="4"/>
    <x v="33"/>
    <n v="41"/>
    <n v="411763"/>
    <n v="220129"/>
  </r>
  <r>
    <x v="23"/>
    <x v="1"/>
    <x v="23"/>
    <x v="2"/>
    <x v="4"/>
    <x v="33"/>
    <n v="50"/>
    <n v="499100"/>
    <n v="268450"/>
  </r>
  <r>
    <x v="0"/>
    <x v="0"/>
    <x v="0"/>
    <x v="2"/>
    <x v="4"/>
    <x v="34"/>
    <n v="43"/>
    <n v="512775"/>
    <n v="236500"/>
  </r>
  <r>
    <x v="1"/>
    <x v="0"/>
    <x v="1"/>
    <x v="2"/>
    <x v="4"/>
    <x v="34"/>
    <n v="27"/>
    <n v="337824"/>
    <n v="148500"/>
  </r>
  <r>
    <x v="2"/>
    <x v="0"/>
    <x v="2"/>
    <x v="2"/>
    <x v="4"/>
    <x v="34"/>
    <n v="22"/>
    <n v="263076"/>
    <n v="121000"/>
  </r>
  <r>
    <x v="3"/>
    <x v="0"/>
    <x v="3"/>
    <x v="2"/>
    <x v="4"/>
    <x v="34"/>
    <n v="40"/>
    <n v="510680"/>
    <n v="220000"/>
  </r>
  <r>
    <x v="4"/>
    <x v="0"/>
    <x v="4"/>
    <x v="2"/>
    <x v="4"/>
    <x v="34"/>
    <n v="51"/>
    <n v="649332"/>
    <n v="280500"/>
  </r>
  <r>
    <x v="5"/>
    <x v="0"/>
    <x v="5"/>
    <x v="2"/>
    <x v="4"/>
    <x v="34"/>
    <n v="48"/>
    <n v="594144"/>
    <n v="264000"/>
  </r>
  <r>
    <x v="6"/>
    <x v="0"/>
    <x v="6"/>
    <x v="2"/>
    <x v="4"/>
    <x v="34"/>
    <n v="51"/>
    <n v="524637"/>
    <n v="280500"/>
  </r>
  <r>
    <x v="7"/>
    <x v="0"/>
    <x v="7"/>
    <x v="2"/>
    <x v="4"/>
    <x v="34"/>
    <n v="43"/>
    <n v="508217"/>
    <n v="236500"/>
  </r>
  <r>
    <x v="8"/>
    <x v="0"/>
    <x v="8"/>
    <x v="2"/>
    <x v="4"/>
    <x v="34"/>
    <n v="45"/>
    <n v="546480"/>
    <n v="247500"/>
  </r>
  <r>
    <x v="9"/>
    <x v="0"/>
    <x v="9"/>
    <x v="2"/>
    <x v="4"/>
    <x v="34"/>
    <n v="38"/>
    <n v="459990"/>
    <n v="209000"/>
  </r>
  <r>
    <x v="10"/>
    <x v="0"/>
    <x v="10"/>
    <x v="2"/>
    <x v="4"/>
    <x v="34"/>
    <n v="27"/>
    <n v="321705"/>
    <n v="148500"/>
  </r>
  <r>
    <x v="11"/>
    <x v="0"/>
    <x v="11"/>
    <x v="2"/>
    <x v="4"/>
    <x v="34"/>
    <n v="32"/>
    <n v="393248"/>
    <n v="176000"/>
  </r>
  <r>
    <x v="12"/>
    <x v="1"/>
    <x v="12"/>
    <x v="2"/>
    <x v="4"/>
    <x v="34"/>
    <n v="47"/>
    <n v="605548"/>
    <n v="258500"/>
  </r>
  <r>
    <x v="13"/>
    <x v="1"/>
    <x v="13"/>
    <x v="2"/>
    <x v="4"/>
    <x v="34"/>
    <n v="30"/>
    <n v="373950"/>
    <n v="165000"/>
  </r>
  <r>
    <x v="14"/>
    <x v="1"/>
    <x v="14"/>
    <x v="2"/>
    <x v="4"/>
    <x v="34"/>
    <n v="24"/>
    <n v="272352"/>
    <n v="132000"/>
  </r>
  <r>
    <x v="15"/>
    <x v="1"/>
    <x v="15"/>
    <x v="2"/>
    <x v="4"/>
    <x v="34"/>
    <n v="44"/>
    <n v="576048"/>
    <n v="242000"/>
  </r>
  <r>
    <x v="16"/>
    <x v="1"/>
    <x v="16"/>
    <x v="2"/>
    <x v="4"/>
    <x v="34"/>
    <n v="56"/>
    <n v="714840"/>
    <n v="308000"/>
  </r>
  <r>
    <x v="17"/>
    <x v="1"/>
    <x v="17"/>
    <x v="2"/>
    <x v="4"/>
    <x v="34"/>
    <n v="53"/>
    <n v="619888"/>
    <n v="291500"/>
  </r>
  <r>
    <x v="18"/>
    <x v="1"/>
    <x v="18"/>
    <x v="2"/>
    <x v="4"/>
    <x v="34"/>
    <n v="56"/>
    <n v="608664"/>
    <n v="308000"/>
  </r>
  <r>
    <x v="19"/>
    <x v="1"/>
    <x v="19"/>
    <x v="2"/>
    <x v="4"/>
    <x v="34"/>
    <n v="47"/>
    <n v="528374"/>
    <n v="258500"/>
  </r>
  <r>
    <x v="20"/>
    <x v="1"/>
    <x v="20"/>
    <x v="2"/>
    <x v="4"/>
    <x v="34"/>
    <n v="50"/>
    <n v="592900"/>
    <n v="275000"/>
  </r>
  <r>
    <x v="21"/>
    <x v="1"/>
    <x v="21"/>
    <x v="2"/>
    <x v="4"/>
    <x v="34"/>
    <n v="41"/>
    <n v="497494"/>
    <n v="225500"/>
  </r>
  <r>
    <x v="22"/>
    <x v="1"/>
    <x v="22"/>
    <x v="2"/>
    <x v="4"/>
    <x v="34"/>
    <n v="30"/>
    <n v="367230"/>
    <n v="165000"/>
  </r>
  <r>
    <x v="23"/>
    <x v="1"/>
    <x v="23"/>
    <x v="2"/>
    <x v="4"/>
    <x v="34"/>
    <n v="35"/>
    <n v="400925"/>
    <n v="192500"/>
  </r>
  <r>
    <x v="0"/>
    <x v="0"/>
    <x v="0"/>
    <x v="2"/>
    <x v="5"/>
    <x v="35"/>
    <n v="13"/>
    <n v="51831"/>
    <n v="19656"/>
  </r>
  <r>
    <x v="1"/>
    <x v="0"/>
    <x v="1"/>
    <x v="2"/>
    <x v="5"/>
    <x v="35"/>
    <n v="9"/>
    <n v="37890"/>
    <n v="13608"/>
  </r>
  <r>
    <x v="2"/>
    <x v="0"/>
    <x v="2"/>
    <x v="2"/>
    <x v="5"/>
    <x v="35"/>
    <n v="7"/>
    <n v="24234"/>
    <n v="10584"/>
  </r>
  <r>
    <x v="3"/>
    <x v="0"/>
    <x v="3"/>
    <x v="2"/>
    <x v="5"/>
    <x v="35"/>
    <n v="13"/>
    <n v="60762"/>
    <n v="19656"/>
  </r>
  <r>
    <x v="4"/>
    <x v="0"/>
    <x v="4"/>
    <x v="2"/>
    <x v="5"/>
    <x v="35"/>
    <n v="16"/>
    <n v="77472"/>
    <n v="24192"/>
  </r>
  <r>
    <x v="5"/>
    <x v="0"/>
    <x v="5"/>
    <x v="2"/>
    <x v="5"/>
    <x v="35"/>
    <n v="15"/>
    <n v="69600"/>
    <n v="22680"/>
  </r>
  <r>
    <x v="6"/>
    <x v="0"/>
    <x v="6"/>
    <x v="2"/>
    <x v="5"/>
    <x v="35"/>
    <n v="16"/>
    <n v="36048"/>
    <n v="24192"/>
  </r>
  <r>
    <x v="7"/>
    <x v="0"/>
    <x v="7"/>
    <x v="2"/>
    <x v="5"/>
    <x v="35"/>
    <n v="13"/>
    <n v="47593"/>
    <n v="19656"/>
  </r>
  <r>
    <x v="8"/>
    <x v="0"/>
    <x v="8"/>
    <x v="2"/>
    <x v="5"/>
    <x v="35"/>
    <n v="14"/>
    <n v="42700"/>
    <n v="21168"/>
  </r>
  <r>
    <x v="9"/>
    <x v="0"/>
    <x v="9"/>
    <x v="2"/>
    <x v="5"/>
    <x v="35"/>
    <n v="12"/>
    <n v="54000"/>
    <n v="18144"/>
  </r>
  <r>
    <x v="10"/>
    <x v="0"/>
    <x v="10"/>
    <x v="2"/>
    <x v="5"/>
    <x v="35"/>
    <n v="9"/>
    <n v="37683"/>
    <n v="13608"/>
  </r>
  <r>
    <x v="11"/>
    <x v="0"/>
    <x v="11"/>
    <x v="2"/>
    <x v="5"/>
    <x v="35"/>
    <n v="10"/>
    <n v="36190"/>
    <n v="15120"/>
  </r>
  <r>
    <x v="12"/>
    <x v="1"/>
    <x v="12"/>
    <x v="2"/>
    <x v="5"/>
    <x v="35"/>
    <n v="15"/>
    <n v="65970"/>
    <n v="22680"/>
  </r>
  <r>
    <x v="13"/>
    <x v="1"/>
    <x v="13"/>
    <x v="2"/>
    <x v="5"/>
    <x v="35"/>
    <n v="9"/>
    <n v="39843"/>
    <n v="13608"/>
  </r>
  <r>
    <x v="14"/>
    <x v="1"/>
    <x v="14"/>
    <x v="2"/>
    <x v="5"/>
    <x v="35"/>
    <n v="8"/>
    <n v="27272"/>
    <n v="12096"/>
  </r>
  <r>
    <x v="15"/>
    <x v="1"/>
    <x v="15"/>
    <x v="2"/>
    <x v="5"/>
    <x v="35"/>
    <n v="14"/>
    <n v="64288"/>
    <n v="21168"/>
  </r>
  <r>
    <x v="16"/>
    <x v="1"/>
    <x v="16"/>
    <x v="2"/>
    <x v="5"/>
    <x v="35"/>
    <n v="17"/>
    <n v="75803"/>
    <n v="25704"/>
  </r>
  <r>
    <x v="17"/>
    <x v="1"/>
    <x v="17"/>
    <x v="2"/>
    <x v="5"/>
    <x v="35"/>
    <n v="17"/>
    <n v="60486"/>
    <n v="25704"/>
  </r>
  <r>
    <x v="18"/>
    <x v="1"/>
    <x v="18"/>
    <x v="2"/>
    <x v="5"/>
    <x v="35"/>
    <n v="17"/>
    <n v="40630"/>
    <n v="25704"/>
  </r>
  <r>
    <x v="19"/>
    <x v="1"/>
    <x v="19"/>
    <x v="2"/>
    <x v="5"/>
    <x v="35"/>
    <n v="15"/>
    <n v="54420"/>
    <n v="22680"/>
  </r>
  <r>
    <x v="20"/>
    <x v="1"/>
    <x v="20"/>
    <x v="2"/>
    <x v="5"/>
    <x v="35"/>
    <n v="16"/>
    <n v="50736"/>
    <n v="24192"/>
  </r>
  <r>
    <x v="21"/>
    <x v="1"/>
    <x v="21"/>
    <x v="2"/>
    <x v="5"/>
    <x v="35"/>
    <n v="13"/>
    <n v="53924"/>
    <n v="19656"/>
  </r>
  <r>
    <x v="22"/>
    <x v="1"/>
    <x v="22"/>
    <x v="2"/>
    <x v="5"/>
    <x v="35"/>
    <n v="9"/>
    <n v="39375"/>
    <n v="13608"/>
  </r>
  <r>
    <x v="23"/>
    <x v="1"/>
    <x v="23"/>
    <x v="2"/>
    <x v="5"/>
    <x v="35"/>
    <n v="11"/>
    <n v="40953"/>
    <n v="16632"/>
  </r>
  <r>
    <x v="0"/>
    <x v="0"/>
    <x v="0"/>
    <x v="2"/>
    <x v="5"/>
    <x v="36"/>
    <n v="16"/>
    <n v="46464"/>
    <n v="12512"/>
  </r>
  <r>
    <x v="1"/>
    <x v="0"/>
    <x v="1"/>
    <x v="2"/>
    <x v="5"/>
    <x v="36"/>
    <n v="10"/>
    <n v="28510"/>
    <n v="7820"/>
  </r>
  <r>
    <x v="2"/>
    <x v="0"/>
    <x v="2"/>
    <x v="2"/>
    <x v="5"/>
    <x v="36"/>
    <n v="8"/>
    <n v="15256"/>
    <n v="6256"/>
  </r>
  <r>
    <x v="3"/>
    <x v="0"/>
    <x v="3"/>
    <x v="2"/>
    <x v="5"/>
    <x v="36"/>
    <n v="15"/>
    <n v="44160"/>
    <n v="11730"/>
  </r>
  <r>
    <x v="4"/>
    <x v="0"/>
    <x v="4"/>
    <x v="2"/>
    <x v="5"/>
    <x v="36"/>
    <n v="19"/>
    <n v="58007"/>
    <n v="14858"/>
  </r>
  <r>
    <x v="5"/>
    <x v="0"/>
    <x v="5"/>
    <x v="2"/>
    <x v="5"/>
    <x v="36"/>
    <n v="18"/>
    <n v="44856"/>
    <n v="14076"/>
  </r>
  <r>
    <x v="6"/>
    <x v="0"/>
    <x v="6"/>
    <x v="2"/>
    <x v="5"/>
    <x v="36"/>
    <n v="19"/>
    <n v="27588"/>
    <n v="14858"/>
  </r>
  <r>
    <x v="7"/>
    <x v="0"/>
    <x v="7"/>
    <x v="2"/>
    <x v="5"/>
    <x v="36"/>
    <n v="16"/>
    <n v="43856"/>
    <n v="12512"/>
  </r>
  <r>
    <x v="8"/>
    <x v="0"/>
    <x v="8"/>
    <x v="2"/>
    <x v="5"/>
    <x v="36"/>
    <n v="17"/>
    <n v="47617"/>
    <n v="13294"/>
  </r>
  <r>
    <x v="9"/>
    <x v="0"/>
    <x v="9"/>
    <x v="2"/>
    <x v="5"/>
    <x v="36"/>
    <n v="14"/>
    <n v="40460"/>
    <n v="10948"/>
  </r>
  <r>
    <x v="10"/>
    <x v="0"/>
    <x v="10"/>
    <x v="2"/>
    <x v="5"/>
    <x v="36"/>
    <n v="10"/>
    <n v="22320"/>
    <n v="7820"/>
  </r>
  <r>
    <x v="11"/>
    <x v="0"/>
    <x v="11"/>
    <x v="2"/>
    <x v="5"/>
    <x v="36"/>
    <n v="12"/>
    <n v="30756"/>
    <n v="9384"/>
  </r>
  <r>
    <x v="12"/>
    <x v="1"/>
    <x v="12"/>
    <x v="2"/>
    <x v="5"/>
    <x v="36"/>
    <n v="18"/>
    <n v="45180"/>
    <n v="14076"/>
  </r>
  <r>
    <x v="13"/>
    <x v="1"/>
    <x v="13"/>
    <x v="2"/>
    <x v="5"/>
    <x v="36"/>
    <n v="11"/>
    <n v="37609"/>
    <n v="8602"/>
  </r>
  <r>
    <x v="14"/>
    <x v="1"/>
    <x v="14"/>
    <x v="2"/>
    <x v="5"/>
    <x v="36"/>
    <n v="9"/>
    <n v="25110"/>
    <n v="7038"/>
  </r>
  <r>
    <x v="15"/>
    <x v="1"/>
    <x v="15"/>
    <x v="2"/>
    <x v="5"/>
    <x v="36"/>
    <n v="17"/>
    <n v="50779"/>
    <n v="13294"/>
  </r>
  <r>
    <x v="16"/>
    <x v="1"/>
    <x v="16"/>
    <x v="2"/>
    <x v="5"/>
    <x v="36"/>
    <n v="21"/>
    <n v="82383"/>
    <n v="16422"/>
  </r>
  <r>
    <x v="17"/>
    <x v="1"/>
    <x v="17"/>
    <x v="2"/>
    <x v="5"/>
    <x v="36"/>
    <n v="20"/>
    <n v="50500"/>
    <n v="15640"/>
  </r>
  <r>
    <x v="18"/>
    <x v="1"/>
    <x v="18"/>
    <x v="2"/>
    <x v="5"/>
    <x v="36"/>
    <n v="21"/>
    <n v="30093"/>
    <n v="16422"/>
  </r>
  <r>
    <x v="19"/>
    <x v="1"/>
    <x v="19"/>
    <x v="2"/>
    <x v="5"/>
    <x v="36"/>
    <n v="18"/>
    <n v="42912"/>
    <n v="14076"/>
  </r>
  <r>
    <x v="20"/>
    <x v="1"/>
    <x v="20"/>
    <x v="2"/>
    <x v="5"/>
    <x v="36"/>
    <n v="19"/>
    <n v="52649"/>
    <n v="14858"/>
  </r>
  <r>
    <x v="21"/>
    <x v="1"/>
    <x v="21"/>
    <x v="2"/>
    <x v="5"/>
    <x v="36"/>
    <n v="16"/>
    <n v="45456"/>
    <n v="12512"/>
  </r>
  <r>
    <x v="22"/>
    <x v="1"/>
    <x v="22"/>
    <x v="2"/>
    <x v="5"/>
    <x v="36"/>
    <n v="11"/>
    <n v="35970"/>
    <n v="8602"/>
  </r>
  <r>
    <x v="23"/>
    <x v="1"/>
    <x v="23"/>
    <x v="2"/>
    <x v="5"/>
    <x v="36"/>
    <n v="14"/>
    <n v="29274"/>
    <n v="10948"/>
  </r>
  <r>
    <x v="0"/>
    <x v="0"/>
    <x v="0"/>
    <x v="2"/>
    <x v="5"/>
    <x v="37"/>
    <n v="15"/>
    <n v="78465"/>
    <n v="26250"/>
  </r>
  <r>
    <x v="1"/>
    <x v="0"/>
    <x v="1"/>
    <x v="2"/>
    <x v="5"/>
    <x v="37"/>
    <n v="9"/>
    <n v="49284"/>
    <n v="15750"/>
  </r>
  <r>
    <x v="2"/>
    <x v="0"/>
    <x v="2"/>
    <x v="2"/>
    <x v="5"/>
    <x v="37"/>
    <n v="8"/>
    <n v="31664"/>
    <n v="14000"/>
  </r>
  <r>
    <x v="3"/>
    <x v="0"/>
    <x v="3"/>
    <x v="2"/>
    <x v="5"/>
    <x v="37"/>
    <n v="14"/>
    <n v="78498"/>
    <n v="24500"/>
  </r>
  <r>
    <x v="4"/>
    <x v="0"/>
    <x v="4"/>
    <x v="2"/>
    <x v="5"/>
    <x v="37"/>
    <n v="18"/>
    <n v="93780"/>
    <n v="31500"/>
  </r>
  <r>
    <x v="5"/>
    <x v="0"/>
    <x v="5"/>
    <x v="2"/>
    <x v="5"/>
    <x v="37"/>
    <n v="17"/>
    <n v="81141"/>
    <n v="29750"/>
  </r>
  <r>
    <x v="6"/>
    <x v="0"/>
    <x v="6"/>
    <x v="2"/>
    <x v="5"/>
    <x v="37"/>
    <n v="18"/>
    <n v="57456"/>
    <n v="31500"/>
  </r>
  <r>
    <x v="7"/>
    <x v="0"/>
    <x v="7"/>
    <x v="2"/>
    <x v="5"/>
    <x v="37"/>
    <n v="15"/>
    <n v="68250"/>
    <n v="26250"/>
  </r>
  <r>
    <x v="8"/>
    <x v="0"/>
    <x v="8"/>
    <x v="2"/>
    <x v="5"/>
    <x v="37"/>
    <n v="16"/>
    <n v="69456"/>
    <n v="28000"/>
  </r>
  <r>
    <x v="9"/>
    <x v="0"/>
    <x v="9"/>
    <x v="2"/>
    <x v="5"/>
    <x v="37"/>
    <n v="13"/>
    <n v="64259"/>
    <n v="22750"/>
  </r>
  <r>
    <x v="10"/>
    <x v="0"/>
    <x v="10"/>
    <x v="2"/>
    <x v="5"/>
    <x v="37"/>
    <n v="9"/>
    <n v="43137"/>
    <n v="15750"/>
  </r>
  <r>
    <x v="11"/>
    <x v="0"/>
    <x v="11"/>
    <x v="2"/>
    <x v="5"/>
    <x v="37"/>
    <n v="11"/>
    <n v="49115"/>
    <n v="19250"/>
  </r>
  <r>
    <x v="12"/>
    <x v="1"/>
    <x v="12"/>
    <x v="2"/>
    <x v="5"/>
    <x v="37"/>
    <n v="16"/>
    <n v="75264"/>
    <n v="28000"/>
  </r>
  <r>
    <x v="13"/>
    <x v="1"/>
    <x v="13"/>
    <x v="2"/>
    <x v="5"/>
    <x v="37"/>
    <n v="10"/>
    <n v="56250"/>
    <n v="17500"/>
  </r>
  <r>
    <x v="14"/>
    <x v="1"/>
    <x v="14"/>
    <x v="2"/>
    <x v="5"/>
    <x v="37"/>
    <n v="8"/>
    <n v="30224"/>
    <n v="14000"/>
  </r>
  <r>
    <x v="15"/>
    <x v="1"/>
    <x v="15"/>
    <x v="2"/>
    <x v="5"/>
    <x v="37"/>
    <n v="15"/>
    <n v="76305"/>
    <n v="26250"/>
  </r>
  <r>
    <x v="16"/>
    <x v="1"/>
    <x v="16"/>
    <x v="2"/>
    <x v="5"/>
    <x v="37"/>
    <n v="19"/>
    <n v="107635"/>
    <n v="33250"/>
  </r>
  <r>
    <x v="17"/>
    <x v="1"/>
    <x v="17"/>
    <x v="2"/>
    <x v="5"/>
    <x v="37"/>
    <n v="18"/>
    <n v="84132"/>
    <n v="31500"/>
  </r>
  <r>
    <x v="18"/>
    <x v="1"/>
    <x v="18"/>
    <x v="2"/>
    <x v="5"/>
    <x v="37"/>
    <n v="19"/>
    <n v="70870"/>
    <n v="33250"/>
  </r>
  <r>
    <x v="19"/>
    <x v="1"/>
    <x v="19"/>
    <x v="2"/>
    <x v="5"/>
    <x v="37"/>
    <n v="16"/>
    <n v="73536"/>
    <n v="28000"/>
  </r>
  <r>
    <x v="20"/>
    <x v="1"/>
    <x v="20"/>
    <x v="2"/>
    <x v="5"/>
    <x v="37"/>
    <n v="17"/>
    <n v="78574"/>
    <n v="29750"/>
  </r>
  <r>
    <x v="21"/>
    <x v="1"/>
    <x v="21"/>
    <x v="2"/>
    <x v="5"/>
    <x v="37"/>
    <n v="14"/>
    <n v="61572"/>
    <n v="24500"/>
  </r>
  <r>
    <x v="22"/>
    <x v="1"/>
    <x v="22"/>
    <x v="2"/>
    <x v="5"/>
    <x v="37"/>
    <n v="10"/>
    <n v="42570"/>
    <n v="17500"/>
  </r>
  <r>
    <x v="23"/>
    <x v="1"/>
    <x v="23"/>
    <x v="2"/>
    <x v="5"/>
    <x v="37"/>
    <n v="12"/>
    <n v="53820"/>
    <n v="21000"/>
  </r>
  <r>
    <x v="0"/>
    <x v="0"/>
    <x v="0"/>
    <x v="2"/>
    <x v="5"/>
    <x v="38"/>
    <n v="13"/>
    <n v="68445"/>
    <n v="32760"/>
  </r>
  <r>
    <x v="1"/>
    <x v="0"/>
    <x v="1"/>
    <x v="2"/>
    <x v="5"/>
    <x v="38"/>
    <n v="9"/>
    <n v="50967"/>
    <n v="22680"/>
  </r>
  <r>
    <x v="2"/>
    <x v="0"/>
    <x v="2"/>
    <x v="2"/>
    <x v="5"/>
    <x v="38"/>
    <n v="7"/>
    <n v="30086"/>
    <n v="17640"/>
  </r>
  <r>
    <x v="3"/>
    <x v="0"/>
    <x v="3"/>
    <x v="2"/>
    <x v="5"/>
    <x v="38"/>
    <n v="13"/>
    <n v="73580"/>
    <n v="32760"/>
  </r>
  <r>
    <x v="4"/>
    <x v="0"/>
    <x v="4"/>
    <x v="2"/>
    <x v="5"/>
    <x v="38"/>
    <n v="16"/>
    <n v="94784"/>
    <n v="40320"/>
  </r>
  <r>
    <x v="5"/>
    <x v="0"/>
    <x v="5"/>
    <x v="2"/>
    <x v="5"/>
    <x v="38"/>
    <n v="15"/>
    <n v="91260"/>
    <n v="37800"/>
  </r>
  <r>
    <x v="6"/>
    <x v="0"/>
    <x v="6"/>
    <x v="2"/>
    <x v="5"/>
    <x v="38"/>
    <n v="16"/>
    <n v="62384"/>
    <n v="40320"/>
  </r>
  <r>
    <x v="7"/>
    <x v="0"/>
    <x v="7"/>
    <x v="2"/>
    <x v="5"/>
    <x v="38"/>
    <n v="13"/>
    <n v="70746"/>
    <n v="32760"/>
  </r>
  <r>
    <x v="8"/>
    <x v="0"/>
    <x v="8"/>
    <x v="2"/>
    <x v="5"/>
    <x v="38"/>
    <n v="14"/>
    <n v="74928"/>
    <n v="35280"/>
  </r>
  <r>
    <x v="9"/>
    <x v="0"/>
    <x v="9"/>
    <x v="2"/>
    <x v="5"/>
    <x v="38"/>
    <n v="12"/>
    <n v="60300"/>
    <n v="30240"/>
  </r>
  <r>
    <x v="10"/>
    <x v="0"/>
    <x v="10"/>
    <x v="2"/>
    <x v="5"/>
    <x v="38"/>
    <n v="9"/>
    <n v="47925"/>
    <n v="22680"/>
  </r>
  <r>
    <x v="11"/>
    <x v="0"/>
    <x v="11"/>
    <x v="2"/>
    <x v="5"/>
    <x v="38"/>
    <n v="10"/>
    <n v="45410"/>
    <n v="25200"/>
  </r>
  <r>
    <x v="12"/>
    <x v="1"/>
    <x v="12"/>
    <x v="2"/>
    <x v="5"/>
    <x v="38"/>
    <n v="15"/>
    <n v="76815"/>
    <n v="37800"/>
  </r>
  <r>
    <x v="13"/>
    <x v="1"/>
    <x v="13"/>
    <x v="2"/>
    <x v="5"/>
    <x v="38"/>
    <n v="9"/>
    <n v="51894"/>
    <n v="22680"/>
  </r>
  <r>
    <x v="14"/>
    <x v="1"/>
    <x v="14"/>
    <x v="2"/>
    <x v="5"/>
    <x v="38"/>
    <n v="8"/>
    <n v="37800"/>
    <n v="20160"/>
  </r>
  <r>
    <x v="15"/>
    <x v="1"/>
    <x v="15"/>
    <x v="2"/>
    <x v="5"/>
    <x v="38"/>
    <n v="14"/>
    <n v="81816"/>
    <n v="35280"/>
  </r>
  <r>
    <x v="16"/>
    <x v="1"/>
    <x v="16"/>
    <x v="2"/>
    <x v="5"/>
    <x v="38"/>
    <n v="17"/>
    <n v="113407"/>
    <n v="42840"/>
  </r>
  <r>
    <x v="17"/>
    <x v="1"/>
    <x v="17"/>
    <x v="2"/>
    <x v="5"/>
    <x v="38"/>
    <n v="17"/>
    <n v="88145"/>
    <n v="42840"/>
  </r>
  <r>
    <x v="18"/>
    <x v="1"/>
    <x v="18"/>
    <x v="2"/>
    <x v="5"/>
    <x v="38"/>
    <n v="17"/>
    <n v="67711"/>
    <n v="42840"/>
  </r>
  <r>
    <x v="19"/>
    <x v="1"/>
    <x v="19"/>
    <x v="2"/>
    <x v="5"/>
    <x v="38"/>
    <n v="15"/>
    <n v="74730"/>
    <n v="37800"/>
  </r>
  <r>
    <x v="20"/>
    <x v="1"/>
    <x v="20"/>
    <x v="2"/>
    <x v="5"/>
    <x v="38"/>
    <n v="16"/>
    <n v="77152"/>
    <n v="40320"/>
  </r>
  <r>
    <x v="21"/>
    <x v="1"/>
    <x v="21"/>
    <x v="2"/>
    <x v="5"/>
    <x v="38"/>
    <n v="13"/>
    <n v="73697"/>
    <n v="32760"/>
  </r>
  <r>
    <x v="22"/>
    <x v="1"/>
    <x v="22"/>
    <x v="2"/>
    <x v="5"/>
    <x v="38"/>
    <n v="9"/>
    <n v="47997"/>
    <n v="22680"/>
  </r>
  <r>
    <x v="23"/>
    <x v="1"/>
    <x v="23"/>
    <x v="2"/>
    <x v="5"/>
    <x v="38"/>
    <n v="11"/>
    <n v="56364"/>
    <n v="27720"/>
  </r>
  <r>
    <x v="0"/>
    <x v="0"/>
    <x v="0"/>
    <x v="2"/>
    <x v="5"/>
    <x v="39"/>
    <n v="17"/>
    <n v="50201"/>
    <n v="15708"/>
  </r>
  <r>
    <x v="1"/>
    <x v="0"/>
    <x v="1"/>
    <x v="2"/>
    <x v="5"/>
    <x v="39"/>
    <n v="11"/>
    <n v="45694"/>
    <n v="10164"/>
  </r>
  <r>
    <x v="2"/>
    <x v="0"/>
    <x v="2"/>
    <x v="2"/>
    <x v="5"/>
    <x v="39"/>
    <n v="9"/>
    <n v="27081"/>
    <n v="8316"/>
  </r>
  <r>
    <x v="3"/>
    <x v="0"/>
    <x v="3"/>
    <x v="2"/>
    <x v="5"/>
    <x v="39"/>
    <n v="16"/>
    <n v="55888"/>
    <n v="14784"/>
  </r>
  <r>
    <x v="4"/>
    <x v="0"/>
    <x v="4"/>
    <x v="2"/>
    <x v="5"/>
    <x v="39"/>
    <n v="20"/>
    <n v="76440"/>
    <n v="18480"/>
  </r>
  <r>
    <x v="5"/>
    <x v="0"/>
    <x v="5"/>
    <x v="2"/>
    <x v="5"/>
    <x v="39"/>
    <n v="19"/>
    <n v="70642"/>
    <n v="17556"/>
  </r>
  <r>
    <x v="6"/>
    <x v="0"/>
    <x v="6"/>
    <x v="2"/>
    <x v="5"/>
    <x v="39"/>
    <n v="20"/>
    <n v="41040"/>
    <n v="18480"/>
  </r>
  <r>
    <x v="7"/>
    <x v="0"/>
    <x v="7"/>
    <x v="2"/>
    <x v="5"/>
    <x v="39"/>
    <n v="17"/>
    <n v="45594"/>
    <n v="15708"/>
  </r>
  <r>
    <x v="8"/>
    <x v="0"/>
    <x v="8"/>
    <x v="2"/>
    <x v="5"/>
    <x v="39"/>
    <n v="18"/>
    <n v="56988"/>
    <n v="16632"/>
  </r>
  <r>
    <x v="9"/>
    <x v="0"/>
    <x v="9"/>
    <x v="2"/>
    <x v="5"/>
    <x v="39"/>
    <n v="15"/>
    <n v="63885"/>
    <n v="13860"/>
  </r>
  <r>
    <x v="10"/>
    <x v="0"/>
    <x v="10"/>
    <x v="2"/>
    <x v="5"/>
    <x v="39"/>
    <n v="11"/>
    <n v="37411"/>
    <n v="10164"/>
  </r>
  <r>
    <x v="11"/>
    <x v="0"/>
    <x v="11"/>
    <x v="2"/>
    <x v="5"/>
    <x v="39"/>
    <n v="13"/>
    <n v="36829"/>
    <n v="12012"/>
  </r>
  <r>
    <x v="12"/>
    <x v="1"/>
    <x v="12"/>
    <x v="2"/>
    <x v="5"/>
    <x v="39"/>
    <n v="19"/>
    <n v="71668"/>
    <n v="17556"/>
  </r>
  <r>
    <x v="13"/>
    <x v="1"/>
    <x v="13"/>
    <x v="2"/>
    <x v="5"/>
    <x v="39"/>
    <n v="12"/>
    <n v="46560"/>
    <n v="11088"/>
  </r>
  <r>
    <x v="14"/>
    <x v="1"/>
    <x v="14"/>
    <x v="2"/>
    <x v="5"/>
    <x v="39"/>
    <n v="10"/>
    <n v="26280"/>
    <n v="9240"/>
  </r>
  <r>
    <x v="15"/>
    <x v="1"/>
    <x v="15"/>
    <x v="2"/>
    <x v="5"/>
    <x v="39"/>
    <n v="18"/>
    <n v="75726"/>
    <n v="16632"/>
  </r>
  <r>
    <x v="16"/>
    <x v="1"/>
    <x v="16"/>
    <x v="2"/>
    <x v="5"/>
    <x v="39"/>
    <n v="22"/>
    <n v="96580"/>
    <n v="20328"/>
  </r>
  <r>
    <x v="17"/>
    <x v="1"/>
    <x v="17"/>
    <x v="2"/>
    <x v="5"/>
    <x v="39"/>
    <n v="21"/>
    <n v="82131"/>
    <n v="19404"/>
  </r>
  <r>
    <x v="18"/>
    <x v="1"/>
    <x v="18"/>
    <x v="2"/>
    <x v="5"/>
    <x v="39"/>
    <n v="22"/>
    <n v="43120"/>
    <n v="20328"/>
  </r>
  <r>
    <x v="19"/>
    <x v="1"/>
    <x v="19"/>
    <x v="2"/>
    <x v="5"/>
    <x v="39"/>
    <n v="19"/>
    <n v="45182"/>
    <n v="17556"/>
  </r>
  <r>
    <x v="20"/>
    <x v="1"/>
    <x v="20"/>
    <x v="2"/>
    <x v="5"/>
    <x v="39"/>
    <n v="20"/>
    <n v="55880"/>
    <n v="18480"/>
  </r>
  <r>
    <x v="21"/>
    <x v="1"/>
    <x v="21"/>
    <x v="2"/>
    <x v="5"/>
    <x v="39"/>
    <n v="16"/>
    <n v="52144"/>
    <n v="14784"/>
  </r>
  <r>
    <x v="22"/>
    <x v="1"/>
    <x v="22"/>
    <x v="2"/>
    <x v="5"/>
    <x v="39"/>
    <n v="12"/>
    <n v="38460"/>
    <n v="11088"/>
  </r>
  <r>
    <x v="23"/>
    <x v="1"/>
    <x v="23"/>
    <x v="2"/>
    <x v="5"/>
    <x v="39"/>
    <n v="14"/>
    <n v="38850"/>
    <n v="12936"/>
  </r>
  <r>
    <x v="0"/>
    <x v="0"/>
    <x v="0"/>
    <x v="2"/>
    <x v="5"/>
    <x v="40"/>
    <n v="14"/>
    <n v="48132"/>
    <n v="15288"/>
  </r>
  <r>
    <x v="1"/>
    <x v="0"/>
    <x v="1"/>
    <x v="2"/>
    <x v="5"/>
    <x v="40"/>
    <n v="9"/>
    <n v="38475"/>
    <n v="9828"/>
  </r>
  <r>
    <x v="2"/>
    <x v="0"/>
    <x v="2"/>
    <x v="2"/>
    <x v="5"/>
    <x v="40"/>
    <n v="7"/>
    <n v="23471"/>
    <n v="7644"/>
  </r>
  <r>
    <x v="3"/>
    <x v="0"/>
    <x v="3"/>
    <x v="2"/>
    <x v="5"/>
    <x v="40"/>
    <n v="13"/>
    <n v="53053"/>
    <n v="14196"/>
  </r>
  <r>
    <x v="4"/>
    <x v="0"/>
    <x v="4"/>
    <x v="2"/>
    <x v="5"/>
    <x v="40"/>
    <n v="16"/>
    <n v="72528"/>
    <n v="17472"/>
  </r>
  <r>
    <x v="5"/>
    <x v="0"/>
    <x v="5"/>
    <x v="2"/>
    <x v="5"/>
    <x v="40"/>
    <n v="15"/>
    <n v="57570"/>
    <n v="16380"/>
  </r>
  <r>
    <x v="6"/>
    <x v="0"/>
    <x v="6"/>
    <x v="2"/>
    <x v="5"/>
    <x v="40"/>
    <n v="16"/>
    <n v="34880"/>
    <n v="17472"/>
  </r>
  <r>
    <x v="7"/>
    <x v="0"/>
    <x v="7"/>
    <x v="2"/>
    <x v="5"/>
    <x v="40"/>
    <n v="14"/>
    <n v="52010"/>
    <n v="15288"/>
  </r>
  <r>
    <x v="8"/>
    <x v="0"/>
    <x v="8"/>
    <x v="2"/>
    <x v="5"/>
    <x v="40"/>
    <n v="15"/>
    <n v="59040"/>
    <n v="16380"/>
  </r>
  <r>
    <x v="9"/>
    <x v="0"/>
    <x v="9"/>
    <x v="2"/>
    <x v="5"/>
    <x v="40"/>
    <n v="12"/>
    <n v="46980"/>
    <n v="13104"/>
  </r>
  <r>
    <x v="10"/>
    <x v="0"/>
    <x v="10"/>
    <x v="2"/>
    <x v="5"/>
    <x v="40"/>
    <n v="9"/>
    <n v="30060"/>
    <n v="9828"/>
  </r>
  <r>
    <x v="11"/>
    <x v="0"/>
    <x v="11"/>
    <x v="2"/>
    <x v="5"/>
    <x v="40"/>
    <n v="10"/>
    <n v="30890"/>
    <n v="10920"/>
  </r>
  <r>
    <x v="12"/>
    <x v="1"/>
    <x v="12"/>
    <x v="2"/>
    <x v="5"/>
    <x v="40"/>
    <n v="15"/>
    <n v="47415"/>
    <n v="16380"/>
  </r>
  <r>
    <x v="13"/>
    <x v="1"/>
    <x v="13"/>
    <x v="2"/>
    <x v="5"/>
    <x v="40"/>
    <n v="10"/>
    <n v="38800"/>
    <n v="10920"/>
  </r>
  <r>
    <x v="14"/>
    <x v="1"/>
    <x v="14"/>
    <x v="2"/>
    <x v="5"/>
    <x v="40"/>
    <n v="8"/>
    <n v="29992"/>
    <n v="8736"/>
  </r>
  <r>
    <x v="15"/>
    <x v="1"/>
    <x v="15"/>
    <x v="2"/>
    <x v="5"/>
    <x v="40"/>
    <n v="14"/>
    <n v="65352"/>
    <n v="15288"/>
  </r>
  <r>
    <x v="16"/>
    <x v="1"/>
    <x v="16"/>
    <x v="2"/>
    <x v="5"/>
    <x v="40"/>
    <n v="18"/>
    <n v="77436"/>
    <n v="19656"/>
  </r>
  <r>
    <x v="17"/>
    <x v="1"/>
    <x v="17"/>
    <x v="2"/>
    <x v="5"/>
    <x v="40"/>
    <n v="17"/>
    <n v="64005"/>
    <n v="18564"/>
  </r>
  <r>
    <x v="18"/>
    <x v="1"/>
    <x v="18"/>
    <x v="2"/>
    <x v="5"/>
    <x v="40"/>
    <n v="18"/>
    <n v="43884"/>
    <n v="19656"/>
  </r>
  <r>
    <x v="19"/>
    <x v="1"/>
    <x v="19"/>
    <x v="2"/>
    <x v="5"/>
    <x v="40"/>
    <n v="15"/>
    <n v="53730"/>
    <n v="16380"/>
  </r>
  <r>
    <x v="20"/>
    <x v="1"/>
    <x v="20"/>
    <x v="2"/>
    <x v="5"/>
    <x v="40"/>
    <n v="16"/>
    <n v="44960"/>
    <n v="17472"/>
  </r>
  <r>
    <x v="21"/>
    <x v="1"/>
    <x v="21"/>
    <x v="2"/>
    <x v="5"/>
    <x v="40"/>
    <n v="13"/>
    <n v="55146"/>
    <n v="14196"/>
  </r>
  <r>
    <x v="22"/>
    <x v="1"/>
    <x v="22"/>
    <x v="2"/>
    <x v="5"/>
    <x v="40"/>
    <n v="10"/>
    <n v="43190"/>
    <n v="10920"/>
  </r>
  <r>
    <x v="23"/>
    <x v="1"/>
    <x v="23"/>
    <x v="2"/>
    <x v="5"/>
    <x v="40"/>
    <n v="11"/>
    <n v="36322"/>
    <n v="12012"/>
  </r>
  <r>
    <x v="0"/>
    <x v="0"/>
    <x v="0"/>
    <x v="2"/>
    <x v="5"/>
    <x v="41"/>
    <n v="17"/>
    <n v="62781"/>
    <n v="14858"/>
  </r>
  <r>
    <x v="1"/>
    <x v="0"/>
    <x v="1"/>
    <x v="2"/>
    <x v="5"/>
    <x v="41"/>
    <n v="11"/>
    <n v="39314"/>
    <n v="9614"/>
  </r>
  <r>
    <x v="2"/>
    <x v="0"/>
    <x v="2"/>
    <x v="2"/>
    <x v="5"/>
    <x v="41"/>
    <n v="9"/>
    <n v="25686"/>
    <n v="7866"/>
  </r>
  <r>
    <x v="3"/>
    <x v="0"/>
    <x v="3"/>
    <x v="2"/>
    <x v="5"/>
    <x v="41"/>
    <n v="16"/>
    <n v="59280"/>
    <n v="13984"/>
  </r>
  <r>
    <x v="4"/>
    <x v="0"/>
    <x v="4"/>
    <x v="2"/>
    <x v="5"/>
    <x v="41"/>
    <n v="21"/>
    <n v="90993"/>
    <n v="18354"/>
  </r>
  <r>
    <x v="5"/>
    <x v="0"/>
    <x v="5"/>
    <x v="2"/>
    <x v="5"/>
    <x v="41"/>
    <n v="20"/>
    <n v="69180"/>
    <n v="17480"/>
  </r>
  <r>
    <x v="6"/>
    <x v="0"/>
    <x v="6"/>
    <x v="2"/>
    <x v="5"/>
    <x v="41"/>
    <n v="21"/>
    <n v="43344"/>
    <n v="18354"/>
  </r>
  <r>
    <x v="7"/>
    <x v="0"/>
    <x v="7"/>
    <x v="2"/>
    <x v="5"/>
    <x v="41"/>
    <n v="17"/>
    <n v="39950"/>
    <n v="14858"/>
  </r>
  <r>
    <x v="8"/>
    <x v="0"/>
    <x v="8"/>
    <x v="2"/>
    <x v="5"/>
    <x v="41"/>
    <n v="19"/>
    <n v="64220"/>
    <n v="16606"/>
  </r>
  <r>
    <x v="9"/>
    <x v="0"/>
    <x v="9"/>
    <x v="2"/>
    <x v="5"/>
    <x v="41"/>
    <n v="15"/>
    <n v="54540"/>
    <n v="13110"/>
  </r>
  <r>
    <x v="10"/>
    <x v="0"/>
    <x v="10"/>
    <x v="2"/>
    <x v="5"/>
    <x v="41"/>
    <n v="11"/>
    <n v="28347"/>
    <n v="9614"/>
  </r>
  <r>
    <x v="11"/>
    <x v="0"/>
    <x v="11"/>
    <x v="2"/>
    <x v="5"/>
    <x v="41"/>
    <n v="13"/>
    <n v="31317"/>
    <n v="11362"/>
  </r>
  <r>
    <x v="12"/>
    <x v="1"/>
    <x v="12"/>
    <x v="2"/>
    <x v="5"/>
    <x v="41"/>
    <n v="19"/>
    <n v="61598"/>
    <n v="16606"/>
  </r>
  <r>
    <x v="13"/>
    <x v="1"/>
    <x v="13"/>
    <x v="2"/>
    <x v="5"/>
    <x v="41"/>
    <n v="12"/>
    <n v="38700"/>
    <n v="10488"/>
  </r>
  <r>
    <x v="14"/>
    <x v="1"/>
    <x v="14"/>
    <x v="2"/>
    <x v="5"/>
    <x v="41"/>
    <n v="10"/>
    <n v="25860"/>
    <n v="8740"/>
  </r>
  <r>
    <x v="15"/>
    <x v="1"/>
    <x v="15"/>
    <x v="2"/>
    <x v="5"/>
    <x v="41"/>
    <n v="18"/>
    <n v="66978"/>
    <n v="15732"/>
  </r>
  <r>
    <x v="16"/>
    <x v="1"/>
    <x v="16"/>
    <x v="2"/>
    <x v="5"/>
    <x v="41"/>
    <n v="23"/>
    <n v="76222"/>
    <n v="20102"/>
  </r>
  <r>
    <x v="17"/>
    <x v="1"/>
    <x v="17"/>
    <x v="2"/>
    <x v="5"/>
    <x v="41"/>
    <n v="22"/>
    <n v="73370"/>
    <n v="19228"/>
  </r>
  <r>
    <x v="18"/>
    <x v="1"/>
    <x v="18"/>
    <x v="2"/>
    <x v="5"/>
    <x v="41"/>
    <n v="23"/>
    <n v="28865"/>
    <n v="20102"/>
  </r>
  <r>
    <x v="19"/>
    <x v="1"/>
    <x v="19"/>
    <x v="2"/>
    <x v="5"/>
    <x v="41"/>
    <n v="19"/>
    <n v="49970"/>
    <n v="16606"/>
  </r>
  <r>
    <x v="20"/>
    <x v="1"/>
    <x v="20"/>
    <x v="2"/>
    <x v="5"/>
    <x v="41"/>
    <n v="20"/>
    <n v="53060"/>
    <n v="17480"/>
  </r>
  <r>
    <x v="21"/>
    <x v="1"/>
    <x v="21"/>
    <x v="2"/>
    <x v="5"/>
    <x v="41"/>
    <n v="17"/>
    <n v="65178"/>
    <n v="14858"/>
  </r>
  <r>
    <x v="22"/>
    <x v="1"/>
    <x v="22"/>
    <x v="2"/>
    <x v="5"/>
    <x v="41"/>
    <n v="12"/>
    <n v="33060"/>
    <n v="10488"/>
  </r>
  <r>
    <x v="23"/>
    <x v="1"/>
    <x v="23"/>
    <x v="2"/>
    <x v="5"/>
    <x v="41"/>
    <n v="15"/>
    <n v="42285"/>
    <n v="13110"/>
  </r>
  <r>
    <x v="0"/>
    <x v="0"/>
    <x v="0"/>
    <x v="3"/>
    <x v="0"/>
    <x v="0"/>
    <n v="38"/>
    <n v="424650"/>
    <n v="228000"/>
  </r>
  <r>
    <x v="1"/>
    <x v="0"/>
    <x v="1"/>
    <x v="3"/>
    <x v="0"/>
    <x v="0"/>
    <n v="24"/>
    <n v="269040"/>
    <n v="144000"/>
  </r>
  <r>
    <x v="2"/>
    <x v="0"/>
    <x v="2"/>
    <x v="3"/>
    <x v="0"/>
    <x v="0"/>
    <n v="19"/>
    <n v="205618"/>
    <n v="114000"/>
  </r>
  <r>
    <x v="3"/>
    <x v="0"/>
    <x v="3"/>
    <x v="3"/>
    <x v="0"/>
    <x v="0"/>
    <n v="36"/>
    <n v="429804"/>
    <n v="216000"/>
  </r>
  <r>
    <x v="4"/>
    <x v="0"/>
    <x v="4"/>
    <x v="3"/>
    <x v="0"/>
    <x v="0"/>
    <n v="45"/>
    <n v="529065"/>
    <n v="270000"/>
  </r>
  <r>
    <x v="5"/>
    <x v="0"/>
    <x v="5"/>
    <x v="3"/>
    <x v="0"/>
    <x v="0"/>
    <n v="43"/>
    <n v="493898"/>
    <n v="258000"/>
  </r>
  <r>
    <x v="6"/>
    <x v="0"/>
    <x v="6"/>
    <x v="3"/>
    <x v="0"/>
    <x v="0"/>
    <n v="45"/>
    <n v="456570"/>
    <n v="270000"/>
  </r>
  <r>
    <x v="7"/>
    <x v="0"/>
    <x v="7"/>
    <x v="3"/>
    <x v="0"/>
    <x v="0"/>
    <n v="38"/>
    <n v="413212"/>
    <n v="228000"/>
  </r>
  <r>
    <x v="8"/>
    <x v="0"/>
    <x v="8"/>
    <x v="3"/>
    <x v="0"/>
    <x v="0"/>
    <n v="41"/>
    <n v="438495"/>
    <n v="246000"/>
  </r>
  <r>
    <x v="9"/>
    <x v="0"/>
    <x v="9"/>
    <x v="3"/>
    <x v="0"/>
    <x v="0"/>
    <n v="34"/>
    <n v="404328"/>
    <n v="204000"/>
  </r>
  <r>
    <x v="10"/>
    <x v="0"/>
    <x v="10"/>
    <x v="3"/>
    <x v="0"/>
    <x v="0"/>
    <n v="24"/>
    <n v="273120"/>
    <n v="144000"/>
  </r>
  <r>
    <x v="11"/>
    <x v="0"/>
    <x v="11"/>
    <x v="3"/>
    <x v="0"/>
    <x v="0"/>
    <n v="29"/>
    <n v="313664"/>
    <n v="174000"/>
  </r>
  <r>
    <x v="12"/>
    <x v="1"/>
    <x v="12"/>
    <x v="3"/>
    <x v="0"/>
    <x v="0"/>
    <n v="42"/>
    <n v="462420"/>
    <n v="252000"/>
  </r>
  <r>
    <x v="13"/>
    <x v="1"/>
    <x v="13"/>
    <x v="3"/>
    <x v="0"/>
    <x v="0"/>
    <n v="26"/>
    <n v="300170"/>
    <n v="156000"/>
  </r>
  <r>
    <x v="14"/>
    <x v="1"/>
    <x v="14"/>
    <x v="3"/>
    <x v="0"/>
    <x v="0"/>
    <n v="21"/>
    <n v="232344"/>
    <n v="126000"/>
  </r>
  <r>
    <x v="15"/>
    <x v="1"/>
    <x v="15"/>
    <x v="3"/>
    <x v="0"/>
    <x v="0"/>
    <n v="39"/>
    <n v="455013"/>
    <n v="234000"/>
  </r>
  <r>
    <x v="16"/>
    <x v="1"/>
    <x v="16"/>
    <x v="3"/>
    <x v="0"/>
    <x v="0"/>
    <n v="50"/>
    <n v="597550"/>
    <n v="300000"/>
  </r>
  <r>
    <x v="17"/>
    <x v="1"/>
    <x v="17"/>
    <x v="3"/>
    <x v="0"/>
    <x v="0"/>
    <n v="47"/>
    <n v="552955"/>
    <n v="282000"/>
  </r>
  <r>
    <x v="18"/>
    <x v="1"/>
    <x v="18"/>
    <x v="3"/>
    <x v="0"/>
    <x v="0"/>
    <n v="50"/>
    <n v="488500"/>
    <n v="300000"/>
  </r>
  <r>
    <x v="19"/>
    <x v="1"/>
    <x v="19"/>
    <x v="3"/>
    <x v="0"/>
    <x v="0"/>
    <n v="42"/>
    <n v="470106"/>
    <n v="252000"/>
  </r>
  <r>
    <x v="20"/>
    <x v="1"/>
    <x v="20"/>
    <x v="3"/>
    <x v="0"/>
    <x v="0"/>
    <n v="45"/>
    <n v="506250"/>
    <n v="270000"/>
  </r>
  <r>
    <x v="21"/>
    <x v="1"/>
    <x v="21"/>
    <x v="3"/>
    <x v="0"/>
    <x v="0"/>
    <n v="37"/>
    <n v="430051"/>
    <n v="222000"/>
  </r>
  <r>
    <x v="22"/>
    <x v="1"/>
    <x v="22"/>
    <x v="3"/>
    <x v="0"/>
    <x v="0"/>
    <n v="26"/>
    <n v="283322"/>
    <n v="156000"/>
  </r>
  <r>
    <x v="23"/>
    <x v="1"/>
    <x v="23"/>
    <x v="3"/>
    <x v="0"/>
    <x v="0"/>
    <n v="32"/>
    <n v="344736"/>
    <n v="192000"/>
  </r>
  <r>
    <x v="0"/>
    <x v="0"/>
    <x v="0"/>
    <x v="3"/>
    <x v="0"/>
    <x v="1"/>
    <n v="35"/>
    <n v="469000"/>
    <n v="247800"/>
  </r>
  <r>
    <x v="1"/>
    <x v="0"/>
    <x v="1"/>
    <x v="3"/>
    <x v="0"/>
    <x v="1"/>
    <n v="22"/>
    <n v="296912"/>
    <n v="155760"/>
  </r>
  <r>
    <x v="2"/>
    <x v="0"/>
    <x v="2"/>
    <x v="3"/>
    <x v="0"/>
    <x v="1"/>
    <n v="18"/>
    <n v="235260"/>
    <n v="127440"/>
  </r>
  <r>
    <x v="3"/>
    <x v="0"/>
    <x v="3"/>
    <x v="3"/>
    <x v="0"/>
    <x v="1"/>
    <n v="33"/>
    <n v="442497"/>
    <n v="233640"/>
  </r>
  <r>
    <x v="4"/>
    <x v="0"/>
    <x v="4"/>
    <x v="3"/>
    <x v="0"/>
    <x v="1"/>
    <n v="42"/>
    <n v="588924"/>
    <n v="297360"/>
  </r>
  <r>
    <x v="5"/>
    <x v="0"/>
    <x v="5"/>
    <x v="3"/>
    <x v="0"/>
    <x v="1"/>
    <n v="39"/>
    <n v="523887"/>
    <n v="276120"/>
  </r>
  <r>
    <x v="6"/>
    <x v="0"/>
    <x v="6"/>
    <x v="3"/>
    <x v="0"/>
    <x v="1"/>
    <n v="42"/>
    <n v="507066"/>
    <n v="297360"/>
  </r>
  <r>
    <x v="7"/>
    <x v="0"/>
    <x v="7"/>
    <x v="3"/>
    <x v="0"/>
    <x v="1"/>
    <n v="35"/>
    <n v="468755"/>
    <n v="247800"/>
  </r>
  <r>
    <x v="8"/>
    <x v="0"/>
    <x v="8"/>
    <x v="3"/>
    <x v="0"/>
    <x v="1"/>
    <n v="37"/>
    <n v="489510"/>
    <n v="261960"/>
  </r>
  <r>
    <x v="9"/>
    <x v="0"/>
    <x v="9"/>
    <x v="3"/>
    <x v="0"/>
    <x v="1"/>
    <n v="31"/>
    <n v="430156"/>
    <n v="219480"/>
  </r>
  <r>
    <x v="10"/>
    <x v="0"/>
    <x v="10"/>
    <x v="3"/>
    <x v="0"/>
    <x v="1"/>
    <n v="22"/>
    <n v="282172"/>
    <n v="155760"/>
  </r>
  <r>
    <x v="11"/>
    <x v="0"/>
    <x v="11"/>
    <x v="3"/>
    <x v="0"/>
    <x v="1"/>
    <n v="26"/>
    <n v="326534"/>
    <n v="184080"/>
  </r>
  <r>
    <x v="12"/>
    <x v="1"/>
    <x v="12"/>
    <x v="3"/>
    <x v="0"/>
    <x v="1"/>
    <n v="39"/>
    <n v="520767"/>
    <n v="276120"/>
  </r>
  <r>
    <x v="13"/>
    <x v="1"/>
    <x v="13"/>
    <x v="3"/>
    <x v="0"/>
    <x v="1"/>
    <n v="24"/>
    <n v="330864"/>
    <n v="169920"/>
  </r>
  <r>
    <x v="14"/>
    <x v="1"/>
    <x v="14"/>
    <x v="3"/>
    <x v="0"/>
    <x v="1"/>
    <n v="20"/>
    <n v="252640"/>
    <n v="141600"/>
  </r>
  <r>
    <x v="15"/>
    <x v="1"/>
    <x v="15"/>
    <x v="3"/>
    <x v="0"/>
    <x v="1"/>
    <n v="36"/>
    <n v="504108"/>
    <n v="254880"/>
  </r>
  <r>
    <x v="16"/>
    <x v="1"/>
    <x v="16"/>
    <x v="3"/>
    <x v="0"/>
    <x v="1"/>
    <n v="46"/>
    <n v="658536"/>
    <n v="325680"/>
  </r>
  <r>
    <x v="17"/>
    <x v="1"/>
    <x v="17"/>
    <x v="3"/>
    <x v="0"/>
    <x v="1"/>
    <n v="43"/>
    <n v="583553"/>
    <n v="304440"/>
  </r>
  <r>
    <x v="18"/>
    <x v="1"/>
    <x v="18"/>
    <x v="3"/>
    <x v="0"/>
    <x v="1"/>
    <n v="46"/>
    <n v="542432"/>
    <n v="325680"/>
  </r>
  <r>
    <x v="19"/>
    <x v="1"/>
    <x v="19"/>
    <x v="3"/>
    <x v="0"/>
    <x v="1"/>
    <n v="39"/>
    <n v="487227"/>
    <n v="276120"/>
  </r>
  <r>
    <x v="20"/>
    <x v="1"/>
    <x v="20"/>
    <x v="3"/>
    <x v="0"/>
    <x v="1"/>
    <n v="41"/>
    <n v="498273"/>
    <n v="290280"/>
  </r>
  <r>
    <x v="21"/>
    <x v="1"/>
    <x v="21"/>
    <x v="3"/>
    <x v="0"/>
    <x v="1"/>
    <n v="34"/>
    <n v="470628"/>
    <n v="240720"/>
  </r>
  <r>
    <x v="22"/>
    <x v="1"/>
    <x v="22"/>
    <x v="3"/>
    <x v="0"/>
    <x v="1"/>
    <n v="24"/>
    <n v="308064"/>
    <n v="169920"/>
  </r>
  <r>
    <x v="23"/>
    <x v="1"/>
    <x v="23"/>
    <x v="3"/>
    <x v="0"/>
    <x v="1"/>
    <n v="29"/>
    <n v="355192"/>
    <n v="205320"/>
  </r>
  <r>
    <x v="0"/>
    <x v="0"/>
    <x v="0"/>
    <x v="3"/>
    <x v="0"/>
    <x v="2"/>
    <n v="35"/>
    <n v="917630"/>
    <n v="367500"/>
  </r>
  <r>
    <x v="1"/>
    <x v="0"/>
    <x v="1"/>
    <x v="3"/>
    <x v="0"/>
    <x v="2"/>
    <n v="22"/>
    <n v="577434"/>
    <n v="231000"/>
  </r>
  <r>
    <x v="2"/>
    <x v="0"/>
    <x v="2"/>
    <x v="3"/>
    <x v="0"/>
    <x v="2"/>
    <n v="18"/>
    <n v="463140"/>
    <n v="189000"/>
  </r>
  <r>
    <x v="3"/>
    <x v="0"/>
    <x v="3"/>
    <x v="3"/>
    <x v="0"/>
    <x v="2"/>
    <n v="33"/>
    <n v="863412"/>
    <n v="346500"/>
  </r>
  <r>
    <x v="4"/>
    <x v="0"/>
    <x v="4"/>
    <x v="3"/>
    <x v="0"/>
    <x v="2"/>
    <n v="42"/>
    <n v="1123458"/>
    <n v="441000"/>
  </r>
  <r>
    <x v="5"/>
    <x v="0"/>
    <x v="5"/>
    <x v="3"/>
    <x v="0"/>
    <x v="2"/>
    <n v="39"/>
    <n v="1037790"/>
    <n v="409500"/>
  </r>
  <r>
    <x v="6"/>
    <x v="0"/>
    <x v="6"/>
    <x v="3"/>
    <x v="0"/>
    <x v="2"/>
    <n v="42"/>
    <n v="1015182"/>
    <n v="441000"/>
  </r>
  <r>
    <x v="7"/>
    <x v="0"/>
    <x v="7"/>
    <x v="3"/>
    <x v="0"/>
    <x v="2"/>
    <n v="35"/>
    <n v="884660"/>
    <n v="367500"/>
  </r>
  <r>
    <x v="8"/>
    <x v="0"/>
    <x v="8"/>
    <x v="3"/>
    <x v="0"/>
    <x v="2"/>
    <n v="37"/>
    <n v="939208"/>
    <n v="388500"/>
  </r>
  <r>
    <x v="9"/>
    <x v="0"/>
    <x v="9"/>
    <x v="3"/>
    <x v="0"/>
    <x v="2"/>
    <n v="31"/>
    <n v="819268"/>
    <n v="325500"/>
  </r>
  <r>
    <x v="10"/>
    <x v="0"/>
    <x v="10"/>
    <x v="3"/>
    <x v="0"/>
    <x v="2"/>
    <n v="22"/>
    <n v="585046"/>
    <n v="231000"/>
  </r>
  <r>
    <x v="11"/>
    <x v="0"/>
    <x v="11"/>
    <x v="3"/>
    <x v="0"/>
    <x v="2"/>
    <n v="26"/>
    <n v="672048"/>
    <n v="273000"/>
  </r>
  <r>
    <x v="12"/>
    <x v="1"/>
    <x v="12"/>
    <x v="3"/>
    <x v="0"/>
    <x v="2"/>
    <n v="39"/>
    <n v="1026012"/>
    <n v="409500"/>
  </r>
  <r>
    <x v="13"/>
    <x v="1"/>
    <x v="13"/>
    <x v="3"/>
    <x v="0"/>
    <x v="2"/>
    <n v="24"/>
    <n v="631248"/>
    <n v="252000"/>
  </r>
  <r>
    <x v="14"/>
    <x v="1"/>
    <x v="14"/>
    <x v="3"/>
    <x v="0"/>
    <x v="2"/>
    <n v="20"/>
    <n v="503520"/>
    <n v="210000"/>
  </r>
  <r>
    <x v="15"/>
    <x v="1"/>
    <x v="15"/>
    <x v="3"/>
    <x v="0"/>
    <x v="2"/>
    <n v="36"/>
    <n v="966708"/>
    <n v="378000"/>
  </r>
  <r>
    <x v="16"/>
    <x v="1"/>
    <x v="16"/>
    <x v="3"/>
    <x v="0"/>
    <x v="2"/>
    <n v="46"/>
    <n v="1219046"/>
    <n v="483000"/>
  </r>
  <r>
    <x v="17"/>
    <x v="1"/>
    <x v="17"/>
    <x v="3"/>
    <x v="0"/>
    <x v="2"/>
    <n v="43"/>
    <n v="1106304"/>
    <n v="451500"/>
  </r>
  <r>
    <x v="18"/>
    <x v="1"/>
    <x v="18"/>
    <x v="3"/>
    <x v="0"/>
    <x v="2"/>
    <n v="46"/>
    <n v="1130358"/>
    <n v="483000"/>
  </r>
  <r>
    <x v="19"/>
    <x v="1"/>
    <x v="19"/>
    <x v="3"/>
    <x v="0"/>
    <x v="2"/>
    <n v="39"/>
    <n v="996801"/>
    <n v="409500"/>
  </r>
  <r>
    <x v="20"/>
    <x v="1"/>
    <x v="20"/>
    <x v="3"/>
    <x v="0"/>
    <x v="2"/>
    <n v="41"/>
    <n v="1083999"/>
    <n v="430500"/>
  </r>
  <r>
    <x v="21"/>
    <x v="1"/>
    <x v="21"/>
    <x v="3"/>
    <x v="0"/>
    <x v="2"/>
    <n v="34"/>
    <n v="887400"/>
    <n v="357000"/>
  </r>
  <r>
    <x v="22"/>
    <x v="1"/>
    <x v="22"/>
    <x v="3"/>
    <x v="0"/>
    <x v="2"/>
    <n v="24"/>
    <n v="638160"/>
    <n v="252000"/>
  </r>
  <r>
    <x v="23"/>
    <x v="1"/>
    <x v="23"/>
    <x v="3"/>
    <x v="0"/>
    <x v="2"/>
    <n v="29"/>
    <n v="750027"/>
    <n v="304500"/>
  </r>
  <r>
    <x v="0"/>
    <x v="0"/>
    <x v="0"/>
    <x v="3"/>
    <x v="0"/>
    <x v="3"/>
    <n v="38"/>
    <n v="703494"/>
    <n v="284240"/>
  </r>
  <r>
    <x v="1"/>
    <x v="0"/>
    <x v="1"/>
    <x v="3"/>
    <x v="0"/>
    <x v="3"/>
    <n v="24"/>
    <n v="449136"/>
    <n v="179520"/>
  </r>
  <r>
    <x v="2"/>
    <x v="0"/>
    <x v="2"/>
    <x v="3"/>
    <x v="0"/>
    <x v="3"/>
    <n v="19"/>
    <n v="339454"/>
    <n v="142120"/>
  </r>
  <r>
    <x v="3"/>
    <x v="0"/>
    <x v="3"/>
    <x v="3"/>
    <x v="0"/>
    <x v="3"/>
    <n v="36"/>
    <n v="665928"/>
    <n v="269280"/>
  </r>
  <r>
    <x v="4"/>
    <x v="0"/>
    <x v="4"/>
    <x v="3"/>
    <x v="0"/>
    <x v="3"/>
    <n v="45"/>
    <n v="870570"/>
    <n v="336600"/>
  </r>
  <r>
    <x v="5"/>
    <x v="0"/>
    <x v="5"/>
    <x v="3"/>
    <x v="0"/>
    <x v="3"/>
    <n v="43"/>
    <n v="764153"/>
    <n v="321640"/>
  </r>
  <r>
    <x v="6"/>
    <x v="0"/>
    <x v="6"/>
    <x v="3"/>
    <x v="0"/>
    <x v="3"/>
    <n v="45"/>
    <n v="758205"/>
    <n v="336600"/>
  </r>
  <r>
    <x v="7"/>
    <x v="0"/>
    <x v="7"/>
    <x v="3"/>
    <x v="0"/>
    <x v="3"/>
    <n v="38"/>
    <n v="681416"/>
    <n v="284240"/>
  </r>
  <r>
    <x v="8"/>
    <x v="0"/>
    <x v="8"/>
    <x v="3"/>
    <x v="0"/>
    <x v="3"/>
    <n v="40"/>
    <n v="693760"/>
    <n v="299200"/>
  </r>
  <r>
    <x v="9"/>
    <x v="0"/>
    <x v="9"/>
    <x v="3"/>
    <x v="0"/>
    <x v="3"/>
    <n v="33"/>
    <n v="598125"/>
    <n v="246840"/>
  </r>
  <r>
    <x v="10"/>
    <x v="0"/>
    <x v="10"/>
    <x v="3"/>
    <x v="0"/>
    <x v="3"/>
    <n v="24"/>
    <n v="444552"/>
    <n v="179520"/>
  </r>
  <r>
    <x v="11"/>
    <x v="0"/>
    <x v="11"/>
    <x v="3"/>
    <x v="0"/>
    <x v="3"/>
    <n v="29"/>
    <n v="534876"/>
    <n v="216920"/>
  </r>
  <r>
    <x v="12"/>
    <x v="1"/>
    <x v="12"/>
    <x v="3"/>
    <x v="0"/>
    <x v="3"/>
    <n v="42"/>
    <n v="774270"/>
    <n v="314160"/>
  </r>
  <r>
    <x v="13"/>
    <x v="1"/>
    <x v="13"/>
    <x v="3"/>
    <x v="0"/>
    <x v="3"/>
    <n v="26"/>
    <n v="469040"/>
    <n v="194480"/>
  </r>
  <r>
    <x v="14"/>
    <x v="1"/>
    <x v="14"/>
    <x v="3"/>
    <x v="0"/>
    <x v="3"/>
    <n v="21"/>
    <n v="367731"/>
    <n v="157080"/>
  </r>
  <r>
    <x v="15"/>
    <x v="1"/>
    <x v="15"/>
    <x v="3"/>
    <x v="0"/>
    <x v="3"/>
    <n v="39"/>
    <n v="743184"/>
    <n v="291720"/>
  </r>
  <r>
    <x v="16"/>
    <x v="1"/>
    <x v="16"/>
    <x v="3"/>
    <x v="0"/>
    <x v="3"/>
    <n v="49"/>
    <n v="927129"/>
    <n v="366520"/>
  </r>
  <r>
    <x v="17"/>
    <x v="1"/>
    <x v="17"/>
    <x v="3"/>
    <x v="0"/>
    <x v="3"/>
    <n v="47"/>
    <n v="863437"/>
    <n v="351560"/>
  </r>
  <r>
    <x v="18"/>
    <x v="1"/>
    <x v="18"/>
    <x v="3"/>
    <x v="0"/>
    <x v="3"/>
    <n v="49"/>
    <n v="817271"/>
    <n v="366520"/>
  </r>
  <r>
    <x v="19"/>
    <x v="1"/>
    <x v="19"/>
    <x v="3"/>
    <x v="0"/>
    <x v="3"/>
    <n v="42"/>
    <n v="757134"/>
    <n v="314160"/>
  </r>
  <r>
    <x v="20"/>
    <x v="1"/>
    <x v="20"/>
    <x v="3"/>
    <x v="0"/>
    <x v="3"/>
    <n v="44"/>
    <n v="777568"/>
    <n v="329120"/>
  </r>
  <r>
    <x v="21"/>
    <x v="1"/>
    <x v="21"/>
    <x v="3"/>
    <x v="0"/>
    <x v="3"/>
    <n v="37"/>
    <n v="703000"/>
    <n v="276760"/>
  </r>
  <r>
    <x v="22"/>
    <x v="1"/>
    <x v="22"/>
    <x v="3"/>
    <x v="0"/>
    <x v="3"/>
    <n v="26"/>
    <n v="483314"/>
    <n v="194480"/>
  </r>
  <r>
    <x v="23"/>
    <x v="1"/>
    <x v="23"/>
    <x v="3"/>
    <x v="0"/>
    <x v="3"/>
    <n v="31"/>
    <n v="559829"/>
    <n v="231880"/>
  </r>
  <r>
    <x v="0"/>
    <x v="0"/>
    <x v="0"/>
    <x v="3"/>
    <x v="0"/>
    <x v="4"/>
    <n v="30"/>
    <n v="944340"/>
    <n v="504000"/>
  </r>
  <r>
    <x v="1"/>
    <x v="0"/>
    <x v="1"/>
    <x v="3"/>
    <x v="0"/>
    <x v="4"/>
    <n v="19"/>
    <n v="593674"/>
    <n v="319200"/>
  </r>
  <r>
    <x v="2"/>
    <x v="0"/>
    <x v="2"/>
    <x v="3"/>
    <x v="0"/>
    <x v="4"/>
    <n v="15"/>
    <n v="460905"/>
    <n v="252000"/>
  </r>
  <r>
    <x v="3"/>
    <x v="0"/>
    <x v="3"/>
    <x v="3"/>
    <x v="0"/>
    <x v="4"/>
    <n v="28"/>
    <n v="904456"/>
    <n v="470400"/>
  </r>
  <r>
    <x v="4"/>
    <x v="0"/>
    <x v="4"/>
    <x v="3"/>
    <x v="0"/>
    <x v="4"/>
    <n v="35"/>
    <n v="1113875"/>
    <n v="588000"/>
  </r>
  <r>
    <x v="5"/>
    <x v="0"/>
    <x v="5"/>
    <x v="3"/>
    <x v="0"/>
    <x v="4"/>
    <n v="33"/>
    <n v="1041447"/>
    <n v="554400"/>
  </r>
  <r>
    <x v="6"/>
    <x v="0"/>
    <x v="6"/>
    <x v="3"/>
    <x v="0"/>
    <x v="4"/>
    <n v="35"/>
    <n v="1027740"/>
    <n v="588000"/>
  </r>
  <r>
    <x v="7"/>
    <x v="0"/>
    <x v="7"/>
    <x v="3"/>
    <x v="0"/>
    <x v="4"/>
    <n v="30"/>
    <n v="924810"/>
    <n v="504000"/>
  </r>
  <r>
    <x v="8"/>
    <x v="0"/>
    <x v="8"/>
    <x v="3"/>
    <x v="0"/>
    <x v="4"/>
    <n v="31"/>
    <n v="964534"/>
    <n v="520800"/>
  </r>
  <r>
    <x v="9"/>
    <x v="0"/>
    <x v="9"/>
    <x v="3"/>
    <x v="0"/>
    <x v="4"/>
    <n v="26"/>
    <n v="815750"/>
    <n v="436800"/>
  </r>
  <r>
    <x v="10"/>
    <x v="0"/>
    <x v="10"/>
    <x v="3"/>
    <x v="0"/>
    <x v="4"/>
    <n v="19"/>
    <n v="586682"/>
    <n v="319200"/>
  </r>
  <r>
    <x v="11"/>
    <x v="0"/>
    <x v="11"/>
    <x v="3"/>
    <x v="0"/>
    <x v="4"/>
    <n v="22"/>
    <n v="669064"/>
    <n v="369600"/>
  </r>
  <r>
    <x v="12"/>
    <x v="1"/>
    <x v="12"/>
    <x v="3"/>
    <x v="0"/>
    <x v="4"/>
    <n v="33"/>
    <n v="1035936"/>
    <n v="554400"/>
  </r>
  <r>
    <x v="13"/>
    <x v="1"/>
    <x v="13"/>
    <x v="3"/>
    <x v="0"/>
    <x v="4"/>
    <n v="21"/>
    <n v="651273"/>
    <n v="352800"/>
  </r>
  <r>
    <x v="14"/>
    <x v="1"/>
    <x v="14"/>
    <x v="3"/>
    <x v="0"/>
    <x v="4"/>
    <n v="17"/>
    <n v="520200"/>
    <n v="285600"/>
  </r>
  <r>
    <x v="15"/>
    <x v="1"/>
    <x v="15"/>
    <x v="3"/>
    <x v="0"/>
    <x v="4"/>
    <n v="31"/>
    <n v="992930"/>
    <n v="520800"/>
  </r>
  <r>
    <x v="16"/>
    <x v="1"/>
    <x v="16"/>
    <x v="3"/>
    <x v="0"/>
    <x v="4"/>
    <n v="39"/>
    <n v="1241214"/>
    <n v="655200"/>
  </r>
  <r>
    <x v="17"/>
    <x v="1"/>
    <x v="17"/>
    <x v="3"/>
    <x v="0"/>
    <x v="4"/>
    <n v="37"/>
    <n v="1169940"/>
    <n v="621600"/>
  </r>
  <r>
    <x v="18"/>
    <x v="1"/>
    <x v="18"/>
    <x v="3"/>
    <x v="0"/>
    <x v="4"/>
    <n v="39"/>
    <n v="1173549"/>
    <n v="655200"/>
  </r>
  <r>
    <x v="19"/>
    <x v="1"/>
    <x v="19"/>
    <x v="3"/>
    <x v="0"/>
    <x v="4"/>
    <n v="33"/>
    <n v="1019865"/>
    <n v="554400"/>
  </r>
  <r>
    <x v="20"/>
    <x v="1"/>
    <x v="20"/>
    <x v="3"/>
    <x v="0"/>
    <x v="4"/>
    <n v="35"/>
    <n v="1082970"/>
    <n v="588000"/>
  </r>
  <r>
    <x v="21"/>
    <x v="1"/>
    <x v="21"/>
    <x v="3"/>
    <x v="0"/>
    <x v="4"/>
    <n v="29"/>
    <n v="904075"/>
    <n v="487200"/>
  </r>
  <r>
    <x v="22"/>
    <x v="1"/>
    <x v="22"/>
    <x v="3"/>
    <x v="0"/>
    <x v="4"/>
    <n v="21"/>
    <n v="662109"/>
    <n v="352800"/>
  </r>
  <r>
    <x v="23"/>
    <x v="1"/>
    <x v="23"/>
    <x v="3"/>
    <x v="0"/>
    <x v="4"/>
    <n v="25"/>
    <n v="761025"/>
    <n v="420000"/>
  </r>
  <r>
    <x v="0"/>
    <x v="0"/>
    <x v="0"/>
    <x v="3"/>
    <x v="0"/>
    <x v="5"/>
    <n v="28"/>
    <n v="446012"/>
    <n v="172200"/>
  </r>
  <r>
    <x v="1"/>
    <x v="0"/>
    <x v="1"/>
    <x v="3"/>
    <x v="0"/>
    <x v="5"/>
    <n v="18"/>
    <n v="300510"/>
    <n v="110700"/>
  </r>
  <r>
    <x v="2"/>
    <x v="0"/>
    <x v="2"/>
    <x v="3"/>
    <x v="0"/>
    <x v="5"/>
    <n v="14"/>
    <n v="224686"/>
    <n v="86100"/>
  </r>
  <r>
    <x v="3"/>
    <x v="0"/>
    <x v="3"/>
    <x v="3"/>
    <x v="0"/>
    <x v="5"/>
    <n v="27"/>
    <n v="444204"/>
    <n v="166050"/>
  </r>
  <r>
    <x v="4"/>
    <x v="0"/>
    <x v="4"/>
    <x v="3"/>
    <x v="0"/>
    <x v="5"/>
    <n v="34"/>
    <n v="571166"/>
    <n v="209100"/>
  </r>
  <r>
    <x v="5"/>
    <x v="0"/>
    <x v="5"/>
    <x v="3"/>
    <x v="0"/>
    <x v="5"/>
    <n v="32"/>
    <n v="506976"/>
    <n v="196800"/>
  </r>
  <r>
    <x v="6"/>
    <x v="0"/>
    <x v="6"/>
    <x v="3"/>
    <x v="0"/>
    <x v="5"/>
    <n v="34"/>
    <n v="494428"/>
    <n v="209100"/>
  </r>
  <r>
    <x v="7"/>
    <x v="0"/>
    <x v="7"/>
    <x v="3"/>
    <x v="0"/>
    <x v="5"/>
    <n v="28"/>
    <n v="453068"/>
    <n v="172200"/>
  </r>
  <r>
    <x v="8"/>
    <x v="0"/>
    <x v="8"/>
    <x v="3"/>
    <x v="0"/>
    <x v="5"/>
    <n v="30"/>
    <n v="491910"/>
    <n v="184500"/>
  </r>
  <r>
    <x v="9"/>
    <x v="0"/>
    <x v="9"/>
    <x v="3"/>
    <x v="0"/>
    <x v="5"/>
    <n v="25"/>
    <n v="419050"/>
    <n v="153750"/>
  </r>
  <r>
    <x v="10"/>
    <x v="0"/>
    <x v="10"/>
    <x v="3"/>
    <x v="0"/>
    <x v="5"/>
    <n v="18"/>
    <n v="286632"/>
    <n v="110700"/>
  </r>
  <r>
    <x v="11"/>
    <x v="0"/>
    <x v="11"/>
    <x v="3"/>
    <x v="0"/>
    <x v="5"/>
    <n v="21"/>
    <n v="330981"/>
    <n v="129150"/>
  </r>
  <r>
    <x v="12"/>
    <x v="1"/>
    <x v="12"/>
    <x v="3"/>
    <x v="0"/>
    <x v="5"/>
    <n v="31"/>
    <n v="497953"/>
    <n v="190650"/>
  </r>
  <r>
    <x v="13"/>
    <x v="1"/>
    <x v="13"/>
    <x v="3"/>
    <x v="0"/>
    <x v="5"/>
    <n v="20"/>
    <n v="326440"/>
    <n v="123000"/>
  </r>
  <r>
    <x v="14"/>
    <x v="1"/>
    <x v="14"/>
    <x v="3"/>
    <x v="0"/>
    <x v="5"/>
    <n v="16"/>
    <n v="257344"/>
    <n v="98400"/>
  </r>
  <r>
    <x v="15"/>
    <x v="1"/>
    <x v="15"/>
    <x v="3"/>
    <x v="0"/>
    <x v="5"/>
    <n v="29"/>
    <n v="491550"/>
    <n v="178350"/>
  </r>
  <r>
    <x v="16"/>
    <x v="1"/>
    <x v="16"/>
    <x v="3"/>
    <x v="0"/>
    <x v="5"/>
    <n v="37"/>
    <n v="611758"/>
    <n v="227550"/>
  </r>
  <r>
    <x v="17"/>
    <x v="1"/>
    <x v="17"/>
    <x v="3"/>
    <x v="0"/>
    <x v="5"/>
    <n v="35"/>
    <n v="562275"/>
    <n v="215250"/>
  </r>
  <r>
    <x v="18"/>
    <x v="1"/>
    <x v="18"/>
    <x v="3"/>
    <x v="0"/>
    <x v="5"/>
    <n v="37"/>
    <n v="550005"/>
    <n v="227550"/>
  </r>
  <r>
    <x v="19"/>
    <x v="1"/>
    <x v="19"/>
    <x v="3"/>
    <x v="0"/>
    <x v="5"/>
    <n v="31"/>
    <n v="490420"/>
    <n v="190650"/>
  </r>
  <r>
    <x v="20"/>
    <x v="1"/>
    <x v="20"/>
    <x v="3"/>
    <x v="0"/>
    <x v="5"/>
    <n v="33"/>
    <n v="503151"/>
    <n v="202950"/>
  </r>
  <r>
    <x v="21"/>
    <x v="1"/>
    <x v="21"/>
    <x v="3"/>
    <x v="0"/>
    <x v="5"/>
    <n v="27"/>
    <n v="447093"/>
    <n v="166050"/>
  </r>
  <r>
    <x v="22"/>
    <x v="1"/>
    <x v="22"/>
    <x v="3"/>
    <x v="0"/>
    <x v="5"/>
    <n v="20"/>
    <n v="317480"/>
    <n v="123000"/>
  </r>
  <r>
    <x v="23"/>
    <x v="1"/>
    <x v="23"/>
    <x v="3"/>
    <x v="0"/>
    <x v="5"/>
    <n v="23"/>
    <n v="376970"/>
    <n v="141450"/>
  </r>
  <r>
    <x v="0"/>
    <x v="0"/>
    <x v="0"/>
    <x v="3"/>
    <x v="0"/>
    <x v="6"/>
    <n v="37"/>
    <n v="461242"/>
    <n v="162800"/>
  </r>
  <r>
    <x v="1"/>
    <x v="0"/>
    <x v="1"/>
    <x v="3"/>
    <x v="0"/>
    <x v="6"/>
    <n v="23"/>
    <n v="297597"/>
    <n v="101200"/>
  </r>
  <r>
    <x v="2"/>
    <x v="0"/>
    <x v="2"/>
    <x v="3"/>
    <x v="0"/>
    <x v="6"/>
    <n v="19"/>
    <n v="228171"/>
    <n v="83600"/>
  </r>
  <r>
    <x v="3"/>
    <x v="0"/>
    <x v="3"/>
    <x v="3"/>
    <x v="0"/>
    <x v="6"/>
    <n v="35"/>
    <n v="428890"/>
    <n v="154000"/>
  </r>
  <r>
    <x v="4"/>
    <x v="0"/>
    <x v="4"/>
    <x v="3"/>
    <x v="0"/>
    <x v="6"/>
    <n v="44"/>
    <n v="547580"/>
    <n v="193600"/>
  </r>
  <r>
    <x v="5"/>
    <x v="0"/>
    <x v="5"/>
    <x v="3"/>
    <x v="0"/>
    <x v="6"/>
    <n v="42"/>
    <n v="530040"/>
    <n v="184800"/>
  </r>
  <r>
    <x v="6"/>
    <x v="0"/>
    <x v="6"/>
    <x v="3"/>
    <x v="0"/>
    <x v="6"/>
    <n v="44"/>
    <n v="473968"/>
    <n v="193600"/>
  </r>
  <r>
    <x v="7"/>
    <x v="0"/>
    <x v="7"/>
    <x v="3"/>
    <x v="0"/>
    <x v="6"/>
    <n v="37"/>
    <n v="441447"/>
    <n v="162800"/>
  </r>
  <r>
    <x v="8"/>
    <x v="0"/>
    <x v="8"/>
    <x v="3"/>
    <x v="0"/>
    <x v="6"/>
    <n v="39"/>
    <n v="469833"/>
    <n v="171600"/>
  </r>
  <r>
    <x v="9"/>
    <x v="0"/>
    <x v="9"/>
    <x v="3"/>
    <x v="0"/>
    <x v="6"/>
    <n v="32"/>
    <n v="383648"/>
    <n v="140800"/>
  </r>
  <r>
    <x v="10"/>
    <x v="0"/>
    <x v="10"/>
    <x v="3"/>
    <x v="0"/>
    <x v="6"/>
    <n v="23"/>
    <n v="282164"/>
    <n v="101200"/>
  </r>
  <r>
    <x v="11"/>
    <x v="0"/>
    <x v="11"/>
    <x v="3"/>
    <x v="0"/>
    <x v="6"/>
    <n v="28"/>
    <n v="332864"/>
    <n v="123200"/>
  </r>
  <r>
    <x v="12"/>
    <x v="1"/>
    <x v="12"/>
    <x v="3"/>
    <x v="0"/>
    <x v="6"/>
    <n v="41"/>
    <n v="502742"/>
    <n v="180400"/>
  </r>
  <r>
    <x v="13"/>
    <x v="1"/>
    <x v="13"/>
    <x v="3"/>
    <x v="0"/>
    <x v="6"/>
    <n v="26"/>
    <n v="317798"/>
    <n v="114400"/>
  </r>
  <r>
    <x v="14"/>
    <x v="1"/>
    <x v="14"/>
    <x v="3"/>
    <x v="0"/>
    <x v="6"/>
    <n v="21"/>
    <n v="260379"/>
    <n v="92400"/>
  </r>
  <r>
    <x v="15"/>
    <x v="1"/>
    <x v="15"/>
    <x v="3"/>
    <x v="0"/>
    <x v="6"/>
    <n v="38"/>
    <n v="491416"/>
    <n v="167200"/>
  </r>
  <r>
    <x v="16"/>
    <x v="1"/>
    <x v="16"/>
    <x v="3"/>
    <x v="0"/>
    <x v="6"/>
    <n v="48"/>
    <n v="614976"/>
    <n v="211200"/>
  </r>
  <r>
    <x v="17"/>
    <x v="1"/>
    <x v="17"/>
    <x v="3"/>
    <x v="0"/>
    <x v="6"/>
    <n v="46"/>
    <n v="579968"/>
    <n v="202400"/>
  </r>
  <r>
    <x v="18"/>
    <x v="1"/>
    <x v="18"/>
    <x v="3"/>
    <x v="0"/>
    <x v="6"/>
    <n v="48"/>
    <n v="502224"/>
    <n v="211200"/>
  </r>
  <r>
    <x v="19"/>
    <x v="1"/>
    <x v="19"/>
    <x v="3"/>
    <x v="0"/>
    <x v="6"/>
    <n v="41"/>
    <n v="482898"/>
    <n v="180400"/>
  </r>
  <r>
    <x v="20"/>
    <x v="1"/>
    <x v="20"/>
    <x v="3"/>
    <x v="0"/>
    <x v="6"/>
    <n v="43"/>
    <n v="498413"/>
    <n v="189200"/>
  </r>
  <r>
    <x v="21"/>
    <x v="1"/>
    <x v="21"/>
    <x v="3"/>
    <x v="0"/>
    <x v="6"/>
    <n v="36"/>
    <n v="441792"/>
    <n v="158400"/>
  </r>
  <r>
    <x v="22"/>
    <x v="1"/>
    <x v="22"/>
    <x v="3"/>
    <x v="0"/>
    <x v="6"/>
    <n v="26"/>
    <n v="307216"/>
    <n v="114400"/>
  </r>
  <r>
    <x v="23"/>
    <x v="1"/>
    <x v="23"/>
    <x v="3"/>
    <x v="0"/>
    <x v="6"/>
    <n v="31"/>
    <n v="381920"/>
    <n v="136400"/>
  </r>
  <r>
    <x v="0"/>
    <x v="0"/>
    <x v="0"/>
    <x v="3"/>
    <x v="1"/>
    <x v="7"/>
    <n v="19"/>
    <n v="107312"/>
    <n v="34447"/>
  </r>
  <r>
    <x v="1"/>
    <x v="0"/>
    <x v="1"/>
    <x v="3"/>
    <x v="1"/>
    <x v="7"/>
    <n v="12"/>
    <n v="65280"/>
    <n v="21756"/>
  </r>
  <r>
    <x v="2"/>
    <x v="0"/>
    <x v="2"/>
    <x v="3"/>
    <x v="1"/>
    <x v="7"/>
    <n v="10"/>
    <n v="44900"/>
    <n v="18130"/>
  </r>
  <r>
    <x v="3"/>
    <x v="0"/>
    <x v="3"/>
    <x v="3"/>
    <x v="1"/>
    <x v="7"/>
    <n v="18"/>
    <n v="107010"/>
    <n v="32634"/>
  </r>
  <r>
    <x v="4"/>
    <x v="0"/>
    <x v="4"/>
    <x v="3"/>
    <x v="1"/>
    <x v="7"/>
    <n v="22"/>
    <n v="128942"/>
    <n v="39886"/>
  </r>
  <r>
    <x v="5"/>
    <x v="0"/>
    <x v="5"/>
    <x v="3"/>
    <x v="1"/>
    <x v="7"/>
    <n v="21"/>
    <n v="102102"/>
    <n v="38073"/>
  </r>
  <r>
    <x v="6"/>
    <x v="0"/>
    <x v="6"/>
    <x v="3"/>
    <x v="1"/>
    <x v="7"/>
    <n v="22"/>
    <n v="75042"/>
    <n v="39886"/>
  </r>
  <r>
    <x v="7"/>
    <x v="0"/>
    <x v="7"/>
    <x v="3"/>
    <x v="1"/>
    <x v="7"/>
    <n v="19"/>
    <n v="86013"/>
    <n v="34447"/>
  </r>
  <r>
    <x v="8"/>
    <x v="0"/>
    <x v="8"/>
    <x v="3"/>
    <x v="1"/>
    <x v="7"/>
    <n v="20"/>
    <n v="89140"/>
    <n v="36260"/>
  </r>
  <r>
    <x v="9"/>
    <x v="0"/>
    <x v="9"/>
    <x v="3"/>
    <x v="1"/>
    <x v="7"/>
    <n v="17"/>
    <n v="92633"/>
    <n v="30821"/>
  </r>
  <r>
    <x v="10"/>
    <x v="0"/>
    <x v="10"/>
    <x v="3"/>
    <x v="1"/>
    <x v="7"/>
    <n v="12"/>
    <n v="59292"/>
    <n v="21756"/>
  </r>
  <r>
    <x v="11"/>
    <x v="0"/>
    <x v="11"/>
    <x v="3"/>
    <x v="1"/>
    <x v="7"/>
    <n v="14"/>
    <n v="70882"/>
    <n v="25382"/>
  </r>
  <r>
    <x v="12"/>
    <x v="1"/>
    <x v="12"/>
    <x v="3"/>
    <x v="1"/>
    <x v="7"/>
    <n v="21"/>
    <n v="104391"/>
    <n v="38073"/>
  </r>
  <r>
    <x v="13"/>
    <x v="1"/>
    <x v="13"/>
    <x v="3"/>
    <x v="1"/>
    <x v="7"/>
    <n v="13"/>
    <n v="60905"/>
    <n v="23569"/>
  </r>
  <r>
    <x v="14"/>
    <x v="1"/>
    <x v="14"/>
    <x v="3"/>
    <x v="1"/>
    <x v="7"/>
    <n v="11"/>
    <n v="52030"/>
    <n v="19943"/>
  </r>
  <r>
    <x v="15"/>
    <x v="1"/>
    <x v="15"/>
    <x v="3"/>
    <x v="1"/>
    <x v="7"/>
    <n v="19"/>
    <n v="101840"/>
    <n v="34447"/>
  </r>
  <r>
    <x v="16"/>
    <x v="1"/>
    <x v="16"/>
    <x v="3"/>
    <x v="1"/>
    <x v="7"/>
    <n v="25"/>
    <n v="140450"/>
    <n v="45325"/>
  </r>
  <r>
    <x v="17"/>
    <x v="1"/>
    <x v="17"/>
    <x v="3"/>
    <x v="1"/>
    <x v="7"/>
    <n v="23"/>
    <n v="123648"/>
    <n v="41699"/>
  </r>
  <r>
    <x v="18"/>
    <x v="1"/>
    <x v="18"/>
    <x v="3"/>
    <x v="1"/>
    <x v="7"/>
    <n v="25"/>
    <n v="74000"/>
    <n v="45325"/>
  </r>
  <r>
    <x v="19"/>
    <x v="1"/>
    <x v="19"/>
    <x v="3"/>
    <x v="1"/>
    <x v="7"/>
    <n v="21"/>
    <n v="84588"/>
    <n v="38073"/>
  </r>
  <r>
    <x v="20"/>
    <x v="1"/>
    <x v="20"/>
    <x v="3"/>
    <x v="1"/>
    <x v="7"/>
    <n v="22"/>
    <n v="97328"/>
    <n v="39886"/>
  </r>
  <r>
    <x v="21"/>
    <x v="1"/>
    <x v="21"/>
    <x v="3"/>
    <x v="1"/>
    <x v="7"/>
    <n v="18"/>
    <n v="89658"/>
    <n v="32634"/>
  </r>
  <r>
    <x v="22"/>
    <x v="1"/>
    <x v="22"/>
    <x v="3"/>
    <x v="1"/>
    <x v="7"/>
    <n v="13"/>
    <n v="68835"/>
    <n v="23569"/>
  </r>
  <r>
    <x v="23"/>
    <x v="1"/>
    <x v="23"/>
    <x v="3"/>
    <x v="1"/>
    <x v="7"/>
    <n v="16"/>
    <n v="66336"/>
    <n v="29008"/>
  </r>
  <r>
    <x v="0"/>
    <x v="0"/>
    <x v="0"/>
    <x v="3"/>
    <x v="1"/>
    <x v="8"/>
    <n v="15"/>
    <n v="58650"/>
    <n v="17250"/>
  </r>
  <r>
    <x v="1"/>
    <x v="0"/>
    <x v="1"/>
    <x v="3"/>
    <x v="1"/>
    <x v="8"/>
    <n v="9"/>
    <n v="34875"/>
    <n v="10350"/>
  </r>
  <r>
    <x v="2"/>
    <x v="0"/>
    <x v="2"/>
    <x v="3"/>
    <x v="1"/>
    <x v="8"/>
    <n v="8"/>
    <n v="26480"/>
    <n v="9200"/>
  </r>
  <r>
    <x v="3"/>
    <x v="0"/>
    <x v="3"/>
    <x v="3"/>
    <x v="1"/>
    <x v="8"/>
    <n v="14"/>
    <n v="62230"/>
    <n v="16100"/>
  </r>
  <r>
    <x v="4"/>
    <x v="0"/>
    <x v="4"/>
    <x v="3"/>
    <x v="1"/>
    <x v="8"/>
    <n v="18"/>
    <n v="87696"/>
    <n v="20700"/>
  </r>
  <r>
    <x v="5"/>
    <x v="0"/>
    <x v="5"/>
    <x v="3"/>
    <x v="1"/>
    <x v="8"/>
    <n v="17"/>
    <n v="61098"/>
    <n v="19550"/>
  </r>
  <r>
    <x v="6"/>
    <x v="0"/>
    <x v="6"/>
    <x v="3"/>
    <x v="1"/>
    <x v="8"/>
    <n v="18"/>
    <n v="39456"/>
    <n v="20700"/>
  </r>
  <r>
    <x v="7"/>
    <x v="0"/>
    <x v="7"/>
    <x v="3"/>
    <x v="1"/>
    <x v="8"/>
    <n v="15"/>
    <n v="56220"/>
    <n v="17250"/>
  </r>
  <r>
    <x v="8"/>
    <x v="0"/>
    <x v="8"/>
    <x v="3"/>
    <x v="1"/>
    <x v="8"/>
    <n v="16"/>
    <n v="63360"/>
    <n v="18400"/>
  </r>
  <r>
    <x v="9"/>
    <x v="0"/>
    <x v="9"/>
    <x v="3"/>
    <x v="1"/>
    <x v="8"/>
    <n v="13"/>
    <n v="48152"/>
    <n v="14950"/>
  </r>
  <r>
    <x v="10"/>
    <x v="0"/>
    <x v="10"/>
    <x v="3"/>
    <x v="1"/>
    <x v="8"/>
    <n v="9"/>
    <n v="34875"/>
    <n v="10350"/>
  </r>
  <r>
    <x v="11"/>
    <x v="0"/>
    <x v="11"/>
    <x v="3"/>
    <x v="1"/>
    <x v="8"/>
    <n v="11"/>
    <n v="35618"/>
    <n v="12650"/>
  </r>
  <r>
    <x v="12"/>
    <x v="1"/>
    <x v="12"/>
    <x v="3"/>
    <x v="1"/>
    <x v="8"/>
    <n v="16"/>
    <n v="59328"/>
    <n v="18400"/>
  </r>
  <r>
    <x v="13"/>
    <x v="1"/>
    <x v="13"/>
    <x v="3"/>
    <x v="1"/>
    <x v="8"/>
    <n v="10"/>
    <n v="43540"/>
    <n v="11500"/>
  </r>
  <r>
    <x v="14"/>
    <x v="1"/>
    <x v="14"/>
    <x v="3"/>
    <x v="1"/>
    <x v="8"/>
    <n v="8"/>
    <n v="28104"/>
    <n v="9200"/>
  </r>
  <r>
    <x v="15"/>
    <x v="1"/>
    <x v="15"/>
    <x v="3"/>
    <x v="1"/>
    <x v="8"/>
    <n v="15"/>
    <n v="68280"/>
    <n v="17250"/>
  </r>
  <r>
    <x v="16"/>
    <x v="1"/>
    <x v="16"/>
    <x v="3"/>
    <x v="1"/>
    <x v="8"/>
    <n v="19"/>
    <n v="92017"/>
    <n v="21850"/>
  </r>
  <r>
    <x v="17"/>
    <x v="1"/>
    <x v="17"/>
    <x v="3"/>
    <x v="1"/>
    <x v="8"/>
    <n v="18"/>
    <n v="58698"/>
    <n v="20700"/>
  </r>
  <r>
    <x v="18"/>
    <x v="1"/>
    <x v="18"/>
    <x v="3"/>
    <x v="1"/>
    <x v="8"/>
    <n v="19"/>
    <n v="46512"/>
    <n v="21850"/>
  </r>
  <r>
    <x v="19"/>
    <x v="1"/>
    <x v="19"/>
    <x v="3"/>
    <x v="1"/>
    <x v="8"/>
    <n v="16"/>
    <n v="46976"/>
    <n v="18400"/>
  </r>
  <r>
    <x v="20"/>
    <x v="1"/>
    <x v="20"/>
    <x v="3"/>
    <x v="1"/>
    <x v="8"/>
    <n v="17"/>
    <n v="63376"/>
    <n v="19550"/>
  </r>
  <r>
    <x v="21"/>
    <x v="1"/>
    <x v="21"/>
    <x v="3"/>
    <x v="1"/>
    <x v="8"/>
    <n v="14"/>
    <n v="56140"/>
    <n v="16100"/>
  </r>
  <r>
    <x v="22"/>
    <x v="1"/>
    <x v="22"/>
    <x v="3"/>
    <x v="1"/>
    <x v="8"/>
    <n v="10"/>
    <n v="38650"/>
    <n v="11500"/>
  </r>
  <r>
    <x v="23"/>
    <x v="1"/>
    <x v="23"/>
    <x v="3"/>
    <x v="1"/>
    <x v="8"/>
    <n v="12"/>
    <n v="30228"/>
    <n v="13800"/>
  </r>
  <r>
    <x v="0"/>
    <x v="0"/>
    <x v="0"/>
    <x v="3"/>
    <x v="1"/>
    <x v="9"/>
    <n v="19"/>
    <n v="84607"/>
    <n v="25346"/>
  </r>
  <r>
    <x v="1"/>
    <x v="0"/>
    <x v="1"/>
    <x v="3"/>
    <x v="1"/>
    <x v="9"/>
    <n v="12"/>
    <n v="51660"/>
    <n v="16008"/>
  </r>
  <r>
    <x v="2"/>
    <x v="0"/>
    <x v="2"/>
    <x v="3"/>
    <x v="1"/>
    <x v="9"/>
    <n v="10"/>
    <n v="40150"/>
    <n v="13340"/>
  </r>
  <r>
    <x v="3"/>
    <x v="0"/>
    <x v="3"/>
    <x v="3"/>
    <x v="1"/>
    <x v="9"/>
    <n v="18"/>
    <n v="74754"/>
    <n v="24012"/>
  </r>
  <r>
    <x v="4"/>
    <x v="0"/>
    <x v="4"/>
    <x v="3"/>
    <x v="1"/>
    <x v="9"/>
    <n v="23"/>
    <n v="121854"/>
    <n v="30682"/>
  </r>
  <r>
    <x v="5"/>
    <x v="0"/>
    <x v="5"/>
    <x v="3"/>
    <x v="1"/>
    <x v="9"/>
    <n v="21"/>
    <n v="88200"/>
    <n v="28014"/>
  </r>
  <r>
    <x v="6"/>
    <x v="0"/>
    <x v="6"/>
    <x v="3"/>
    <x v="1"/>
    <x v="9"/>
    <n v="23"/>
    <n v="58765"/>
    <n v="30682"/>
  </r>
  <r>
    <x v="7"/>
    <x v="0"/>
    <x v="7"/>
    <x v="3"/>
    <x v="1"/>
    <x v="9"/>
    <n v="19"/>
    <n v="64201"/>
    <n v="25346"/>
  </r>
  <r>
    <x v="8"/>
    <x v="0"/>
    <x v="8"/>
    <x v="3"/>
    <x v="1"/>
    <x v="9"/>
    <n v="20"/>
    <n v="70340"/>
    <n v="26680"/>
  </r>
  <r>
    <x v="9"/>
    <x v="0"/>
    <x v="9"/>
    <x v="3"/>
    <x v="1"/>
    <x v="9"/>
    <n v="17"/>
    <n v="82280"/>
    <n v="22678"/>
  </r>
  <r>
    <x v="10"/>
    <x v="0"/>
    <x v="10"/>
    <x v="3"/>
    <x v="1"/>
    <x v="9"/>
    <n v="12"/>
    <n v="46956"/>
    <n v="16008"/>
  </r>
  <r>
    <x v="11"/>
    <x v="0"/>
    <x v="11"/>
    <x v="3"/>
    <x v="1"/>
    <x v="9"/>
    <n v="14"/>
    <n v="56238"/>
    <n v="18676"/>
  </r>
  <r>
    <x v="12"/>
    <x v="1"/>
    <x v="12"/>
    <x v="3"/>
    <x v="1"/>
    <x v="9"/>
    <n v="21"/>
    <n v="89145"/>
    <n v="28014"/>
  </r>
  <r>
    <x v="13"/>
    <x v="1"/>
    <x v="13"/>
    <x v="3"/>
    <x v="1"/>
    <x v="9"/>
    <n v="13"/>
    <n v="55471"/>
    <n v="17342"/>
  </r>
  <r>
    <x v="14"/>
    <x v="1"/>
    <x v="14"/>
    <x v="3"/>
    <x v="1"/>
    <x v="9"/>
    <n v="11"/>
    <n v="44418"/>
    <n v="14674"/>
  </r>
  <r>
    <x v="15"/>
    <x v="1"/>
    <x v="15"/>
    <x v="3"/>
    <x v="1"/>
    <x v="9"/>
    <n v="20"/>
    <n v="80500"/>
    <n v="26680"/>
  </r>
  <r>
    <x v="16"/>
    <x v="1"/>
    <x v="16"/>
    <x v="3"/>
    <x v="1"/>
    <x v="9"/>
    <n v="25"/>
    <n v="127950"/>
    <n v="33350"/>
  </r>
  <r>
    <x v="17"/>
    <x v="1"/>
    <x v="17"/>
    <x v="3"/>
    <x v="1"/>
    <x v="9"/>
    <n v="23"/>
    <n v="99475"/>
    <n v="30682"/>
  </r>
  <r>
    <x v="18"/>
    <x v="1"/>
    <x v="18"/>
    <x v="3"/>
    <x v="1"/>
    <x v="9"/>
    <n v="25"/>
    <n v="50625"/>
    <n v="33350"/>
  </r>
  <r>
    <x v="19"/>
    <x v="1"/>
    <x v="19"/>
    <x v="3"/>
    <x v="1"/>
    <x v="9"/>
    <n v="21"/>
    <n v="78666"/>
    <n v="28014"/>
  </r>
  <r>
    <x v="20"/>
    <x v="1"/>
    <x v="20"/>
    <x v="3"/>
    <x v="1"/>
    <x v="9"/>
    <n v="22"/>
    <n v="76714"/>
    <n v="29348"/>
  </r>
  <r>
    <x v="21"/>
    <x v="1"/>
    <x v="21"/>
    <x v="3"/>
    <x v="1"/>
    <x v="9"/>
    <n v="18"/>
    <n v="76068"/>
    <n v="24012"/>
  </r>
  <r>
    <x v="22"/>
    <x v="1"/>
    <x v="22"/>
    <x v="3"/>
    <x v="1"/>
    <x v="9"/>
    <n v="13"/>
    <n v="52598"/>
    <n v="17342"/>
  </r>
  <r>
    <x v="23"/>
    <x v="1"/>
    <x v="23"/>
    <x v="3"/>
    <x v="1"/>
    <x v="9"/>
    <n v="16"/>
    <n v="60480"/>
    <n v="21344"/>
  </r>
  <r>
    <x v="0"/>
    <x v="0"/>
    <x v="0"/>
    <x v="3"/>
    <x v="1"/>
    <x v="10"/>
    <n v="16"/>
    <n v="90160"/>
    <n v="32256"/>
  </r>
  <r>
    <x v="1"/>
    <x v="0"/>
    <x v="1"/>
    <x v="3"/>
    <x v="1"/>
    <x v="10"/>
    <n v="10"/>
    <n v="53980"/>
    <n v="20160"/>
  </r>
  <r>
    <x v="2"/>
    <x v="0"/>
    <x v="2"/>
    <x v="3"/>
    <x v="1"/>
    <x v="10"/>
    <n v="8"/>
    <n v="37560"/>
    <n v="16128"/>
  </r>
  <r>
    <x v="3"/>
    <x v="0"/>
    <x v="3"/>
    <x v="3"/>
    <x v="1"/>
    <x v="10"/>
    <n v="15"/>
    <n v="96180"/>
    <n v="30240"/>
  </r>
  <r>
    <x v="4"/>
    <x v="0"/>
    <x v="4"/>
    <x v="3"/>
    <x v="1"/>
    <x v="10"/>
    <n v="19"/>
    <n v="115064"/>
    <n v="38304"/>
  </r>
  <r>
    <x v="5"/>
    <x v="0"/>
    <x v="5"/>
    <x v="3"/>
    <x v="1"/>
    <x v="10"/>
    <n v="18"/>
    <n v="107910"/>
    <n v="36288"/>
  </r>
  <r>
    <x v="6"/>
    <x v="0"/>
    <x v="6"/>
    <x v="3"/>
    <x v="1"/>
    <x v="10"/>
    <n v="19"/>
    <n v="85975"/>
    <n v="38304"/>
  </r>
  <r>
    <x v="7"/>
    <x v="0"/>
    <x v="7"/>
    <x v="3"/>
    <x v="1"/>
    <x v="10"/>
    <n v="16"/>
    <n v="79696"/>
    <n v="32256"/>
  </r>
  <r>
    <x v="8"/>
    <x v="0"/>
    <x v="8"/>
    <x v="3"/>
    <x v="1"/>
    <x v="10"/>
    <n v="17"/>
    <n v="89386"/>
    <n v="34272"/>
  </r>
  <r>
    <x v="9"/>
    <x v="0"/>
    <x v="9"/>
    <x v="3"/>
    <x v="1"/>
    <x v="10"/>
    <n v="14"/>
    <n v="81368"/>
    <n v="28224"/>
  </r>
  <r>
    <x v="10"/>
    <x v="0"/>
    <x v="10"/>
    <x v="3"/>
    <x v="1"/>
    <x v="10"/>
    <n v="10"/>
    <n v="48520"/>
    <n v="20160"/>
  </r>
  <r>
    <x v="11"/>
    <x v="0"/>
    <x v="11"/>
    <x v="3"/>
    <x v="1"/>
    <x v="10"/>
    <n v="12"/>
    <n v="56160"/>
    <n v="24192"/>
  </r>
  <r>
    <x v="12"/>
    <x v="1"/>
    <x v="12"/>
    <x v="3"/>
    <x v="1"/>
    <x v="10"/>
    <n v="17"/>
    <n v="96543"/>
    <n v="34272"/>
  </r>
  <r>
    <x v="13"/>
    <x v="1"/>
    <x v="13"/>
    <x v="3"/>
    <x v="1"/>
    <x v="10"/>
    <n v="11"/>
    <n v="63481"/>
    <n v="22176"/>
  </r>
  <r>
    <x v="14"/>
    <x v="1"/>
    <x v="14"/>
    <x v="3"/>
    <x v="1"/>
    <x v="10"/>
    <n v="9"/>
    <n v="47133"/>
    <n v="18144"/>
  </r>
  <r>
    <x v="15"/>
    <x v="1"/>
    <x v="15"/>
    <x v="3"/>
    <x v="1"/>
    <x v="10"/>
    <n v="16"/>
    <n v="102432"/>
    <n v="32256"/>
  </r>
  <r>
    <x v="16"/>
    <x v="1"/>
    <x v="16"/>
    <x v="3"/>
    <x v="1"/>
    <x v="10"/>
    <n v="21"/>
    <n v="116634"/>
    <n v="42336"/>
  </r>
  <r>
    <x v="17"/>
    <x v="1"/>
    <x v="17"/>
    <x v="3"/>
    <x v="1"/>
    <x v="10"/>
    <n v="20"/>
    <n v="106260"/>
    <n v="40320"/>
  </r>
  <r>
    <x v="18"/>
    <x v="1"/>
    <x v="18"/>
    <x v="3"/>
    <x v="1"/>
    <x v="10"/>
    <n v="21"/>
    <n v="91791"/>
    <n v="42336"/>
  </r>
  <r>
    <x v="19"/>
    <x v="1"/>
    <x v="19"/>
    <x v="3"/>
    <x v="1"/>
    <x v="10"/>
    <n v="17"/>
    <n v="89998"/>
    <n v="34272"/>
  </r>
  <r>
    <x v="20"/>
    <x v="1"/>
    <x v="20"/>
    <x v="3"/>
    <x v="1"/>
    <x v="10"/>
    <n v="18"/>
    <n v="91044"/>
    <n v="36288"/>
  </r>
  <r>
    <x v="21"/>
    <x v="1"/>
    <x v="21"/>
    <x v="3"/>
    <x v="1"/>
    <x v="10"/>
    <n v="15"/>
    <n v="81225"/>
    <n v="30240"/>
  </r>
  <r>
    <x v="22"/>
    <x v="1"/>
    <x v="22"/>
    <x v="3"/>
    <x v="1"/>
    <x v="10"/>
    <n v="11"/>
    <n v="63305"/>
    <n v="22176"/>
  </r>
  <r>
    <x v="23"/>
    <x v="1"/>
    <x v="23"/>
    <x v="3"/>
    <x v="1"/>
    <x v="10"/>
    <n v="13"/>
    <n v="59488"/>
    <n v="26208"/>
  </r>
  <r>
    <x v="0"/>
    <x v="0"/>
    <x v="0"/>
    <x v="3"/>
    <x v="1"/>
    <x v="11"/>
    <n v="14"/>
    <n v="46578"/>
    <n v="13090.000000000002"/>
  </r>
  <r>
    <x v="1"/>
    <x v="0"/>
    <x v="1"/>
    <x v="3"/>
    <x v="1"/>
    <x v="11"/>
    <n v="9"/>
    <n v="30663"/>
    <n v="8415.0000000000018"/>
  </r>
  <r>
    <x v="2"/>
    <x v="0"/>
    <x v="2"/>
    <x v="3"/>
    <x v="1"/>
    <x v="11"/>
    <n v="7"/>
    <n v="13727"/>
    <n v="6545.0000000000009"/>
  </r>
  <r>
    <x v="3"/>
    <x v="0"/>
    <x v="3"/>
    <x v="3"/>
    <x v="1"/>
    <x v="11"/>
    <n v="14"/>
    <n v="42924"/>
    <n v="13090.000000000002"/>
  </r>
  <r>
    <x v="4"/>
    <x v="0"/>
    <x v="4"/>
    <x v="3"/>
    <x v="1"/>
    <x v="11"/>
    <n v="17"/>
    <n v="60537"/>
    <n v="15895.000000000002"/>
  </r>
  <r>
    <x v="5"/>
    <x v="0"/>
    <x v="5"/>
    <x v="3"/>
    <x v="1"/>
    <x v="11"/>
    <n v="16"/>
    <n v="50592"/>
    <n v="14960.000000000002"/>
  </r>
  <r>
    <x v="6"/>
    <x v="0"/>
    <x v="6"/>
    <x v="3"/>
    <x v="1"/>
    <x v="11"/>
    <n v="17"/>
    <n v="26554"/>
    <n v="15895.000000000002"/>
  </r>
  <r>
    <x v="7"/>
    <x v="0"/>
    <x v="7"/>
    <x v="3"/>
    <x v="1"/>
    <x v="11"/>
    <n v="14"/>
    <n v="36050"/>
    <n v="13090.000000000002"/>
  </r>
  <r>
    <x v="8"/>
    <x v="0"/>
    <x v="8"/>
    <x v="3"/>
    <x v="1"/>
    <x v="11"/>
    <n v="15"/>
    <n v="40590"/>
    <n v="14025.000000000002"/>
  </r>
  <r>
    <x v="9"/>
    <x v="0"/>
    <x v="9"/>
    <x v="3"/>
    <x v="1"/>
    <x v="11"/>
    <n v="13"/>
    <n v="39104"/>
    <n v="12155.000000000002"/>
  </r>
  <r>
    <x v="10"/>
    <x v="0"/>
    <x v="10"/>
    <x v="3"/>
    <x v="1"/>
    <x v="11"/>
    <n v="9"/>
    <n v="22419"/>
    <n v="8415.0000000000018"/>
  </r>
  <r>
    <x v="11"/>
    <x v="0"/>
    <x v="11"/>
    <x v="3"/>
    <x v="1"/>
    <x v="11"/>
    <n v="11"/>
    <n v="27588"/>
    <n v="10285.000000000002"/>
  </r>
  <r>
    <x v="12"/>
    <x v="1"/>
    <x v="12"/>
    <x v="3"/>
    <x v="1"/>
    <x v="11"/>
    <n v="16"/>
    <n v="44000"/>
    <n v="14960.000000000002"/>
  </r>
  <r>
    <x v="13"/>
    <x v="1"/>
    <x v="13"/>
    <x v="3"/>
    <x v="1"/>
    <x v="11"/>
    <n v="10"/>
    <n v="31120"/>
    <n v="9350.0000000000018"/>
  </r>
  <r>
    <x v="14"/>
    <x v="1"/>
    <x v="14"/>
    <x v="3"/>
    <x v="1"/>
    <x v="11"/>
    <n v="8"/>
    <n v="20072"/>
    <n v="7480.0000000000009"/>
  </r>
  <r>
    <x v="15"/>
    <x v="1"/>
    <x v="15"/>
    <x v="3"/>
    <x v="1"/>
    <x v="11"/>
    <n v="15"/>
    <n v="56280"/>
    <n v="14025.000000000002"/>
  </r>
  <r>
    <x v="16"/>
    <x v="1"/>
    <x v="16"/>
    <x v="3"/>
    <x v="1"/>
    <x v="11"/>
    <n v="19"/>
    <n v="59831"/>
    <n v="17765.000000000004"/>
  </r>
  <r>
    <x v="17"/>
    <x v="1"/>
    <x v="17"/>
    <x v="3"/>
    <x v="1"/>
    <x v="11"/>
    <n v="18"/>
    <n v="53280"/>
    <n v="16830.000000000004"/>
  </r>
  <r>
    <x v="18"/>
    <x v="1"/>
    <x v="18"/>
    <x v="3"/>
    <x v="1"/>
    <x v="11"/>
    <n v="19"/>
    <n v="25973"/>
    <n v="17765.000000000004"/>
  </r>
  <r>
    <x v="19"/>
    <x v="1"/>
    <x v="19"/>
    <x v="3"/>
    <x v="1"/>
    <x v="11"/>
    <n v="16"/>
    <n v="29696"/>
    <n v="14960.000000000002"/>
  </r>
  <r>
    <x v="20"/>
    <x v="1"/>
    <x v="20"/>
    <x v="3"/>
    <x v="1"/>
    <x v="11"/>
    <n v="17"/>
    <n v="49538"/>
    <n v="15895.000000000002"/>
  </r>
  <r>
    <x v="21"/>
    <x v="1"/>
    <x v="21"/>
    <x v="3"/>
    <x v="1"/>
    <x v="11"/>
    <n v="14"/>
    <n v="37856"/>
    <n v="13090.000000000002"/>
  </r>
  <r>
    <x v="22"/>
    <x v="1"/>
    <x v="22"/>
    <x v="3"/>
    <x v="1"/>
    <x v="11"/>
    <n v="10"/>
    <n v="31540"/>
    <n v="9350.0000000000018"/>
  </r>
  <r>
    <x v="23"/>
    <x v="1"/>
    <x v="23"/>
    <x v="3"/>
    <x v="1"/>
    <x v="11"/>
    <n v="12"/>
    <n v="34596"/>
    <n v="11220.000000000002"/>
  </r>
  <r>
    <x v="0"/>
    <x v="0"/>
    <x v="0"/>
    <x v="3"/>
    <x v="1"/>
    <x v="12"/>
    <n v="18"/>
    <n v="96390"/>
    <n v="35568"/>
  </r>
  <r>
    <x v="1"/>
    <x v="0"/>
    <x v="1"/>
    <x v="3"/>
    <x v="1"/>
    <x v="12"/>
    <n v="11"/>
    <n v="54208"/>
    <n v="21736"/>
  </r>
  <r>
    <x v="2"/>
    <x v="0"/>
    <x v="2"/>
    <x v="3"/>
    <x v="1"/>
    <x v="12"/>
    <n v="9"/>
    <n v="43002"/>
    <n v="17784"/>
  </r>
  <r>
    <x v="3"/>
    <x v="0"/>
    <x v="3"/>
    <x v="3"/>
    <x v="1"/>
    <x v="12"/>
    <n v="17"/>
    <n v="94758"/>
    <n v="33592"/>
  </r>
  <r>
    <x v="4"/>
    <x v="0"/>
    <x v="4"/>
    <x v="3"/>
    <x v="1"/>
    <x v="12"/>
    <n v="21"/>
    <n v="116676"/>
    <n v="41496"/>
  </r>
  <r>
    <x v="5"/>
    <x v="0"/>
    <x v="5"/>
    <x v="3"/>
    <x v="1"/>
    <x v="12"/>
    <n v="20"/>
    <n v="97380"/>
    <n v="39520"/>
  </r>
  <r>
    <x v="6"/>
    <x v="0"/>
    <x v="6"/>
    <x v="3"/>
    <x v="1"/>
    <x v="12"/>
    <n v="21"/>
    <n v="66360"/>
    <n v="41496"/>
  </r>
  <r>
    <x v="7"/>
    <x v="0"/>
    <x v="7"/>
    <x v="3"/>
    <x v="1"/>
    <x v="12"/>
    <n v="18"/>
    <n v="90558"/>
    <n v="35568"/>
  </r>
  <r>
    <x v="8"/>
    <x v="0"/>
    <x v="8"/>
    <x v="3"/>
    <x v="1"/>
    <x v="12"/>
    <n v="19"/>
    <n v="87286"/>
    <n v="37544"/>
  </r>
  <r>
    <x v="9"/>
    <x v="0"/>
    <x v="9"/>
    <x v="3"/>
    <x v="1"/>
    <x v="12"/>
    <n v="15"/>
    <n v="80745"/>
    <n v="29640"/>
  </r>
  <r>
    <x v="10"/>
    <x v="0"/>
    <x v="10"/>
    <x v="3"/>
    <x v="1"/>
    <x v="12"/>
    <n v="11"/>
    <n v="59532"/>
    <n v="21736"/>
  </r>
  <r>
    <x v="11"/>
    <x v="0"/>
    <x v="11"/>
    <x v="3"/>
    <x v="1"/>
    <x v="12"/>
    <n v="13"/>
    <n v="58851"/>
    <n v="25688"/>
  </r>
  <r>
    <x v="12"/>
    <x v="1"/>
    <x v="12"/>
    <x v="3"/>
    <x v="1"/>
    <x v="12"/>
    <n v="19"/>
    <n v="105564"/>
    <n v="37544"/>
  </r>
  <r>
    <x v="13"/>
    <x v="1"/>
    <x v="13"/>
    <x v="3"/>
    <x v="1"/>
    <x v="12"/>
    <n v="12"/>
    <n v="64044"/>
    <n v="23712"/>
  </r>
  <r>
    <x v="14"/>
    <x v="1"/>
    <x v="14"/>
    <x v="3"/>
    <x v="1"/>
    <x v="12"/>
    <n v="10"/>
    <n v="43450"/>
    <n v="19760"/>
  </r>
  <r>
    <x v="15"/>
    <x v="1"/>
    <x v="15"/>
    <x v="3"/>
    <x v="1"/>
    <x v="12"/>
    <n v="18"/>
    <n v="94248"/>
    <n v="35568"/>
  </r>
  <r>
    <x v="16"/>
    <x v="1"/>
    <x v="16"/>
    <x v="3"/>
    <x v="1"/>
    <x v="12"/>
    <n v="23"/>
    <n v="134366"/>
    <n v="45448"/>
  </r>
  <r>
    <x v="17"/>
    <x v="1"/>
    <x v="17"/>
    <x v="3"/>
    <x v="1"/>
    <x v="12"/>
    <n v="22"/>
    <n v="118140"/>
    <n v="43472"/>
  </r>
  <r>
    <x v="18"/>
    <x v="1"/>
    <x v="18"/>
    <x v="3"/>
    <x v="1"/>
    <x v="12"/>
    <n v="23"/>
    <n v="84502"/>
    <n v="45448"/>
  </r>
  <r>
    <x v="19"/>
    <x v="1"/>
    <x v="19"/>
    <x v="3"/>
    <x v="1"/>
    <x v="12"/>
    <n v="19"/>
    <n v="79192"/>
    <n v="37544"/>
  </r>
  <r>
    <x v="20"/>
    <x v="1"/>
    <x v="20"/>
    <x v="3"/>
    <x v="1"/>
    <x v="12"/>
    <n v="21"/>
    <n v="93618"/>
    <n v="41496"/>
  </r>
  <r>
    <x v="21"/>
    <x v="1"/>
    <x v="21"/>
    <x v="3"/>
    <x v="1"/>
    <x v="12"/>
    <n v="17"/>
    <n v="84405"/>
    <n v="33592"/>
  </r>
  <r>
    <x v="22"/>
    <x v="1"/>
    <x v="22"/>
    <x v="3"/>
    <x v="1"/>
    <x v="12"/>
    <n v="12"/>
    <n v="56544"/>
    <n v="23712"/>
  </r>
  <r>
    <x v="23"/>
    <x v="1"/>
    <x v="23"/>
    <x v="3"/>
    <x v="1"/>
    <x v="12"/>
    <n v="15"/>
    <n v="68715"/>
    <n v="29640"/>
  </r>
  <r>
    <x v="0"/>
    <x v="0"/>
    <x v="0"/>
    <x v="3"/>
    <x v="1"/>
    <x v="13"/>
    <n v="16"/>
    <n v="93216"/>
    <n v="28800"/>
  </r>
  <r>
    <x v="1"/>
    <x v="0"/>
    <x v="1"/>
    <x v="3"/>
    <x v="1"/>
    <x v="13"/>
    <n v="10"/>
    <n v="64860"/>
    <n v="18000"/>
  </r>
  <r>
    <x v="2"/>
    <x v="0"/>
    <x v="2"/>
    <x v="3"/>
    <x v="1"/>
    <x v="13"/>
    <n v="8"/>
    <n v="42616"/>
    <n v="14400"/>
  </r>
  <r>
    <x v="3"/>
    <x v="0"/>
    <x v="3"/>
    <x v="3"/>
    <x v="1"/>
    <x v="13"/>
    <n v="15"/>
    <n v="98445"/>
    <n v="27000"/>
  </r>
  <r>
    <x v="4"/>
    <x v="0"/>
    <x v="4"/>
    <x v="3"/>
    <x v="1"/>
    <x v="13"/>
    <n v="19"/>
    <n v="133836"/>
    <n v="34200"/>
  </r>
  <r>
    <x v="5"/>
    <x v="0"/>
    <x v="5"/>
    <x v="3"/>
    <x v="1"/>
    <x v="13"/>
    <n v="18"/>
    <n v="102636"/>
    <n v="32400"/>
  </r>
  <r>
    <x v="6"/>
    <x v="0"/>
    <x v="6"/>
    <x v="3"/>
    <x v="1"/>
    <x v="13"/>
    <n v="19"/>
    <n v="81301"/>
    <n v="34200"/>
  </r>
  <r>
    <x v="7"/>
    <x v="0"/>
    <x v="7"/>
    <x v="3"/>
    <x v="1"/>
    <x v="13"/>
    <n v="16"/>
    <n v="84112"/>
    <n v="28800"/>
  </r>
  <r>
    <x v="8"/>
    <x v="0"/>
    <x v="8"/>
    <x v="3"/>
    <x v="1"/>
    <x v="13"/>
    <n v="17"/>
    <n v="95098"/>
    <n v="30600"/>
  </r>
  <r>
    <x v="9"/>
    <x v="0"/>
    <x v="9"/>
    <x v="3"/>
    <x v="1"/>
    <x v="13"/>
    <n v="14"/>
    <n v="78694"/>
    <n v="25200"/>
  </r>
  <r>
    <x v="10"/>
    <x v="0"/>
    <x v="10"/>
    <x v="3"/>
    <x v="1"/>
    <x v="13"/>
    <n v="10"/>
    <n v="57840"/>
    <n v="18000"/>
  </r>
  <r>
    <x v="11"/>
    <x v="0"/>
    <x v="11"/>
    <x v="3"/>
    <x v="1"/>
    <x v="13"/>
    <n v="12"/>
    <n v="56340"/>
    <n v="21600"/>
  </r>
  <r>
    <x v="12"/>
    <x v="1"/>
    <x v="12"/>
    <x v="3"/>
    <x v="1"/>
    <x v="13"/>
    <n v="17"/>
    <n v="96968"/>
    <n v="30600"/>
  </r>
  <r>
    <x v="13"/>
    <x v="1"/>
    <x v="13"/>
    <x v="3"/>
    <x v="1"/>
    <x v="13"/>
    <n v="11"/>
    <n v="65362"/>
    <n v="19800"/>
  </r>
  <r>
    <x v="14"/>
    <x v="1"/>
    <x v="14"/>
    <x v="3"/>
    <x v="1"/>
    <x v="13"/>
    <n v="9"/>
    <n v="43659"/>
    <n v="16200"/>
  </r>
  <r>
    <x v="15"/>
    <x v="1"/>
    <x v="15"/>
    <x v="3"/>
    <x v="1"/>
    <x v="13"/>
    <n v="16"/>
    <n v="102144"/>
    <n v="28800"/>
  </r>
  <r>
    <x v="16"/>
    <x v="1"/>
    <x v="16"/>
    <x v="3"/>
    <x v="1"/>
    <x v="13"/>
    <n v="21"/>
    <n v="125370"/>
    <n v="37800"/>
  </r>
  <r>
    <x v="17"/>
    <x v="1"/>
    <x v="17"/>
    <x v="3"/>
    <x v="1"/>
    <x v="13"/>
    <n v="20"/>
    <n v="120980"/>
    <n v="36000"/>
  </r>
  <r>
    <x v="18"/>
    <x v="1"/>
    <x v="18"/>
    <x v="3"/>
    <x v="1"/>
    <x v="13"/>
    <n v="21"/>
    <n v="79800"/>
    <n v="37800"/>
  </r>
  <r>
    <x v="19"/>
    <x v="1"/>
    <x v="19"/>
    <x v="3"/>
    <x v="1"/>
    <x v="13"/>
    <n v="17"/>
    <n v="84167"/>
    <n v="30600"/>
  </r>
  <r>
    <x v="20"/>
    <x v="1"/>
    <x v="20"/>
    <x v="3"/>
    <x v="1"/>
    <x v="13"/>
    <n v="18"/>
    <n v="85986"/>
    <n v="32400"/>
  </r>
  <r>
    <x v="21"/>
    <x v="1"/>
    <x v="21"/>
    <x v="3"/>
    <x v="1"/>
    <x v="13"/>
    <n v="15"/>
    <n v="87375"/>
    <n v="27000"/>
  </r>
  <r>
    <x v="22"/>
    <x v="1"/>
    <x v="22"/>
    <x v="3"/>
    <x v="1"/>
    <x v="13"/>
    <n v="11"/>
    <n v="62095"/>
    <n v="19800"/>
  </r>
  <r>
    <x v="23"/>
    <x v="1"/>
    <x v="23"/>
    <x v="3"/>
    <x v="1"/>
    <x v="13"/>
    <n v="13"/>
    <n v="72358"/>
    <n v="23400"/>
  </r>
  <r>
    <x v="0"/>
    <x v="0"/>
    <x v="0"/>
    <x v="3"/>
    <x v="2"/>
    <x v="14"/>
    <n v="11"/>
    <n v="396770"/>
    <n v="227150"/>
  </r>
  <r>
    <x v="1"/>
    <x v="0"/>
    <x v="1"/>
    <x v="3"/>
    <x v="2"/>
    <x v="14"/>
    <n v="7"/>
    <n v="256319"/>
    <n v="144550"/>
  </r>
  <r>
    <x v="2"/>
    <x v="0"/>
    <x v="2"/>
    <x v="3"/>
    <x v="2"/>
    <x v="14"/>
    <n v="6"/>
    <n v="212496"/>
    <n v="123900"/>
  </r>
  <r>
    <x v="3"/>
    <x v="0"/>
    <x v="3"/>
    <x v="3"/>
    <x v="2"/>
    <x v="14"/>
    <n v="10"/>
    <n v="371640"/>
    <n v="206500"/>
  </r>
  <r>
    <x v="4"/>
    <x v="0"/>
    <x v="4"/>
    <x v="3"/>
    <x v="2"/>
    <x v="14"/>
    <n v="13"/>
    <n v="478920"/>
    <n v="268450"/>
  </r>
  <r>
    <x v="5"/>
    <x v="0"/>
    <x v="5"/>
    <x v="3"/>
    <x v="2"/>
    <x v="14"/>
    <n v="12"/>
    <n v="432012"/>
    <n v="247800"/>
  </r>
  <r>
    <x v="6"/>
    <x v="0"/>
    <x v="6"/>
    <x v="3"/>
    <x v="2"/>
    <x v="14"/>
    <n v="13"/>
    <n v="449475"/>
    <n v="268450"/>
  </r>
  <r>
    <x v="7"/>
    <x v="0"/>
    <x v="7"/>
    <x v="3"/>
    <x v="2"/>
    <x v="14"/>
    <n v="11"/>
    <n v="398112"/>
    <n v="227150"/>
  </r>
  <r>
    <x v="8"/>
    <x v="0"/>
    <x v="8"/>
    <x v="3"/>
    <x v="2"/>
    <x v="14"/>
    <n v="11"/>
    <n v="395604"/>
    <n v="227150"/>
  </r>
  <r>
    <x v="9"/>
    <x v="0"/>
    <x v="9"/>
    <x v="3"/>
    <x v="2"/>
    <x v="14"/>
    <n v="9"/>
    <n v="332307"/>
    <n v="185850"/>
  </r>
  <r>
    <x v="10"/>
    <x v="0"/>
    <x v="10"/>
    <x v="3"/>
    <x v="2"/>
    <x v="14"/>
    <n v="7"/>
    <n v="254933"/>
    <n v="144550"/>
  </r>
  <r>
    <x v="11"/>
    <x v="0"/>
    <x v="11"/>
    <x v="3"/>
    <x v="2"/>
    <x v="14"/>
    <n v="8"/>
    <n v="288568"/>
    <n v="165200"/>
  </r>
  <r>
    <x v="12"/>
    <x v="1"/>
    <x v="12"/>
    <x v="3"/>
    <x v="2"/>
    <x v="14"/>
    <n v="12"/>
    <n v="436356"/>
    <n v="247800"/>
  </r>
  <r>
    <x v="13"/>
    <x v="1"/>
    <x v="13"/>
    <x v="3"/>
    <x v="2"/>
    <x v="14"/>
    <n v="8"/>
    <n v="289720"/>
    <n v="165200"/>
  </r>
  <r>
    <x v="14"/>
    <x v="1"/>
    <x v="14"/>
    <x v="3"/>
    <x v="2"/>
    <x v="14"/>
    <n v="6"/>
    <n v="214344"/>
    <n v="123900"/>
  </r>
  <r>
    <x v="15"/>
    <x v="1"/>
    <x v="15"/>
    <x v="3"/>
    <x v="2"/>
    <x v="14"/>
    <n v="11"/>
    <n v="409849"/>
    <n v="227150"/>
  </r>
  <r>
    <x v="16"/>
    <x v="1"/>
    <x v="16"/>
    <x v="3"/>
    <x v="2"/>
    <x v="14"/>
    <n v="14"/>
    <n v="513394"/>
    <n v="289100"/>
  </r>
  <r>
    <x v="17"/>
    <x v="1"/>
    <x v="17"/>
    <x v="3"/>
    <x v="2"/>
    <x v="14"/>
    <n v="13"/>
    <n v="471263"/>
    <n v="268450"/>
  </r>
  <r>
    <x v="18"/>
    <x v="1"/>
    <x v="18"/>
    <x v="3"/>
    <x v="2"/>
    <x v="14"/>
    <n v="14"/>
    <n v="491274"/>
    <n v="289100"/>
  </r>
  <r>
    <x v="19"/>
    <x v="1"/>
    <x v="19"/>
    <x v="3"/>
    <x v="2"/>
    <x v="14"/>
    <n v="12"/>
    <n v="427164"/>
    <n v="247800"/>
  </r>
  <r>
    <x v="20"/>
    <x v="1"/>
    <x v="20"/>
    <x v="3"/>
    <x v="2"/>
    <x v="14"/>
    <n v="13"/>
    <n v="460239"/>
    <n v="268450"/>
  </r>
  <r>
    <x v="21"/>
    <x v="1"/>
    <x v="21"/>
    <x v="3"/>
    <x v="2"/>
    <x v="14"/>
    <n v="10"/>
    <n v="370930"/>
    <n v="206500"/>
  </r>
  <r>
    <x v="22"/>
    <x v="1"/>
    <x v="22"/>
    <x v="3"/>
    <x v="2"/>
    <x v="14"/>
    <n v="8"/>
    <n v="294728"/>
    <n v="165200"/>
  </r>
  <r>
    <x v="23"/>
    <x v="1"/>
    <x v="23"/>
    <x v="3"/>
    <x v="2"/>
    <x v="14"/>
    <n v="9"/>
    <n v="320472"/>
    <n v="185850"/>
  </r>
  <r>
    <x v="0"/>
    <x v="0"/>
    <x v="0"/>
    <x v="3"/>
    <x v="2"/>
    <x v="15"/>
    <n v="9"/>
    <n v="297009"/>
    <n v="141120"/>
  </r>
  <r>
    <x v="1"/>
    <x v="0"/>
    <x v="1"/>
    <x v="3"/>
    <x v="2"/>
    <x v="15"/>
    <n v="6"/>
    <n v="200988"/>
    <n v="94080"/>
  </r>
  <r>
    <x v="2"/>
    <x v="0"/>
    <x v="2"/>
    <x v="3"/>
    <x v="2"/>
    <x v="15"/>
    <n v="5"/>
    <n v="166695"/>
    <n v="78400"/>
  </r>
  <r>
    <x v="3"/>
    <x v="0"/>
    <x v="3"/>
    <x v="3"/>
    <x v="2"/>
    <x v="15"/>
    <n v="8"/>
    <n v="273288"/>
    <n v="125440"/>
  </r>
  <r>
    <x v="4"/>
    <x v="0"/>
    <x v="4"/>
    <x v="3"/>
    <x v="2"/>
    <x v="15"/>
    <n v="10"/>
    <n v="340120"/>
    <n v="156800"/>
  </r>
  <r>
    <x v="5"/>
    <x v="0"/>
    <x v="5"/>
    <x v="3"/>
    <x v="2"/>
    <x v="15"/>
    <n v="10"/>
    <n v="333270"/>
    <n v="156800"/>
  </r>
  <r>
    <x v="6"/>
    <x v="0"/>
    <x v="6"/>
    <x v="3"/>
    <x v="2"/>
    <x v="15"/>
    <n v="10"/>
    <n v="320510"/>
    <n v="156800"/>
  </r>
  <r>
    <x v="7"/>
    <x v="0"/>
    <x v="7"/>
    <x v="3"/>
    <x v="2"/>
    <x v="15"/>
    <n v="9"/>
    <n v="296325"/>
    <n v="141120"/>
  </r>
  <r>
    <x v="8"/>
    <x v="0"/>
    <x v="8"/>
    <x v="3"/>
    <x v="2"/>
    <x v="15"/>
    <n v="9"/>
    <n v="296766"/>
    <n v="141120"/>
  </r>
  <r>
    <x v="9"/>
    <x v="0"/>
    <x v="9"/>
    <x v="3"/>
    <x v="2"/>
    <x v="15"/>
    <n v="8"/>
    <n v="265416"/>
    <n v="125440"/>
  </r>
  <r>
    <x v="10"/>
    <x v="0"/>
    <x v="10"/>
    <x v="3"/>
    <x v="2"/>
    <x v="15"/>
    <n v="6"/>
    <n v="197886"/>
    <n v="94080"/>
  </r>
  <r>
    <x v="11"/>
    <x v="0"/>
    <x v="11"/>
    <x v="3"/>
    <x v="2"/>
    <x v="15"/>
    <n v="7"/>
    <n v="228095"/>
    <n v="109760"/>
  </r>
  <r>
    <x v="12"/>
    <x v="1"/>
    <x v="12"/>
    <x v="3"/>
    <x v="2"/>
    <x v="15"/>
    <n v="10"/>
    <n v="335180"/>
    <n v="156800"/>
  </r>
  <r>
    <x v="13"/>
    <x v="1"/>
    <x v="13"/>
    <x v="3"/>
    <x v="2"/>
    <x v="15"/>
    <n v="6"/>
    <n v="203166"/>
    <n v="94080"/>
  </r>
  <r>
    <x v="14"/>
    <x v="1"/>
    <x v="14"/>
    <x v="3"/>
    <x v="2"/>
    <x v="15"/>
    <n v="5"/>
    <n v="162645"/>
    <n v="78400"/>
  </r>
  <r>
    <x v="15"/>
    <x v="1"/>
    <x v="15"/>
    <x v="3"/>
    <x v="2"/>
    <x v="15"/>
    <n v="9"/>
    <n v="302913"/>
    <n v="141120"/>
  </r>
  <r>
    <x v="16"/>
    <x v="1"/>
    <x v="16"/>
    <x v="3"/>
    <x v="2"/>
    <x v="15"/>
    <n v="11"/>
    <n v="369919"/>
    <n v="172480"/>
  </r>
  <r>
    <x v="17"/>
    <x v="1"/>
    <x v="17"/>
    <x v="3"/>
    <x v="2"/>
    <x v="15"/>
    <n v="11"/>
    <n v="369765"/>
    <n v="172480"/>
  </r>
  <r>
    <x v="18"/>
    <x v="1"/>
    <x v="18"/>
    <x v="3"/>
    <x v="2"/>
    <x v="15"/>
    <n v="11"/>
    <n v="355410"/>
    <n v="172480"/>
  </r>
  <r>
    <x v="19"/>
    <x v="1"/>
    <x v="19"/>
    <x v="3"/>
    <x v="2"/>
    <x v="15"/>
    <n v="10"/>
    <n v="323250"/>
    <n v="156800"/>
  </r>
  <r>
    <x v="20"/>
    <x v="1"/>
    <x v="20"/>
    <x v="3"/>
    <x v="2"/>
    <x v="15"/>
    <n v="10"/>
    <n v="328320"/>
    <n v="156800"/>
  </r>
  <r>
    <x v="21"/>
    <x v="1"/>
    <x v="21"/>
    <x v="3"/>
    <x v="2"/>
    <x v="15"/>
    <n v="8"/>
    <n v="270376"/>
    <n v="125440"/>
  </r>
  <r>
    <x v="22"/>
    <x v="1"/>
    <x v="22"/>
    <x v="3"/>
    <x v="2"/>
    <x v="15"/>
    <n v="6"/>
    <n v="202656"/>
    <n v="94080"/>
  </r>
  <r>
    <x v="23"/>
    <x v="1"/>
    <x v="23"/>
    <x v="3"/>
    <x v="2"/>
    <x v="15"/>
    <n v="7"/>
    <n v="233219"/>
    <n v="109760"/>
  </r>
  <r>
    <x v="0"/>
    <x v="0"/>
    <x v="0"/>
    <x v="3"/>
    <x v="2"/>
    <x v="16"/>
    <n v="10"/>
    <n v="429550"/>
    <n v="180600"/>
  </r>
  <r>
    <x v="1"/>
    <x v="0"/>
    <x v="1"/>
    <x v="3"/>
    <x v="2"/>
    <x v="16"/>
    <n v="6"/>
    <n v="262830"/>
    <n v="108360"/>
  </r>
  <r>
    <x v="2"/>
    <x v="0"/>
    <x v="2"/>
    <x v="3"/>
    <x v="2"/>
    <x v="16"/>
    <n v="5"/>
    <n v="214880"/>
    <n v="90300"/>
  </r>
  <r>
    <x v="3"/>
    <x v="0"/>
    <x v="3"/>
    <x v="3"/>
    <x v="2"/>
    <x v="16"/>
    <n v="9"/>
    <n v="389835"/>
    <n v="162540"/>
  </r>
  <r>
    <x v="4"/>
    <x v="0"/>
    <x v="4"/>
    <x v="3"/>
    <x v="2"/>
    <x v="16"/>
    <n v="11"/>
    <n v="481921"/>
    <n v="198660"/>
  </r>
  <r>
    <x v="5"/>
    <x v="0"/>
    <x v="5"/>
    <x v="3"/>
    <x v="2"/>
    <x v="16"/>
    <n v="11"/>
    <n v="479039"/>
    <n v="198660"/>
  </r>
  <r>
    <x v="6"/>
    <x v="0"/>
    <x v="6"/>
    <x v="3"/>
    <x v="2"/>
    <x v="16"/>
    <n v="11"/>
    <n v="460031"/>
    <n v="198660"/>
  </r>
  <r>
    <x v="7"/>
    <x v="0"/>
    <x v="7"/>
    <x v="3"/>
    <x v="2"/>
    <x v="16"/>
    <n v="10"/>
    <n v="430770"/>
    <n v="180600"/>
  </r>
  <r>
    <x v="8"/>
    <x v="0"/>
    <x v="8"/>
    <x v="3"/>
    <x v="2"/>
    <x v="16"/>
    <n v="10"/>
    <n v="429210"/>
    <n v="180600"/>
  </r>
  <r>
    <x v="9"/>
    <x v="0"/>
    <x v="9"/>
    <x v="3"/>
    <x v="2"/>
    <x v="16"/>
    <n v="9"/>
    <n v="389268"/>
    <n v="162540"/>
  </r>
  <r>
    <x v="10"/>
    <x v="0"/>
    <x v="10"/>
    <x v="3"/>
    <x v="2"/>
    <x v="16"/>
    <n v="6"/>
    <n v="261432"/>
    <n v="108360"/>
  </r>
  <r>
    <x v="11"/>
    <x v="0"/>
    <x v="11"/>
    <x v="3"/>
    <x v="2"/>
    <x v="16"/>
    <n v="7"/>
    <n v="299068"/>
    <n v="126420"/>
  </r>
  <r>
    <x v="12"/>
    <x v="1"/>
    <x v="12"/>
    <x v="3"/>
    <x v="2"/>
    <x v="16"/>
    <n v="11"/>
    <n v="474408"/>
    <n v="198660"/>
  </r>
  <r>
    <x v="13"/>
    <x v="1"/>
    <x v="13"/>
    <x v="3"/>
    <x v="2"/>
    <x v="16"/>
    <n v="7"/>
    <n v="306957"/>
    <n v="126420"/>
  </r>
  <r>
    <x v="14"/>
    <x v="1"/>
    <x v="14"/>
    <x v="3"/>
    <x v="2"/>
    <x v="16"/>
    <n v="6"/>
    <n v="254430"/>
    <n v="108360"/>
  </r>
  <r>
    <x v="15"/>
    <x v="1"/>
    <x v="15"/>
    <x v="3"/>
    <x v="2"/>
    <x v="16"/>
    <n v="10"/>
    <n v="433070"/>
    <n v="180600"/>
  </r>
  <r>
    <x v="16"/>
    <x v="1"/>
    <x v="16"/>
    <x v="3"/>
    <x v="2"/>
    <x v="16"/>
    <n v="13"/>
    <n v="567515"/>
    <n v="234780"/>
  </r>
  <r>
    <x v="17"/>
    <x v="1"/>
    <x v="17"/>
    <x v="3"/>
    <x v="2"/>
    <x v="16"/>
    <n v="12"/>
    <n v="521688"/>
    <n v="216720"/>
  </r>
  <r>
    <x v="18"/>
    <x v="1"/>
    <x v="18"/>
    <x v="3"/>
    <x v="2"/>
    <x v="16"/>
    <n v="13"/>
    <n v="538603"/>
    <n v="234780"/>
  </r>
  <r>
    <x v="19"/>
    <x v="1"/>
    <x v="19"/>
    <x v="3"/>
    <x v="2"/>
    <x v="16"/>
    <n v="11"/>
    <n v="475398"/>
    <n v="198660"/>
  </r>
  <r>
    <x v="20"/>
    <x v="1"/>
    <x v="20"/>
    <x v="3"/>
    <x v="2"/>
    <x v="16"/>
    <n v="11"/>
    <n v="472670"/>
    <n v="198660"/>
  </r>
  <r>
    <x v="21"/>
    <x v="1"/>
    <x v="21"/>
    <x v="3"/>
    <x v="2"/>
    <x v="16"/>
    <n v="9"/>
    <n v="391590"/>
    <n v="162540"/>
  </r>
  <r>
    <x v="22"/>
    <x v="1"/>
    <x v="22"/>
    <x v="3"/>
    <x v="2"/>
    <x v="16"/>
    <n v="7"/>
    <n v="306033"/>
    <n v="126420"/>
  </r>
  <r>
    <x v="23"/>
    <x v="1"/>
    <x v="23"/>
    <x v="3"/>
    <x v="2"/>
    <x v="16"/>
    <n v="8"/>
    <n v="340480"/>
    <n v="144480"/>
  </r>
  <r>
    <x v="0"/>
    <x v="0"/>
    <x v="0"/>
    <x v="3"/>
    <x v="2"/>
    <x v="17"/>
    <n v="9"/>
    <n v="257976"/>
    <n v="100800"/>
  </r>
  <r>
    <x v="1"/>
    <x v="0"/>
    <x v="1"/>
    <x v="3"/>
    <x v="2"/>
    <x v="17"/>
    <n v="6"/>
    <n v="172914"/>
    <n v="67200"/>
  </r>
  <r>
    <x v="2"/>
    <x v="0"/>
    <x v="2"/>
    <x v="3"/>
    <x v="2"/>
    <x v="17"/>
    <n v="5"/>
    <n v="143465"/>
    <n v="56000"/>
  </r>
  <r>
    <x v="3"/>
    <x v="0"/>
    <x v="3"/>
    <x v="3"/>
    <x v="2"/>
    <x v="17"/>
    <n v="8"/>
    <n v="239712"/>
    <n v="89600"/>
  </r>
  <r>
    <x v="4"/>
    <x v="0"/>
    <x v="4"/>
    <x v="3"/>
    <x v="2"/>
    <x v="17"/>
    <n v="10"/>
    <n v="301020"/>
    <n v="112000"/>
  </r>
  <r>
    <x v="5"/>
    <x v="0"/>
    <x v="5"/>
    <x v="3"/>
    <x v="2"/>
    <x v="17"/>
    <n v="10"/>
    <n v="298410"/>
    <n v="112000"/>
  </r>
  <r>
    <x v="6"/>
    <x v="0"/>
    <x v="6"/>
    <x v="3"/>
    <x v="2"/>
    <x v="17"/>
    <n v="10"/>
    <n v="275940"/>
    <n v="112000"/>
  </r>
  <r>
    <x v="7"/>
    <x v="0"/>
    <x v="7"/>
    <x v="3"/>
    <x v="2"/>
    <x v="17"/>
    <n v="9"/>
    <n v="264177"/>
    <n v="100800"/>
  </r>
  <r>
    <x v="8"/>
    <x v="0"/>
    <x v="8"/>
    <x v="3"/>
    <x v="2"/>
    <x v="17"/>
    <n v="9"/>
    <n v="259011"/>
    <n v="100800"/>
  </r>
  <r>
    <x v="9"/>
    <x v="0"/>
    <x v="9"/>
    <x v="3"/>
    <x v="2"/>
    <x v="17"/>
    <n v="8"/>
    <n v="237704"/>
    <n v="89600"/>
  </r>
  <r>
    <x v="10"/>
    <x v="0"/>
    <x v="10"/>
    <x v="3"/>
    <x v="2"/>
    <x v="17"/>
    <n v="6"/>
    <n v="176598"/>
    <n v="67200"/>
  </r>
  <r>
    <x v="11"/>
    <x v="0"/>
    <x v="11"/>
    <x v="3"/>
    <x v="2"/>
    <x v="17"/>
    <n v="7"/>
    <n v="201474"/>
    <n v="78400"/>
  </r>
  <r>
    <x v="12"/>
    <x v="1"/>
    <x v="12"/>
    <x v="3"/>
    <x v="2"/>
    <x v="17"/>
    <n v="10"/>
    <n v="299130"/>
    <n v="112000"/>
  </r>
  <r>
    <x v="13"/>
    <x v="1"/>
    <x v="13"/>
    <x v="3"/>
    <x v="2"/>
    <x v="17"/>
    <n v="6"/>
    <n v="174786"/>
    <n v="67200"/>
  </r>
  <r>
    <x v="14"/>
    <x v="1"/>
    <x v="14"/>
    <x v="3"/>
    <x v="2"/>
    <x v="17"/>
    <n v="5"/>
    <n v="141350"/>
    <n v="56000"/>
  </r>
  <r>
    <x v="15"/>
    <x v="1"/>
    <x v="15"/>
    <x v="3"/>
    <x v="2"/>
    <x v="17"/>
    <n v="9"/>
    <n v="265554"/>
    <n v="100800"/>
  </r>
  <r>
    <x v="16"/>
    <x v="1"/>
    <x v="16"/>
    <x v="3"/>
    <x v="2"/>
    <x v="17"/>
    <n v="11"/>
    <n v="325050"/>
    <n v="123200"/>
  </r>
  <r>
    <x v="17"/>
    <x v="1"/>
    <x v="17"/>
    <x v="3"/>
    <x v="2"/>
    <x v="17"/>
    <n v="11"/>
    <n v="320760"/>
    <n v="123200"/>
  </r>
  <r>
    <x v="18"/>
    <x v="1"/>
    <x v="18"/>
    <x v="3"/>
    <x v="2"/>
    <x v="17"/>
    <n v="11"/>
    <n v="302148"/>
    <n v="123200"/>
  </r>
  <r>
    <x v="19"/>
    <x v="1"/>
    <x v="19"/>
    <x v="3"/>
    <x v="2"/>
    <x v="17"/>
    <n v="10"/>
    <n v="283250"/>
    <n v="112000"/>
  </r>
  <r>
    <x v="20"/>
    <x v="1"/>
    <x v="20"/>
    <x v="3"/>
    <x v="2"/>
    <x v="17"/>
    <n v="10"/>
    <n v="288950"/>
    <n v="112000"/>
  </r>
  <r>
    <x v="21"/>
    <x v="1"/>
    <x v="21"/>
    <x v="3"/>
    <x v="2"/>
    <x v="17"/>
    <n v="9"/>
    <n v="264645"/>
    <n v="100800"/>
  </r>
  <r>
    <x v="22"/>
    <x v="1"/>
    <x v="22"/>
    <x v="3"/>
    <x v="2"/>
    <x v="17"/>
    <n v="6"/>
    <n v="179256"/>
    <n v="67200"/>
  </r>
  <r>
    <x v="23"/>
    <x v="1"/>
    <x v="23"/>
    <x v="3"/>
    <x v="2"/>
    <x v="17"/>
    <n v="7"/>
    <n v="203448"/>
    <n v="78400"/>
  </r>
  <r>
    <x v="0"/>
    <x v="0"/>
    <x v="0"/>
    <x v="3"/>
    <x v="2"/>
    <x v="18"/>
    <n v="11"/>
    <n v="513315"/>
    <n v="277200.00000000006"/>
  </r>
  <r>
    <x v="1"/>
    <x v="0"/>
    <x v="1"/>
    <x v="3"/>
    <x v="2"/>
    <x v="18"/>
    <n v="7"/>
    <n v="322098"/>
    <n v="176400.00000000003"/>
  </r>
  <r>
    <x v="2"/>
    <x v="0"/>
    <x v="2"/>
    <x v="3"/>
    <x v="2"/>
    <x v="18"/>
    <n v="6"/>
    <n v="274482"/>
    <n v="151200.00000000003"/>
  </r>
  <r>
    <x v="3"/>
    <x v="0"/>
    <x v="3"/>
    <x v="3"/>
    <x v="2"/>
    <x v="18"/>
    <n v="10"/>
    <n v="472480"/>
    <n v="252000.00000000003"/>
  </r>
  <r>
    <x v="4"/>
    <x v="0"/>
    <x v="4"/>
    <x v="3"/>
    <x v="2"/>
    <x v="18"/>
    <n v="13"/>
    <n v="606827"/>
    <n v="327600.00000000006"/>
  </r>
  <r>
    <x v="5"/>
    <x v="0"/>
    <x v="5"/>
    <x v="3"/>
    <x v="2"/>
    <x v="18"/>
    <n v="12"/>
    <n v="556296"/>
    <n v="302400.00000000006"/>
  </r>
  <r>
    <x v="6"/>
    <x v="0"/>
    <x v="6"/>
    <x v="3"/>
    <x v="2"/>
    <x v="18"/>
    <n v="13"/>
    <n v="579319"/>
    <n v="327600.00000000006"/>
  </r>
  <r>
    <x v="7"/>
    <x v="0"/>
    <x v="7"/>
    <x v="3"/>
    <x v="2"/>
    <x v="18"/>
    <n v="11"/>
    <n v="505263"/>
    <n v="277200.00000000006"/>
  </r>
  <r>
    <x v="8"/>
    <x v="0"/>
    <x v="8"/>
    <x v="3"/>
    <x v="2"/>
    <x v="18"/>
    <n v="12"/>
    <n v="543144"/>
    <n v="302400.00000000006"/>
  </r>
  <r>
    <x v="9"/>
    <x v="0"/>
    <x v="9"/>
    <x v="3"/>
    <x v="2"/>
    <x v="18"/>
    <n v="10"/>
    <n v="458140"/>
    <n v="252000.00000000003"/>
  </r>
  <r>
    <x v="10"/>
    <x v="0"/>
    <x v="10"/>
    <x v="3"/>
    <x v="2"/>
    <x v="18"/>
    <n v="7"/>
    <n v="324681"/>
    <n v="176400.00000000003"/>
  </r>
  <r>
    <x v="11"/>
    <x v="0"/>
    <x v="11"/>
    <x v="3"/>
    <x v="2"/>
    <x v="18"/>
    <n v="8"/>
    <n v="364520"/>
    <n v="201600.00000000003"/>
  </r>
  <r>
    <x v="12"/>
    <x v="1"/>
    <x v="12"/>
    <x v="3"/>
    <x v="2"/>
    <x v="18"/>
    <n v="12"/>
    <n v="553728"/>
    <n v="302400.00000000006"/>
  </r>
  <r>
    <x v="13"/>
    <x v="1"/>
    <x v="13"/>
    <x v="3"/>
    <x v="2"/>
    <x v="18"/>
    <n v="8"/>
    <n v="376168"/>
    <n v="201600.00000000003"/>
  </r>
  <r>
    <x v="14"/>
    <x v="1"/>
    <x v="14"/>
    <x v="3"/>
    <x v="2"/>
    <x v="18"/>
    <n v="6"/>
    <n v="273606"/>
    <n v="151200.00000000003"/>
  </r>
  <r>
    <x v="15"/>
    <x v="1"/>
    <x v="15"/>
    <x v="3"/>
    <x v="2"/>
    <x v="18"/>
    <n v="11"/>
    <n v="509872"/>
    <n v="277200.00000000006"/>
  </r>
  <r>
    <x v="16"/>
    <x v="1"/>
    <x v="16"/>
    <x v="3"/>
    <x v="2"/>
    <x v="18"/>
    <n v="14"/>
    <n v="653142"/>
    <n v="352800.00000000006"/>
  </r>
  <r>
    <x v="17"/>
    <x v="1"/>
    <x v="17"/>
    <x v="3"/>
    <x v="2"/>
    <x v="18"/>
    <n v="14"/>
    <n v="640402"/>
    <n v="352800.00000000006"/>
  </r>
  <r>
    <x v="18"/>
    <x v="1"/>
    <x v="18"/>
    <x v="3"/>
    <x v="2"/>
    <x v="18"/>
    <n v="14"/>
    <n v="631932"/>
    <n v="352800.00000000006"/>
  </r>
  <r>
    <x v="19"/>
    <x v="1"/>
    <x v="19"/>
    <x v="3"/>
    <x v="2"/>
    <x v="18"/>
    <n v="12"/>
    <n v="547824"/>
    <n v="302400.00000000006"/>
  </r>
  <r>
    <x v="20"/>
    <x v="1"/>
    <x v="20"/>
    <x v="3"/>
    <x v="2"/>
    <x v="18"/>
    <n v="13"/>
    <n v="601497"/>
    <n v="327600.00000000006"/>
  </r>
  <r>
    <x v="21"/>
    <x v="1"/>
    <x v="21"/>
    <x v="3"/>
    <x v="2"/>
    <x v="18"/>
    <n v="11"/>
    <n v="512215"/>
    <n v="277200.00000000006"/>
  </r>
  <r>
    <x v="22"/>
    <x v="1"/>
    <x v="22"/>
    <x v="3"/>
    <x v="2"/>
    <x v="18"/>
    <n v="8"/>
    <n v="372160"/>
    <n v="201600.00000000003"/>
  </r>
  <r>
    <x v="23"/>
    <x v="1"/>
    <x v="23"/>
    <x v="3"/>
    <x v="2"/>
    <x v="18"/>
    <n v="9"/>
    <n v="411858"/>
    <n v="226800.00000000003"/>
  </r>
  <r>
    <x v="0"/>
    <x v="0"/>
    <x v="0"/>
    <x v="3"/>
    <x v="2"/>
    <x v="19"/>
    <n v="11"/>
    <n v="203247"/>
    <n v="104720"/>
  </r>
  <r>
    <x v="1"/>
    <x v="0"/>
    <x v="1"/>
    <x v="3"/>
    <x v="2"/>
    <x v="19"/>
    <n v="7"/>
    <n v="132454"/>
    <n v="66640"/>
  </r>
  <r>
    <x v="2"/>
    <x v="0"/>
    <x v="2"/>
    <x v="3"/>
    <x v="2"/>
    <x v="19"/>
    <n v="6"/>
    <n v="106872"/>
    <n v="57120"/>
  </r>
  <r>
    <x v="3"/>
    <x v="0"/>
    <x v="3"/>
    <x v="3"/>
    <x v="2"/>
    <x v="19"/>
    <n v="10"/>
    <n v="184540"/>
    <n v="95200"/>
  </r>
  <r>
    <x v="4"/>
    <x v="0"/>
    <x v="4"/>
    <x v="3"/>
    <x v="2"/>
    <x v="19"/>
    <n v="13"/>
    <n v="249938"/>
    <n v="123760"/>
  </r>
  <r>
    <x v="5"/>
    <x v="0"/>
    <x v="5"/>
    <x v="3"/>
    <x v="2"/>
    <x v="19"/>
    <n v="12"/>
    <n v="219828"/>
    <n v="114240"/>
  </r>
  <r>
    <x v="6"/>
    <x v="0"/>
    <x v="6"/>
    <x v="3"/>
    <x v="2"/>
    <x v="19"/>
    <n v="13"/>
    <n v="220155"/>
    <n v="123760"/>
  </r>
  <r>
    <x v="7"/>
    <x v="0"/>
    <x v="7"/>
    <x v="3"/>
    <x v="2"/>
    <x v="19"/>
    <n v="11"/>
    <n v="192313"/>
    <n v="104720"/>
  </r>
  <r>
    <x v="8"/>
    <x v="0"/>
    <x v="8"/>
    <x v="3"/>
    <x v="2"/>
    <x v="19"/>
    <n v="12"/>
    <n v="213984"/>
    <n v="114240"/>
  </r>
  <r>
    <x v="9"/>
    <x v="0"/>
    <x v="9"/>
    <x v="3"/>
    <x v="2"/>
    <x v="19"/>
    <n v="10"/>
    <n v="183520"/>
    <n v="95200"/>
  </r>
  <r>
    <x v="10"/>
    <x v="0"/>
    <x v="10"/>
    <x v="3"/>
    <x v="2"/>
    <x v="19"/>
    <n v="7"/>
    <n v="125244"/>
    <n v="66640"/>
  </r>
  <r>
    <x v="11"/>
    <x v="0"/>
    <x v="11"/>
    <x v="3"/>
    <x v="2"/>
    <x v="19"/>
    <n v="8"/>
    <n v="143696"/>
    <n v="76160"/>
  </r>
  <r>
    <x v="12"/>
    <x v="1"/>
    <x v="12"/>
    <x v="3"/>
    <x v="2"/>
    <x v="19"/>
    <n v="12"/>
    <n v="213612"/>
    <n v="114240"/>
  </r>
  <r>
    <x v="13"/>
    <x v="1"/>
    <x v="13"/>
    <x v="3"/>
    <x v="2"/>
    <x v="19"/>
    <n v="8"/>
    <n v="147816"/>
    <n v="76160"/>
  </r>
  <r>
    <x v="14"/>
    <x v="1"/>
    <x v="14"/>
    <x v="3"/>
    <x v="2"/>
    <x v="19"/>
    <n v="6"/>
    <n v="105816"/>
    <n v="57120"/>
  </r>
  <r>
    <x v="15"/>
    <x v="1"/>
    <x v="15"/>
    <x v="3"/>
    <x v="2"/>
    <x v="19"/>
    <n v="11"/>
    <n v="208406"/>
    <n v="104720"/>
  </r>
  <r>
    <x v="16"/>
    <x v="1"/>
    <x v="16"/>
    <x v="3"/>
    <x v="2"/>
    <x v="19"/>
    <n v="14"/>
    <n v="264712"/>
    <n v="133280"/>
  </r>
  <r>
    <x v="17"/>
    <x v="1"/>
    <x v="17"/>
    <x v="3"/>
    <x v="2"/>
    <x v="19"/>
    <n v="14"/>
    <n v="258356"/>
    <n v="133280"/>
  </r>
  <r>
    <x v="18"/>
    <x v="1"/>
    <x v="18"/>
    <x v="3"/>
    <x v="2"/>
    <x v="19"/>
    <n v="14"/>
    <n v="241276"/>
    <n v="133280"/>
  </r>
  <r>
    <x v="19"/>
    <x v="1"/>
    <x v="19"/>
    <x v="3"/>
    <x v="2"/>
    <x v="19"/>
    <n v="12"/>
    <n v="212220"/>
    <n v="114240"/>
  </r>
  <r>
    <x v="20"/>
    <x v="1"/>
    <x v="20"/>
    <x v="3"/>
    <x v="2"/>
    <x v="19"/>
    <n v="13"/>
    <n v="239447"/>
    <n v="123760"/>
  </r>
  <r>
    <x v="21"/>
    <x v="1"/>
    <x v="21"/>
    <x v="3"/>
    <x v="2"/>
    <x v="19"/>
    <n v="11"/>
    <n v="202774"/>
    <n v="104720"/>
  </r>
  <r>
    <x v="22"/>
    <x v="1"/>
    <x v="22"/>
    <x v="3"/>
    <x v="2"/>
    <x v="19"/>
    <n v="8"/>
    <n v="145240"/>
    <n v="76160"/>
  </r>
  <r>
    <x v="23"/>
    <x v="1"/>
    <x v="23"/>
    <x v="3"/>
    <x v="2"/>
    <x v="19"/>
    <n v="9"/>
    <n v="161100"/>
    <n v="85680"/>
  </r>
  <r>
    <x v="0"/>
    <x v="0"/>
    <x v="0"/>
    <x v="3"/>
    <x v="2"/>
    <x v="20"/>
    <n v="9"/>
    <n v="358497"/>
    <n v="147420"/>
  </r>
  <r>
    <x v="1"/>
    <x v="0"/>
    <x v="1"/>
    <x v="3"/>
    <x v="2"/>
    <x v="20"/>
    <n v="6"/>
    <n v="242124"/>
    <n v="98280"/>
  </r>
  <r>
    <x v="2"/>
    <x v="0"/>
    <x v="2"/>
    <x v="3"/>
    <x v="2"/>
    <x v="20"/>
    <n v="5"/>
    <n v="197315"/>
    <n v="81900"/>
  </r>
  <r>
    <x v="3"/>
    <x v="0"/>
    <x v="3"/>
    <x v="3"/>
    <x v="2"/>
    <x v="20"/>
    <n v="8"/>
    <n v="327904"/>
    <n v="131040"/>
  </r>
  <r>
    <x v="4"/>
    <x v="0"/>
    <x v="4"/>
    <x v="3"/>
    <x v="2"/>
    <x v="20"/>
    <n v="11"/>
    <n v="450230"/>
    <n v="180180"/>
  </r>
  <r>
    <x v="5"/>
    <x v="0"/>
    <x v="5"/>
    <x v="3"/>
    <x v="2"/>
    <x v="20"/>
    <n v="10"/>
    <n v="406260"/>
    <n v="163800"/>
  </r>
  <r>
    <x v="6"/>
    <x v="0"/>
    <x v="6"/>
    <x v="3"/>
    <x v="2"/>
    <x v="20"/>
    <n v="11"/>
    <n v="428021"/>
    <n v="180180"/>
  </r>
  <r>
    <x v="7"/>
    <x v="0"/>
    <x v="7"/>
    <x v="3"/>
    <x v="2"/>
    <x v="20"/>
    <n v="9"/>
    <n v="355545"/>
    <n v="147420"/>
  </r>
  <r>
    <x v="8"/>
    <x v="0"/>
    <x v="8"/>
    <x v="3"/>
    <x v="2"/>
    <x v="20"/>
    <n v="9"/>
    <n v="363159"/>
    <n v="147420"/>
  </r>
  <r>
    <x v="9"/>
    <x v="0"/>
    <x v="9"/>
    <x v="3"/>
    <x v="2"/>
    <x v="20"/>
    <n v="8"/>
    <n v="318568"/>
    <n v="131040"/>
  </r>
  <r>
    <x v="10"/>
    <x v="0"/>
    <x v="10"/>
    <x v="3"/>
    <x v="2"/>
    <x v="20"/>
    <n v="6"/>
    <n v="244986"/>
    <n v="98280"/>
  </r>
  <r>
    <x v="11"/>
    <x v="0"/>
    <x v="11"/>
    <x v="3"/>
    <x v="2"/>
    <x v="20"/>
    <n v="7"/>
    <n v="279328"/>
    <n v="114660"/>
  </r>
  <r>
    <x v="12"/>
    <x v="1"/>
    <x v="12"/>
    <x v="3"/>
    <x v="2"/>
    <x v="20"/>
    <n v="10"/>
    <n v="402960"/>
    <n v="163800"/>
  </r>
  <r>
    <x v="13"/>
    <x v="1"/>
    <x v="13"/>
    <x v="3"/>
    <x v="2"/>
    <x v="20"/>
    <n v="6"/>
    <n v="242748"/>
    <n v="98280"/>
  </r>
  <r>
    <x v="14"/>
    <x v="1"/>
    <x v="14"/>
    <x v="3"/>
    <x v="2"/>
    <x v="20"/>
    <n v="5"/>
    <n v="200010"/>
    <n v="81900"/>
  </r>
  <r>
    <x v="15"/>
    <x v="1"/>
    <x v="15"/>
    <x v="3"/>
    <x v="2"/>
    <x v="20"/>
    <n v="9"/>
    <n v="361899"/>
    <n v="147420"/>
  </r>
  <r>
    <x v="16"/>
    <x v="1"/>
    <x v="16"/>
    <x v="3"/>
    <x v="2"/>
    <x v="20"/>
    <n v="12"/>
    <n v="490680"/>
    <n v="196560"/>
  </r>
  <r>
    <x v="17"/>
    <x v="1"/>
    <x v="17"/>
    <x v="3"/>
    <x v="2"/>
    <x v="20"/>
    <n v="11"/>
    <n v="446633"/>
    <n v="180180"/>
  </r>
  <r>
    <x v="18"/>
    <x v="1"/>
    <x v="18"/>
    <x v="3"/>
    <x v="2"/>
    <x v="20"/>
    <n v="12"/>
    <n v="460032"/>
    <n v="196560"/>
  </r>
  <r>
    <x v="19"/>
    <x v="1"/>
    <x v="19"/>
    <x v="3"/>
    <x v="2"/>
    <x v="20"/>
    <n v="10"/>
    <n v="397640"/>
    <n v="163800"/>
  </r>
  <r>
    <x v="20"/>
    <x v="1"/>
    <x v="20"/>
    <x v="3"/>
    <x v="2"/>
    <x v="20"/>
    <n v="10"/>
    <n v="394460"/>
    <n v="163800"/>
  </r>
  <r>
    <x v="21"/>
    <x v="1"/>
    <x v="21"/>
    <x v="3"/>
    <x v="2"/>
    <x v="20"/>
    <n v="9"/>
    <n v="364203"/>
    <n v="147420"/>
  </r>
  <r>
    <x v="22"/>
    <x v="1"/>
    <x v="22"/>
    <x v="3"/>
    <x v="2"/>
    <x v="20"/>
    <n v="6"/>
    <n v="240930"/>
    <n v="98280"/>
  </r>
  <r>
    <x v="23"/>
    <x v="1"/>
    <x v="23"/>
    <x v="3"/>
    <x v="2"/>
    <x v="20"/>
    <n v="7"/>
    <n v="280210"/>
    <n v="114660"/>
  </r>
  <r>
    <x v="0"/>
    <x v="0"/>
    <x v="0"/>
    <x v="3"/>
    <x v="3"/>
    <x v="21"/>
    <n v="27"/>
    <n v="161541"/>
    <n v="62100"/>
  </r>
  <r>
    <x v="1"/>
    <x v="0"/>
    <x v="1"/>
    <x v="3"/>
    <x v="3"/>
    <x v="21"/>
    <n v="17"/>
    <n v="104924"/>
    <n v="39100"/>
  </r>
  <r>
    <x v="2"/>
    <x v="0"/>
    <x v="2"/>
    <x v="3"/>
    <x v="3"/>
    <x v="21"/>
    <n v="14"/>
    <n v="76762"/>
    <n v="32200"/>
  </r>
  <r>
    <x v="3"/>
    <x v="0"/>
    <x v="3"/>
    <x v="3"/>
    <x v="3"/>
    <x v="21"/>
    <n v="25"/>
    <n v="162100"/>
    <n v="57500"/>
  </r>
  <r>
    <x v="4"/>
    <x v="0"/>
    <x v="4"/>
    <x v="3"/>
    <x v="3"/>
    <x v="21"/>
    <n v="32"/>
    <n v="232832"/>
    <n v="73600"/>
  </r>
  <r>
    <x v="5"/>
    <x v="0"/>
    <x v="5"/>
    <x v="3"/>
    <x v="3"/>
    <x v="21"/>
    <n v="30"/>
    <n v="196590"/>
    <n v="69000"/>
  </r>
  <r>
    <x v="6"/>
    <x v="0"/>
    <x v="6"/>
    <x v="3"/>
    <x v="3"/>
    <x v="21"/>
    <n v="32"/>
    <n v="146240"/>
    <n v="73600"/>
  </r>
  <r>
    <x v="7"/>
    <x v="0"/>
    <x v="7"/>
    <x v="3"/>
    <x v="3"/>
    <x v="21"/>
    <n v="27"/>
    <n v="160623"/>
    <n v="62100"/>
  </r>
  <r>
    <x v="8"/>
    <x v="0"/>
    <x v="8"/>
    <x v="3"/>
    <x v="3"/>
    <x v="21"/>
    <n v="29"/>
    <n v="156339"/>
    <n v="66700"/>
  </r>
  <r>
    <x v="9"/>
    <x v="0"/>
    <x v="9"/>
    <x v="3"/>
    <x v="3"/>
    <x v="21"/>
    <n v="24"/>
    <n v="146448"/>
    <n v="55200"/>
  </r>
  <r>
    <x v="10"/>
    <x v="0"/>
    <x v="10"/>
    <x v="3"/>
    <x v="3"/>
    <x v="21"/>
    <n v="17"/>
    <n v="111962"/>
    <n v="39100"/>
  </r>
  <r>
    <x v="11"/>
    <x v="0"/>
    <x v="11"/>
    <x v="3"/>
    <x v="3"/>
    <x v="21"/>
    <n v="20"/>
    <n v="110860"/>
    <n v="46000"/>
  </r>
  <r>
    <x v="12"/>
    <x v="1"/>
    <x v="12"/>
    <x v="3"/>
    <x v="3"/>
    <x v="21"/>
    <n v="30"/>
    <n v="180030"/>
    <n v="69000"/>
  </r>
  <r>
    <x v="13"/>
    <x v="1"/>
    <x v="13"/>
    <x v="3"/>
    <x v="3"/>
    <x v="21"/>
    <n v="19"/>
    <n v="110295"/>
    <n v="43700"/>
  </r>
  <r>
    <x v="14"/>
    <x v="1"/>
    <x v="14"/>
    <x v="3"/>
    <x v="3"/>
    <x v="21"/>
    <n v="15"/>
    <n v="84780"/>
    <n v="34500"/>
  </r>
  <r>
    <x v="15"/>
    <x v="1"/>
    <x v="15"/>
    <x v="3"/>
    <x v="3"/>
    <x v="21"/>
    <n v="28"/>
    <n v="173544"/>
    <n v="64400"/>
  </r>
  <r>
    <x v="16"/>
    <x v="1"/>
    <x v="16"/>
    <x v="3"/>
    <x v="3"/>
    <x v="21"/>
    <n v="35"/>
    <n v="247135"/>
    <n v="80500"/>
  </r>
  <r>
    <x v="17"/>
    <x v="1"/>
    <x v="17"/>
    <x v="3"/>
    <x v="3"/>
    <x v="21"/>
    <n v="33"/>
    <n v="215457"/>
    <n v="75900"/>
  </r>
  <r>
    <x v="18"/>
    <x v="1"/>
    <x v="18"/>
    <x v="3"/>
    <x v="3"/>
    <x v="21"/>
    <n v="35"/>
    <n v="163730"/>
    <n v="80500"/>
  </r>
  <r>
    <x v="19"/>
    <x v="1"/>
    <x v="19"/>
    <x v="3"/>
    <x v="3"/>
    <x v="21"/>
    <n v="30"/>
    <n v="175890"/>
    <n v="69000"/>
  </r>
  <r>
    <x v="20"/>
    <x v="1"/>
    <x v="20"/>
    <x v="3"/>
    <x v="3"/>
    <x v="21"/>
    <n v="31"/>
    <n v="184481"/>
    <n v="71300"/>
  </r>
  <r>
    <x v="21"/>
    <x v="1"/>
    <x v="21"/>
    <x v="3"/>
    <x v="3"/>
    <x v="21"/>
    <n v="26"/>
    <n v="181558"/>
    <n v="59800"/>
  </r>
  <r>
    <x v="22"/>
    <x v="1"/>
    <x v="22"/>
    <x v="3"/>
    <x v="3"/>
    <x v="21"/>
    <n v="19"/>
    <n v="114760"/>
    <n v="43700"/>
  </r>
  <r>
    <x v="23"/>
    <x v="1"/>
    <x v="23"/>
    <x v="3"/>
    <x v="3"/>
    <x v="21"/>
    <n v="22"/>
    <n v="120186"/>
    <n v="50600"/>
  </r>
  <r>
    <x v="0"/>
    <x v="0"/>
    <x v="0"/>
    <x v="3"/>
    <x v="3"/>
    <x v="22"/>
    <n v="24"/>
    <n v="256632"/>
    <n v="97200"/>
  </r>
  <r>
    <x v="1"/>
    <x v="0"/>
    <x v="1"/>
    <x v="3"/>
    <x v="3"/>
    <x v="22"/>
    <n v="15"/>
    <n v="162270"/>
    <n v="60750"/>
  </r>
  <r>
    <x v="2"/>
    <x v="0"/>
    <x v="2"/>
    <x v="3"/>
    <x v="3"/>
    <x v="22"/>
    <n v="12"/>
    <n v="118656"/>
    <n v="48600"/>
  </r>
  <r>
    <x v="3"/>
    <x v="0"/>
    <x v="3"/>
    <x v="3"/>
    <x v="3"/>
    <x v="22"/>
    <n v="22"/>
    <n v="232254"/>
    <n v="89100"/>
  </r>
  <r>
    <x v="4"/>
    <x v="0"/>
    <x v="4"/>
    <x v="3"/>
    <x v="3"/>
    <x v="22"/>
    <n v="28"/>
    <n v="318528"/>
    <n v="113400"/>
  </r>
  <r>
    <x v="5"/>
    <x v="0"/>
    <x v="5"/>
    <x v="3"/>
    <x v="3"/>
    <x v="22"/>
    <n v="27"/>
    <n v="274104"/>
    <n v="109350"/>
  </r>
  <r>
    <x v="6"/>
    <x v="0"/>
    <x v="6"/>
    <x v="3"/>
    <x v="3"/>
    <x v="22"/>
    <n v="28"/>
    <n v="245560"/>
    <n v="113400"/>
  </r>
  <r>
    <x v="7"/>
    <x v="0"/>
    <x v="7"/>
    <x v="3"/>
    <x v="3"/>
    <x v="22"/>
    <n v="24"/>
    <n v="245736"/>
    <n v="97200"/>
  </r>
  <r>
    <x v="8"/>
    <x v="0"/>
    <x v="8"/>
    <x v="3"/>
    <x v="3"/>
    <x v="22"/>
    <n v="25"/>
    <n v="246600"/>
    <n v="101250"/>
  </r>
  <r>
    <x v="9"/>
    <x v="0"/>
    <x v="9"/>
    <x v="3"/>
    <x v="3"/>
    <x v="22"/>
    <n v="21"/>
    <n v="225414"/>
    <n v="85050"/>
  </r>
  <r>
    <x v="10"/>
    <x v="0"/>
    <x v="10"/>
    <x v="3"/>
    <x v="3"/>
    <x v="22"/>
    <n v="15"/>
    <n v="147180"/>
    <n v="60750"/>
  </r>
  <r>
    <x v="11"/>
    <x v="0"/>
    <x v="11"/>
    <x v="3"/>
    <x v="3"/>
    <x v="22"/>
    <n v="18"/>
    <n v="164844"/>
    <n v="72900"/>
  </r>
  <r>
    <x v="12"/>
    <x v="1"/>
    <x v="12"/>
    <x v="3"/>
    <x v="3"/>
    <x v="22"/>
    <n v="26"/>
    <n v="273312"/>
    <n v="105300"/>
  </r>
  <r>
    <x v="13"/>
    <x v="1"/>
    <x v="13"/>
    <x v="3"/>
    <x v="3"/>
    <x v="22"/>
    <n v="17"/>
    <n v="176409"/>
    <n v="68850"/>
  </r>
  <r>
    <x v="14"/>
    <x v="1"/>
    <x v="14"/>
    <x v="3"/>
    <x v="3"/>
    <x v="22"/>
    <n v="13"/>
    <n v="121225"/>
    <n v="52650"/>
  </r>
  <r>
    <x v="15"/>
    <x v="1"/>
    <x v="15"/>
    <x v="3"/>
    <x v="3"/>
    <x v="22"/>
    <n v="25"/>
    <n v="257850"/>
    <n v="101250"/>
  </r>
  <r>
    <x v="16"/>
    <x v="1"/>
    <x v="16"/>
    <x v="3"/>
    <x v="3"/>
    <x v="22"/>
    <n v="31"/>
    <n v="343666"/>
    <n v="125550"/>
  </r>
  <r>
    <x v="17"/>
    <x v="1"/>
    <x v="17"/>
    <x v="3"/>
    <x v="3"/>
    <x v="22"/>
    <n v="29"/>
    <n v="300962"/>
    <n v="117450"/>
  </r>
  <r>
    <x v="18"/>
    <x v="1"/>
    <x v="18"/>
    <x v="3"/>
    <x v="3"/>
    <x v="22"/>
    <n v="31"/>
    <n v="272428"/>
    <n v="125550"/>
  </r>
  <r>
    <x v="19"/>
    <x v="1"/>
    <x v="19"/>
    <x v="3"/>
    <x v="3"/>
    <x v="22"/>
    <n v="26"/>
    <n v="250276"/>
    <n v="105300"/>
  </r>
  <r>
    <x v="20"/>
    <x v="1"/>
    <x v="20"/>
    <x v="3"/>
    <x v="3"/>
    <x v="22"/>
    <n v="28"/>
    <n v="287168"/>
    <n v="113400"/>
  </r>
  <r>
    <x v="21"/>
    <x v="1"/>
    <x v="21"/>
    <x v="3"/>
    <x v="3"/>
    <x v="22"/>
    <n v="23"/>
    <n v="232875"/>
    <n v="93150"/>
  </r>
  <r>
    <x v="22"/>
    <x v="1"/>
    <x v="22"/>
    <x v="3"/>
    <x v="3"/>
    <x v="22"/>
    <n v="17"/>
    <n v="176732"/>
    <n v="68850"/>
  </r>
  <r>
    <x v="23"/>
    <x v="1"/>
    <x v="23"/>
    <x v="3"/>
    <x v="3"/>
    <x v="22"/>
    <n v="20"/>
    <n v="188080"/>
    <n v="81000"/>
  </r>
  <r>
    <x v="0"/>
    <x v="0"/>
    <x v="0"/>
    <x v="3"/>
    <x v="3"/>
    <x v="23"/>
    <n v="27"/>
    <n v="220752"/>
    <n v="107729.99999999999"/>
  </r>
  <r>
    <x v="1"/>
    <x v="0"/>
    <x v="1"/>
    <x v="3"/>
    <x v="3"/>
    <x v="23"/>
    <n v="17"/>
    <n v="136442"/>
    <n v="67829.999999999985"/>
  </r>
  <r>
    <x v="2"/>
    <x v="0"/>
    <x v="2"/>
    <x v="3"/>
    <x v="3"/>
    <x v="23"/>
    <n v="14"/>
    <n v="108416"/>
    <n v="55859.999999999993"/>
  </r>
  <r>
    <x v="3"/>
    <x v="0"/>
    <x v="3"/>
    <x v="3"/>
    <x v="3"/>
    <x v="23"/>
    <n v="25"/>
    <n v="221300"/>
    <n v="99749.999999999985"/>
  </r>
  <r>
    <x v="4"/>
    <x v="0"/>
    <x v="4"/>
    <x v="3"/>
    <x v="3"/>
    <x v="23"/>
    <n v="32"/>
    <n v="275104"/>
    <n v="127679.99999999999"/>
  </r>
  <r>
    <x v="5"/>
    <x v="0"/>
    <x v="5"/>
    <x v="3"/>
    <x v="3"/>
    <x v="23"/>
    <n v="30"/>
    <n v="255480"/>
    <n v="119699.99999999999"/>
  </r>
  <r>
    <x v="6"/>
    <x v="0"/>
    <x v="6"/>
    <x v="3"/>
    <x v="3"/>
    <x v="23"/>
    <n v="32"/>
    <n v="208096"/>
    <n v="127679.99999999999"/>
  </r>
  <r>
    <x v="7"/>
    <x v="0"/>
    <x v="7"/>
    <x v="3"/>
    <x v="3"/>
    <x v="23"/>
    <n v="27"/>
    <n v="215433"/>
    <n v="107729.99999999999"/>
  </r>
  <r>
    <x v="8"/>
    <x v="0"/>
    <x v="8"/>
    <x v="3"/>
    <x v="3"/>
    <x v="23"/>
    <n v="29"/>
    <n v="234929"/>
    <n v="115709.99999999999"/>
  </r>
  <r>
    <x v="9"/>
    <x v="0"/>
    <x v="9"/>
    <x v="3"/>
    <x v="3"/>
    <x v="23"/>
    <n v="24"/>
    <n v="204336"/>
    <n v="95759.999999999985"/>
  </r>
  <r>
    <x v="10"/>
    <x v="0"/>
    <x v="10"/>
    <x v="3"/>
    <x v="3"/>
    <x v="23"/>
    <n v="17"/>
    <n v="143548"/>
    <n v="67829.999999999985"/>
  </r>
  <r>
    <x v="11"/>
    <x v="0"/>
    <x v="11"/>
    <x v="3"/>
    <x v="3"/>
    <x v="23"/>
    <n v="20"/>
    <n v="153860"/>
    <n v="79799.999999999985"/>
  </r>
  <r>
    <x v="12"/>
    <x v="1"/>
    <x v="12"/>
    <x v="3"/>
    <x v="3"/>
    <x v="23"/>
    <n v="30"/>
    <n v="266970"/>
    <n v="119699.99999999999"/>
  </r>
  <r>
    <x v="13"/>
    <x v="1"/>
    <x v="13"/>
    <x v="3"/>
    <x v="3"/>
    <x v="23"/>
    <n v="19"/>
    <n v="165300"/>
    <n v="75809.999999999985"/>
  </r>
  <r>
    <x v="14"/>
    <x v="1"/>
    <x v="14"/>
    <x v="3"/>
    <x v="3"/>
    <x v="23"/>
    <n v="15"/>
    <n v="114780"/>
    <n v="59849.999999999993"/>
  </r>
  <r>
    <x v="15"/>
    <x v="1"/>
    <x v="15"/>
    <x v="3"/>
    <x v="3"/>
    <x v="23"/>
    <n v="28"/>
    <n v="237664"/>
    <n v="111719.99999999999"/>
  </r>
  <r>
    <x v="16"/>
    <x v="1"/>
    <x v="16"/>
    <x v="3"/>
    <x v="3"/>
    <x v="23"/>
    <n v="35"/>
    <n v="311115"/>
    <n v="139649.99999999997"/>
  </r>
  <r>
    <x v="17"/>
    <x v="1"/>
    <x v="17"/>
    <x v="3"/>
    <x v="3"/>
    <x v="23"/>
    <n v="33"/>
    <n v="283503"/>
    <n v="131669.99999999997"/>
  </r>
  <r>
    <x v="18"/>
    <x v="1"/>
    <x v="18"/>
    <x v="3"/>
    <x v="3"/>
    <x v="23"/>
    <n v="35"/>
    <n v="233275"/>
    <n v="139649.99999999997"/>
  </r>
  <r>
    <x v="19"/>
    <x v="1"/>
    <x v="19"/>
    <x v="3"/>
    <x v="3"/>
    <x v="23"/>
    <n v="30"/>
    <n v="225750"/>
    <n v="119699.99999999999"/>
  </r>
  <r>
    <x v="20"/>
    <x v="1"/>
    <x v="20"/>
    <x v="3"/>
    <x v="3"/>
    <x v="23"/>
    <n v="31"/>
    <n v="243536"/>
    <n v="123689.99999999999"/>
  </r>
  <r>
    <x v="21"/>
    <x v="1"/>
    <x v="21"/>
    <x v="3"/>
    <x v="3"/>
    <x v="23"/>
    <n v="26"/>
    <n v="220844"/>
    <n v="103739.99999999999"/>
  </r>
  <r>
    <x v="22"/>
    <x v="1"/>
    <x v="22"/>
    <x v="3"/>
    <x v="3"/>
    <x v="23"/>
    <n v="19"/>
    <n v="155135"/>
    <n v="75809.999999999985"/>
  </r>
  <r>
    <x v="23"/>
    <x v="1"/>
    <x v="23"/>
    <x v="3"/>
    <x v="3"/>
    <x v="23"/>
    <n v="22"/>
    <n v="169818"/>
    <n v="87779.999999999985"/>
  </r>
  <r>
    <x v="0"/>
    <x v="0"/>
    <x v="0"/>
    <x v="3"/>
    <x v="3"/>
    <x v="24"/>
    <n v="24"/>
    <n v="234000"/>
    <n v="99960"/>
  </r>
  <r>
    <x v="1"/>
    <x v="0"/>
    <x v="1"/>
    <x v="3"/>
    <x v="3"/>
    <x v="24"/>
    <n v="15"/>
    <n v="153480"/>
    <n v="62475"/>
  </r>
  <r>
    <x v="2"/>
    <x v="0"/>
    <x v="2"/>
    <x v="3"/>
    <x v="3"/>
    <x v="24"/>
    <n v="12"/>
    <n v="116820"/>
    <n v="49980"/>
  </r>
  <r>
    <x v="3"/>
    <x v="0"/>
    <x v="3"/>
    <x v="3"/>
    <x v="3"/>
    <x v="24"/>
    <n v="22"/>
    <n v="233464"/>
    <n v="91630"/>
  </r>
  <r>
    <x v="4"/>
    <x v="0"/>
    <x v="4"/>
    <x v="3"/>
    <x v="3"/>
    <x v="24"/>
    <n v="28"/>
    <n v="299292"/>
    <n v="116620"/>
  </r>
  <r>
    <x v="5"/>
    <x v="0"/>
    <x v="5"/>
    <x v="3"/>
    <x v="3"/>
    <x v="24"/>
    <n v="26"/>
    <n v="259844"/>
    <n v="108290"/>
  </r>
  <r>
    <x v="6"/>
    <x v="0"/>
    <x v="6"/>
    <x v="3"/>
    <x v="3"/>
    <x v="24"/>
    <n v="28"/>
    <n v="225680"/>
    <n v="116620"/>
  </r>
  <r>
    <x v="7"/>
    <x v="0"/>
    <x v="7"/>
    <x v="3"/>
    <x v="3"/>
    <x v="24"/>
    <n v="24"/>
    <n v="225792"/>
    <n v="99960"/>
  </r>
  <r>
    <x v="8"/>
    <x v="0"/>
    <x v="8"/>
    <x v="3"/>
    <x v="3"/>
    <x v="24"/>
    <n v="25"/>
    <n v="230425"/>
    <n v="104125"/>
  </r>
  <r>
    <x v="9"/>
    <x v="0"/>
    <x v="9"/>
    <x v="3"/>
    <x v="3"/>
    <x v="24"/>
    <n v="21"/>
    <n v="216090"/>
    <n v="87465"/>
  </r>
  <r>
    <x v="10"/>
    <x v="0"/>
    <x v="10"/>
    <x v="3"/>
    <x v="3"/>
    <x v="24"/>
    <n v="15"/>
    <n v="140430"/>
    <n v="62475"/>
  </r>
  <r>
    <x v="11"/>
    <x v="0"/>
    <x v="11"/>
    <x v="3"/>
    <x v="3"/>
    <x v="24"/>
    <n v="18"/>
    <n v="162522"/>
    <n v="74970"/>
  </r>
  <r>
    <x v="12"/>
    <x v="1"/>
    <x v="12"/>
    <x v="3"/>
    <x v="3"/>
    <x v="24"/>
    <n v="26"/>
    <n v="247234"/>
    <n v="108290"/>
  </r>
  <r>
    <x v="13"/>
    <x v="1"/>
    <x v="13"/>
    <x v="3"/>
    <x v="3"/>
    <x v="24"/>
    <n v="16"/>
    <n v="150448"/>
    <n v="66640"/>
  </r>
  <r>
    <x v="14"/>
    <x v="1"/>
    <x v="14"/>
    <x v="3"/>
    <x v="3"/>
    <x v="24"/>
    <n v="13"/>
    <n v="117039"/>
    <n v="54145"/>
  </r>
  <r>
    <x v="15"/>
    <x v="1"/>
    <x v="15"/>
    <x v="3"/>
    <x v="3"/>
    <x v="24"/>
    <n v="24"/>
    <n v="236112"/>
    <n v="99960"/>
  </r>
  <r>
    <x v="16"/>
    <x v="1"/>
    <x v="16"/>
    <x v="3"/>
    <x v="3"/>
    <x v="24"/>
    <n v="31"/>
    <n v="317471"/>
    <n v="129115"/>
  </r>
  <r>
    <x v="17"/>
    <x v="1"/>
    <x v="17"/>
    <x v="3"/>
    <x v="3"/>
    <x v="24"/>
    <n v="29"/>
    <n v="290725"/>
    <n v="120785"/>
  </r>
  <r>
    <x v="18"/>
    <x v="1"/>
    <x v="18"/>
    <x v="3"/>
    <x v="3"/>
    <x v="24"/>
    <n v="31"/>
    <n v="256897"/>
    <n v="129115"/>
  </r>
  <r>
    <x v="19"/>
    <x v="1"/>
    <x v="19"/>
    <x v="3"/>
    <x v="3"/>
    <x v="24"/>
    <n v="26"/>
    <n v="245128"/>
    <n v="108290"/>
  </r>
  <r>
    <x v="20"/>
    <x v="1"/>
    <x v="20"/>
    <x v="3"/>
    <x v="3"/>
    <x v="24"/>
    <n v="27"/>
    <n v="265410"/>
    <n v="112455"/>
  </r>
  <r>
    <x v="21"/>
    <x v="1"/>
    <x v="21"/>
    <x v="3"/>
    <x v="3"/>
    <x v="24"/>
    <n v="23"/>
    <n v="225906"/>
    <n v="95795"/>
  </r>
  <r>
    <x v="22"/>
    <x v="1"/>
    <x v="22"/>
    <x v="3"/>
    <x v="3"/>
    <x v="24"/>
    <n v="16"/>
    <n v="152672"/>
    <n v="66640"/>
  </r>
  <r>
    <x v="23"/>
    <x v="1"/>
    <x v="23"/>
    <x v="3"/>
    <x v="3"/>
    <x v="24"/>
    <n v="20"/>
    <n v="188220"/>
    <n v="83300"/>
  </r>
  <r>
    <x v="0"/>
    <x v="0"/>
    <x v="0"/>
    <x v="3"/>
    <x v="3"/>
    <x v="25"/>
    <n v="24"/>
    <n v="186144"/>
    <n v="73440"/>
  </r>
  <r>
    <x v="1"/>
    <x v="0"/>
    <x v="1"/>
    <x v="3"/>
    <x v="3"/>
    <x v="25"/>
    <n v="15"/>
    <n v="110520"/>
    <n v="45900"/>
  </r>
  <r>
    <x v="2"/>
    <x v="0"/>
    <x v="2"/>
    <x v="3"/>
    <x v="3"/>
    <x v="25"/>
    <n v="12"/>
    <n v="73356"/>
    <n v="36720"/>
  </r>
  <r>
    <x v="3"/>
    <x v="0"/>
    <x v="3"/>
    <x v="3"/>
    <x v="3"/>
    <x v="25"/>
    <n v="22"/>
    <n v="176154"/>
    <n v="67320"/>
  </r>
  <r>
    <x v="4"/>
    <x v="0"/>
    <x v="4"/>
    <x v="3"/>
    <x v="3"/>
    <x v="25"/>
    <n v="28"/>
    <n v="230020"/>
    <n v="85680"/>
  </r>
  <r>
    <x v="5"/>
    <x v="0"/>
    <x v="5"/>
    <x v="3"/>
    <x v="3"/>
    <x v="25"/>
    <n v="26"/>
    <n v="187044"/>
    <n v="79560"/>
  </r>
  <r>
    <x v="6"/>
    <x v="0"/>
    <x v="6"/>
    <x v="3"/>
    <x v="3"/>
    <x v="25"/>
    <n v="28"/>
    <n v="171696"/>
    <n v="85680"/>
  </r>
  <r>
    <x v="7"/>
    <x v="0"/>
    <x v="7"/>
    <x v="3"/>
    <x v="3"/>
    <x v="25"/>
    <n v="24"/>
    <n v="159648"/>
    <n v="73440"/>
  </r>
  <r>
    <x v="8"/>
    <x v="0"/>
    <x v="8"/>
    <x v="3"/>
    <x v="3"/>
    <x v="25"/>
    <n v="25"/>
    <n v="159775"/>
    <n v="76500"/>
  </r>
  <r>
    <x v="9"/>
    <x v="0"/>
    <x v="9"/>
    <x v="3"/>
    <x v="3"/>
    <x v="25"/>
    <n v="21"/>
    <n v="151032"/>
    <n v="64260"/>
  </r>
  <r>
    <x v="10"/>
    <x v="0"/>
    <x v="10"/>
    <x v="3"/>
    <x v="3"/>
    <x v="25"/>
    <n v="15"/>
    <n v="100335"/>
    <n v="45900"/>
  </r>
  <r>
    <x v="11"/>
    <x v="0"/>
    <x v="11"/>
    <x v="3"/>
    <x v="3"/>
    <x v="25"/>
    <n v="18"/>
    <n v="115542"/>
    <n v="55080"/>
  </r>
  <r>
    <x v="12"/>
    <x v="1"/>
    <x v="12"/>
    <x v="3"/>
    <x v="3"/>
    <x v="25"/>
    <n v="26"/>
    <n v="191880"/>
    <n v="79560"/>
  </r>
  <r>
    <x v="13"/>
    <x v="1"/>
    <x v="13"/>
    <x v="3"/>
    <x v="3"/>
    <x v="25"/>
    <n v="16"/>
    <n v="120400"/>
    <n v="48960"/>
  </r>
  <r>
    <x v="14"/>
    <x v="1"/>
    <x v="14"/>
    <x v="3"/>
    <x v="3"/>
    <x v="25"/>
    <n v="13"/>
    <n v="85501"/>
    <n v="39780"/>
  </r>
  <r>
    <x v="15"/>
    <x v="1"/>
    <x v="15"/>
    <x v="3"/>
    <x v="3"/>
    <x v="25"/>
    <n v="24"/>
    <n v="180456"/>
    <n v="73440"/>
  </r>
  <r>
    <x v="16"/>
    <x v="1"/>
    <x v="16"/>
    <x v="3"/>
    <x v="3"/>
    <x v="25"/>
    <n v="31"/>
    <n v="239847"/>
    <n v="94860"/>
  </r>
  <r>
    <x v="17"/>
    <x v="1"/>
    <x v="17"/>
    <x v="3"/>
    <x v="3"/>
    <x v="25"/>
    <n v="29"/>
    <n v="219066"/>
    <n v="88740"/>
  </r>
  <r>
    <x v="18"/>
    <x v="1"/>
    <x v="18"/>
    <x v="3"/>
    <x v="3"/>
    <x v="25"/>
    <n v="31"/>
    <n v="192045"/>
    <n v="94860"/>
  </r>
  <r>
    <x v="19"/>
    <x v="1"/>
    <x v="19"/>
    <x v="3"/>
    <x v="3"/>
    <x v="25"/>
    <n v="26"/>
    <n v="175604"/>
    <n v="79560"/>
  </r>
  <r>
    <x v="20"/>
    <x v="1"/>
    <x v="20"/>
    <x v="3"/>
    <x v="3"/>
    <x v="25"/>
    <n v="27"/>
    <n v="193806"/>
    <n v="82620"/>
  </r>
  <r>
    <x v="21"/>
    <x v="1"/>
    <x v="21"/>
    <x v="3"/>
    <x v="3"/>
    <x v="25"/>
    <n v="23"/>
    <n v="163599"/>
    <n v="70380"/>
  </r>
  <r>
    <x v="22"/>
    <x v="1"/>
    <x v="22"/>
    <x v="3"/>
    <x v="3"/>
    <x v="25"/>
    <n v="16"/>
    <n v="119696"/>
    <n v="48960"/>
  </r>
  <r>
    <x v="23"/>
    <x v="1"/>
    <x v="23"/>
    <x v="3"/>
    <x v="3"/>
    <x v="25"/>
    <n v="20"/>
    <n v="129900"/>
    <n v="61200"/>
  </r>
  <r>
    <x v="0"/>
    <x v="0"/>
    <x v="0"/>
    <x v="3"/>
    <x v="3"/>
    <x v="26"/>
    <n v="25"/>
    <n v="222650"/>
    <n v="86400"/>
  </r>
  <r>
    <x v="1"/>
    <x v="0"/>
    <x v="1"/>
    <x v="3"/>
    <x v="3"/>
    <x v="26"/>
    <n v="16"/>
    <n v="142736"/>
    <n v="55296"/>
  </r>
  <r>
    <x v="2"/>
    <x v="0"/>
    <x v="2"/>
    <x v="3"/>
    <x v="3"/>
    <x v="26"/>
    <n v="13"/>
    <n v="109395"/>
    <n v="44928"/>
  </r>
  <r>
    <x v="3"/>
    <x v="0"/>
    <x v="3"/>
    <x v="3"/>
    <x v="3"/>
    <x v="26"/>
    <n v="23"/>
    <n v="195891"/>
    <n v="79488"/>
  </r>
  <r>
    <x v="4"/>
    <x v="0"/>
    <x v="4"/>
    <x v="3"/>
    <x v="3"/>
    <x v="26"/>
    <n v="29"/>
    <n v="266394"/>
    <n v="100224"/>
  </r>
  <r>
    <x v="5"/>
    <x v="0"/>
    <x v="5"/>
    <x v="3"/>
    <x v="3"/>
    <x v="26"/>
    <n v="28"/>
    <n v="247464"/>
    <n v="96768"/>
  </r>
  <r>
    <x v="6"/>
    <x v="0"/>
    <x v="6"/>
    <x v="3"/>
    <x v="3"/>
    <x v="26"/>
    <n v="29"/>
    <n v="199607"/>
    <n v="100224"/>
  </r>
  <r>
    <x v="7"/>
    <x v="0"/>
    <x v="7"/>
    <x v="3"/>
    <x v="3"/>
    <x v="26"/>
    <n v="25"/>
    <n v="185725"/>
    <n v="86400"/>
  </r>
  <r>
    <x v="8"/>
    <x v="0"/>
    <x v="8"/>
    <x v="3"/>
    <x v="3"/>
    <x v="26"/>
    <n v="26"/>
    <n v="207272"/>
    <n v="89856"/>
  </r>
  <r>
    <x v="9"/>
    <x v="0"/>
    <x v="9"/>
    <x v="3"/>
    <x v="3"/>
    <x v="26"/>
    <n v="22"/>
    <n v="186648"/>
    <n v="76032"/>
  </r>
  <r>
    <x v="10"/>
    <x v="0"/>
    <x v="10"/>
    <x v="3"/>
    <x v="3"/>
    <x v="26"/>
    <n v="16"/>
    <n v="130656"/>
    <n v="55296"/>
  </r>
  <r>
    <x v="11"/>
    <x v="0"/>
    <x v="11"/>
    <x v="3"/>
    <x v="3"/>
    <x v="26"/>
    <n v="19"/>
    <n v="150043"/>
    <n v="65664"/>
  </r>
  <r>
    <x v="12"/>
    <x v="1"/>
    <x v="12"/>
    <x v="3"/>
    <x v="3"/>
    <x v="26"/>
    <n v="27"/>
    <n v="240327"/>
    <n v="93312"/>
  </r>
  <r>
    <x v="13"/>
    <x v="1"/>
    <x v="13"/>
    <x v="3"/>
    <x v="3"/>
    <x v="26"/>
    <n v="17"/>
    <n v="146013"/>
    <n v="58752"/>
  </r>
  <r>
    <x v="14"/>
    <x v="1"/>
    <x v="14"/>
    <x v="3"/>
    <x v="3"/>
    <x v="26"/>
    <n v="14"/>
    <n v="109508"/>
    <n v="48384"/>
  </r>
  <r>
    <x v="15"/>
    <x v="1"/>
    <x v="15"/>
    <x v="3"/>
    <x v="3"/>
    <x v="26"/>
    <n v="25"/>
    <n v="221250"/>
    <n v="86400"/>
  </r>
  <r>
    <x v="16"/>
    <x v="1"/>
    <x v="16"/>
    <x v="3"/>
    <x v="3"/>
    <x v="26"/>
    <n v="32"/>
    <n v="301408"/>
    <n v="110592"/>
  </r>
  <r>
    <x v="17"/>
    <x v="1"/>
    <x v="17"/>
    <x v="3"/>
    <x v="3"/>
    <x v="26"/>
    <n v="30"/>
    <n v="265500"/>
    <n v="103680"/>
  </r>
  <r>
    <x v="18"/>
    <x v="1"/>
    <x v="18"/>
    <x v="3"/>
    <x v="3"/>
    <x v="26"/>
    <n v="32"/>
    <n v="206336"/>
    <n v="110592"/>
  </r>
  <r>
    <x v="19"/>
    <x v="1"/>
    <x v="19"/>
    <x v="3"/>
    <x v="3"/>
    <x v="26"/>
    <n v="27"/>
    <n v="221184"/>
    <n v="93312"/>
  </r>
  <r>
    <x v="20"/>
    <x v="1"/>
    <x v="20"/>
    <x v="3"/>
    <x v="3"/>
    <x v="26"/>
    <n v="29"/>
    <n v="229216"/>
    <n v="100224"/>
  </r>
  <r>
    <x v="21"/>
    <x v="1"/>
    <x v="21"/>
    <x v="3"/>
    <x v="3"/>
    <x v="26"/>
    <n v="24"/>
    <n v="197616"/>
    <n v="82944"/>
  </r>
  <r>
    <x v="22"/>
    <x v="1"/>
    <x v="22"/>
    <x v="3"/>
    <x v="3"/>
    <x v="26"/>
    <n v="17"/>
    <n v="141950"/>
    <n v="58752"/>
  </r>
  <r>
    <x v="23"/>
    <x v="1"/>
    <x v="23"/>
    <x v="3"/>
    <x v="3"/>
    <x v="26"/>
    <n v="20"/>
    <n v="160400"/>
    <n v="69120"/>
  </r>
  <r>
    <x v="0"/>
    <x v="0"/>
    <x v="0"/>
    <x v="3"/>
    <x v="3"/>
    <x v="27"/>
    <n v="25"/>
    <n v="264525"/>
    <n v="129675"/>
  </r>
  <r>
    <x v="1"/>
    <x v="0"/>
    <x v="1"/>
    <x v="3"/>
    <x v="3"/>
    <x v="27"/>
    <n v="16"/>
    <n v="172176"/>
    <n v="82992"/>
  </r>
  <r>
    <x v="2"/>
    <x v="0"/>
    <x v="2"/>
    <x v="3"/>
    <x v="3"/>
    <x v="27"/>
    <n v="13"/>
    <n v="123474"/>
    <n v="67431"/>
  </r>
  <r>
    <x v="3"/>
    <x v="0"/>
    <x v="3"/>
    <x v="3"/>
    <x v="3"/>
    <x v="27"/>
    <n v="24"/>
    <n v="272400"/>
    <n v="124488"/>
  </r>
  <r>
    <x v="4"/>
    <x v="0"/>
    <x v="4"/>
    <x v="3"/>
    <x v="3"/>
    <x v="27"/>
    <n v="30"/>
    <n v="341280"/>
    <n v="155610"/>
  </r>
  <r>
    <x v="5"/>
    <x v="0"/>
    <x v="5"/>
    <x v="3"/>
    <x v="3"/>
    <x v="27"/>
    <n v="28"/>
    <n v="303044"/>
    <n v="145236"/>
  </r>
  <r>
    <x v="6"/>
    <x v="0"/>
    <x v="6"/>
    <x v="3"/>
    <x v="3"/>
    <x v="27"/>
    <n v="30"/>
    <n v="258540"/>
    <n v="155610"/>
  </r>
  <r>
    <x v="7"/>
    <x v="0"/>
    <x v="7"/>
    <x v="3"/>
    <x v="3"/>
    <x v="27"/>
    <n v="25"/>
    <n v="253025"/>
    <n v="129675"/>
  </r>
  <r>
    <x v="8"/>
    <x v="0"/>
    <x v="8"/>
    <x v="3"/>
    <x v="3"/>
    <x v="27"/>
    <n v="27"/>
    <n v="271728"/>
    <n v="140049"/>
  </r>
  <r>
    <x v="9"/>
    <x v="0"/>
    <x v="9"/>
    <x v="3"/>
    <x v="3"/>
    <x v="27"/>
    <n v="22"/>
    <n v="224026"/>
    <n v="114114"/>
  </r>
  <r>
    <x v="10"/>
    <x v="0"/>
    <x v="10"/>
    <x v="3"/>
    <x v="3"/>
    <x v="27"/>
    <n v="16"/>
    <n v="171440"/>
    <n v="82992"/>
  </r>
  <r>
    <x v="11"/>
    <x v="0"/>
    <x v="11"/>
    <x v="3"/>
    <x v="3"/>
    <x v="27"/>
    <n v="19"/>
    <n v="189335"/>
    <n v="98553"/>
  </r>
  <r>
    <x v="12"/>
    <x v="1"/>
    <x v="12"/>
    <x v="3"/>
    <x v="3"/>
    <x v="27"/>
    <n v="28"/>
    <n v="302624"/>
    <n v="145236"/>
  </r>
  <r>
    <x v="13"/>
    <x v="1"/>
    <x v="13"/>
    <x v="3"/>
    <x v="3"/>
    <x v="27"/>
    <n v="18"/>
    <n v="178884"/>
    <n v="93366"/>
  </r>
  <r>
    <x v="14"/>
    <x v="1"/>
    <x v="14"/>
    <x v="3"/>
    <x v="3"/>
    <x v="27"/>
    <n v="14"/>
    <n v="138614"/>
    <n v="72618"/>
  </r>
  <r>
    <x v="15"/>
    <x v="1"/>
    <x v="15"/>
    <x v="3"/>
    <x v="3"/>
    <x v="27"/>
    <n v="26"/>
    <n v="275132"/>
    <n v="134862"/>
  </r>
  <r>
    <x v="16"/>
    <x v="1"/>
    <x v="16"/>
    <x v="3"/>
    <x v="3"/>
    <x v="27"/>
    <n v="33"/>
    <n v="375870"/>
    <n v="171171"/>
  </r>
  <r>
    <x v="17"/>
    <x v="1"/>
    <x v="17"/>
    <x v="3"/>
    <x v="3"/>
    <x v="27"/>
    <n v="31"/>
    <n v="334397"/>
    <n v="160797"/>
  </r>
  <r>
    <x v="18"/>
    <x v="1"/>
    <x v="18"/>
    <x v="3"/>
    <x v="3"/>
    <x v="27"/>
    <n v="33"/>
    <n v="308550"/>
    <n v="171171"/>
  </r>
  <r>
    <x v="19"/>
    <x v="1"/>
    <x v="19"/>
    <x v="3"/>
    <x v="3"/>
    <x v="27"/>
    <n v="28"/>
    <n v="277536"/>
    <n v="145236"/>
  </r>
  <r>
    <x v="20"/>
    <x v="1"/>
    <x v="20"/>
    <x v="3"/>
    <x v="3"/>
    <x v="27"/>
    <n v="30"/>
    <n v="289590"/>
    <n v="155610"/>
  </r>
  <r>
    <x v="21"/>
    <x v="1"/>
    <x v="21"/>
    <x v="3"/>
    <x v="3"/>
    <x v="27"/>
    <n v="24"/>
    <n v="257928"/>
    <n v="124488"/>
  </r>
  <r>
    <x v="22"/>
    <x v="1"/>
    <x v="22"/>
    <x v="3"/>
    <x v="3"/>
    <x v="27"/>
    <n v="18"/>
    <n v="178290"/>
    <n v="93366"/>
  </r>
  <r>
    <x v="23"/>
    <x v="1"/>
    <x v="23"/>
    <x v="3"/>
    <x v="3"/>
    <x v="27"/>
    <n v="21"/>
    <n v="211008"/>
    <n v="108927"/>
  </r>
  <r>
    <x v="0"/>
    <x v="0"/>
    <x v="0"/>
    <x v="3"/>
    <x v="4"/>
    <x v="28"/>
    <n v="27"/>
    <n v="369252"/>
    <n v="162000"/>
  </r>
  <r>
    <x v="1"/>
    <x v="0"/>
    <x v="1"/>
    <x v="3"/>
    <x v="4"/>
    <x v="28"/>
    <n v="17"/>
    <n v="219096"/>
    <n v="102000"/>
  </r>
  <r>
    <x v="2"/>
    <x v="0"/>
    <x v="2"/>
    <x v="3"/>
    <x v="4"/>
    <x v="28"/>
    <n v="14"/>
    <n v="174720"/>
    <n v="84000"/>
  </r>
  <r>
    <x v="3"/>
    <x v="0"/>
    <x v="3"/>
    <x v="3"/>
    <x v="4"/>
    <x v="28"/>
    <n v="25"/>
    <n v="341850"/>
    <n v="150000"/>
  </r>
  <r>
    <x v="4"/>
    <x v="0"/>
    <x v="4"/>
    <x v="3"/>
    <x v="4"/>
    <x v="28"/>
    <n v="32"/>
    <n v="456096"/>
    <n v="192000"/>
  </r>
  <r>
    <x v="5"/>
    <x v="0"/>
    <x v="5"/>
    <x v="3"/>
    <x v="4"/>
    <x v="28"/>
    <n v="30"/>
    <n v="408690"/>
    <n v="180000"/>
  </r>
  <r>
    <x v="6"/>
    <x v="0"/>
    <x v="6"/>
    <x v="3"/>
    <x v="4"/>
    <x v="28"/>
    <n v="32"/>
    <n v="384032"/>
    <n v="192000"/>
  </r>
  <r>
    <x v="7"/>
    <x v="0"/>
    <x v="7"/>
    <x v="3"/>
    <x v="4"/>
    <x v="28"/>
    <n v="27"/>
    <n v="359181"/>
    <n v="162000"/>
  </r>
  <r>
    <x v="8"/>
    <x v="0"/>
    <x v="8"/>
    <x v="3"/>
    <x v="4"/>
    <x v="28"/>
    <n v="29"/>
    <n v="381727"/>
    <n v="174000"/>
  </r>
  <r>
    <x v="9"/>
    <x v="0"/>
    <x v="9"/>
    <x v="3"/>
    <x v="4"/>
    <x v="28"/>
    <n v="24"/>
    <n v="318624"/>
    <n v="144000"/>
  </r>
  <r>
    <x v="10"/>
    <x v="0"/>
    <x v="10"/>
    <x v="3"/>
    <x v="4"/>
    <x v="28"/>
    <n v="17"/>
    <n v="227239"/>
    <n v="102000"/>
  </r>
  <r>
    <x v="11"/>
    <x v="0"/>
    <x v="11"/>
    <x v="3"/>
    <x v="4"/>
    <x v="28"/>
    <n v="20"/>
    <n v="254040"/>
    <n v="120000"/>
  </r>
  <r>
    <x v="12"/>
    <x v="1"/>
    <x v="12"/>
    <x v="3"/>
    <x v="4"/>
    <x v="28"/>
    <n v="30"/>
    <n v="381720"/>
    <n v="180000"/>
  </r>
  <r>
    <x v="13"/>
    <x v="1"/>
    <x v="13"/>
    <x v="3"/>
    <x v="4"/>
    <x v="28"/>
    <n v="19"/>
    <n v="248254"/>
    <n v="114000"/>
  </r>
  <r>
    <x v="14"/>
    <x v="1"/>
    <x v="14"/>
    <x v="3"/>
    <x v="4"/>
    <x v="28"/>
    <n v="15"/>
    <n v="187005"/>
    <n v="90000"/>
  </r>
  <r>
    <x v="15"/>
    <x v="1"/>
    <x v="15"/>
    <x v="3"/>
    <x v="4"/>
    <x v="28"/>
    <n v="28"/>
    <n v="376908"/>
    <n v="168000"/>
  </r>
  <r>
    <x v="16"/>
    <x v="1"/>
    <x v="16"/>
    <x v="3"/>
    <x v="4"/>
    <x v="28"/>
    <n v="35"/>
    <n v="484750"/>
    <n v="210000"/>
  </r>
  <r>
    <x v="17"/>
    <x v="1"/>
    <x v="17"/>
    <x v="3"/>
    <x v="4"/>
    <x v="28"/>
    <n v="33"/>
    <n v="446556"/>
    <n v="198000"/>
  </r>
  <r>
    <x v="18"/>
    <x v="1"/>
    <x v="18"/>
    <x v="3"/>
    <x v="4"/>
    <x v="28"/>
    <n v="35"/>
    <n v="404810"/>
    <n v="210000"/>
  </r>
  <r>
    <x v="19"/>
    <x v="1"/>
    <x v="19"/>
    <x v="3"/>
    <x v="4"/>
    <x v="28"/>
    <n v="30"/>
    <n v="390240"/>
    <n v="180000"/>
  </r>
  <r>
    <x v="20"/>
    <x v="1"/>
    <x v="20"/>
    <x v="3"/>
    <x v="4"/>
    <x v="28"/>
    <n v="32"/>
    <n v="402496"/>
    <n v="192000"/>
  </r>
  <r>
    <x v="21"/>
    <x v="1"/>
    <x v="21"/>
    <x v="3"/>
    <x v="4"/>
    <x v="28"/>
    <n v="26"/>
    <n v="343824"/>
    <n v="156000"/>
  </r>
  <r>
    <x v="22"/>
    <x v="1"/>
    <x v="22"/>
    <x v="3"/>
    <x v="4"/>
    <x v="28"/>
    <n v="19"/>
    <n v="247190"/>
    <n v="114000"/>
  </r>
  <r>
    <x v="23"/>
    <x v="1"/>
    <x v="23"/>
    <x v="3"/>
    <x v="4"/>
    <x v="28"/>
    <n v="22"/>
    <n v="286462"/>
    <n v="132000"/>
  </r>
  <r>
    <x v="0"/>
    <x v="0"/>
    <x v="0"/>
    <x v="3"/>
    <x v="4"/>
    <x v="29"/>
    <n v="20"/>
    <n v="213200"/>
    <n v="106200"/>
  </r>
  <r>
    <x v="1"/>
    <x v="0"/>
    <x v="1"/>
    <x v="3"/>
    <x v="4"/>
    <x v="29"/>
    <n v="13"/>
    <n v="132262"/>
    <n v="69030"/>
  </r>
  <r>
    <x v="2"/>
    <x v="0"/>
    <x v="2"/>
    <x v="3"/>
    <x v="4"/>
    <x v="29"/>
    <n v="10"/>
    <n v="102200"/>
    <n v="53100"/>
  </r>
  <r>
    <x v="3"/>
    <x v="0"/>
    <x v="3"/>
    <x v="3"/>
    <x v="4"/>
    <x v="29"/>
    <n v="19"/>
    <n v="207689"/>
    <n v="100890"/>
  </r>
  <r>
    <x v="4"/>
    <x v="0"/>
    <x v="4"/>
    <x v="3"/>
    <x v="4"/>
    <x v="29"/>
    <n v="23"/>
    <n v="248975"/>
    <n v="122130"/>
  </r>
  <r>
    <x v="5"/>
    <x v="0"/>
    <x v="5"/>
    <x v="3"/>
    <x v="4"/>
    <x v="29"/>
    <n v="22"/>
    <n v="222068"/>
    <n v="116820"/>
  </r>
  <r>
    <x v="6"/>
    <x v="0"/>
    <x v="6"/>
    <x v="3"/>
    <x v="4"/>
    <x v="29"/>
    <n v="23"/>
    <n v="189290"/>
    <n v="122130"/>
  </r>
  <r>
    <x v="7"/>
    <x v="0"/>
    <x v="7"/>
    <x v="3"/>
    <x v="4"/>
    <x v="29"/>
    <n v="20"/>
    <n v="191280"/>
    <n v="106200"/>
  </r>
  <r>
    <x v="8"/>
    <x v="0"/>
    <x v="8"/>
    <x v="3"/>
    <x v="4"/>
    <x v="29"/>
    <n v="21"/>
    <n v="203028"/>
    <n v="111510"/>
  </r>
  <r>
    <x v="9"/>
    <x v="0"/>
    <x v="9"/>
    <x v="3"/>
    <x v="4"/>
    <x v="29"/>
    <n v="17"/>
    <n v="182988"/>
    <n v="90270"/>
  </r>
  <r>
    <x v="10"/>
    <x v="0"/>
    <x v="10"/>
    <x v="3"/>
    <x v="4"/>
    <x v="29"/>
    <n v="13"/>
    <n v="136357"/>
    <n v="69030"/>
  </r>
  <r>
    <x v="11"/>
    <x v="0"/>
    <x v="11"/>
    <x v="3"/>
    <x v="4"/>
    <x v="29"/>
    <n v="15"/>
    <n v="146850"/>
    <n v="79650"/>
  </r>
  <r>
    <x v="12"/>
    <x v="1"/>
    <x v="12"/>
    <x v="3"/>
    <x v="4"/>
    <x v="29"/>
    <n v="22"/>
    <n v="232100"/>
    <n v="116820"/>
  </r>
  <r>
    <x v="13"/>
    <x v="1"/>
    <x v="13"/>
    <x v="3"/>
    <x v="4"/>
    <x v="29"/>
    <n v="14"/>
    <n v="150626"/>
    <n v="74340"/>
  </r>
  <r>
    <x v="14"/>
    <x v="1"/>
    <x v="14"/>
    <x v="3"/>
    <x v="4"/>
    <x v="29"/>
    <n v="11"/>
    <n v="113531"/>
    <n v="58410"/>
  </r>
  <r>
    <x v="15"/>
    <x v="1"/>
    <x v="15"/>
    <x v="3"/>
    <x v="4"/>
    <x v="29"/>
    <n v="20"/>
    <n v="221960"/>
    <n v="106200"/>
  </r>
  <r>
    <x v="16"/>
    <x v="1"/>
    <x v="16"/>
    <x v="3"/>
    <x v="4"/>
    <x v="29"/>
    <n v="26"/>
    <n v="289926"/>
    <n v="138060"/>
  </r>
  <r>
    <x v="17"/>
    <x v="1"/>
    <x v="17"/>
    <x v="3"/>
    <x v="4"/>
    <x v="29"/>
    <n v="24"/>
    <n v="235728"/>
    <n v="127440"/>
  </r>
  <r>
    <x v="18"/>
    <x v="1"/>
    <x v="18"/>
    <x v="3"/>
    <x v="4"/>
    <x v="29"/>
    <n v="26"/>
    <n v="221052"/>
    <n v="138060"/>
  </r>
  <r>
    <x v="19"/>
    <x v="1"/>
    <x v="19"/>
    <x v="3"/>
    <x v="4"/>
    <x v="29"/>
    <n v="22"/>
    <n v="207174"/>
    <n v="116820"/>
  </r>
  <r>
    <x v="20"/>
    <x v="1"/>
    <x v="20"/>
    <x v="3"/>
    <x v="4"/>
    <x v="29"/>
    <n v="23"/>
    <n v="223928"/>
    <n v="122130"/>
  </r>
  <r>
    <x v="21"/>
    <x v="1"/>
    <x v="21"/>
    <x v="3"/>
    <x v="4"/>
    <x v="29"/>
    <n v="19"/>
    <n v="196669"/>
    <n v="100890"/>
  </r>
  <r>
    <x v="22"/>
    <x v="1"/>
    <x v="22"/>
    <x v="3"/>
    <x v="4"/>
    <x v="29"/>
    <n v="14"/>
    <n v="140742"/>
    <n v="74340"/>
  </r>
  <r>
    <x v="23"/>
    <x v="1"/>
    <x v="23"/>
    <x v="3"/>
    <x v="4"/>
    <x v="29"/>
    <n v="16"/>
    <n v="163008"/>
    <n v="84960"/>
  </r>
  <r>
    <x v="0"/>
    <x v="0"/>
    <x v="0"/>
    <x v="3"/>
    <x v="4"/>
    <x v="30"/>
    <n v="19"/>
    <n v="160436"/>
    <n v="61180"/>
  </r>
  <r>
    <x v="1"/>
    <x v="0"/>
    <x v="1"/>
    <x v="3"/>
    <x v="4"/>
    <x v="30"/>
    <n v="12"/>
    <n v="102732"/>
    <n v="38640"/>
  </r>
  <r>
    <x v="2"/>
    <x v="0"/>
    <x v="2"/>
    <x v="3"/>
    <x v="4"/>
    <x v="30"/>
    <n v="10"/>
    <n v="77370"/>
    <n v="32200"/>
  </r>
  <r>
    <x v="3"/>
    <x v="0"/>
    <x v="3"/>
    <x v="3"/>
    <x v="4"/>
    <x v="30"/>
    <n v="18"/>
    <n v="153558"/>
    <n v="57960"/>
  </r>
  <r>
    <x v="4"/>
    <x v="0"/>
    <x v="4"/>
    <x v="3"/>
    <x v="4"/>
    <x v="30"/>
    <n v="22"/>
    <n v="199056"/>
    <n v="70840"/>
  </r>
  <r>
    <x v="5"/>
    <x v="0"/>
    <x v="5"/>
    <x v="3"/>
    <x v="4"/>
    <x v="30"/>
    <n v="21"/>
    <n v="166572"/>
    <n v="67620"/>
  </r>
  <r>
    <x v="6"/>
    <x v="0"/>
    <x v="6"/>
    <x v="3"/>
    <x v="4"/>
    <x v="30"/>
    <n v="22"/>
    <n v="157102"/>
    <n v="70840"/>
  </r>
  <r>
    <x v="7"/>
    <x v="0"/>
    <x v="7"/>
    <x v="3"/>
    <x v="4"/>
    <x v="30"/>
    <n v="19"/>
    <n v="159068"/>
    <n v="61180"/>
  </r>
  <r>
    <x v="8"/>
    <x v="0"/>
    <x v="8"/>
    <x v="3"/>
    <x v="4"/>
    <x v="30"/>
    <n v="20"/>
    <n v="164060"/>
    <n v="64400"/>
  </r>
  <r>
    <x v="9"/>
    <x v="0"/>
    <x v="9"/>
    <x v="3"/>
    <x v="4"/>
    <x v="30"/>
    <n v="17"/>
    <n v="142885"/>
    <n v="54740"/>
  </r>
  <r>
    <x v="10"/>
    <x v="0"/>
    <x v="10"/>
    <x v="3"/>
    <x v="4"/>
    <x v="30"/>
    <n v="12"/>
    <n v="93816"/>
    <n v="38640"/>
  </r>
  <r>
    <x v="11"/>
    <x v="0"/>
    <x v="11"/>
    <x v="3"/>
    <x v="4"/>
    <x v="30"/>
    <n v="14"/>
    <n v="107324"/>
    <n v="45080"/>
  </r>
  <r>
    <x v="12"/>
    <x v="1"/>
    <x v="12"/>
    <x v="3"/>
    <x v="4"/>
    <x v="30"/>
    <n v="21"/>
    <n v="162876"/>
    <n v="67620"/>
  </r>
  <r>
    <x v="13"/>
    <x v="1"/>
    <x v="13"/>
    <x v="3"/>
    <x v="4"/>
    <x v="30"/>
    <n v="13"/>
    <n v="102739"/>
    <n v="41860"/>
  </r>
  <r>
    <x v="14"/>
    <x v="1"/>
    <x v="14"/>
    <x v="3"/>
    <x v="4"/>
    <x v="30"/>
    <n v="11"/>
    <n v="88506"/>
    <n v="35420"/>
  </r>
  <r>
    <x v="15"/>
    <x v="1"/>
    <x v="15"/>
    <x v="3"/>
    <x v="4"/>
    <x v="30"/>
    <n v="19"/>
    <n v="175351"/>
    <n v="61180"/>
  </r>
  <r>
    <x v="16"/>
    <x v="1"/>
    <x v="16"/>
    <x v="3"/>
    <x v="4"/>
    <x v="30"/>
    <n v="24"/>
    <n v="206448"/>
    <n v="77280"/>
  </r>
  <r>
    <x v="17"/>
    <x v="1"/>
    <x v="17"/>
    <x v="3"/>
    <x v="4"/>
    <x v="30"/>
    <n v="23"/>
    <n v="188439"/>
    <n v="74060"/>
  </r>
  <r>
    <x v="18"/>
    <x v="1"/>
    <x v="18"/>
    <x v="3"/>
    <x v="4"/>
    <x v="30"/>
    <n v="24"/>
    <n v="170424"/>
    <n v="77280"/>
  </r>
  <r>
    <x v="19"/>
    <x v="1"/>
    <x v="19"/>
    <x v="3"/>
    <x v="4"/>
    <x v="30"/>
    <n v="21"/>
    <n v="158445"/>
    <n v="67620"/>
  </r>
  <r>
    <x v="20"/>
    <x v="1"/>
    <x v="20"/>
    <x v="3"/>
    <x v="4"/>
    <x v="30"/>
    <n v="22"/>
    <n v="180884"/>
    <n v="70840"/>
  </r>
  <r>
    <x v="21"/>
    <x v="1"/>
    <x v="21"/>
    <x v="3"/>
    <x v="4"/>
    <x v="30"/>
    <n v="18"/>
    <n v="159894"/>
    <n v="57960"/>
  </r>
  <r>
    <x v="22"/>
    <x v="1"/>
    <x v="22"/>
    <x v="3"/>
    <x v="4"/>
    <x v="30"/>
    <n v="13"/>
    <n v="113334"/>
    <n v="41860"/>
  </r>
  <r>
    <x v="23"/>
    <x v="1"/>
    <x v="23"/>
    <x v="3"/>
    <x v="4"/>
    <x v="30"/>
    <n v="16"/>
    <n v="124336"/>
    <n v="51520"/>
  </r>
  <r>
    <x v="0"/>
    <x v="0"/>
    <x v="0"/>
    <x v="3"/>
    <x v="4"/>
    <x v="31"/>
    <n v="23"/>
    <n v="170867"/>
    <n v="76245"/>
  </r>
  <r>
    <x v="1"/>
    <x v="0"/>
    <x v="1"/>
    <x v="3"/>
    <x v="4"/>
    <x v="31"/>
    <n v="15"/>
    <n v="115380"/>
    <n v="49725"/>
  </r>
  <r>
    <x v="2"/>
    <x v="0"/>
    <x v="2"/>
    <x v="3"/>
    <x v="4"/>
    <x v="31"/>
    <n v="12"/>
    <n v="91596"/>
    <n v="39780"/>
  </r>
  <r>
    <x v="3"/>
    <x v="0"/>
    <x v="3"/>
    <x v="3"/>
    <x v="4"/>
    <x v="31"/>
    <n v="22"/>
    <n v="185526"/>
    <n v="72930"/>
  </r>
  <r>
    <x v="4"/>
    <x v="0"/>
    <x v="4"/>
    <x v="3"/>
    <x v="4"/>
    <x v="31"/>
    <n v="28"/>
    <n v="219688"/>
    <n v="92820"/>
  </r>
  <r>
    <x v="5"/>
    <x v="0"/>
    <x v="5"/>
    <x v="3"/>
    <x v="4"/>
    <x v="31"/>
    <n v="26"/>
    <n v="200304"/>
    <n v="86190"/>
  </r>
  <r>
    <x v="6"/>
    <x v="0"/>
    <x v="6"/>
    <x v="3"/>
    <x v="4"/>
    <x v="31"/>
    <n v="28"/>
    <n v="181804"/>
    <n v="92820"/>
  </r>
  <r>
    <x v="7"/>
    <x v="0"/>
    <x v="7"/>
    <x v="3"/>
    <x v="4"/>
    <x v="31"/>
    <n v="23"/>
    <n v="178296"/>
    <n v="76245"/>
  </r>
  <r>
    <x v="8"/>
    <x v="0"/>
    <x v="8"/>
    <x v="3"/>
    <x v="4"/>
    <x v="31"/>
    <n v="25"/>
    <n v="172175"/>
    <n v="82875"/>
  </r>
  <r>
    <x v="9"/>
    <x v="0"/>
    <x v="9"/>
    <x v="3"/>
    <x v="4"/>
    <x v="31"/>
    <n v="20"/>
    <n v="152820"/>
    <n v="66300"/>
  </r>
  <r>
    <x v="10"/>
    <x v="0"/>
    <x v="10"/>
    <x v="3"/>
    <x v="4"/>
    <x v="31"/>
    <n v="15"/>
    <n v="110055"/>
    <n v="49725"/>
  </r>
  <r>
    <x v="11"/>
    <x v="0"/>
    <x v="11"/>
    <x v="3"/>
    <x v="4"/>
    <x v="31"/>
    <n v="18"/>
    <n v="137988"/>
    <n v="59670"/>
  </r>
  <r>
    <x v="12"/>
    <x v="1"/>
    <x v="12"/>
    <x v="3"/>
    <x v="4"/>
    <x v="31"/>
    <n v="26"/>
    <n v="206232"/>
    <n v="86190"/>
  </r>
  <r>
    <x v="13"/>
    <x v="1"/>
    <x v="13"/>
    <x v="3"/>
    <x v="4"/>
    <x v="31"/>
    <n v="16"/>
    <n v="131552"/>
    <n v="53040"/>
  </r>
  <r>
    <x v="14"/>
    <x v="1"/>
    <x v="14"/>
    <x v="3"/>
    <x v="4"/>
    <x v="31"/>
    <n v="13"/>
    <n v="96330"/>
    <n v="43095"/>
  </r>
  <r>
    <x v="15"/>
    <x v="1"/>
    <x v="15"/>
    <x v="3"/>
    <x v="4"/>
    <x v="31"/>
    <n v="24"/>
    <n v="205248"/>
    <n v="79560"/>
  </r>
  <r>
    <x v="16"/>
    <x v="1"/>
    <x v="16"/>
    <x v="3"/>
    <x v="4"/>
    <x v="31"/>
    <n v="30"/>
    <n v="261120"/>
    <n v="99450"/>
  </r>
  <r>
    <x v="17"/>
    <x v="1"/>
    <x v="17"/>
    <x v="3"/>
    <x v="4"/>
    <x v="31"/>
    <n v="29"/>
    <n v="218341"/>
    <n v="96135"/>
  </r>
  <r>
    <x v="18"/>
    <x v="1"/>
    <x v="18"/>
    <x v="3"/>
    <x v="4"/>
    <x v="31"/>
    <n v="30"/>
    <n v="190350"/>
    <n v="99450"/>
  </r>
  <r>
    <x v="19"/>
    <x v="1"/>
    <x v="19"/>
    <x v="3"/>
    <x v="4"/>
    <x v="31"/>
    <n v="26"/>
    <n v="170248"/>
    <n v="86190"/>
  </r>
  <r>
    <x v="20"/>
    <x v="1"/>
    <x v="20"/>
    <x v="3"/>
    <x v="4"/>
    <x v="31"/>
    <n v="27"/>
    <n v="202743"/>
    <n v="89505"/>
  </r>
  <r>
    <x v="21"/>
    <x v="1"/>
    <x v="21"/>
    <x v="3"/>
    <x v="4"/>
    <x v="31"/>
    <n v="22"/>
    <n v="176022"/>
    <n v="72930"/>
  </r>
  <r>
    <x v="22"/>
    <x v="1"/>
    <x v="22"/>
    <x v="3"/>
    <x v="4"/>
    <x v="31"/>
    <n v="16"/>
    <n v="116288"/>
    <n v="53040"/>
  </r>
  <r>
    <x v="23"/>
    <x v="1"/>
    <x v="23"/>
    <x v="3"/>
    <x v="4"/>
    <x v="31"/>
    <n v="19"/>
    <n v="137921"/>
    <n v="62985"/>
  </r>
  <r>
    <x v="0"/>
    <x v="0"/>
    <x v="0"/>
    <x v="3"/>
    <x v="4"/>
    <x v="32"/>
    <n v="26"/>
    <n v="283296"/>
    <n v="122200"/>
  </r>
  <r>
    <x v="1"/>
    <x v="0"/>
    <x v="1"/>
    <x v="3"/>
    <x v="4"/>
    <x v="32"/>
    <n v="16"/>
    <n v="185360"/>
    <n v="75200"/>
  </r>
  <r>
    <x v="2"/>
    <x v="0"/>
    <x v="2"/>
    <x v="3"/>
    <x v="4"/>
    <x v="32"/>
    <n v="13"/>
    <n v="143806"/>
    <n v="61100"/>
  </r>
  <r>
    <x v="3"/>
    <x v="0"/>
    <x v="3"/>
    <x v="3"/>
    <x v="4"/>
    <x v="32"/>
    <n v="24"/>
    <n v="272184"/>
    <n v="112800"/>
  </r>
  <r>
    <x v="4"/>
    <x v="0"/>
    <x v="4"/>
    <x v="3"/>
    <x v="4"/>
    <x v="32"/>
    <n v="30"/>
    <n v="352920"/>
    <n v="141000"/>
  </r>
  <r>
    <x v="5"/>
    <x v="0"/>
    <x v="5"/>
    <x v="3"/>
    <x v="4"/>
    <x v="32"/>
    <n v="29"/>
    <n v="322364"/>
    <n v="136300"/>
  </r>
  <r>
    <x v="6"/>
    <x v="0"/>
    <x v="6"/>
    <x v="3"/>
    <x v="4"/>
    <x v="32"/>
    <n v="30"/>
    <n v="310740"/>
    <n v="141000"/>
  </r>
  <r>
    <x v="7"/>
    <x v="0"/>
    <x v="7"/>
    <x v="3"/>
    <x v="4"/>
    <x v="32"/>
    <n v="26"/>
    <n v="273676"/>
    <n v="122200"/>
  </r>
  <r>
    <x v="8"/>
    <x v="0"/>
    <x v="8"/>
    <x v="3"/>
    <x v="4"/>
    <x v="32"/>
    <n v="27"/>
    <n v="298107"/>
    <n v="126900"/>
  </r>
  <r>
    <x v="9"/>
    <x v="0"/>
    <x v="9"/>
    <x v="3"/>
    <x v="4"/>
    <x v="32"/>
    <n v="22"/>
    <n v="250382"/>
    <n v="103400"/>
  </r>
  <r>
    <x v="10"/>
    <x v="0"/>
    <x v="10"/>
    <x v="3"/>
    <x v="4"/>
    <x v="32"/>
    <n v="16"/>
    <n v="185680"/>
    <n v="75200"/>
  </r>
  <r>
    <x v="11"/>
    <x v="0"/>
    <x v="11"/>
    <x v="3"/>
    <x v="4"/>
    <x v="32"/>
    <n v="19"/>
    <n v="193211"/>
    <n v="89300"/>
  </r>
  <r>
    <x v="12"/>
    <x v="1"/>
    <x v="12"/>
    <x v="3"/>
    <x v="4"/>
    <x v="32"/>
    <n v="28"/>
    <n v="333144"/>
    <n v="131600"/>
  </r>
  <r>
    <x v="13"/>
    <x v="1"/>
    <x v="13"/>
    <x v="3"/>
    <x v="4"/>
    <x v="32"/>
    <n v="18"/>
    <n v="202572"/>
    <n v="84600"/>
  </r>
  <r>
    <x v="14"/>
    <x v="1"/>
    <x v="14"/>
    <x v="3"/>
    <x v="4"/>
    <x v="32"/>
    <n v="14"/>
    <n v="148722"/>
    <n v="65800"/>
  </r>
  <r>
    <x v="15"/>
    <x v="1"/>
    <x v="15"/>
    <x v="3"/>
    <x v="4"/>
    <x v="32"/>
    <n v="26"/>
    <n v="294684"/>
    <n v="122200"/>
  </r>
  <r>
    <x v="16"/>
    <x v="1"/>
    <x v="16"/>
    <x v="3"/>
    <x v="4"/>
    <x v="32"/>
    <n v="33"/>
    <n v="408342"/>
    <n v="155100"/>
  </r>
  <r>
    <x v="17"/>
    <x v="1"/>
    <x v="17"/>
    <x v="3"/>
    <x v="4"/>
    <x v="32"/>
    <n v="32"/>
    <n v="380576"/>
    <n v="150400"/>
  </r>
  <r>
    <x v="18"/>
    <x v="1"/>
    <x v="18"/>
    <x v="3"/>
    <x v="4"/>
    <x v="32"/>
    <n v="33"/>
    <n v="324060"/>
    <n v="155100"/>
  </r>
  <r>
    <x v="19"/>
    <x v="1"/>
    <x v="19"/>
    <x v="3"/>
    <x v="4"/>
    <x v="32"/>
    <n v="28"/>
    <n v="311332"/>
    <n v="131600"/>
  </r>
  <r>
    <x v="20"/>
    <x v="1"/>
    <x v="20"/>
    <x v="3"/>
    <x v="4"/>
    <x v="32"/>
    <n v="30"/>
    <n v="310740"/>
    <n v="141000"/>
  </r>
  <r>
    <x v="21"/>
    <x v="1"/>
    <x v="21"/>
    <x v="3"/>
    <x v="4"/>
    <x v="32"/>
    <n v="25"/>
    <n v="285450"/>
    <n v="117500"/>
  </r>
  <r>
    <x v="22"/>
    <x v="1"/>
    <x v="22"/>
    <x v="3"/>
    <x v="4"/>
    <x v="32"/>
    <n v="18"/>
    <n v="211302"/>
    <n v="84600"/>
  </r>
  <r>
    <x v="23"/>
    <x v="1"/>
    <x v="23"/>
    <x v="3"/>
    <x v="4"/>
    <x v="32"/>
    <n v="21"/>
    <n v="215061"/>
    <n v="98700"/>
  </r>
  <r>
    <x v="0"/>
    <x v="0"/>
    <x v="0"/>
    <x v="3"/>
    <x v="4"/>
    <x v="33"/>
    <n v="27"/>
    <n v="277695"/>
    <n v="144963"/>
  </r>
  <r>
    <x v="1"/>
    <x v="0"/>
    <x v="1"/>
    <x v="3"/>
    <x v="4"/>
    <x v="33"/>
    <n v="17"/>
    <n v="185589"/>
    <n v="91273"/>
  </r>
  <r>
    <x v="2"/>
    <x v="0"/>
    <x v="2"/>
    <x v="3"/>
    <x v="4"/>
    <x v="33"/>
    <n v="14"/>
    <n v="141932"/>
    <n v="75166"/>
  </r>
  <r>
    <x v="3"/>
    <x v="0"/>
    <x v="3"/>
    <x v="3"/>
    <x v="4"/>
    <x v="33"/>
    <n v="25"/>
    <n v="274300"/>
    <n v="134225"/>
  </r>
  <r>
    <x v="4"/>
    <x v="0"/>
    <x v="4"/>
    <x v="3"/>
    <x v="4"/>
    <x v="33"/>
    <n v="32"/>
    <n v="334272"/>
    <n v="171808"/>
  </r>
  <r>
    <x v="5"/>
    <x v="0"/>
    <x v="5"/>
    <x v="3"/>
    <x v="4"/>
    <x v="33"/>
    <n v="30"/>
    <n v="315810"/>
    <n v="161070"/>
  </r>
  <r>
    <x v="6"/>
    <x v="0"/>
    <x v="6"/>
    <x v="3"/>
    <x v="4"/>
    <x v="33"/>
    <n v="32"/>
    <n v="270496"/>
    <n v="171808"/>
  </r>
  <r>
    <x v="7"/>
    <x v="0"/>
    <x v="7"/>
    <x v="3"/>
    <x v="4"/>
    <x v="33"/>
    <n v="27"/>
    <n v="274671"/>
    <n v="144963"/>
  </r>
  <r>
    <x v="8"/>
    <x v="0"/>
    <x v="8"/>
    <x v="3"/>
    <x v="4"/>
    <x v="33"/>
    <n v="29"/>
    <n v="282692"/>
    <n v="155701"/>
  </r>
  <r>
    <x v="9"/>
    <x v="0"/>
    <x v="9"/>
    <x v="3"/>
    <x v="4"/>
    <x v="33"/>
    <n v="24"/>
    <n v="245616"/>
    <n v="128856"/>
  </r>
  <r>
    <x v="10"/>
    <x v="0"/>
    <x v="10"/>
    <x v="3"/>
    <x v="4"/>
    <x v="33"/>
    <n v="17"/>
    <n v="168113"/>
    <n v="91273"/>
  </r>
  <r>
    <x v="11"/>
    <x v="0"/>
    <x v="11"/>
    <x v="3"/>
    <x v="4"/>
    <x v="33"/>
    <n v="20"/>
    <n v="188720"/>
    <n v="107380"/>
  </r>
  <r>
    <x v="12"/>
    <x v="1"/>
    <x v="12"/>
    <x v="3"/>
    <x v="4"/>
    <x v="33"/>
    <n v="30"/>
    <n v="295920"/>
    <n v="161070"/>
  </r>
  <r>
    <x v="13"/>
    <x v="1"/>
    <x v="13"/>
    <x v="3"/>
    <x v="4"/>
    <x v="33"/>
    <n v="19"/>
    <n v="202901"/>
    <n v="102011"/>
  </r>
  <r>
    <x v="14"/>
    <x v="1"/>
    <x v="14"/>
    <x v="3"/>
    <x v="4"/>
    <x v="33"/>
    <n v="15"/>
    <n v="144900"/>
    <n v="80535"/>
  </r>
  <r>
    <x v="15"/>
    <x v="1"/>
    <x v="15"/>
    <x v="3"/>
    <x v="4"/>
    <x v="33"/>
    <n v="28"/>
    <n v="309932"/>
    <n v="150332"/>
  </r>
  <r>
    <x v="16"/>
    <x v="1"/>
    <x v="16"/>
    <x v="3"/>
    <x v="4"/>
    <x v="33"/>
    <n v="35"/>
    <n v="379190"/>
    <n v="187915"/>
  </r>
  <r>
    <x v="17"/>
    <x v="1"/>
    <x v="17"/>
    <x v="3"/>
    <x v="4"/>
    <x v="33"/>
    <n v="33"/>
    <n v="326205"/>
    <n v="177177"/>
  </r>
  <r>
    <x v="18"/>
    <x v="1"/>
    <x v="18"/>
    <x v="3"/>
    <x v="4"/>
    <x v="33"/>
    <n v="35"/>
    <n v="290185"/>
    <n v="187915"/>
  </r>
  <r>
    <x v="19"/>
    <x v="1"/>
    <x v="19"/>
    <x v="3"/>
    <x v="4"/>
    <x v="33"/>
    <n v="30"/>
    <n v="300750"/>
    <n v="161070"/>
  </r>
  <r>
    <x v="20"/>
    <x v="1"/>
    <x v="20"/>
    <x v="3"/>
    <x v="4"/>
    <x v="33"/>
    <n v="31"/>
    <n v="310341"/>
    <n v="166439"/>
  </r>
  <r>
    <x v="21"/>
    <x v="1"/>
    <x v="21"/>
    <x v="3"/>
    <x v="4"/>
    <x v="33"/>
    <n v="26"/>
    <n v="272428"/>
    <n v="139594"/>
  </r>
  <r>
    <x v="22"/>
    <x v="1"/>
    <x v="22"/>
    <x v="3"/>
    <x v="4"/>
    <x v="33"/>
    <n v="19"/>
    <n v="193895"/>
    <n v="102011"/>
  </r>
  <r>
    <x v="23"/>
    <x v="1"/>
    <x v="23"/>
    <x v="3"/>
    <x v="4"/>
    <x v="33"/>
    <n v="22"/>
    <n v="206822"/>
    <n v="118118"/>
  </r>
  <r>
    <x v="0"/>
    <x v="0"/>
    <x v="0"/>
    <x v="3"/>
    <x v="4"/>
    <x v="34"/>
    <n v="19"/>
    <n v="229026"/>
    <n v="104500"/>
  </r>
  <r>
    <x v="1"/>
    <x v="0"/>
    <x v="1"/>
    <x v="3"/>
    <x v="4"/>
    <x v="34"/>
    <n v="12"/>
    <n v="151308"/>
    <n v="66000"/>
  </r>
  <r>
    <x v="2"/>
    <x v="0"/>
    <x v="2"/>
    <x v="3"/>
    <x v="4"/>
    <x v="34"/>
    <n v="10"/>
    <n v="120860"/>
    <n v="55000"/>
  </r>
  <r>
    <x v="3"/>
    <x v="0"/>
    <x v="3"/>
    <x v="3"/>
    <x v="4"/>
    <x v="34"/>
    <n v="18"/>
    <n v="223812"/>
    <n v="99000"/>
  </r>
  <r>
    <x v="4"/>
    <x v="0"/>
    <x v="4"/>
    <x v="3"/>
    <x v="4"/>
    <x v="34"/>
    <n v="23"/>
    <n v="295734"/>
    <n v="126500"/>
  </r>
  <r>
    <x v="5"/>
    <x v="0"/>
    <x v="5"/>
    <x v="3"/>
    <x v="4"/>
    <x v="34"/>
    <n v="22"/>
    <n v="266508"/>
    <n v="121000"/>
  </r>
  <r>
    <x v="6"/>
    <x v="0"/>
    <x v="6"/>
    <x v="3"/>
    <x v="4"/>
    <x v="34"/>
    <n v="23"/>
    <n v="244375"/>
    <n v="126500"/>
  </r>
  <r>
    <x v="7"/>
    <x v="0"/>
    <x v="7"/>
    <x v="3"/>
    <x v="4"/>
    <x v="34"/>
    <n v="19"/>
    <n v="215593"/>
    <n v="104500"/>
  </r>
  <r>
    <x v="8"/>
    <x v="0"/>
    <x v="8"/>
    <x v="3"/>
    <x v="4"/>
    <x v="34"/>
    <n v="20"/>
    <n v="241740"/>
    <n v="110000"/>
  </r>
  <r>
    <x v="9"/>
    <x v="0"/>
    <x v="9"/>
    <x v="3"/>
    <x v="4"/>
    <x v="34"/>
    <n v="17"/>
    <n v="207383"/>
    <n v="93500"/>
  </r>
  <r>
    <x v="10"/>
    <x v="0"/>
    <x v="10"/>
    <x v="3"/>
    <x v="4"/>
    <x v="34"/>
    <n v="12"/>
    <n v="152952"/>
    <n v="66000"/>
  </r>
  <r>
    <x v="11"/>
    <x v="0"/>
    <x v="11"/>
    <x v="3"/>
    <x v="4"/>
    <x v="34"/>
    <n v="15"/>
    <n v="168045"/>
    <n v="82500"/>
  </r>
  <r>
    <x v="12"/>
    <x v="1"/>
    <x v="12"/>
    <x v="3"/>
    <x v="4"/>
    <x v="34"/>
    <n v="21"/>
    <n v="266049"/>
    <n v="115500"/>
  </r>
  <r>
    <x v="13"/>
    <x v="1"/>
    <x v="13"/>
    <x v="3"/>
    <x v="4"/>
    <x v="34"/>
    <n v="13"/>
    <n v="161239"/>
    <n v="71500"/>
  </r>
  <r>
    <x v="14"/>
    <x v="1"/>
    <x v="14"/>
    <x v="3"/>
    <x v="4"/>
    <x v="34"/>
    <n v="11"/>
    <n v="126401"/>
    <n v="60500"/>
  </r>
  <r>
    <x v="15"/>
    <x v="1"/>
    <x v="15"/>
    <x v="3"/>
    <x v="4"/>
    <x v="34"/>
    <n v="20"/>
    <n v="258540"/>
    <n v="110000"/>
  </r>
  <r>
    <x v="16"/>
    <x v="1"/>
    <x v="16"/>
    <x v="3"/>
    <x v="4"/>
    <x v="34"/>
    <n v="25"/>
    <n v="329525"/>
    <n v="137500"/>
  </r>
  <r>
    <x v="17"/>
    <x v="1"/>
    <x v="17"/>
    <x v="3"/>
    <x v="4"/>
    <x v="34"/>
    <n v="24"/>
    <n v="284688"/>
    <n v="132000"/>
  </r>
  <r>
    <x v="18"/>
    <x v="1"/>
    <x v="18"/>
    <x v="3"/>
    <x v="4"/>
    <x v="34"/>
    <n v="25"/>
    <n v="257625"/>
    <n v="137500"/>
  </r>
  <r>
    <x v="19"/>
    <x v="1"/>
    <x v="19"/>
    <x v="3"/>
    <x v="4"/>
    <x v="34"/>
    <n v="21"/>
    <n v="239064"/>
    <n v="115500"/>
  </r>
  <r>
    <x v="20"/>
    <x v="1"/>
    <x v="20"/>
    <x v="3"/>
    <x v="4"/>
    <x v="34"/>
    <n v="22"/>
    <n v="266860"/>
    <n v="121000"/>
  </r>
  <r>
    <x v="21"/>
    <x v="1"/>
    <x v="21"/>
    <x v="3"/>
    <x v="4"/>
    <x v="34"/>
    <n v="19"/>
    <n v="240578"/>
    <n v="104500"/>
  </r>
  <r>
    <x v="22"/>
    <x v="1"/>
    <x v="22"/>
    <x v="3"/>
    <x v="4"/>
    <x v="34"/>
    <n v="13"/>
    <n v="159393"/>
    <n v="71500"/>
  </r>
  <r>
    <x v="23"/>
    <x v="1"/>
    <x v="23"/>
    <x v="3"/>
    <x v="4"/>
    <x v="34"/>
    <n v="16"/>
    <n v="188704"/>
    <n v="88000"/>
  </r>
  <r>
    <x v="0"/>
    <x v="0"/>
    <x v="0"/>
    <x v="3"/>
    <x v="5"/>
    <x v="35"/>
    <n v="6"/>
    <n v="23532"/>
    <n v="9072"/>
  </r>
  <r>
    <x v="1"/>
    <x v="0"/>
    <x v="1"/>
    <x v="3"/>
    <x v="5"/>
    <x v="35"/>
    <n v="4"/>
    <n v="19236"/>
    <n v="6048"/>
  </r>
  <r>
    <x v="2"/>
    <x v="0"/>
    <x v="2"/>
    <x v="3"/>
    <x v="5"/>
    <x v="35"/>
    <n v="3"/>
    <n v="11631"/>
    <n v="4536"/>
  </r>
  <r>
    <x v="3"/>
    <x v="0"/>
    <x v="3"/>
    <x v="3"/>
    <x v="5"/>
    <x v="35"/>
    <n v="6"/>
    <n v="27570"/>
    <n v="9072"/>
  </r>
  <r>
    <x v="4"/>
    <x v="0"/>
    <x v="4"/>
    <x v="3"/>
    <x v="5"/>
    <x v="35"/>
    <n v="7"/>
    <n v="34783"/>
    <n v="10584"/>
  </r>
  <r>
    <x v="5"/>
    <x v="0"/>
    <x v="5"/>
    <x v="3"/>
    <x v="5"/>
    <x v="35"/>
    <n v="7"/>
    <n v="26425"/>
    <n v="10584"/>
  </r>
  <r>
    <x v="6"/>
    <x v="0"/>
    <x v="6"/>
    <x v="3"/>
    <x v="5"/>
    <x v="35"/>
    <n v="7"/>
    <n v="18907"/>
    <n v="10584"/>
  </r>
  <r>
    <x v="7"/>
    <x v="0"/>
    <x v="7"/>
    <x v="3"/>
    <x v="5"/>
    <x v="35"/>
    <n v="6"/>
    <n v="23052"/>
    <n v="9072"/>
  </r>
  <r>
    <x v="8"/>
    <x v="0"/>
    <x v="8"/>
    <x v="3"/>
    <x v="5"/>
    <x v="35"/>
    <n v="7"/>
    <n v="27174"/>
    <n v="10584"/>
  </r>
  <r>
    <x v="9"/>
    <x v="0"/>
    <x v="9"/>
    <x v="3"/>
    <x v="5"/>
    <x v="35"/>
    <n v="6"/>
    <n v="27972"/>
    <n v="9072"/>
  </r>
  <r>
    <x v="10"/>
    <x v="0"/>
    <x v="10"/>
    <x v="3"/>
    <x v="5"/>
    <x v="35"/>
    <n v="4"/>
    <n v="17176"/>
    <n v="6048"/>
  </r>
  <r>
    <x v="11"/>
    <x v="0"/>
    <x v="11"/>
    <x v="3"/>
    <x v="5"/>
    <x v="35"/>
    <n v="5"/>
    <n v="19225"/>
    <n v="7560"/>
  </r>
  <r>
    <x v="12"/>
    <x v="1"/>
    <x v="12"/>
    <x v="3"/>
    <x v="5"/>
    <x v="35"/>
    <n v="7"/>
    <n v="27678"/>
    <n v="10584"/>
  </r>
  <r>
    <x v="13"/>
    <x v="1"/>
    <x v="13"/>
    <x v="3"/>
    <x v="5"/>
    <x v="35"/>
    <n v="4"/>
    <n v="17364"/>
    <n v="6048"/>
  </r>
  <r>
    <x v="14"/>
    <x v="1"/>
    <x v="14"/>
    <x v="3"/>
    <x v="5"/>
    <x v="35"/>
    <n v="4"/>
    <n v="15832"/>
    <n v="6048"/>
  </r>
  <r>
    <x v="15"/>
    <x v="1"/>
    <x v="15"/>
    <x v="3"/>
    <x v="5"/>
    <x v="35"/>
    <n v="6"/>
    <n v="27270"/>
    <n v="9072"/>
  </r>
  <r>
    <x v="16"/>
    <x v="1"/>
    <x v="16"/>
    <x v="3"/>
    <x v="5"/>
    <x v="35"/>
    <n v="8"/>
    <n v="40936"/>
    <n v="12096"/>
  </r>
  <r>
    <x v="17"/>
    <x v="1"/>
    <x v="17"/>
    <x v="3"/>
    <x v="5"/>
    <x v="35"/>
    <n v="8"/>
    <n v="32248"/>
    <n v="12096"/>
  </r>
  <r>
    <x v="18"/>
    <x v="1"/>
    <x v="18"/>
    <x v="3"/>
    <x v="5"/>
    <x v="35"/>
    <n v="8"/>
    <n v="18600"/>
    <n v="12096"/>
  </r>
  <r>
    <x v="19"/>
    <x v="1"/>
    <x v="19"/>
    <x v="3"/>
    <x v="5"/>
    <x v="35"/>
    <n v="7"/>
    <n v="23709"/>
    <n v="10584"/>
  </r>
  <r>
    <x v="20"/>
    <x v="1"/>
    <x v="20"/>
    <x v="3"/>
    <x v="5"/>
    <x v="35"/>
    <n v="7"/>
    <n v="28406"/>
    <n v="10584"/>
  </r>
  <r>
    <x v="21"/>
    <x v="1"/>
    <x v="21"/>
    <x v="3"/>
    <x v="5"/>
    <x v="35"/>
    <n v="6"/>
    <n v="26058"/>
    <n v="9072"/>
  </r>
  <r>
    <x v="22"/>
    <x v="1"/>
    <x v="22"/>
    <x v="3"/>
    <x v="5"/>
    <x v="35"/>
    <n v="4"/>
    <n v="15656"/>
    <n v="6048"/>
  </r>
  <r>
    <x v="23"/>
    <x v="1"/>
    <x v="23"/>
    <x v="3"/>
    <x v="5"/>
    <x v="35"/>
    <n v="5"/>
    <n v="15585"/>
    <n v="7560"/>
  </r>
  <r>
    <x v="0"/>
    <x v="0"/>
    <x v="0"/>
    <x v="3"/>
    <x v="5"/>
    <x v="36"/>
    <n v="8"/>
    <n v="21144"/>
    <n v="6256"/>
  </r>
  <r>
    <x v="1"/>
    <x v="0"/>
    <x v="1"/>
    <x v="3"/>
    <x v="5"/>
    <x v="36"/>
    <n v="5"/>
    <n v="17760"/>
    <n v="3910"/>
  </r>
  <r>
    <x v="2"/>
    <x v="0"/>
    <x v="2"/>
    <x v="3"/>
    <x v="5"/>
    <x v="36"/>
    <n v="4"/>
    <n v="8392"/>
    <n v="3128"/>
  </r>
  <r>
    <x v="3"/>
    <x v="0"/>
    <x v="3"/>
    <x v="3"/>
    <x v="5"/>
    <x v="36"/>
    <n v="7"/>
    <n v="22722"/>
    <n v="5474"/>
  </r>
  <r>
    <x v="4"/>
    <x v="0"/>
    <x v="4"/>
    <x v="3"/>
    <x v="5"/>
    <x v="36"/>
    <n v="9"/>
    <n v="33813"/>
    <n v="7038"/>
  </r>
  <r>
    <x v="5"/>
    <x v="0"/>
    <x v="5"/>
    <x v="3"/>
    <x v="5"/>
    <x v="36"/>
    <n v="8"/>
    <n v="24384"/>
    <n v="6256"/>
  </r>
  <r>
    <x v="6"/>
    <x v="0"/>
    <x v="6"/>
    <x v="3"/>
    <x v="5"/>
    <x v="36"/>
    <n v="9"/>
    <n v="13086"/>
    <n v="7038"/>
  </r>
  <r>
    <x v="7"/>
    <x v="0"/>
    <x v="7"/>
    <x v="3"/>
    <x v="5"/>
    <x v="36"/>
    <n v="8"/>
    <n v="18440"/>
    <n v="6256"/>
  </r>
  <r>
    <x v="8"/>
    <x v="0"/>
    <x v="8"/>
    <x v="3"/>
    <x v="5"/>
    <x v="36"/>
    <n v="8"/>
    <n v="16072"/>
    <n v="6256"/>
  </r>
  <r>
    <x v="9"/>
    <x v="0"/>
    <x v="9"/>
    <x v="3"/>
    <x v="5"/>
    <x v="36"/>
    <n v="7"/>
    <n v="24878"/>
    <n v="5474"/>
  </r>
  <r>
    <x v="10"/>
    <x v="0"/>
    <x v="10"/>
    <x v="3"/>
    <x v="5"/>
    <x v="36"/>
    <n v="5"/>
    <n v="14420"/>
    <n v="3910"/>
  </r>
  <r>
    <x v="11"/>
    <x v="0"/>
    <x v="11"/>
    <x v="3"/>
    <x v="5"/>
    <x v="36"/>
    <n v="6"/>
    <n v="17616"/>
    <n v="4692"/>
  </r>
  <r>
    <x v="12"/>
    <x v="1"/>
    <x v="12"/>
    <x v="3"/>
    <x v="5"/>
    <x v="36"/>
    <n v="8"/>
    <n v="23032"/>
    <n v="6256"/>
  </r>
  <r>
    <x v="13"/>
    <x v="1"/>
    <x v="13"/>
    <x v="3"/>
    <x v="5"/>
    <x v="36"/>
    <n v="5"/>
    <n v="15415"/>
    <n v="3910"/>
  </r>
  <r>
    <x v="14"/>
    <x v="1"/>
    <x v="14"/>
    <x v="3"/>
    <x v="5"/>
    <x v="36"/>
    <n v="4"/>
    <n v="7884"/>
    <n v="3128"/>
  </r>
  <r>
    <x v="15"/>
    <x v="1"/>
    <x v="15"/>
    <x v="3"/>
    <x v="5"/>
    <x v="36"/>
    <n v="8"/>
    <n v="28240"/>
    <n v="6256"/>
  </r>
  <r>
    <x v="16"/>
    <x v="1"/>
    <x v="16"/>
    <x v="3"/>
    <x v="5"/>
    <x v="36"/>
    <n v="10"/>
    <n v="33830"/>
    <n v="7820"/>
  </r>
  <r>
    <x v="17"/>
    <x v="1"/>
    <x v="17"/>
    <x v="3"/>
    <x v="5"/>
    <x v="36"/>
    <n v="9"/>
    <n v="28026"/>
    <n v="7038"/>
  </r>
  <r>
    <x v="18"/>
    <x v="1"/>
    <x v="18"/>
    <x v="3"/>
    <x v="5"/>
    <x v="36"/>
    <n v="10"/>
    <n v="15790"/>
    <n v="7820"/>
  </r>
  <r>
    <x v="19"/>
    <x v="1"/>
    <x v="19"/>
    <x v="3"/>
    <x v="5"/>
    <x v="36"/>
    <n v="8"/>
    <n v="21904"/>
    <n v="6256"/>
  </r>
  <r>
    <x v="20"/>
    <x v="1"/>
    <x v="20"/>
    <x v="3"/>
    <x v="5"/>
    <x v="36"/>
    <n v="9"/>
    <n v="23805"/>
    <n v="7038"/>
  </r>
  <r>
    <x v="21"/>
    <x v="1"/>
    <x v="21"/>
    <x v="3"/>
    <x v="5"/>
    <x v="36"/>
    <n v="7"/>
    <n v="22855"/>
    <n v="5474"/>
  </r>
  <r>
    <x v="22"/>
    <x v="1"/>
    <x v="22"/>
    <x v="3"/>
    <x v="5"/>
    <x v="36"/>
    <n v="5"/>
    <n v="17415"/>
    <n v="3910"/>
  </r>
  <r>
    <x v="23"/>
    <x v="1"/>
    <x v="23"/>
    <x v="3"/>
    <x v="5"/>
    <x v="36"/>
    <n v="6"/>
    <n v="13326"/>
    <n v="4692"/>
  </r>
  <r>
    <x v="0"/>
    <x v="0"/>
    <x v="0"/>
    <x v="3"/>
    <x v="5"/>
    <x v="37"/>
    <n v="7"/>
    <n v="37478"/>
    <n v="12250"/>
  </r>
  <r>
    <x v="1"/>
    <x v="0"/>
    <x v="1"/>
    <x v="3"/>
    <x v="5"/>
    <x v="37"/>
    <n v="4"/>
    <n v="21580"/>
    <n v="7000"/>
  </r>
  <r>
    <x v="2"/>
    <x v="0"/>
    <x v="2"/>
    <x v="3"/>
    <x v="5"/>
    <x v="37"/>
    <n v="4"/>
    <n v="15680"/>
    <n v="7000"/>
  </r>
  <r>
    <x v="3"/>
    <x v="0"/>
    <x v="3"/>
    <x v="3"/>
    <x v="5"/>
    <x v="37"/>
    <n v="6"/>
    <n v="28512"/>
    <n v="10500"/>
  </r>
  <r>
    <x v="4"/>
    <x v="0"/>
    <x v="4"/>
    <x v="3"/>
    <x v="5"/>
    <x v="37"/>
    <n v="8"/>
    <n v="42512"/>
    <n v="14000"/>
  </r>
  <r>
    <x v="5"/>
    <x v="0"/>
    <x v="5"/>
    <x v="3"/>
    <x v="5"/>
    <x v="37"/>
    <n v="8"/>
    <n v="41072"/>
    <n v="14000"/>
  </r>
  <r>
    <x v="6"/>
    <x v="0"/>
    <x v="6"/>
    <x v="3"/>
    <x v="5"/>
    <x v="37"/>
    <n v="8"/>
    <n v="28440"/>
    <n v="14000"/>
  </r>
  <r>
    <x v="7"/>
    <x v="0"/>
    <x v="7"/>
    <x v="3"/>
    <x v="5"/>
    <x v="37"/>
    <n v="7"/>
    <n v="29253"/>
    <n v="12250"/>
  </r>
  <r>
    <x v="8"/>
    <x v="0"/>
    <x v="8"/>
    <x v="3"/>
    <x v="5"/>
    <x v="37"/>
    <n v="7"/>
    <n v="30016"/>
    <n v="12250"/>
  </r>
  <r>
    <x v="9"/>
    <x v="0"/>
    <x v="9"/>
    <x v="3"/>
    <x v="5"/>
    <x v="37"/>
    <n v="6"/>
    <n v="31038"/>
    <n v="10500"/>
  </r>
  <r>
    <x v="10"/>
    <x v="0"/>
    <x v="10"/>
    <x v="3"/>
    <x v="5"/>
    <x v="37"/>
    <n v="4"/>
    <n v="17804"/>
    <n v="7000"/>
  </r>
  <r>
    <x v="11"/>
    <x v="0"/>
    <x v="11"/>
    <x v="3"/>
    <x v="5"/>
    <x v="37"/>
    <n v="5"/>
    <n v="21415"/>
    <n v="8750"/>
  </r>
  <r>
    <x v="12"/>
    <x v="1"/>
    <x v="12"/>
    <x v="3"/>
    <x v="5"/>
    <x v="37"/>
    <n v="8"/>
    <n v="39944"/>
    <n v="14000"/>
  </r>
  <r>
    <x v="13"/>
    <x v="1"/>
    <x v="13"/>
    <x v="3"/>
    <x v="5"/>
    <x v="37"/>
    <n v="5"/>
    <n v="22755"/>
    <n v="8750"/>
  </r>
  <r>
    <x v="14"/>
    <x v="1"/>
    <x v="14"/>
    <x v="3"/>
    <x v="5"/>
    <x v="37"/>
    <n v="4"/>
    <n v="17476"/>
    <n v="7000"/>
  </r>
  <r>
    <x v="15"/>
    <x v="1"/>
    <x v="15"/>
    <x v="3"/>
    <x v="5"/>
    <x v="37"/>
    <n v="7"/>
    <n v="35539"/>
    <n v="12250"/>
  </r>
  <r>
    <x v="16"/>
    <x v="1"/>
    <x v="16"/>
    <x v="3"/>
    <x v="5"/>
    <x v="37"/>
    <n v="9"/>
    <n v="52065"/>
    <n v="15750"/>
  </r>
  <r>
    <x v="17"/>
    <x v="1"/>
    <x v="17"/>
    <x v="3"/>
    <x v="5"/>
    <x v="37"/>
    <n v="8"/>
    <n v="39512"/>
    <n v="14000"/>
  </r>
  <r>
    <x v="18"/>
    <x v="1"/>
    <x v="18"/>
    <x v="3"/>
    <x v="5"/>
    <x v="37"/>
    <n v="9"/>
    <n v="28044"/>
    <n v="15750"/>
  </r>
  <r>
    <x v="19"/>
    <x v="1"/>
    <x v="19"/>
    <x v="3"/>
    <x v="5"/>
    <x v="37"/>
    <n v="8"/>
    <n v="36456"/>
    <n v="14000"/>
  </r>
  <r>
    <x v="20"/>
    <x v="1"/>
    <x v="20"/>
    <x v="3"/>
    <x v="5"/>
    <x v="37"/>
    <n v="8"/>
    <n v="32008"/>
    <n v="14000"/>
  </r>
  <r>
    <x v="21"/>
    <x v="1"/>
    <x v="21"/>
    <x v="3"/>
    <x v="5"/>
    <x v="37"/>
    <n v="7"/>
    <n v="36764"/>
    <n v="12250"/>
  </r>
  <r>
    <x v="22"/>
    <x v="1"/>
    <x v="22"/>
    <x v="3"/>
    <x v="5"/>
    <x v="37"/>
    <n v="5"/>
    <n v="21185"/>
    <n v="8750"/>
  </r>
  <r>
    <x v="23"/>
    <x v="1"/>
    <x v="23"/>
    <x v="3"/>
    <x v="5"/>
    <x v="37"/>
    <n v="6"/>
    <n v="23586"/>
    <n v="10500"/>
  </r>
  <r>
    <x v="0"/>
    <x v="0"/>
    <x v="0"/>
    <x v="3"/>
    <x v="5"/>
    <x v="38"/>
    <n v="6"/>
    <n v="33978"/>
    <n v="15120"/>
  </r>
  <r>
    <x v="1"/>
    <x v="0"/>
    <x v="1"/>
    <x v="3"/>
    <x v="5"/>
    <x v="38"/>
    <n v="4"/>
    <n v="23228"/>
    <n v="10080"/>
  </r>
  <r>
    <x v="2"/>
    <x v="0"/>
    <x v="2"/>
    <x v="3"/>
    <x v="5"/>
    <x v="38"/>
    <n v="3"/>
    <n v="13263"/>
    <n v="7560"/>
  </r>
  <r>
    <x v="3"/>
    <x v="0"/>
    <x v="3"/>
    <x v="3"/>
    <x v="5"/>
    <x v="38"/>
    <n v="6"/>
    <n v="33030"/>
    <n v="15120"/>
  </r>
  <r>
    <x v="4"/>
    <x v="0"/>
    <x v="4"/>
    <x v="3"/>
    <x v="5"/>
    <x v="38"/>
    <n v="7"/>
    <n v="47516"/>
    <n v="17640"/>
  </r>
  <r>
    <x v="5"/>
    <x v="0"/>
    <x v="5"/>
    <x v="3"/>
    <x v="5"/>
    <x v="38"/>
    <n v="7"/>
    <n v="36064"/>
    <n v="17640"/>
  </r>
  <r>
    <x v="6"/>
    <x v="0"/>
    <x v="6"/>
    <x v="3"/>
    <x v="5"/>
    <x v="38"/>
    <n v="7"/>
    <n v="25767"/>
    <n v="17640"/>
  </r>
  <r>
    <x v="7"/>
    <x v="0"/>
    <x v="7"/>
    <x v="3"/>
    <x v="5"/>
    <x v="38"/>
    <n v="6"/>
    <n v="31806"/>
    <n v="15120"/>
  </r>
  <r>
    <x v="8"/>
    <x v="0"/>
    <x v="8"/>
    <x v="3"/>
    <x v="5"/>
    <x v="38"/>
    <n v="7"/>
    <n v="33852"/>
    <n v="17640"/>
  </r>
  <r>
    <x v="9"/>
    <x v="0"/>
    <x v="9"/>
    <x v="3"/>
    <x v="5"/>
    <x v="38"/>
    <n v="6"/>
    <n v="34068"/>
    <n v="15120"/>
  </r>
  <r>
    <x v="10"/>
    <x v="0"/>
    <x v="10"/>
    <x v="3"/>
    <x v="5"/>
    <x v="38"/>
    <n v="4"/>
    <n v="21376"/>
    <n v="10080"/>
  </r>
  <r>
    <x v="11"/>
    <x v="0"/>
    <x v="11"/>
    <x v="3"/>
    <x v="5"/>
    <x v="38"/>
    <n v="5"/>
    <n v="23615"/>
    <n v="12600"/>
  </r>
  <r>
    <x v="12"/>
    <x v="1"/>
    <x v="12"/>
    <x v="3"/>
    <x v="5"/>
    <x v="38"/>
    <n v="7"/>
    <n v="37695"/>
    <n v="17640"/>
  </r>
  <r>
    <x v="13"/>
    <x v="1"/>
    <x v="13"/>
    <x v="3"/>
    <x v="5"/>
    <x v="38"/>
    <n v="4"/>
    <n v="23704"/>
    <n v="10080"/>
  </r>
  <r>
    <x v="14"/>
    <x v="1"/>
    <x v="14"/>
    <x v="3"/>
    <x v="5"/>
    <x v="38"/>
    <n v="4"/>
    <n v="18572"/>
    <n v="10080"/>
  </r>
  <r>
    <x v="15"/>
    <x v="1"/>
    <x v="15"/>
    <x v="3"/>
    <x v="5"/>
    <x v="38"/>
    <n v="6"/>
    <n v="33294"/>
    <n v="15120"/>
  </r>
  <r>
    <x v="16"/>
    <x v="1"/>
    <x v="16"/>
    <x v="3"/>
    <x v="5"/>
    <x v="38"/>
    <n v="8"/>
    <n v="49416"/>
    <n v="20160"/>
  </r>
  <r>
    <x v="17"/>
    <x v="1"/>
    <x v="17"/>
    <x v="3"/>
    <x v="5"/>
    <x v="38"/>
    <n v="8"/>
    <n v="48848"/>
    <n v="20160"/>
  </r>
  <r>
    <x v="18"/>
    <x v="1"/>
    <x v="18"/>
    <x v="3"/>
    <x v="5"/>
    <x v="38"/>
    <n v="8"/>
    <n v="31832"/>
    <n v="20160"/>
  </r>
  <r>
    <x v="19"/>
    <x v="1"/>
    <x v="19"/>
    <x v="3"/>
    <x v="5"/>
    <x v="38"/>
    <n v="7"/>
    <n v="33719"/>
    <n v="17640"/>
  </r>
  <r>
    <x v="20"/>
    <x v="1"/>
    <x v="20"/>
    <x v="3"/>
    <x v="5"/>
    <x v="38"/>
    <n v="7"/>
    <n v="33369"/>
    <n v="17640"/>
  </r>
  <r>
    <x v="21"/>
    <x v="1"/>
    <x v="21"/>
    <x v="3"/>
    <x v="5"/>
    <x v="38"/>
    <n v="6"/>
    <n v="33384"/>
    <n v="15120"/>
  </r>
  <r>
    <x v="22"/>
    <x v="1"/>
    <x v="22"/>
    <x v="3"/>
    <x v="5"/>
    <x v="38"/>
    <n v="4"/>
    <n v="19972"/>
    <n v="10080"/>
  </r>
  <r>
    <x v="23"/>
    <x v="1"/>
    <x v="23"/>
    <x v="3"/>
    <x v="5"/>
    <x v="38"/>
    <n v="5"/>
    <n v="23640"/>
    <n v="12600"/>
  </r>
  <r>
    <x v="0"/>
    <x v="0"/>
    <x v="0"/>
    <x v="3"/>
    <x v="5"/>
    <x v="39"/>
    <n v="8"/>
    <n v="24432"/>
    <n v="7392"/>
  </r>
  <r>
    <x v="1"/>
    <x v="0"/>
    <x v="1"/>
    <x v="3"/>
    <x v="5"/>
    <x v="39"/>
    <n v="5"/>
    <n v="17420"/>
    <n v="4620"/>
  </r>
  <r>
    <x v="2"/>
    <x v="0"/>
    <x v="2"/>
    <x v="3"/>
    <x v="5"/>
    <x v="39"/>
    <n v="4"/>
    <n v="9464"/>
    <n v="3696"/>
  </r>
  <r>
    <x v="3"/>
    <x v="0"/>
    <x v="3"/>
    <x v="3"/>
    <x v="5"/>
    <x v="39"/>
    <n v="7"/>
    <n v="24836"/>
    <n v="6468"/>
  </r>
  <r>
    <x v="4"/>
    <x v="0"/>
    <x v="4"/>
    <x v="3"/>
    <x v="5"/>
    <x v="39"/>
    <n v="9"/>
    <n v="35874"/>
    <n v="8316"/>
  </r>
  <r>
    <x v="5"/>
    <x v="0"/>
    <x v="5"/>
    <x v="3"/>
    <x v="5"/>
    <x v="39"/>
    <n v="9"/>
    <n v="33183"/>
    <n v="8316"/>
  </r>
  <r>
    <x v="6"/>
    <x v="0"/>
    <x v="6"/>
    <x v="3"/>
    <x v="5"/>
    <x v="39"/>
    <n v="9"/>
    <n v="18936"/>
    <n v="8316"/>
  </r>
  <r>
    <x v="7"/>
    <x v="0"/>
    <x v="7"/>
    <x v="3"/>
    <x v="5"/>
    <x v="39"/>
    <n v="8"/>
    <n v="24552"/>
    <n v="7392"/>
  </r>
  <r>
    <x v="8"/>
    <x v="0"/>
    <x v="8"/>
    <x v="3"/>
    <x v="5"/>
    <x v="39"/>
    <n v="8"/>
    <n v="26416"/>
    <n v="7392"/>
  </r>
  <r>
    <x v="9"/>
    <x v="0"/>
    <x v="9"/>
    <x v="3"/>
    <x v="5"/>
    <x v="39"/>
    <n v="7"/>
    <n v="25669"/>
    <n v="6468"/>
  </r>
  <r>
    <x v="10"/>
    <x v="0"/>
    <x v="10"/>
    <x v="3"/>
    <x v="5"/>
    <x v="39"/>
    <n v="5"/>
    <n v="17955"/>
    <n v="4620"/>
  </r>
  <r>
    <x v="11"/>
    <x v="0"/>
    <x v="11"/>
    <x v="3"/>
    <x v="5"/>
    <x v="39"/>
    <n v="6"/>
    <n v="18684"/>
    <n v="5544"/>
  </r>
  <r>
    <x v="12"/>
    <x v="1"/>
    <x v="12"/>
    <x v="3"/>
    <x v="5"/>
    <x v="39"/>
    <n v="9"/>
    <n v="28512"/>
    <n v="8316"/>
  </r>
  <r>
    <x v="13"/>
    <x v="1"/>
    <x v="13"/>
    <x v="3"/>
    <x v="5"/>
    <x v="39"/>
    <n v="6"/>
    <n v="23784"/>
    <n v="5544"/>
  </r>
  <r>
    <x v="14"/>
    <x v="1"/>
    <x v="14"/>
    <x v="3"/>
    <x v="5"/>
    <x v="39"/>
    <n v="5"/>
    <n v="16135"/>
    <n v="4620"/>
  </r>
  <r>
    <x v="15"/>
    <x v="1"/>
    <x v="15"/>
    <x v="3"/>
    <x v="5"/>
    <x v="39"/>
    <n v="8"/>
    <n v="30592"/>
    <n v="7392"/>
  </r>
  <r>
    <x v="16"/>
    <x v="1"/>
    <x v="16"/>
    <x v="3"/>
    <x v="5"/>
    <x v="39"/>
    <n v="10"/>
    <n v="46210"/>
    <n v="9240"/>
  </r>
  <r>
    <x v="17"/>
    <x v="1"/>
    <x v="17"/>
    <x v="3"/>
    <x v="5"/>
    <x v="39"/>
    <n v="10"/>
    <n v="38770"/>
    <n v="9240"/>
  </r>
  <r>
    <x v="18"/>
    <x v="1"/>
    <x v="18"/>
    <x v="3"/>
    <x v="5"/>
    <x v="39"/>
    <n v="10"/>
    <n v="19170"/>
    <n v="9240"/>
  </r>
  <r>
    <x v="19"/>
    <x v="1"/>
    <x v="19"/>
    <x v="3"/>
    <x v="5"/>
    <x v="39"/>
    <n v="9"/>
    <n v="22581"/>
    <n v="8316"/>
  </r>
  <r>
    <x v="20"/>
    <x v="1"/>
    <x v="20"/>
    <x v="3"/>
    <x v="5"/>
    <x v="39"/>
    <n v="9"/>
    <n v="32778"/>
    <n v="8316"/>
  </r>
  <r>
    <x v="21"/>
    <x v="1"/>
    <x v="21"/>
    <x v="3"/>
    <x v="5"/>
    <x v="39"/>
    <n v="8"/>
    <n v="31760"/>
    <n v="7392"/>
  </r>
  <r>
    <x v="22"/>
    <x v="1"/>
    <x v="22"/>
    <x v="3"/>
    <x v="5"/>
    <x v="39"/>
    <n v="6"/>
    <n v="23370"/>
    <n v="5544"/>
  </r>
  <r>
    <x v="23"/>
    <x v="1"/>
    <x v="23"/>
    <x v="3"/>
    <x v="5"/>
    <x v="39"/>
    <n v="7"/>
    <n v="24304"/>
    <n v="6468"/>
  </r>
  <r>
    <x v="0"/>
    <x v="0"/>
    <x v="0"/>
    <x v="3"/>
    <x v="5"/>
    <x v="40"/>
    <n v="6"/>
    <n v="21588"/>
    <n v="6552"/>
  </r>
  <r>
    <x v="1"/>
    <x v="0"/>
    <x v="1"/>
    <x v="3"/>
    <x v="5"/>
    <x v="40"/>
    <n v="4"/>
    <n v="15980"/>
    <n v="4368"/>
  </r>
  <r>
    <x v="2"/>
    <x v="0"/>
    <x v="2"/>
    <x v="3"/>
    <x v="5"/>
    <x v="40"/>
    <n v="3"/>
    <n v="11154"/>
    <n v="3276"/>
  </r>
  <r>
    <x v="3"/>
    <x v="0"/>
    <x v="3"/>
    <x v="3"/>
    <x v="5"/>
    <x v="40"/>
    <n v="6"/>
    <n v="24738"/>
    <n v="6552"/>
  </r>
  <r>
    <x v="4"/>
    <x v="0"/>
    <x v="4"/>
    <x v="3"/>
    <x v="5"/>
    <x v="40"/>
    <n v="7"/>
    <n v="28812"/>
    <n v="7644"/>
  </r>
  <r>
    <x v="5"/>
    <x v="0"/>
    <x v="5"/>
    <x v="3"/>
    <x v="5"/>
    <x v="40"/>
    <n v="7"/>
    <n v="27874"/>
    <n v="7644"/>
  </r>
  <r>
    <x v="6"/>
    <x v="0"/>
    <x v="6"/>
    <x v="3"/>
    <x v="5"/>
    <x v="40"/>
    <n v="7"/>
    <n v="17549"/>
    <n v="7644"/>
  </r>
  <r>
    <x v="7"/>
    <x v="0"/>
    <x v="7"/>
    <x v="3"/>
    <x v="5"/>
    <x v="40"/>
    <n v="6"/>
    <n v="22260"/>
    <n v="6552"/>
  </r>
  <r>
    <x v="8"/>
    <x v="0"/>
    <x v="8"/>
    <x v="3"/>
    <x v="5"/>
    <x v="40"/>
    <n v="7"/>
    <n v="20748"/>
    <n v="7644"/>
  </r>
  <r>
    <x v="9"/>
    <x v="0"/>
    <x v="9"/>
    <x v="3"/>
    <x v="5"/>
    <x v="40"/>
    <n v="6"/>
    <n v="23946"/>
    <n v="6552"/>
  </r>
  <r>
    <x v="10"/>
    <x v="0"/>
    <x v="10"/>
    <x v="3"/>
    <x v="5"/>
    <x v="40"/>
    <n v="4"/>
    <n v="15268"/>
    <n v="4368"/>
  </r>
  <r>
    <x v="11"/>
    <x v="0"/>
    <x v="11"/>
    <x v="3"/>
    <x v="5"/>
    <x v="40"/>
    <n v="5"/>
    <n v="16785"/>
    <n v="5460"/>
  </r>
  <r>
    <x v="12"/>
    <x v="1"/>
    <x v="12"/>
    <x v="3"/>
    <x v="5"/>
    <x v="40"/>
    <n v="7"/>
    <n v="26439"/>
    <n v="7644"/>
  </r>
  <r>
    <x v="13"/>
    <x v="1"/>
    <x v="13"/>
    <x v="3"/>
    <x v="5"/>
    <x v="40"/>
    <n v="5"/>
    <n v="20785"/>
    <n v="5460"/>
  </r>
  <r>
    <x v="14"/>
    <x v="1"/>
    <x v="14"/>
    <x v="3"/>
    <x v="5"/>
    <x v="40"/>
    <n v="4"/>
    <n v="12888"/>
    <n v="4368"/>
  </r>
  <r>
    <x v="15"/>
    <x v="1"/>
    <x v="15"/>
    <x v="3"/>
    <x v="5"/>
    <x v="40"/>
    <n v="7"/>
    <n v="34797"/>
    <n v="7644"/>
  </r>
  <r>
    <x v="16"/>
    <x v="1"/>
    <x v="16"/>
    <x v="3"/>
    <x v="5"/>
    <x v="40"/>
    <n v="8"/>
    <n v="33616"/>
    <n v="8736"/>
  </r>
  <r>
    <x v="17"/>
    <x v="1"/>
    <x v="17"/>
    <x v="3"/>
    <x v="5"/>
    <x v="40"/>
    <n v="8"/>
    <n v="35896"/>
    <n v="8736"/>
  </r>
  <r>
    <x v="18"/>
    <x v="1"/>
    <x v="18"/>
    <x v="3"/>
    <x v="5"/>
    <x v="40"/>
    <n v="8"/>
    <n v="23504"/>
    <n v="8736"/>
  </r>
  <r>
    <x v="19"/>
    <x v="1"/>
    <x v="19"/>
    <x v="3"/>
    <x v="5"/>
    <x v="40"/>
    <n v="7"/>
    <n v="22323"/>
    <n v="7644"/>
  </r>
  <r>
    <x v="20"/>
    <x v="1"/>
    <x v="20"/>
    <x v="3"/>
    <x v="5"/>
    <x v="40"/>
    <n v="7"/>
    <n v="24570"/>
    <n v="7644"/>
  </r>
  <r>
    <x v="21"/>
    <x v="1"/>
    <x v="21"/>
    <x v="3"/>
    <x v="5"/>
    <x v="40"/>
    <n v="6"/>
    <n v="22680"/>
    <n v="6552"/>
  </r>
  <r>
    <x v="22"/>
    <x v="1"/>
    <x v="22"/>
    <x v="3"/>
    <x v="5"/>
    <x v="40"/>
    <n v="5"/>
    <n v="20275"/>
    <n v="5460"/>
  </r>
  <r>
    <x v="23"/>
    <x v="1"/>
    <x v="23"/>
    <x v="3"/>
    <x v="5"/>
    <x v="40"/>
    <n v="5"/>
    <n v="15285"/>
    <n v="5460"/>
  </r>
  <r>
    <x v="0"/>
    <x v="0"/>
    <x v="0"/>
    <x v="3"/>
    <x v="5"/>
    <x v="41"/>
    <n v="8"/>
    <n v="25096"/>
    <n v="6992"/>
  </r>
  <r>
    <x v="1"/>
    <x v="0"/>
    <x v="1"/>
    <x v="3"/>
    <x v="5"/>
    <x v="41"/>
    <n v="5"/>
    <n v="15340"/>
    <n v="4370"/>
  </r>
  <r>
    <x v="2"/>
    <x v="0"/>
    <x v="2"/>
    <x v="3"/>
    <x v="5"/>
    <x v="41"/>
    <n v="4"/>
    <n v="12420"/>
    <n v="3496"/>
  </r>
  <r>
    <x v="3"/>
    <x v="0"/>
    <x v="3"/>
    <x v="3"/>
    <x v="5"/>
    <x v="41"/>
    <n v="8"/>
    <n v="28904"/>
    <n v="6992"/>
  </r>
  <r>
    <x v="4"/>
    <x v="0"/>
    <x v="4"/>
    <x v="3"/>
    <x v="5"/>
    <x v="41"/>
    <n v="9"/>
    <n v="37062"/>
    <n v="7866"/>
  </r>
  <r>
    <x v="5"/>
    <x v="0"/>
    <x v="5"/>
    <x v="3"/>
    <x v="5"/>
    <x v="41"/>
    <n v="9"/>
    <n v="24111"/>
    <n v="7866"/>
  </r>
  <r>
    <x v="6"/>
    <x v="0"/>
    <x v="6"/>
    <x v="3"/>
    <x v="5"/>
    <x v="41"/>
    <n v="9"/>
    <n v="17775"/>
    <n v="7866"/>
  </r>
  <r>
    <x v="7"/>
    <x v="0"/>
    <x v="7"/>
    <x v="3"/>
    <x v="5"/>
    <x v="41"/>
    <n v="8"/>
    <n v="19048"/>
    <n v="6992"/>
  </r>
  <r>
    <x v="8"/>
    <x v="0"/>
    <x v="8"/>
    <x v="3"/>
    <x v="5"/>
    <x v="41"/>
    <n v="9"/>
    <n v="23445"/>
    <n v="7866"/>
  </r>
  <r>
    <x v="9"/>
    <x v="0"/>
    <x v="9"/>
    <x v="3"/>
    <x v="5"/>
    <x v="41"/>
    <n v="7"/>
    <n v="23233"/>
    <n v="6118"/>
  </r>
  <r>
    <x v="10"/>
    <x v="0"/>
    <x v="10"/>
    <x v="3"/>
    <x v="5"/>
    <x v="41"/>
    <n v="5"/>
    <n v="17250"/>
    <n v="4370"/>
  </r>
  <r>
    <x v="11"/>
    <x v="0"/>
    <x v="11"/>
    <x v="3"/>
    <x v="5"/>
    <x v="41"/>
    <n v="6"/>
    <n v="15444"/>
    <n v="5244"/>
  </r>
  <r>
    <x v="12"/>
    <x v="1"/>
    <x v="12"/>
    <x v="3"/>
    <x v="5"/>
    <x v="41"/>
    <n v="9"/>
    <n v="25776"/>
    <n v="7866"/>
  </r>
  <r>
    <x v="13"/>
    <x v="1"/>
    <x v="13"/>
    <x v="3"/>
    <x v="5"/>
    <x v="41"/>
    <n v="6"/>
    <n v="19962"/>
    <n v="5244"/>
  </r>
  <r>
    <x v="14"/>
    <x v="1"/>
    <x v="14"/>
    <x v="3"/>
    <x v="5"/>
    <x v="41"/>
    <n v="5"/>
    <n v="12870"/>
    <n v="4370"/>
  </r>
  <r>
    <x v="15"/>
    <x v="1"/>
    <x v="15"/>
    <x v="3"/>
    <x v="5"/>
    <x v="41"/>
    <n v="8"/>
    <n v="24208"/>
    <n v="6992"/>
  </r>
  <r>
    <x v="16"/>
    <x v="1"/>
    <x v="16"/>
    <x v="3"/>
    <x v="5"/>
    <x v="41"/>
    <n v="10"/>
    <n v="45580"/>
    <n v="8740"/>
  </r>
  <r>
    <x v="17"/>
    <x v="1"/>
    <x v="17"/>
    <x v="3"/>
    <x v="5"/>
    <x v="41"/>
    <n v="10"/>
    <n v="30300"/>
    <n v="8740"/>
  </r>
  <r>
    <x v="18"/>
    <x v="1"/>
    <x v="18"/>
    <x v="3"/>
    <x v="5"/>
    <x v="41"/>
    <n v="10"/>
    <n v="20250"/>
    <n v="8740"/>
  </r>
  <r>
    <x v="19"/>
    <x v="1"/>
    <x v="19"/>
    <x v="3"/>
    <x v="5"/>
    <x v="41"/>
    <n v="9"/>
    <n v="19161"/>
    <n v="7866"/>
  </r>
  <r>
    <x v="20"/>
    <x v="1"/>
    <x v="20"/>
    <x v="3"/>
    <x v="5"/>
    <x v="41"/>
    <n v="9"/>
    <n v="30330"/>
    <n v="7866"/>
  </r>
  <r>
    <x v="21"/>
    <x v="1"/>
    <x v="21"/>
    <x v="3"/>
    <x v="5"/>
    <x v="41"/>
    <n v="8"/>
    <n v="29896"/>
    <n v="6992"/>
  </r>
  <r>
    <x v="22"/>
    <x v="1"/>
    <x v="22"/>
    <x v="3"/>
    <x v="5"/>
    <x v="41"/>
    <n v="6"/>
    <n v="23226"/>
    <n v="5244"/>
  </r>
  <r>
    <x v="23"/>
    <x v="1"/>
    <x v="23"/>
    <x v="3"/>
    <x v="5"/>
    <x v="41"/>
    <n v="7"/>
    <n v="21021"/>
    <n v="6118"/>
  </r>
  <r>
    <x v="0"/>
    <x v="0"/>
    <x v="0"/>
    <x v="4"/>
    <x v="0"/>
    <x v="0"/>
    <n v="48"/>
    <n v="530448"/>
    <n v="288000"/>
  </r>
  <r>
    <x v="1"/>
    <x v="0"/>
    <x v="1"/>
    <x v="4"/>
    <x v="0"/>
    <x v="0"/>
    <n v="30"/>
    <n v="337320"/>
    <n v="180000"/>
  </r>
  <r>
    <x v="2"/>
    <x v="0"/>
    <x v="2"/>
    <x v="4"/>
    <x v="0"/>
    <x v="0"/>
    <n v="24"/>
    <n v="244128"/>
    <n v="144000"/>
  </r>
  <r>
    <x v="3"/>
    <x v="0"/>
    <x v="3"/>
    <x v="4"/>
    <x v="0"/>
    <x v="0"/>
    <n v="45"/>
    <n v="518940"/>
    <n v="270000"/>
  </r>
  <r>
    <x v="4"/>
    <x v="0"/>
    <x v="4"/>
    <x v="4"/>
    <x v="0"/>
    <x v="0"/>
    <n v="57"/>
    <n v="690042"/>
    <n v="342000"/>
  </r>
  <r>
    <x v="5"/>
    <x v="0"/>
    <x v="5"/>
    <x v="4"/>
    <x v="0"/>
    <x v="0"/>
    <n v="54"/>
    <n v="636930"/>
    <n v="324000"/>
  </r>
  <r>
    <x v="6"/>
    <x v="0"/>
    <x v="6"/>
    <x v="4"/>
    <x v="0"/>
    <x v="0"/>
    <n v="57"/>
    <n v="566580"/>
    <n v="342000"/>
  </r>
  <r>
    <x v="7"/>
    <x v="0"/>
    <x v="7"/>
    <x v="4"/>
    <x v="0"/>
    <x v="0"/>
    <n v="48"/>
    <n v="495600"/>
    <n v="288000"/>
  </r>
  <r>
    <x v="8"/>
    <x v="0"/>
    <x v="8"/>
    <x v="4"/>
    <x v="0"/>
    <x v="0"/>
    <n v="51"/>
    <n v="542742"/>
    <n v="306000"/>
  </r>
  <r>
    <x v="9"/>
    <x v="0"/>
    <x v="9"/>
    <x v="4"/>
    <x v="0"/>
    <x v="0"/>
    <n v="42"/>
    <n v="489762"/>
    <n v="252000"/>
  </r>
  <r>
    <x v="10"/>
    <x v="0"/>
    <x v="10"/>
    <x v="4"/>
    <x v="0"/>
    <x v="0"/>
    <n v="30"/>
    <n v="354450"/>
    <n v="180000"/>
  </r>
  <r>
    <x v="11"/>
    <x v="0"/>
    <x v="11"/>
    <x v="4"/>
    <x v="0"/>
    <x v="0"/>
    <n v="36"/>
    <n v="389808"/>
    <n v="216000"/>
  </r>
  <r>
    <x v="12"/>
    <x v="1"/>
    <x v="12"/>
    <x v="4"/>
    <x v="0"/>
    <x v="0"/>
    <n v="52"/>
    <n v="573248"/>
    <n v="312000"/>
  </r>
  <r>
    <x v="13"/>
    <x v="1"/>
    <x v="13"/>
    <x v="4"/>
    <x v="0"/>
    <x v="0"/>
    <n v="33"/>
    <n v="366201"/>
    <n v="198000"/>
  </r>
  <r>
    <x v="14"/>
    <x v="1"/>
    <x v="14"/>
    <x v="4"/>
    <x v="0"/>
    <x v="0"/>
    <n v="26"/>
    <n v="287768"/>
    <n v="156000"/>
  </r>
  <r>
    <x v="15"/>
    <x v="1"/>
    <x v="15"/>
    <x v="4"/>
    <x v="0"/>
    <x v="0"/>
    <n v="49"/>
    <n v="571879"/>
    <n v="294000"/>
  </r>
  <r>
    <x v="16"/>
    <x v="1"/>
    <x v="16"/>
    <x v="4"/>
    <x v="0"/>
    <x v="0"/>
    <n v="62"/>
    <n v="755098"/>
    <n v="372000"/>
  </r>
  <r>
    <x v="17"/>
    <x v="1"/>
    <x v="17"/>
    <x v="4"/>
    <x v="0"/>
    <x v="0"/>
    <n v="59"/>
    <n v="674665"/>
    <n v="354000"/>
  </r>
  <r>
    <x v="18"/>
    <x v="1"/>
    <x v="18"/>
    <x v="4"/>
    <x v="0"/>
    <x v="0"/>
    <n v="62"/>
    <n v="593154"/>
    <n v="372000"/>
  </r>
  <r>
    <x v="19"/>
    <x v="1"/>
    <x v="19"/>
    <x v="4"/>
    <x v="0"/>
    <x v="0"/>
    <n v="52"/>
    <n v="571064"/>
    <n v="312000"/>
  </r>
  <r>
    <x v="20"/>
    <x v="1"/>
    <x v="20"/>
    <x v="4"/>
    <x v="0"/>
    <x v="0"/>
    <n v="56"/>
    <n v="589792"/>
    <n v="336000"/>
  </r>
  <r>
    <x v="21"/>
    <x v="1"/>
    <x v="21"/>
    <x v="4"/>
    <x v="0"/>
    <x v="0"/>
    <n v="46"/>
    <n v="501722"/>
    <n v="276000"/>
  </r>
  <r>
    <x v="22"/>
    <x v="1"/>
    <x v="22"/>
    <x v="4"/>
    <x v="0"/>
    <x v="0"/>
    <n v="33"/>
    <n v="376398"/>
    <n v="198000"/>
  </r>
  <r>
    <x v="23"/>
    <x v="1"/>
    <x v="23"/>
    <x v="4"/>
    <x v="0"/>
    <x v="0"/>
    <n v="39"/>
    <n v="403143"/>
    <n v="234000"/>
  </r>
  <r>
    <x v="0"/>
    <x v="0"/>
    <x v="0"/>
    <x v="4"/>
    <x v="0"/>
    <x v="1"/>
    <n v="44"/>
    <n v="574816"/>
    <n v="311520"/>
  </r>
  <r>
    <x v="1"/>
    <x v="0"/>
    <x v="1"/>
    <x v="4"/>
    <x v="0"/>
    <x v="1"/>
    <n v="27"/>
    <n v="347490"/>
    <n v="191160"/>
  </r>
  <r>
    <x v="2"/>
    <x v="0"/>
    <x v="2"/>
    <x v="4"/>
    <x v="0"/>
    <x v="1"/>
    <n v="22"/>
    <n v="283734"/>
    <n v="155760"/>
  </r>
  <r>
    <x v="3"/>
    <x v="0"/>
    <x v="3"/>
    <x v="4"/>
    <x v="0"/>
    <x v="1"/>
    <n v="41"/>
    <n v="548744"/>
    <n v="290280"/>
  </r>
  <r>
    <x v="4"/>
    <x v="0"/>
    <x v="4"/>
    <x v="4"/>
    <x v="0"/>
    <x v="1"/>
    <n v="52"/>
    <n v="732368"/>
    <n v="368160"/>
  </r>
  <r>
    <x v="5"/>
    <x v="0"/>
    <x v="5"/>
    <x v="4"/>
    <x v="0"/>
    <x v="1"/>
    <n v="49"/>
    <n v="671251"/>
    <n v="346920"/>
  </r>
  <r>
    <x v="6"/>
    <x v="0"/>
    <x v="6"/>
    <x v="4"/>
    <x v="0"/>
    <x v="1"/>
    <n v="52"/>
    <n v="622596"/>
    <n v="368160"/>
  </r>
  <r>
    <x v="7"/>
    <x v="0"/>
    <x v="7"/>
    <x v="4"/>
    <x v="0"/>
    <x v="1"/>
    <n v="44"/>
    <n v="553432"/>
    <n v="311520"/>
  </r>
  <r>
    <x v="8"/>
    <x v="0"/>
    <x v="8"/>
    <x v="4"/>
    <x v="0"/>
    <x v="1"/>
    <n v="46"/>
    <n v="615526"/>
    <n v="325680"/>
  </r>
  <r>
    <x v="9"/>
    <x v="0"/>
    <x v="9"/>
    <x v="4"/>
    <x v="0"/>
    <x v="1"/>
    <n v="38"/>
    <n v="520068"/>
    <n v="269040"/>
  </r>
  <r>
    <x v="10"/>
    <x v="0"/>
    <x v="10"/>
    <x v="4"/>
    <x v="0"/>
    <x v="1"/>
    <n v="27"/>
    <n v="361449"/>
    <n v="191160"/>
  </r>
  <r>
    <x v="11"/>
    <x v="0"/>
    <x v="11"/>
    <x v="4"/>
    <x v="0"/>
    <x v="1"/>
    <n v="33"/>
    <n v="426294"/>
    <n v="233640"/>
  </r>
  <r>
    <x v="12"/>
    <x v="1"/>
    <x v="12"/>
    <x v="4"/>
    <x v="0"/>
    <x v="1"/>
    <n v="48"/>
    <n v="661824"/>
    <n v="339840"/>
  </r>
  <r>
    <x v="13"/>
    <x v="1"/>
    <x v="13"/>
    <x v="4"/>
    <x v="0"/>
    <x v="1"/>
    <n v="30"/>
    <n v="397140"/>
    <n v="212400"/>
  </r>
  <r>
    <x v="14"/>
    <x v="1"/>
    <x v="14"/>
    <x v="4"/>
    <x v="0"/>
    <x v="1"/>
    <n v="24"/>
    <n v="322392"/>
    <n v="169920"/>
  </r>
  <r>
    <x v="15"/>
    <x v="1"/>
    <x v="15"/>
    <x v="4"/>
    <x v="0"/>
    <x v="1"/>
    <n v="45"/>
    <n v="614520"/>
    <n v="318600"/>
  </r>
  <r>
    <x v="16"/>
    <x v="1"/>
    <x v="16"/>
    <x v="4"/>
    <x v="0"/>
    <x v="1"/>
    <n v="57"/>
    <n v="811110"/>
    <n v="403560"/>
  </r>
  <r>
    <x v="17"/>
    <x v="1"/>
    <x v="17"/>
    <x v="4"/>
    <x v="0"/>
    <x v="1"/>
    <n v="54"/>
    <n v="732132"/>
    <n v="382320"/>
  </r>
  <r>
    <x v="18"/>
    <x v="1"/>
    <x v="18"/>
    <x v="4"/>
    <x v="0"/>
    <x v="1"/>
    <n v="57"/>
    <n v="694659"/>
    <n v="403560"/>
  </r>
  <r>
    <x v="19"/>
    <x v="1"/>
    <x v="19"/>
    <x v="4"/>
    <x v="0"/>
    <x v="1"/>
    <n v="48"/>
    <n v="602688"/>
    <n v="339840"/>
  </r>
  <r>
    <x v="20"/>
    <x v="1"/>
    <x v="20"/>
    <x v="4"/>
    <x v="0"/>
    <x v="1"/>
    <n v="51"/>
    <n v="692580"/>
    <n v="361080"/>
  </r>
  <r>
    <x v="21"/>
    <x v="1"/>
    <x v="21"/>
    <x v="4"/>
    <x v="0"/>
    <x v="1"/>
    <n v="42"/>
    <n v="558306"/>
    <n v="297360"/>
  </r>
  <r>
    <x v="22"/>
    <x v="1"/>
    <x v="22"/>
    <x v="4"/>
    <x v="0"/>
    <x v="1"/>
    <n v="30"/>
    <n v="404940"/>
    <n v="212400"/>
  </r>
  <r>
    <x v="23"/>
    <x v="1"/>
    <x v="23"/>
    <x v="4"/>
    <x v="0"/>
    <x v="1"/>
    <n v="36"/>
    <n v="450540"/>
    <n v="254880"/>
  </r>
  <r>
    <x v="0"/>
    <x v="0"/>
    <x v="0"/>
    <x v="4"/>
    <x v="0"/>
    <x v="2"/>
    <n v="44"/>
    <n v="1165252"/>
    <n v="462000"/>
  </r>
  <r>
    <x v="1"/>
    <x v="0"/>
    <x v="1"/>
    <x v="4"/>
    <x v="0"/>
    <x v="2"/>
    <n v="27"/>
    <n v="734076"/>
    <n v="283500"/>
  </r>
  <r>
    <x v="2"/>
    <x v="0"/>
    <x v="2"/>
    <x v="4"/>
    <x v="0"/>
    <x v="2"/>
    <n v="22"/>
    <n v="571120"/>
    <n v="231000"/>
  </r>
  <r>
    <x v="3"/>
    <x v="0"/>
    <x v="3"/>
    <x v="4"/>
    <x v="0"/>
    <x v="2"/>
    <n v="41"/>
    <n v="1119546"/>
    <n v="430500"/>
  </r>
  <r>
    <x v="4"/>
    <x v="0"/>
    <x v="4"/>
    <x v="4"/>
    <x v="0"/>
    <x v="2"/>
    <n v="52"/>
    <n v="1416688"/>
    <n v="546000"/>
  </r>
  <r>
    <x v="5"/>
    <x v="0"/>
    <x v="5"/>
    <x v="4"/>
    <x v="0"/>
    <x v="2"/>
    <n v="49"/>
    <n v="1276450"/>
    <n v="514500"/>
  </r>
  <r>
    <x v="6"/>
    <x v="0"/>
    <x v="6"/>
    <x v="4"/>
    <x v="0"/>
    <x v="2"/>
    <n v="52"/>
    <n v="1286844"/>
    <n v="546000"/>
  </r>
  <r>
    <x v="7"/>
    <x v="0"/>
    <x v="7"/>
    <x v="4"/>
    <x v="0"/>
    <x v="2"/>
    <n v="44"/>
    <n v="1119096"/>
    <n v="462000"/>
  </r>
  <r>
    <x v="8"/>
    <x v="0"/>
    <x v="8"/>
    <x v="4"/>
    <x v="0"/>
    <x v="2"/>
    <n v="46"/>
    <n v="1209984"/>
    <n v="483000"/>
  </r>
  <r>
    <x v="9"/>
    <x v="0"/>
    <x v="9"/>
    <x v="4"/>
    <x v="0"/>
    <x v="2"/>
    <n v="38"/>
    <n v="988836"/>
    <n v="399000"/>
  </r>
  <r>
    <x v="10"/>
    <x v="0"/>
    <x v="10"/>
    <x v="4"/>
    <x v="0"/>
    <x v="2"/>
    <n v="27"/>
    <n v="699327"/>
    <n v="283500"/>
  </r>
  <r>
    <x v="11"/>
    <x v="0"/>
    <x v="11"/>
    <x v="4"/>
    <x v="0"/>
    <x v="2"/>
    <n v="33"/>
    <n v="860475"/>
    <n v="346500"/>
  </r>
  <r>
    <x v="12"/>
    <x v="1"/>
    <x v="12"/>
    <x v="4"/>
    <x v="0"/>
    <x v="2"/>
    <n v="48"/>
    <n v="1250064"/>
    <n v="504000"/>
  </r>
  <r>
    <x v="13"/>
    <x v="1"/>
    <x v="13"/>
    <x v="4"/>
    <x v="0"/>
    <x v="2"/>
    <n v="30"/>
    <n v="799980"/>
    <n v="315000"/>
  </r>
  <r>
    <x v="14"/>
    <x v="1"/>
    <x v="14"/>
    <x v="4"/>
    <x v="0"/>
    <x v="2"/>
    <n v="24"/>
    <n v="627672"/>
    <n v="252000"/>
  </r>
  <r>
    <x v="15"/>
    <x v="1"/>
    <x v="15"/>
    <x v="4"/>
    <x v="0"/>
    <x v="2"/>
    <n v="45"/>
    <n v="1200105"/>
    <n v="472500"/>
  </r>
  <r>
    <x v="16"/>
    <x v="1"/>
    <x v="16"/>
    <x v="4"/>
    <x v="0"/>
    <x v="2"/>
    <n v="57"/>
    <n v="1556955"/>
    <n v="598500"/>
  </r>
  <r>
    <x v="17"/>
    <x v="1"/>
    <x v="17"/>
    <x v="4"/>
    <x v="0"/>
    <x v="2"/>
    <n v="54"/>
    <n v="1436022"/>
    <n v="567000"/>
  </r>
  <r>
    <x v="18"/>
    <x v="1"/>
    <x v="18"/>
    <x v="4"/>
    <x v="0"/>
    <x v="2"/>
    <n v="57"/>
    <n v="1429047"/>
    <n v="598500"/>
  </r>
  <r>
    <x v="19"/>
    <x v="1"/>
    <x v="19"/>
    <x v="4"/>
    <x v="0"/>
    <x v="2"/>
    <n v="48"/>
    <n v="1233552"/>
    <n v="504000"/>
  </r>
  <r>
    <x v="20"/>
    <x v="1"/>
    <x v="20"/>
    <x v="4"/>
    <x v="0"/>
    <x v="2"/>
    <n v="51"/>
    <n v="1320543"/>
    <n v="535500"/>
  </r>
  <r>
    <x v="21"/>
    <x v="1"/>
    <x v="21"/>
    <x v="4"/>
    <x v="0"/>
    <x v="2"/>
    <n v="42"/>
    <n v="1086456"/>
    <n v="441000"/>
  </r>
  <r>
    <x v="22"/>
    <x v="1"/>
    <x v="22"/>
    <x v="4"/>
    <x v="0"/>
    <x v="2"/>
    <n v="30"/>
    <n v="777900"/>
    <n v="315000"/>
  </r>
  <r>
    <x v="23"/>
    <x v="1"/>
    <x v="23"/>
    <x v="4"/>
    <x v="0"/>
    <x v="2"/>
    <n v="36"/>
    <n v="910188"/>
    <n v="378000"/>
  </r>
  <r>
    <x v="0"/>
    <x v="0"/>
    <x v="0"/>
    <x v="4"/>
    <x v="0"/>
    <x v="3"/>
    <n v="47"/>
    <n v="851593"/>
    <n v="351560"/>
  </r>
  <r>
    <x v="1"/>
    <x v="0"/>
    <x v="1"/>
    <x v="4"/>
    <x v="0"/>
    <x v="3"/>
    <n v="30"/>
    <n v="548100"/>
    <n v="224400"/>
  </r>
  <r>
    <x v="2"/>
    <x v="0"/>
    <x v="2"/>
    <x v="4"/>
    <x v="0"/>
    <x v="3"/>
    <n v="24"/>
    <n v="434256"/>
    <n v="179520"/>
  </r>
  <r>
    <x v="3"/>
    <x v="0"/>
    <x v="3"/>
    <x v="4"/>
    <x v="0"/>
    <x v="3"/>
    <n v="44"/>
    <n v="812372"/>
    <n v="329120"/>
  </r>
  <r>
    <x v="4"/>
    <x v="0"/>
    <x v="4"/>
    <x v="4"/>
    <x v="0"/>
    <x v="3"/>
    <n v="56"/>
    <n v="1050280"/>
    <n v="418880"/>
  </r>
  <r>
    <x v="5"/>
    <x v="0"/>
    <x v="5"/>
    <x v="4"/>
    <x v="0"/>
    <x v="3"/>
    <n v="53"/>
    <n v="983150"/>
    <n v="396440"/>
  </r>
  <r>
    <x v="6"/>
    <x v="0"/>
    <x v="6"/>
    <x v="4"/>
    <x v="0"/>
    <x v="3"/>
    <n v="56"/>
    <n v="926744"/>
    <n v="418880"/>
  </r>
  <r>
    <x v="7"/>
    <x v="0"/>
    <x v="7"/>
    <x v="4"/>
    <x v="0"/>
    <x v="3"/>
    <n v="47"/>
    <n v="842287"/>
    <n v="351560"/>
  </r>
  <r>
    <x v="8"/>
    <x v="0"/>
    <x v="8"/>
    <x v="4"/>
    <x v="0"/>
    <x v="3"/>
    <n v="50"/>
    <n v="890050"/>
    <n v="374000"/>
  </r>
  <r>
    <x v="9"/>
    <x v="0"/>
    <x v="9"/>
    <x v="4"/>
    <x v="0"/>
    <x v="3"/>
    <n v="41"/>
    <n v="747963"/>
    <n v="306680"/>
  </r>
  <r>
    <x v="10"/>
    <x v="0"/>
    <x v="10"/>
    <x v="4"/>
    <x v="0"/>
    <x v="3"/>
    <n v="30"/>
    <n v="555900"/>
    <n v="224400"/>
  </r>
  <r>
    <x v="11"/>
    <x v="0"/>
    <x v="11"/>
    <x v="4"/>
    <x v="0"/>
    <x v="3"/>
    <n v="36"/>
    <n v="625860"/>
    <n v="269280"/>
  </r>
  <r>
    <x v="12"/>
    <x v="1"/>
    <x v="12"/>
    <x v="4"/>
    <x v="0"/>
    <x v="3"/>
    <n v="52"/>
    <n v="947596"/>
    <n v="388960"/>
  </r>
  <r>
    <x v="13"/>
    <x v="1"/>
    <x v="13"/>
    <x v="4"/>
    <x v="0"/>
    <x v="3"/>
    <n v="33"/>
    <n v="613074"/>
    <n v="246840"/>
  </r>
  <r>
    <x v="14"/>
    <x v="1"/>
    <x v="14"/>
    <x v="4"/>
    <x v="0"/>
    <x v="3"/>
    <n v="26"/>
    <n v="444704"/>
    <n v="194480"/>
  </r>
  <r>
    <x v="15"/>
    <x v="1"/>
    <x v="15"/>
    <x v="4"/>
    <x v="0"/>
    <x v="3"/>
    <n v="49"/>
    <n v="920416"/>
    <n v="366520"/>
  </r>
  <r>
    <x v="16"/>
    <x v="1"/>
    <x v="16"/>
    <x v="4"/>
    <x v="0"/>
    <x v="3"/>
    <n v="62"/>
    <n v="1185812"/>
    <n v="463760"/>
  </r>
  <r>
    <x v="17"/>
    <x v="1"/>
    <x v="17"/>
    <x v="4"/>
    <x v="0"/>
    <x v="3"/>
    <n v="58"/>
    <n v="1054266"/>
    <n v="433840"/>
  </r>
  <r>
    <x v="18"/>
    <x v="1"/>
    <x v="18"/>
    <x v="4"/>
    <x v="0"/>
    <x v="3"/>
    <n v="62"/>
    <n v="1028518"/>
    <n v="463760"/>
  </r>
  <r>
    <x v="19"/>
    <x v="1"/>
    <x v="19"/>
    <x v="4"/>
    <x v="0"/>
    <x v="3"/>
    <n v="52"/>
    <n v="929032"/>
    <n v="388960"/>
  </r>
  <r>
    <x v="20"/>
    <x v="1"/>
    <x v="20"/>
    <x v="4"/>
    <x v="0"/>
    <x v="3"/>
    <n v="55"/>
    <n v="984170"/>
    <n v="411400"/>
  </r>
  <r>
    <x v="21"/>
    <x v="1"/>
    <x v="21"/>
    <x v="4"/>
    <x v="0"/>
    <x v="3"/>
    <n v="46"/>
    <n v="852058"/>
    <n v="344080"/>
  </r>
  <r>
    <x v="22"/>
    <x v="1"/>
    <x v="22"/>
    <x v="4"/>
    <x v="0"/>
    <x v="3"/>
    <n v="33"/>
    <n v="608685"/>
    <n v="246840"/>
  </r>
  <r>
    <x v="23"/>
    <x v="1"/>
    <x v="23"/>
    <x v="4"/>
    <x v="0"/>
    <x v="3"/>
    <n v="39"/>
    <n v="698061"/>
    <n v="291720"/>
  </r>
  <r>
    <x v="0"/>
    <x v="0"/>
    <x v="0"/>
    <x v="4"/>
    <x v="0"/>
    <x v="4"/>
    <n v="37"/>
    <n v="1138416"/>
    <n v="621600"/>
  </r>
  <r>
    <x v="1"/>
    <x v="0"/>
    <x v="1"/>
    <x v="4"/>
    <x v="0"/>
    <x v="4"/>
    <n v="23"/>
    <n v="729261"/>
    <n v="386400"/>
  </r>
  <r>
    <x v="2"/>
    <x v="0"/>
    <x v="2"/>
    <x v="4"/>
    <x v="0"/>
    <x v="4"/>
    <n v="19"/>
    <n v="586644"/>
    <n v="319200"/>
  </r>
  <r>
    <x v="3"/>
    <x v="0"/>
    <x v="3"/>
    <x v="4"/>
    <x v="0"/>
    <x v="4"/>
    <n v="35"/>
    <n v="1112475"/>
    <n v="588000"/>
  </r>
  <r>
    <x v="4"/>
    <x v="0"/>
    <x v="4"/>
    <x v="4"/>
    <x v="0"/>
    <x v="4"/>
    <n v="44"/>
    <n v="1408880"/>
    <n v="739200"/>
  </r>
  <r>
    <x v="5"/>
    <x v="0"/>
    <x v="5"/>
    <x v="4"/>
    <x v="0"/>
    <x v="4"/>
    <n v="41"/>
    <n v="1258946"/>
    <n v="688800"/>
  </r>
  <r>
    <x v="6"/>
    <x v="0"/>
    <x v="6"/>
    <x v="4"/>
    <x v="0"/>
    <x v="4"/>
    <n v="44"/>
    <n v="1309968"/>
    <n v="739200"/>
  </r>
  <r>
    <x v="7"/>
    <x v="0"/>
    <x v="7"/>
    <x v="4"/>
    <x v="0"/>
    <x v="4"/>
    <n v="37"/>
    <n v="1127760"/>
    <n v="621600"/>
  </r>
  <r>
    <x v="8"/>
    <x v="0"/>
    <x v="8"/>
    <x v="4"/>
    <x v="0"/>
    <x v="4"/>
    <n v="39"/>
    <n v="1187823"/>
    <n v="655200"/>
  </r>
  <r>
    <x v="9"/>
    <x v="0"/>
    <x v="9"/>
    <x v="4"/>
    <x v="0"/>
    <x v="4"/>
    <n v="32"/>
    <n v="1014784"/>
    <n v="537600"/>
  </r>
  <r>
    <x v="10"/>
    <x v="0"/>
    <x v="10"/>
    <x v="4"/>
    <x v="0"/>
    <x v="4"/>
    <n v="23"/>
    <n v="722844"/>
    <n v="386400"/>
  </r>
  <r>
    <x v="11"/>
    <x v="0"/>
    <x v="11"/>
    <x v="4"/>
    <x v="0"/>
    <x v="4"/>
    <n v="28"/>
    <n v="871892"/>
    <n v="470400"/>
  </r>
  <r>
    <x v="12"/>
    <x v="1"/>
    <x v="12"/>
    <x v="4"/>
    <x v="0"/>
    <x v="4"/>
    <n v="41"/>
    <n v="1290147"/>
    <n v="688800"/>
  </r>
  <r>
    <x v="13"/>
    <x v="1"/>
    <x v="13"/>
    <x v="4"/>
    <x v="0"/>
    <x v="4"/>
    <n v="26"/>
    <n v="801372"/>
    <n v="436800"/>
  </r>
  <r>
    <x v="14"/>
    <x v="1"/>
    <x v="14"/>
    <x v="4"/>
    <x v="0"/>
    <x v="4"/>
    <n v="21"/>
    <n v="654990"/>
    <n v="352800"/>
  </r>
  <r>
    <x v="15"/>
    <x v="1"/>
    <x v="15"/>
    <x v="4"/>
    <x v="0"/>
    <x v="4"/>
    <n v="38"/>
    <n v="1202738"/>
    <n v="638400"/>
  </r>
  <r>
    <x v="16"/>
    <x v="1"/>
    <x v="16"/>
    <x v="4"/>
    <x v="0"/>
    <x v="4"/>
    <n v="48"/>
    <n v="1544160"/>
    <n v="806400"/>
  </r>
  <r>
    <x v="17"/>
    <x v="1"/>
    <x v="17"/>
    <x v="4"/>
    <x v="0"/>
    <x v="4"/>
    <n v="46"/>
    <n v="1438374"/>
    <n v="772800"/>
  </r>
  <r>
    <x v="18"/>
    <x v="1"/>
    <x v="18"/>
    <x v="4"/>
    <x v="0"/>
    <x v="4"/>
    <n v="48"/>
    <n v="1409664"/>
    <n v="806400"/>
  </r>
  <r>
    <x v="19"/>
    <x v="1"/>
    <x v="19"/>
    <x v="4"/>
    <x v="0"/>
    <x v="4"/>
    <n v="41"/>
    <n v="1261037"/>
    <n v="688800"/>
  </r>
  <r>
    <x v="20"/>
    <x v="1"/>
    <x v="20"/>
    <x v="4"/>
    <x v="0"/>
    <x v="4"/>
    <n v="43"/>
    <n v="1338031"/>
    <n v="722400"/>
  </r>
  <r>
    <x v="21"/>
    <x v="1"/>
    <x v="21"/>
    <x v="4"/>
    <x v="0"/>
    <x v="4"/>
    <n v="36"/>
    <n v="1142784"/>
    <n v="604800"/>
  </r>
  <r>
    <x v="22"/>
    <x v="1"/>
    <x v="22"/>
    <x v="4"/>
    <x v="0"/>
    <x v="4"/>
    <n v="26"/>
    <n v="810524"/>
    <n v="436800"/>
  </r>
  <r>
    <x v="23"/>
    <x v="1"/>
    <x v="23"/>
    <x v="4"/>
    <x v="0"/>
    <x v="4"/>
    <n v="31"/>
    <n v="967572"/>
    <n v="520800"/>
  </r>
  <r>
    <x v="0"/>
    <x v="0"/>
    <x v="0"/>
    <x v="4"/>
    <x v="0"/>
    <x v="5"/>
    <n v="35"/>
    <n v="577290"/>
    <n v="215250"/>
  </r>
  <r>
    <x v="1"/>
    <x v="0"/>
    <x v="1"/>
    <x v="4"/>
    <x v="0"/>
    <x v="5"/>
    <n v="22"/>
    <n v="360250"/>
    <n v="135300"/>
  </r>
  <r>
    <x v="2"/>
    <x v="0"/>
    <x v="2"/>
    <x v="4"/>
    <x v="0"/>
    <x v="5"/>
    <n v="18"/>
    <n v="280890"/>
    <n v="110700"/>
  </r>
  <r>
    <x v="3"/>
    <x v="0"/>
    <x v="3"/>
    <x v="4"/>
    <x v="0"/>
    <x v="5"/>
    <n v="33"/>
    <n v="556248"/>
    <n v="202950"/>
  </r>
  <r>
    <x v="4"/>
    <x v="0"/>
    <x v="4"/>
    <x v="4"/>
    <x v="0"/>
    <x v="5"/>
    <n v="42"/>
    <n v="716982"/>
    <n v="258300"/>
  </r>
  <r>
    <x v="5"/>
    <x v="0"/>
    <x v="5"/>
    <x v="4"/>
    <x v="0"/>
    <x v="5"/>
    <n v="40"/>
    <n v="645400"/>
    <n v="246000"/>
  </r>
  <r>
    <x v="6"/>
    <x v="0"/>
    <x v="6"/>
    <x v="4"/>
    <x v="0"/>
    <x v="5"/>
    <n v="42"/>
    <n v="630588"/>
    <n v="258300"/>
  </r>
  <r>
    <x v="7"/>
    <x v="0"/>
    <x v="7"/>
    <x v="4"/>
    <x v="0"/>
    <x v="5"/>
    <n v="35"/>
    <n v="544425"/>
    <n v="215250"/>
  </r>
  <r>
    <x v="8"/>
    <x v="0"/>
    <x v="8"/>
    <x v="4"/>
    <x v="0"/>
    <x v="5"/>
    <n v="37"/>
    <n v="594368"/>
    <n v="227550"/>
  </r>
  <r>
    <x v="9"/>
    <x v="0"/>
    <x v="9"/>
    <x v="4"/>
    <x v="0"/>
    <x v="5"/>
    <n v="31"/>
    <n v="509144"/>
    <n v="190650"/>
  </r>
  <r>
    <x v="10"/>
    <x v="0"/>
    <x v="10"/>
    <x v="4"/>
    <x v="0"/>
    <x v="5"/>
    <n v="22"/>
    <n v="362318"/>
    <n v="135300"/>
  </r>
  <r>
    <x v="11"/>
    <x v="0"/>
    <x v="11"/>
    <x v="4"/>
    <x v="0"/>
    <x v="5"/>
    <n v="27"/>
    <n v="417258"/>
    <n v="166050"/>
  </r>
  <r>
    <x v="12"/>
    <x v="1"/>
    <x v="12"/>
    <x v="4"/>
    <x v="0"/>
    <x v="5"/>
    <n v="39"/>
    <n v="635388"/>
    <n v="239850"/>
  </r>
  <r>
    <x v="13"/>
    <x v="1"/>
    <x v="13"/>
    <x v="4"/>
    <x v="0"/>
    <x v="5"/>
    <n v="24"/>
    <n v="391032"/>
    <n v="147600"/>
  </r>
  <r>
    <x v="14"/>
    <x v="1"/>
    <x v="14"/>
    <x v="4"/>
    <x v="0"/>
    <x v="5"/>
    <n v="20"/>
    <n v="307560"/>
    <n v="123000"/>
  </r>
  <r>
    <x v="15"/>
    <x v="1"/>
    <x v="15"/>
    <x v="4"/>
    <x v="0"/>
    <x v="5"/>
    <n v="36"/>
    <n v="611568"/>
    <n v="221400"/>
  </r>
  <r>
    <x v="16"/>
    <x v="1"/>
    <x v="16"/>
    <x v="4"/>
    <x v="0"/>
    <x v="5"/>
    <n v="46"/>
    <n v="751318"/>
    <n v="282900"/>
  </r>
  <r>
    <x v="17"/>
    <x v="1"/>
    <x v="17"/>
    <x v="4"/>
    <x v="0"/>
    <x v="5"/>
    <n v="44"/>
    <n v="687852"/>
    <n v="270600"/>
  </r>
  <r>
    <x v="18"/>
    <x v="1"/>
    <x v="18"/>
    <x v="4"/>
    <x v="0"/>
    <x v="5"/>
    <n v="46"/>
    <n v="684710"/>
    <n v="282900"/>
  </r>
  <r>
    <x v="19"/>
    <x v="1"/>
    <x v="19"/>
    <x v="4"/>
    <x v="0"/>
    <x v="5"/>
    <n v="39"/>
    <n v="617253"/>
    <n v="239850"/>
  </r>
  <r>
    <x v="20"/>
    <x v="1"/>
    <x v="20"/>
    <x v="4"/>
    <x v="0"/>
    <x v="5"/>
    <n v="41"/>
    <n v="651736"/>
    <n v="252150"/>
  </r>
  <r>
    <x v="21"/>
    <x v="1"/>
    <x v="21"/>
    <x v="4"/>
    <x v="0"/>
    <x v="5"/>
    <n v="34"/>
    <n v="565488"/>
    <n v="209100"/>
  </r>
  <r>
    <x v="22"/>
    <x v="1"/>
    <x v="22"/>
    <x v="4"/>
    <x v="0"/>
    <x v="5"/>
    <n v="24"/>
    <n v="399600"/>
    <n v="147600"/>
  </r>
  <r>
    <x v="23"/>
    <x v="1"/>
    <x v="23"/>
    <x v="4"/>
    <x v="0"/>
    <x v="5"/>
    <n v="29"/>
    <n v="463478"/>
    <n v="178350"/>
  </r>
  <r>
    <x v="0"/>
    <x v="0"/>
    <x v="0"/>
    <x v="4"/>
    <x v="0"/>
    <x v="6"/>
    <n v="46"/>
    <n v="552644"/>
    <n v="202400"/>
  </r>
  <r>
    <x v="1"/>
    <x v="0"/>
    <x v="1"/>
    <x v="4"/>
    <x v="0"/>
    <x v="6"/>
    <n v="29"/>
    <n v="340344"/>
    <n v="127600"/>
  </r>
  <r>
    <x v="2"/>
    <x v="0"/>
    <x v="2"/>
    <x v="4"/>
    <x v="0"/>
    <x v="6"/>
    <n v="23"/>
    <n v="263373"/>
    <n v="101200"/>
  </r>
  <r>
    <x v="3"/>
    <x v="0"/>
    <x v="3"/>
    <x v="4"/>
    <x v="0"/>
    <x v="6"/>
    <n v="43"/>
    <n v="559000"/>
    <n v="189200"/>
  </r>
  <r>
    <x v="4"/>
    <x v="0"/>
    <x v="4"/>
    <x v="4"/>
    <x v="0"/>
    <x v="6"/>
    <n v="55"/>
    <n v="714890"/>
    <n v="242000"/>
  </r>
  <r>
    <x v="5"/>
    <x v="0"/>
    <x v="5"/>
    <x v="4"/>
    <x v="0"/>
    <x v="6"/>
    <n v="52"/>
    <n v="670904"/>
    <n v="228800"/>
  </r>
  <r>
    <x v="6"/>
    <x v="0"/>
    <x v="6"/>
    <x v="4"/>
    <x v="0"/>
    <x v="6"/>
    <n v="55"/>
    <n v="577830"/>
    <n v="242000"/>
  </r>
  <r>
    <x v="7"/>
    <x v="0"/>
    <x v="7"/>
    <x v="4"/>
    <x v="0"/>
    <x v="6"/>
    <n v="46"/>
    <n v="538108"/>
    <n v="202400"/>
  </r>
  <r>
    <x v="8"/>
    <x v="0"/>
    <x v="8"/>
    <x v="4"/>
    <x v="0"/>
    <x v="6"/>
    <n v="49"/>
    <n v="593292"/>
    <n v="215600"/>
  </r>
  <r>
    <x v="9"/>
    <x v="0"/>
    <x v="9"/>
    <x v="4"/>
    <x v="0"/>
    <x v="6"/>
    <n v="40"/>
    <n v="495560"/>
    <n v="176000"/>
  </r>
  <r>
    <x v="10"/>
    <x v="0"/>
    <x v="10"/>
    <x v="4"/>
    <x v="0"/>
    <x v="6"/>
    <n v="29"/>
    <n v="342287"/>
    <n v="127600"/>
  </r>
  <r>
    <x v="11"/>
    <x v="0"/>
    <x v="11"/>
    <x v="4"/>
    <x v="0"/>
    <x v="6"/>
    <n v="35"/>
    <n v="389760"/>
    <n v="154000"/>
  </r>
  <r>
    <x v="12"/>
    <x v="1"/>
    <x v="12"/>
    <x v="4"/>
    <x v="0"/>
    <x v="6"/>
    <n v="51"/>
    <n v="643212"/>
    <n v="224400"/>
  </r>
  <r>
    <x v="13"/>
    <x v="1"/>
    <x v="13"/>
    <x v="4"/>
    <x v="0"/>
    <x v="6"/>
    <n v="32"/>
    <n v="405344"/>
    <n v="140800"/>
  </r>
  <r>
    <x v="14"/>
    <x v="1"/>
    <x v="14"/>
    <x v="4"/>
    <x v="0"/>
    <x v="6"/>
    <n v="26"/>
    <n v="297492"/>
    <n v="114400"/>
  </r>
  <r>
    <x v="15"/>
    <x v="1"/>
    <x v="15"/>
    <x v="4"/>
    <x v="0"/>
    <x v="6"/>
    <n v="48"/>
    <n v="605520"/>
    <n v="211200"/>
  </r>
  <r>
    <x v="16"/>
    <x v="1"/>
    <x v="16"/>
    <x v="4"/>
    <x v="0"/>
    <x v="6"/>
    <n v="60"/>
    <n v="760740"/>
    <n v="264000"/>
  </r>
  <r>
    <x v="17"/>
    <x v="1"/>
    <x v="17"/>
    <x v="4"/>
    <x v="0"/>
    <x v="6"/>
    <n v="57"/>
    <n v="676191"/>
    <n v="250800"/>
  </r>
  <r>
    <x v="18"/>
    <x v="1"/>
    <x v="18"/>
    <x v="4"/>
    <x v="0"/>
    <x v="6"/>
    <n v="60"/>
    <n v="628080"/>
    <n v="264000"/>
  </r>
  <r>
    <x v="19"/>
    <x v="1"/>
    <x v="19"/>
    <x v="4"/>
    <x v="0"/>
    <x v="6"/>
    <n v="51"/>
    <n v="580941"/>
    <n v="224400"/>
  </r>
  <r>
    <x v="20"/>
    <x v="1"/>
    <x v="20"/>
    <x v="4"/>
    <x v="0"/>
    <x v="6"/>
    <n v="54"/>
    <n v="636984"/>
    <n v="237600"/>
  </r>
  <r>
    <x v="21"/>
    <x v="1"/>
    <x v="21"/>
    <x v="4"/>
    <x v="0"/>
    <x v="6"/>
    <n v="44"/>
    <n v="535172"/>
    <n v="193600"/>
  </r>
  <r>
    <x v="22"/>
    <x v="1"/>
    <x v="22"/>
    <x v="4"/>
    <x v="0"/>
    <x v="6"/>
    <n v="32"/>
    <n v="387840"/>
    <n v="140800"/>
  </r>
  <r>
    <x v="23"/>
    <x v="1"/>
    <x v="23"/>
    <x v="4"/>
    <x v="0"/>
    <x v="6"/>
    <n v="38"/>
    <n v="456114"/>
    <n v="167200"/>
  </r>
  <r>
    <x v="0"/>
    <x v="0"/>
    <x v="0"/>
    <x v="4"/>
    <x v="1"/>
    <x v="7"/>
    <n v="23"/>
    <n v="117438"/>
    <n v="41699"/>
  </r>
  <r>
    <x v="1"/>
    <x v="0"/>
    <x v="1"/>
    <x v="4"/>
    <x v="1"/>
    <x v="7"/>
    <n v="15"/>
    <n v="82530"/>
    <n v="27195"/>
  </r>
  <r>
    <x v="2"/>
    <x v="0"/>
    <x v="2"/>
    <x v="4"/>
    <x v="1"/>
    <x v="7"/>
    <n v="12"/>
    <n v="48072"/>
    <n v="21756"/>
  </r>
  <r>
    <x v="3"/>
    <x v="0"/>
    <x v="3"/>
    <x v="4"/>
    <x v="1"/>
    <x v="7"/>
    <n v="22"/>
    <n v="127270"/>
    <n v="39886"/>
  </r>
  <r>
    <x v="4"/>
    <x v="0"/>
    <x v="4"/>
    <x v="4"/>
    <x v="1"/>
    <x v="7"/>
    <n v="28"/>
    <n v="168644"/>
    <n v="50764"/>
  </r>
  <r>
    <x v="5"/>
    <x v="0"/>
    <x v="5"/>
    <x v="4"/>
    <x v="1"/>
    <x v="7"/>
    <n v="26"/>
    <n v="116714"/>
    <n v="47138"/>
  </r>
  <r>
    <x v="6"/>
    <x v="0"/>
    <x v="6"/>
    <x v="4"/>
    <x v="1"/>
    <x v="7"/>
    <n v="28"/>
    <n v="95284"/>
    <n v="50764"/>
  </r>
  <r>
    <x v="7"/>
    <x v="0"/>
    <x v="7"/>
    <x v="4"/>
    <x v="1"/>
    <x v="7"/>
    <n v="23"/>
    <n v="97704"/>
    <n v="41699"/>
  </r>
  <r>
    <x v="8"/>
    <x v="0"/>
    <x v="8"/>
    <x v="4"/>
    <x v="1"/>
    <x v="7"/>
    <n v="25"/>
    <n v="119250"/>
    <n v="45325"/>
  </r>
  <r>
    <x v="9"/>
    <x v="0"/>
    <x v="9"/>
    <x v="4"/>
    <x v="1"/>
    <x v="7"/>
    <n v="21"/>
    <n v="98532"/>
    <n v="38073"/>
  </r>
  <r>
    <x v="10"/>
    <x v="0"/>
    <x v="10"/>
    <x v="4"/>
    <x v="1"/>
    <x v="7"/>
    <n v="15"/>
    <n v="72825"/>
    <n v="27195"/>
  </r>
  <r>
    <x v="11"/>
    <x v="0"/>
    <x v="11"/>
    <x v="4"/>
    <x v="1"/>
    <x v="7"/>
    <n v="18"/>
    <n v="77670"/>
    <n v="32634"/>
  </r>
  <r>
    <x v="12"/>
    <x v="1"/>
    <x v="12"/>
    <x v="4"/>
    <x v="1"/>
    <x v="7"/>
    <n v="26"/>
    <n v="125138"/>
    <n v="47138"/>
  </r>
  <r>
    <x v="13"/>
    <x v="1"/>
    <x v="13"/>
    <x v="4"/>
    <x v="1"/>
    <x v="7"/>
    <n v="16"/>
    <n v="90992"/>
    <n v="29008"/>
  </r>
  <r>
    <x v="14"/>
    <x v="1"/>
    <x v="14"/>
    <x v="4"/>
    <x v="1"/>
    <x v="7"/>
    <n v="13"/>
    <n v="53547"/>
    <n v="23569"/>
  </r>
  <r>
    <x v="15"/>
    <x v="1"/>
    <x v="15"/>
    <x v="4"/>
    <x v="1"/>
    <x v="7"/>
    <n v="24"/>
    <n v="140112"/>
    <n v="43512"/>
  </r>
  <r>
    <x v="16"/>
    <x v="1"/>
    <x v="16"/>
    <x v="4"/>
    <x v="1"/>
    <x v="7"/>
    <n v="31"/>
    <n v="190557"/>
    <n v="56203"/>
  </r>
  <r>
    <x v="17"/>
    <x v="1"/>
    <x v="17"/>
    <x v="4"/>
    <x v="1"/>
    <x v="7"/>
    <n v="29"/>
    <n v="151757"/>
    <n v="52577"/>
  </r>
  <r>
    <x v="18"/>
    <x v="1"/>
    <x v="18"/>
    <x v="4"/>
    <x v="1"/>
    <x v="7"/>
    <n v="31"/>
    <n v="104005"/>
    <n v="56203"/>
  </r>
  <r>
    <x v="19"/>
    <x v="1"/>
    <x v="19"/>
    <x v="4"/>
    <x v="1"/>
    <x v="7"/>
    <n v="26"/>
    <n v="126828"/>
    <n v="47138"/>
  </r>
  <r>
    <x v="20"/>
    <x v="1"/>
    <x v="20"/>
    <x v="4"/>
    <x v="1"/>
    <x v="7"/>
    <n v="27"/>
    <n v="127089"/>
    <n v="48951"/>
  </r>
  <r>
    <x v="21"/>
    <x v="1"/>
    <x v="21"/>
    <x v="4"/>
    <x v="1"/>
    <x v="7"/>
    <n v="23"/>
    <n v="107640"/>
    <n v="41699"/>
  </r>
  <r>
    <x v="22"/>
    <x v="1"/>
    <x v="22"/>
    <x v="4"/>
    <x v="1"/>
    <x v="7"/>
    <n v="16"/>
    <n v="72416"/>
    <n v="29008"/>
  </r>
  <r>
    <x v="23"/>
    <x v="1"/>
    <x v="23"/>
    <x v="4"/>
    <x v="1"/>
    <x v="7"/>
    <n v="19"/>
    <n v="83866"/>
    <n v="34447"/>
  </r>
  <r>
    <x v="0"/>
    <x v="0"/>
    <x v="0"/>
    <x v="4"/>
    <x v="1"/>
    <x v="8"/>
    <n v="18"/>
    <n v="61578"/>
    <n v="20700"/>
  </r>
  <r>
    <x v="1"/>
    <x v="0"/>
    <x v="1"/>
    <x v="4"/>
    <x v="1"/>
    <x v="8"/>
    <n v="12"/>
    <n v="50604"/>
    <n v="13800"/>
  </r>
  <r>
    <x v="2"/>
    <x v="0"/>
    <x v="2"/>
    <x v="4"/>
    <x v="1"/>
    <x v="8"/>
    <n v="9"/>
    <n v="27657"/>
    <n v="10350"/>
  </r>
  <r>
    <x v="3"/>
    <x v="0"/>
    <x v="3"/>
    <x v="4"/>
    <x v="1"/>
    <x v="8"/>
    <n v="17"/>
    <n v="70907"/>
    <n v="19550"/>
  </r>
  <r>
    <x v="4"/>
    <x v="0"/>
    <x v="4"/>
    <x v="4"/>
    <x v="1"/>
    <x v="8"/>
    <n v="22"/>
    <n v="87296"/>
    <n v="25300"/>
  </r>
  <r>
    <x v="5"/>
    <x v="0"/>
    <x v="5"/>
    <x v="4"/>
    <x v="1"/>
    <x v="8"/>
    <n v="21"/>
    <n v="87276"/>
    <n v="24150"/>
  </r>
  <r>
    <x v="6"/>
    <x v="0"/>
    <x v="6"/>
    <x v="4"/>
    <x v="1"/>
    <x v="8"/>
    <n v="22"/>
    <n v="49060"/>
    <n v="25300"/>
  </r>
  <r>
    <x v="7"/>
    <x v="0"/>
    <x v="7"/>
    <x v="4"/>
    <x v="1"/>
    <x v="8"/>
    <n v="18"/>
    <n v="59904"/>
    <n v="20700"/>
  </r>
  <r>
    <x v="8"/>
    <x v="0"/>
    <x v="8"/>
    <x v="4"/>
    <x v="1"/>
    <x v="8"/>
    <n v="20"/>
    <n v="68100"/>
    <n v="23000"/>
  </r>
  <r>
    <x v="9"/>
    <x v="0"/>
    <x v="9"/>
    <x v="4"/>
    <x v="1"/>
    <x v="8"/>
    <n v="16"/>
    <n v="64896"/>
    <n v="18400"/>
  </r>
  <r>
    <x v="10"/>
    <x v="0"/>
    <x v="10"/>
    <x v="4"/>
    <x v="1"/>
    <x v="8"/>
    <n v="12"/>
    <n v="45144"/>
    <n v="13800"/>
  </r>
  <r>
    <x v="11"/>
    <x v="0"/>
    <x v="11"/>
    <x v="4"/>
    <x v="1"/>
    <x v="8"/>
    <n v="14"/>
    <n v="48062"/>
    <n v="16100"/>
  </r>
  <r>
    <x v="12"/>
    <x v="1"/>
    <x v="12"/>
    <x v="4"/>
    <x v="1"/>
    <x v="8"/>
    <n v="20"/>
    <n v="73280"/>
    <n v="23000"/>
  </r>
  <r>
    <x v="13"/>
    <x v="1"/>
    <x v="13"/>
    <x v="4"/>
    <x v="1"/>
    <x v="8"/>
    <n v="13"/>
    <n v="47944"/>
    <n v="14950"/>
  </r>
  <r>
    <x v="14"/>
    <x v="1"/>
    <x v="14"/>
    <x v="4"/>
    <x v="1"/>
    <x v="8"/>
    <n v="10"/>
    <n v="32000"/>
    <n v="11500"/>
  </r>
  <r>
    <x v="15"/>
    <x v="1"/>
    <x v="15"/>
    <x v="4"/>
    <x v="1"/>
    <x v="8"/>
    <n v="19"/>
    <n v="82099"/>
    <n v="21850"/>
  </r>
  <r>
    <x v="16"/>
    <x v="1"/>
    <x v="16"/>
    <x v="4"/>
    <x v="1"/>
    <x v="8"/>
    <n v="24"/>
    <n v="121128"/>
    <n v="27600"/>
  </r>
  <r>
    <x v="17"/>
    <x v="1"/>
    <x v="17"/>
    <x v="4"/>
    <x v="1"/>
    <x v="8"/>
    <n v="23"/>
    <n v="99912"/>
    <n v="26450"/>
  </r>
  <r>
    <x v="18"/>
    <x v="1"/>
    <x v="18"/>
    <x v="4"/>
    <x v="1"/>
    <x v="8"/>
    <n v="24"/>
    <n v="41640"/>
    <n v="27600"/>
  </r>
  <r>
    <x v="19"/>
    <x v="1"/>
    <x v="19"/>
    <x v="4"/>
    <x v="1"/>
    <x v="8"/>
    <n v="20"/>
    <n v="55400"/>
    <n v="23000"/>
  </r>
  <r>
    <x v="20"/>
    <x v="1"/>
    <x v="20"/>
    <x v="4"/>
    <x v="1"/>
    <x v="8"/>
    <n v="22"/>
    <n v="66220"/>
    <n v="25300"/>
  </r>
  <r>
    <x v="21"/>
    <x v="1"/>
    <x v="21"/>
    <x v="4"/>
    <x v="1"/>
    <x v="8"/>
    <n v="18"/>
    <n v="75276"/>
    <n v="20700"/>
  </r>
  <r>
    <x v="22"/>
    <x v="1"/>
    <x v="22"/>
    <x v="4"/>
    <x v="1"/>
    <x v="8"/>
    <n v="13"/>
    <n v="44239"/>
    <n v="14950"/>
  </r>
  <r>
    <x v="23"/>
    <x v="1"/>
    <x v="23"/>
    <x v="4"/>
    <x v="1"/>
    <x v="8"/>
    <n v="15"/>
    <n v="44730"/>
    <n v="17250"/>
  </r>
  <r>
    <x v="0"/>
    <x v="0"/>
    <x v="0"/>
    <x v="4"/>
    <x v="1"/>
    <x v="9"/>
    <n v="24"/>
    <n v="83136"/>
    <n v="32016"/>
  </r>
  <r>
    <x v="1"/>
    <x v="0"/>
    <x v="1"/>
    <x v="4"/>
    <x v="1"/>
    <x v="9"/>
    <n v="15"/>
    <n v="58920"/>
    <n v="20010"/>
  </r>
  <r>
    <x v="2"/>
    <x v="0"/>
    <x v="2"/>
    <x v="4"/>
    <x v="1"/>
    <x v="9"/>
    <n v="12"/>
    <n v="47952"/>
    <n v="16008"/>
  </r>
  <r>
    <x v="3"/>
    <x v="0"/>
    <x v="3"/>
    <x v="4"/>
    <x v="1"/>
    <x v="9"/>
    <n v="22"/>
    <n v="109208"/>
    <n v="29348"/>
  </r>
  <r>
    <x v="4"/>
    <x v="0"/>
    <x v="4"/>
    <x v="4"/>
    <x v="1"/>
    <x v="9"/>
    <n v="28"/>
    <n v="135240"/>
    <n v="37352"/>
  </r>
  <r>
    <x v="5"/>
    <x v="0"/>
    <x v="5"/>
    <x v="4"/>
    <x v="1"/>
    <x v="9"/>
    <n v="27"/>
    <n v="118935"/>
    <n v="36018"/>
  </r>
  <r>
    <x v="6"/>
    <x v="0"/>
    <x v="6"/>
    <x v="4"/>
    <x v="1"/>
    <x v="9"/>
    <n v="28"/>
    <n v="71204"/>
    <n v="37352"/>
  </r>
  <r>
    <x v="7"/>
    <x v="0"/>
    <x v="7"/>
    <x v="4"/>
    <x v="1"/>
    <x v="9"/>
    <n v="24"/>
    <n v="84912"/>
    <n v="32016"/>
  </r>
  <r>
    <x v="8"/>
    <x v="0"/>
    <x v="8"/>
    <x v="4"/>
    <x v="1"/>
    <x v="9"/>
    <n v="25"/>
    <n v="83625"/>
    <n v="33350"/>
  </r>
  <r>
    <x v="9"/>
    <x v="0"/>
    <x v="9"/>
    <x v="4"/>
    <x v="1"/>
    <x v="9"/>
    <n v="21"/>
    <n v="98910"/>
    <n v="28014"/>
  </r>
  <r>
    <x v="10"/>
    <x v="0"/>
    <x v="10"/>
    <x v="4"/>
    <x v="1"/>
    <x v="9"/>
    <n v="15"/>
    <n v="62445"/>
    <n v="20010"/>
  </r>
  <r>
    <x v="11"/>
    <x v="0"/>
    <x v="11"/>
    <x v="4"/>
    <x v="1"/>
    <x v="9"/>
    <n v="18"/>
    <n v="71478"/>
    <n v="24012"/>
  </r>
  <r>
    <x v="12"/>
    <x v="1"/>
    <x v="12"/>
    <x v="4"/>
    <x v="1"/>
    <x v="9"/>
    <n v="26"/>
    <n v="94900"/>
    <n v="34684"/>
  </r>
  <r>
    <x v="13"/>
    <x v="1"/>
    <x v="13"/>
    <x v="4"/>
    <x v="1"/>
    <x v="9"/>
    <n v="16"/>
    <n v="69696"/>
    <n v="21344"/>
  </r>
  <r>
    <x v="14"/>
    <x v="1"/>
    <x v="14"/>
    <x v="4"/>
    <x v="1"/>
    <x v="9"/>
    <n v="13"/>
    <n v="47177"/>
    <n v="17342"/>
  </r>
  <r>
    <x v="15"/>
    <x v="1"/>
    <x v="15"/>
    <x v="4"/>
    <x v="1"/>
    <x v="9"/>
    <n v="24"/>
    <n v="99432"/>
    <n v="32016"/>
  </r>
  <r>
    <x v="16"/>
    <x v="1"/>
    <x v="16"/>
    <x v="4"/>
    <x v="1"/>
    <x v="9"/>
    <n v="31"/>
    <n v="148800"/>
    <n v="41354"/>
  </r>
  <r>
    <x v="17"/>
    <x v="1"/>
    <x v="17"/>
    <x v="4"/>
    <x v="1"/>
    <x v="9"/>
    <n v="29"/>
    <n v="128064"/>
    <n v="38686"/>
  </r>
  <r>
    <x v="18"/>
    <x v="1"/>
    <x v="18"/>
    <x v="4"/>
    <x v="1"/>
    <x v="9"/>
    <n v="31"/>
    <n v="93155"/>
    <n v="41354"/>
  </r>
  <r>
    <x v="19"/>
    <x v="1"/>
    <x v="19"/>
    <x v="4"/>
    <x v="1"/>
    <x v="9"/>
    <n v="26"/>
    <n v="88478"/>
    <n v="34684"/>
  </r>
  <r>
    <x v="20"/>
    <x v="1"/>
    <x v="20"/>
    <x v="4"/>
    <x v="1"/>
    <x v="9"/>
    <n v="28"/>
    <n v="96656"/>
    <n v="37352"/>
  </r>
  <r>
    <x v="21"/>
    <x v="1"/>
    <x v="21"/>
    <x v="4"/>
    <x v="1"/>
    <x v="9"/>
    <n v="23"/>
    <n v="105593"/>
    <n v="30682"/>
  </r>
  <r>
    <x v="22"/>
    <x v="1"/>
    <x v="22"/>
    <x v="4"/>
    <x v="1"/>
    <x v="9"/>
    <n v="16"/>
    <n v="63808"/>
    <n v="21344"/>
  </r>
  <r>
    <x v="23"/>
    <x v="1"/>
    <x v="23"/>
    <x v="4"/>
    <x v="1"/>
    <x v="9"/>
    <n v="20"/>
    <n v="66120"/>
    <n v="26680"/>
  </r>
  <r>
    <x v="0"/>
    <x v="0"/>
    <x v="0"/>
    <x v="4"/>
    <x v="1"/>
    <x v="10"/>
    <n v="20"/>
    <n v="101940"/>
    <n v="40320"/>
  </r>
  <r>
    <x v="1"/>
    <x v="0"/>
    <x v="1"/>
    <x v="4"/>
    <x v="1"/>
    <x v="10"/>
    <n v="12"/>
    <n v="63348"/>
    <n v="24192"/>
  </r>
  <r>
    <x v="2"/>
    <x v="0"/>
    <x v="2"/>
    <x v="4"/>
    <x v="1"/>
    <x v="10"/>
    <n v="10"/>
    <n v="46790"/>
    <n v="20160"/>
  </r>
  <r>
    <x v="3"/>
    <x v="0"/>
    <x v="3"/>
    <x v="4"/>
    <x v="1"/>
    <x v="10"/>
    <n v="18"/>
    <n v="118206"/>
    <n v="36288"/>
  </r>
  <r>
    <x v="4"/>
    <x v="0"/>
    <x v="4"/>
    <x v="4"/>
    <x v="1"/>
    <x v="10"/>
    <n v="23"/>
    <n v="155963"/>
    <n v="46368"/>
  </r>
  <r>
    <x v="5"/>
    <x v="0"/>
    <x v="5"/>
    <x v="4"/>
    <x v="1"/>
    <x v="10"/>
    <n v="22"/>
    <n v="117700"/>
    <n v="44352"/>
  </r>
  <r>
    <x v="6"/>
    <x v="0"/>
    <x v="6"/>
    <x v="4"/>
    <x v="1"/>
    <x v="10"/>
    <n v="23"/>
    <n v="90781"/>
    <n v="46368"/>
  </r>
  <r>
    <x v="7"/>
    <x v="0"/>
    <x v="7"/>
    <x v="4"/>
    <x v="1"/>
    <x v="10"/>
    <n v="20"/>
    <n v="103900"/>
    <n v="40320"/>
  </r>
  <r>
    <x v="8"/>
    <x v="0"/>
    <x v="8"/>
    <x v="4"/>
    <x v="1"/>
    <x v="10"/>
    <n v="21"/>
    <n v="108255"/>
    <n v="42336"/>
  </r>
  <r>
    <x v="9"/>
    <x v="0"/>
    <x v="9"/>
    <x v="4"/>
    <x v="1"/>
    <x v="10"/>
    <n v="17"/>
    <n v="90559"/>
    <n v="34272"/>
  </r>
  <r>
    <x v="10"/>
    <x v="0"/>
    <x v="10"/>
    <x v="4"/>
    <x v="1"/>
    <x v="10"/>
    <n v="12"/>
    <n v="65844"/>
    <n v="24192"/>
  </r>
  <r>
    <x v="11"/>
    <x v="0"/>
    <x v="11"/>
    <x v="4"/>
    <x v="1"/>
    <x v="10"/>
    <n v="15"/>
    <n v="67140"/>
    <n v="30240"/>
  </r>
  <r>
    <x v="12"/>
    <x v="1"/>
    <x v="12"/>
    <x v="4"/>
    <x v="1"/>
    <x v="10"/>
    <n v="22"/>
    <n v="106194"/>
    <n v="44352"/>
  </r>
  <r>
    <x v="13"/>
    <x v="1"/>
    <x v="13"/>
    <x v="4"/>
    <x v="1"/>
    <x v="10"/>
    <n v="14"/>
    <n v="73402"/>
    <n v="28224"/>
  </r>
  <r>
    <x v="14"/>
    <x v="1"/>
    <x v="14"/>
    <x v="4"/>
    <x v="1"/>
    <x v="10"/>
    <n v="11"/>
    <n v="56606"/>
    <n v="22176"/>
  </r>
  <r>
    <x v="15"/>
    <x v="1"/>
    <x v="15"/>
    <x v="4"/>
    <x v="1"/>
    <x v="10"/>
    <n v="20"/>
    <n v="116200"/>
    <n v="40320"/>
  </r>
  <r>
    <x v="16"/>
    <x v="1"/>
    <x v="16"/>
    <x v="4"/>
    <x v="1"/>
    <x v="10"/>
    <n v="26"/>
    <n v="164502"/>
    <n v="52416"/>
  </r>
  <r>
    <x v="17"/>
    <x v="1"/>
    <x v="17"/>
    <x v="4"/>
    <x v="1"/>
    <x v="10"/>
    <n v="24"/>
    <n v="130704"/>
    <n v="48384"/>
  </r>
  <r>
    <x v="18"/>
    <x v="1"/>
    <x v="18"/>
    <x v="4"/>
    <x v="1"/>
    <x v="10"/>
    <n v="26"/>
    <n v="113750"/>
    <n v="52416"/>
  </r>
  <r>
    <x v="19"/>
    <x v="1"/>
    <x v="19"/>
    <x v="4"/>
    <x v="1"/>
    <x v="10"/>
    <n v="22"/>
    <n v="112486"/>
    <n v="44352"/>
  </r>
  <r>
    <x v="20"/>
    <x v="1"/>
    <x v="20"/>
    <x v="4"/>
    <x v="1"/>
    <x v="10"/>
    <n v="23"/>
    <n v="120060"/>
    <n v="46368"/>
  </r>
  <r>
    <x v="21"/>
    <x v="1"/>
    <x v="21"/>
    <x v="4"/>
    <x v="1"/>
    <x v="10"/>
    <n v="19"/>
    <n v="97964"/>
    <n v="38304"/>
  </r>
  <r>
    <x v="22"/>
    <x v="1"/>
    <x v="22"/>
    <x v="4"/>
    <x v="1"/>
    <x v="10"/>
    <n v="14"/>
    <n v="85148"/>
    <n v="28224"/>
  </r>
  <r>
    <x v="23"/>
    <x v="1"/>
    <x v="23"/>
    <x v="4"/>
    <x v="1"/>
    <x v="10"/>
    <n v="16"/>
    <n v="86096"/>
    <n v="32256"/>
  </r>
  <r>
    <x v="0"/>
    <x v="0"/>
    <x v="0"/>
    <x v="4"/>
    <x v="1"/>
    <x v="11"/>
    <n v="18"/>
    <n v="47844"/>
    <n v="16830.000000000004"/>
  </r>
  <r>
    <x v="1"/>
    <x v="0"/>
    <x v="1"/>
    <x v="4"/>
    <x v="1"/>
    <x v="11"/>
    <n v="11"/>
    <n v="36817"/>
    <n v="10285.000000000002"/>
  </r>
  <r>
    <x v="2"/>
    <x v="0"/>
    <x v="2"/>
    <x v="4"/>
    <x v="1"/>
    <x v="11"/>
    <n v="9"/>
    <n v="21942"/>
    <n v="8415.0000000000018"/>
  </r>
  <r>
    <x v="3"/>
    <x v="0"/>
    <x v="3"/>
    <x v="4"/>
    <x v="1"/>
    <x v="11"/>
    <n v="17"/>
    <n v="68935"/>
    <n v="15895.000000000002"/>
  </r>
  <r>
    <x v="4"/>
    <x v="0"/>
    <x v="4"/>
    <x v="4"/>
    <x v="1"/>
    <x v="11"/>
    <n v="21"/>
    <n v="84882"/>
    <n v="19635.000000000004"/>
  </r>
  <r>
    <x v="5"/>
    <x v="0"/>
    <x v="5"/>
    <x v="4"/>
    <x v="1"/>
    <x v="11"/>
    <n v="20"/>
    <n v="70520"/>
    <n v="18700.000000000004"/>
  </r>
  <r>
    <x v="6"/>
    <x v="0"/>
    <x v="6"/>
    <x v="4"/>
    <x v="1"/>
    <x v="11"/>
    <n v="21"/>
    <n v="33726"/>
    <n v="19635.000000000004"/>
  </r>
  <r>
    <x v="7"/>
    <x v="0"/>
    <x v="7"/>
    <x v="4"/>
    <x v="1"/>
    <x v="11"/>
    <n v="18"/>
    <n v="41544"/>
    <n v="16830.000000000004"/>
  </r>
  <r>
    <x v="8"/>
    <x v="0"/>
    <x v="8"/>
    <x v="4"/>
    <x v="1"/>
    <x v="11"/>
    <n v="19"/>
    <n v="60914"/>
    <n v="17765.000000000004"/>
  </r>
  <r>
    <x v="9"/>
    <x v="0"/>
    <x v="9"/>
    <x v="4"/>
    <x v="1"/>
    <x v="11"/>
    <n v="16"/>
    <n v="56576"/>
    <n v="14960.000000000002"/>
  </r>
  <r>
    <x v="10"/>
    <x v="0"/>
    <x v="10"/>
    <x v="4"/>
    <x v="1"/>
    <x v="11"/>
    <n v="11"/>
    <n v="33286"/>
    <n v="10285.000000000002"/>
  </r>
  <r>
    <x v="11"/>
    <x v="0"/>
    <x v="11"/>
    <x v="4"/>
    <x v="1"/>
    <x v="11"/>
    <n v="14"/>
    <n v="26516"/>
    <n v="13090.000000000002"/>
  </r>
  <r>
    <x v="12"/>
    <x v="1"/>
    <x v="12"/>
    <x v="4"/>
    <x v="1"/>
    <x v="11"/>
    <n v="20"/>
    <n v="52020"/>
    <n v="18700.000000000004"/>
  </r>
  <r>
    <x v="13"/>
    <x v="1"/>
    <x v="13"/>
    <x v="4"/>
    <x v="1"/>
    <x v="11"/>
    <n v="12"/>
    <n v="41124"/>
    <n v="11220.000000000002"/>
  </r>
  <r>
    <x v="14"/>
    <x v="1"/>
    <x v="14"/>
    <x v="4"/>
    <x v="1"/>
    <x v="11"/>
    <n v="10"/>
    <n v="20510"/>
    <n v="9350.0000000000018"/>
  </r>
  <r>
    <x v="15"/>
    <x v="1"/>
    <x v="15"/>
    <x v="4"/>
    <x v="1"/>
    <x v="11"/>
    <n v="18"/>
    <n v="70254"/>
    <n v="16830.000000000004"/>
  </r>
  <r>
    <x v="16"/>
    <x v="1"/>
    <x v="16"/>
    <x v="4"/>
    <x v="1"/>
    <x v="11"/>
    <n v="23"/>
    <n v="93127"/>
    <n v="21505.000000000004"/>
  </r>
  <r>
    <x v="17"/>
    <x v="1"/>
    <x v="17"/>
    <x v="4"/>
    <x v="1"/>
    <x v="11"/>
    <n v="22"/>
    <n v="70356"/>
    <n v="20570.000000000004"/>
  </r>
  <r>
    <x v="18"/>
    <x v="1"/>
    <x v="18"/>
    <x v="4"/>
    <x v="1"/>
    <x v="11"/>
    <n v="23"/>
    <n v="42481"/>
    <n v="21505.000000000004"/>
  </r>
  <r>
    <x v="19"/>
    <x v="1"/>
    <x v="19"/>
    <x v="4"/>
    <x v="1"/>
    <x v="11"/>
    <n v="20"/>
    <n v="44760"/>
    <n v="18700.000000000004"/>
  </r>
  <r>
    <x v="20"/>
    <x v="1"/>
    <x v="20"/>
    <x v="4"/>
    <x v="1"/>
    <x v="11"/>
    <n v="21"/>
    <n v="57057"/>
    <n v="19635.000000000004"/>
  </r>
  <r>
    <x v="21"/>
    <x v="1"/>
    <x v="21"/>
    <x v="4"/>
    <x v="1"/>
    <x v="11"/>
    <n v="17"/>
    <n v="60367"/>
    <n v="15895.000000000002"/>
  </r>
  <r>
    <x v="22"/>
    <x v="1"/>
    <x v="22"/>
    <x v="4"/>
    <x v="1"/>
    <x v="11"/>
    <n v="12"/>
    <n v="31392"/>
    <n v="11220.000000000002"/>
  </r>
  <r>
    <x v="23"/>
    <x v="1"/>
    <x v="23"/>
    <x v="4"/>
    <x v="1"/>
    <x v="11"/>
    <n v="15"/>
    <n v="28890"/>
    <n v="14025.000000000002"/>
  </r>
  <r>
    <x v="0"/>
    <x v="0"/>
    <x v="0"/>
    <x v="4"/>
    <x v="1"/>
    <x v="12"/>
    <n v="22"/>
    <n v="114422"/>
    <n v="43472"/>
  </r>
  <r>
    <x v="1"/>
    <x v="0"/>
    <x v="1"/>
    <x v="4"/>
    <x v="1"/>
    <x v="12"/>
    <n v="14"/>
    <n v="68530"/>
    <n v="27664"/>
  </r>
  <r>
    <x v="2"/>
    <x v="0"/>
    <x v="2"/>
    <x v="4"/>
    <x v="1"/>
    <x v="12"/>
    <n v="11"/>
    <n v="46992"/>
    <n v="21736"/>
  </r>
  <r>
    <x v="3"/>
    <x v="0"/>
    <x v="3"/>
    <x v="4"/>
    <x v="1"/>
    <x v="12"/>
    <n v="21"/>
    <n v="118587"/>
    <n v="41496"/>
  </r>
  <r>
    <x v="4"/>
    <x v="0"/>
    <x v="4"/>
    <x v="4"/>
    <x v="1"/>
    <x v="12"/>
    <n v="26"/>
    <n v="157040"/>
    <n v="51376"/>
  </r>
  <r>
    <x v="5"/>
    <x v="0"/>
    <x v="5"/>
    <x v="4"/>
    <x v="1"/>
    <x v="12"/>
    <n v="25"/>
    <n v="126325"/>
    <n v="49400"/>
  </r>
  <r>
    <x v="6"/>
    <x v="0"/>
    <x v="6"/>
    <x v="4"/>
    <x v="1"/>
    <x v="12"/>
    <n v="26"/>
    <n v="90922"/>
    <n v="51376"/>
  </r>
  <r>
    <x v="7"/>
    <x v="0"/>
    <x v="7"/>
    <x v="4"/>
    <x v="1"/>
    <x v="12"/>
    <n v="22"/>
    <n v="97196"/>
    <n v="43472"/>
  </r>
  <r>
    <x v="8"/>
    <x v="0"/>
    <x v="8"/>
    <x v="4"/>
    <x v="1"/>
    <x v="12"/>
    <n v="23"/>
    <n v="93219"/>
    <n v="45448"/>
  </r>
  <r>
    <x v="9"/>
    <x v="0"/>
    <x v="9"/>
    <x v="4"/>
    <x v="1"/>
    <x v="12"/>
    <n v="19"/>
    <n v="101232"/>
    <n v="37544"/>
  </r>
  <r>
    <x v="10"/>
    <x v="0"/>
    <x v="10"/>
    <x v="4"/>
    <x v="1"/>
    <x v="12"/>
    <n v="14"/>
    <n v="76608"/>
    <n v="27664"/>
  </r>
  <r>
    <x v="11"/>
    <x v="0"/>
    <x v="11"/>
    <x v="4"/>
    <x v="1"/>
    <x v="12"/>
    <n v="17"/>
    <n v="80767"/>
    <n v="33592"/>
  </r>
  <r>
    <x v="12"/>
    <x v="1"/>
    <x v="12"/>
    <x v="4"/>
    <x v="1"/>
    <x v="12"/>
    <n v="24"/>
    <n v="129576"/>
    <n v="47424"/>
  </r>
  <r>
    <x v="13"/>
    <x v="1"/>
    <x v="13"/>
    <x v="4"/>
    <x v="1"/>
    <x v="12"/>
    <n v="15"/>
    <n v="76455"/>
    <n v="29640"/>
  </r>
  <r>
    <x v="14"/>
    <x v="1"/>
    <x v="14"/>
    <x v="4"/>
    <x v="1"/>
    <x v="12"/>
    <n v="12"/>
    <n v="47196"/>
    <n v="23712"/>
  </r>
  <r>
    <x v="15"/>
    <x v="1"/>
    <x v="15"/>
    <x v="4"/>
    <x v="1"/>
    <x v="12"/>
    <n v="23"/>
    <n v="132848"/>
    <n v="45448"/>
  </r>
  <r>
    <x v="16"/>
    <x v="1"/>
    <x v="16"/>
    <x v="4"/>
    <x v="1"/>
    <x v="12"/>
    <n v="28"/>
    <n v="170128"/>
    <n v="55328"/>
  </r>
  <r>
    <x v="17"/>
    <x v="1"/>
    <x v="17"/>
    <x v="4"/>
    <x v="1"/>
    <x v="12"/>
    <n v="27"/>
    <n v="144342"/>
    <n v="53352"/>
  </r>
  <r>
    <x v="18"/>
    <x v="1"/>
    <x v="18"/>
    <x v="4"/>
    <x v="1"/>
    <x v="12"/>
    <n v="28"/>
    <n v="107240"/>
    <n v="55328"/>
  </r>
  <r>
    <x v="19"/>
    <x v="1"/>
    <x v="19"/>
    <x v="4"/>
    <x v="1"/>
    <x v="12"/>
    <n v="24"/>
    <n v="117288"/>
    <n v="47424"/>
  </r>
  <r>
    <x v="20"/>
    <x v="1"/>
    <x v="20"/>
    <x v="4"/>
    <x v="1"/>
    <x v="12"/>
    <n v="26"/>
    <n v="121420"/>
    <n v="51376"/>
  </r>
  <r>
    <x v="21"/>
    <x v="1"/>
    <x v="21"/>
    <x v="4"/>
    <x v="1"/>
    <x v="12"/>
    <n v="21"/>
    <n v="116466"/>
    <n v="41496"/>
  </r>
  <r>
    <x v="22"/>
    <x v="1"/>
    <x v="22"/>
    <x v="4"/>
    <x v="1"/>
    <x v="12"/>
    <n v="15"/>
    <n v="77130"/>
    <n v="29640"/>
  </r>
  <r>
    <x v="23"/>
    <x v="1"/>
    <x v="23"/>
    <x v="4"/>
    <x v="1"/>
    <x v="12"/>
    <n v="18"/>
    <n v="77616"/>
    <n v="35568"/>
  </r>
  <r>
    <x v="0"/>
    <x v="0"/>
    <x v="0"/>
    <x v="4"/>
    <x v="1"/>
    <x v="13"/>
    <n v="20"/>
    <n v="127720"/>
    <n v="36000"/>
  </r>
  <r>
    <x v="1"/>
    <x v="0"/>
    <x v="1"/>
    <x v="4"/>
    <x v="1"/>
    <x v="13"/>
    <n v="12"/>
    <n v="74136"/>
    <n v="21600"/>
  </r>
  <r>
    <x v="2"/>
    <x v="0"/>
    <x v="2"/>
    <x v="4"/>
    <x v="1"/>
    <x v="13"/>
    <n v="10"/>
    <n v="51490"/>
    <n v="18000"/>
  </r>
  <r>
    <x v="3"/>
    <x v="0"/>
    <x v="3"/>
    <x v="4"/>
    <x v="1"/>
    <x v="13"/>
    <n v="18"/>
    <n v="122562"/>
    <n v="32400"/>
  </r>
  <r>
    <x v="4"/>
    <x v="0"/>
    <x v="4"/>
    <x v="4"/>
    <x v="1"/>
    <x v="13"/>
    <n v="23"/>
    <n v="156630"/>
    <n v="41400"/>
  </r>
  <r>
    <x v="5"/>
    <x v="0"/>
    <x v="5"/>
    <x v="4"/>
    <x v="1"/>
    <x v="13"/>
    <n v="22"/>
    <n v="129316"/>
    <n v="39600"/>
  </r>
  <r>
    <x v="6"/>
    <x v="0"/>
    <x v="6"/>
    <x v="4"/>
    <x v="1"/>
    <x v="13"/>
    <n v="23"/>
    <n v="110400"/>
    <n v="41400"/>
  </r>
  <r>
    <x v="7"/>
    <x v="0"/>
    <x v="7"/>
    <x v="4"/>
    <x v="1"/>
    <x v="13"/>
    <n v="20"/>
    <n v="109440"/>
    <n v="36000"/>
  </r>
  <r>
    <x v="8"/>
    <x v="0"/>
    <x v="8"/>
    <x v="4"/>
    <x v="1"/>
    <x v="13"/>
    <n v="21"/>
    <n v="126105"/>
    <n v="37800"/>
  </r>
  <r>
    <x v="9"/>
    <x v="0"/>
    <x v="9"/>
    <x v="4"/>
    <x v="1"/>
    <x v="13"/>
    <n v="17"/>
    <n v="102255"/>
    <n v="30600"/>
  </r>
  <r>
    <x v="10"/>
    <x v="0"/>
    <x v="10"/>
    <x v="4"/>
    <x v="1"/>
    <x v="13"/>
    <n v="12"/>
    <n v="73548"/>
    <n v="21600"/>
  </r>
  <r>
    <x v="11"/>
    <x v="0"/>
    <x v="11"/>
    <x v="4"/>
    <x v="1"/>
    <x v="13"/>
    <n v="15"/>
    <n v="82605"/>
    <n v="27000"/>
  </r>
  <r>
    <x v="12"/>
    <x v="1"/>
    <x v="12"/>
    <x v="4"/>
    <x v="1"/>
    <x v="13"/>
    <n v="22"/>
    <n v="125224"/>
    <n v="39600"/>
  </r>
  <r>
    <x v="13"/>
    <x v="1"/>
    <x v="13"/>
    <x v="4"/>
    <x v="1"/>
    <x v="13"/>
    <n v="14"/>
    <n v="76272"/>
    <n v="25200"/>
  </r>
  <r>
    <x v="14"/>
    <x v="1"/>
    <x v="14"/>
    <x v="4"/>
    <x v="1"/>
    <x v="13"/>
    <n v="11"/>
    <n v="60654"/>
    <n v="19800"/>
  </r>
  <r>
    <x v="15"/>
    <x v="1"/>
    <x v="15"/>
    <x v="4"/>
    <x v="1"/>
    <x v="13"/>
    <n v="20"/>
    <n v="126100"/>
    <n v="36000"/>
  </r>
  <r>
    <x v="16"/>
    <x v="1"/>
    <x v="16"/>
    <x v="4"/>
    <x v="1"/>
    <x v="13"/>
    <n v="26"/>
    <n v="159510"/>
    <n v="46800"/>
  </r>
  <r>
    <x v="17"/>
    <x v="1"/>
    <x v="17"/>
    <x v="4"/>
    <x v="1"/>
    <x v="13"/>
    <n v="24"/>
    <n v="149496"/>
    <n v="43200"/>
  </r>
  <r>
    <x v="18"/>
    <x v="1"/>
    <x v="18"/>
    <x v="4"/>
    <x v="1"/>
    <x v="13"/>
    <n v="26"/>
    <n v="116090"/>
    <n v="46800"/>
  </r>
  <r>
    <x v="19"/>
    <x v="1"/>
    <x v="19"/>
    <x v="4"/>
    <x v="1"/>
    <x v="13"/>
    <n v="22"/>
    <n v="121066"/>
    <n v="39600"/>
  </r>
  <r>
    <x v="20"/>
    <x v="1"/>
    <x v="20"/>
    <x v="4"/>
    <x v="1"/>
    <x v="13"/>
    <n v="23"/>
    <n v="130134"/>
    <n v="41400"/>
  </r>
  <r>
    <x v="21"/>
    <x v="1"/>
    <x v="21"/>
    <x v="4"/>
    <x v="1"/>
    <x v="13"/>
    <n v="19"/>
    <n v="115007"/>
    <n v="34200"/>
  </r>
  <r>
    <x v="22"/>
    <x v="1"/>
    <x v="22"/>
    <x v="4"/>
    <x v="1"/>
    <x v="13"/>
    <n v="14"/>
    <n v="83244"/>
    <n v="25200"/>
  </r>
  <r>
    <x v="23"/>
    <x v="1"/>
    <x v="23"/>
    <x v="4"/>
    <x v="1"/>
    <x v="13"/>
    <n v="16"/>
    <n v="81584"/>
    <n v="28800"/>
  </r>
  <r>
    <x v="0"/>
    <x v="0"/>
    <x v="0"/>
    <x v="4"/>
    <x v="2"/>
    <x v="14"/>
    <n v="13"/>
    <n v="467142"/>
    <n v="268450"/>
  </r>
  <r>
    <x v="1"/>
    <x v="0"/>
    <x v="1"/>
    <x v="4"/>
    <x v="2"/>
    <x v="14"/>
    <n v="9"/>
    <n v="329490"/>
    <n v="185850"/>
  </r>
  <r>
    <x v="2"/>
    <x v="0"/>
    <x v="2"/>
    <x v="4"/>
    <x v="2"/>
    <x v="14"/>
    <n v="7"/>
    <n v="252847"/>
    <n v="144550"/>
  </r>
  <r>
    <x v="3"/>
    <x v="0"/>
    <x v="3"/>
    <x v="4"/>
    <x v="2"/>
    <x v="14"/>
    <n v="13"/>
    <n v="472836"/>
    <n v="268450"/>
  </r>
  <r>
    <x v="4"/>
    <x v="0"/>
    <x v="4"/>
    <x v="4"/>
    <x v="2"/>
    <x v="14"/>
    <n v="16"/>
    <n v="591648"/>
    <n v="330400"/>
  </r>
  <r>
    <x v="5"/>
    <x v="0"/>
    <x v="5"/>
    <x v="4"/>
    <x v="2"/>
    <x v="14"/>
    <n v="15"/>
    <n v="539505"/>
    <n v="309750"/>
  </r>
  <r>
    <x v="6"/>
    <x v="0"/>
    <x v="6"/>
    <x v="4"/>
    <x v="2"/>
    <x v="14"/>
    <n v="16"/>
    <n v="561056"/>
    <n v="330400"/>
  </r>
  <r>
    <x v="7"/>
    <x v="0"/>
    <x v="7"/>
    <x v="4"/>
    <x v="2"/>
    <x v="14"/>
    <n v="13"/>
    <n v="468858"/>
    <n v="268450"/>
  </r>
  <r>
    <x v="8"/>
    <x v="0"/>
    <x v="8"/>
    <x v="4"/>
    <x v="2"/>
    <x v="14"/>
    <n v="14"/>
    <n v="495124"/>
    <n v="289100"/>
  </r>
  <r>
    <x v="9"/>
    <x v="0"/>
    <x v="9"/>
    <x v="4"/>
    <x v="2"/>
    <x v="14"/>
    <n v="12"/>
    <n v="436596"/>
    <n v="247800"/>
  </r>
  <r>
    <x v="10"/>
    <x v="0"/>
    <x v="10"/>
    <x v="4"/>
    <x v="2"/>
    <x v="14"/>
    <n v="9"/>
    <n v="325899"/>
    <n v="185850"/>
  </r>
  <r>
    <x v="11"/>
    <x v="0"/>
    <x v="11"/>
    <x v="4"/>
    <x v="2"/>
    <x v="14"/>
    <n v="10"/>
    <n v="353100"/>
    <n v="206500"/>
  </r>
  <r>
    <x v="12"/>
    <x v="1"/>
    <x v="12"/>
    <x v="4"/>
    <x v="2"/>
    <x v="14"/>
    <n v="15"/>
    <n v="549900"/>
    <n v="309750"/>
  </r>
  <r>
    <x v="13"/>
    <x v="1"/>
    <x v="13"/>
    <x v="4"/>
    <x v="2"/>
    <x v="14"/>
    <n v="9"/>
    <n v="326529"/>
    <n v="185850"/>
  </r>
  <r>
    <x v="14"/>
    <x v="1"/>
    <x v="14"/>
    <x v="4"/>
    <x v="2"/>
    <x v="14"/>
    <n v="8"/>
    <n v="289160"/>
    <n v="165200"/>
  </r>
  <r>
    <x v="15"/>
    <x v="1"/>
    <x v="15"/>
    <x v="4"/>
    <x v="2"/>
    <x v="14"/>
    <n v="14"/>
    <n v="520576"/>
    <n v="289100"/>
  </r>
  <r>
    <x v="16"/>
    <x v="1"/>
    <x v="16"/>
    <x v="4"/>
    <x v="2"/>
    <x v="14"/>
    <n v="17"/>
    <n v="622540"/>
    <n v="351050"/>
  </r>
  <r>
    <x v="17"/>
    <x v="1"/>
    <x v="17"/>
    <x v="4"/>
    <x v="2"/>
    <x v="14"/>
    <n v="16"/>
    <n v="588400"/>
    <n v="330400"/>
  </r>
  <r>
    <x v="18"/>
    <x v="1"/>
    <x v="18"/>
    <x v="4"/>
    <x v="2"/>
    <x v="14"/>
    <n v="17"/>
    <n v="587452"/>
    <n v="351050"/>
  </r>
  <r>
    <x v="19"/>
    <x v="1"/>
    <x v="19"/>
    <x v="4"/>
    <x v="2"/>
    <x v="14"/>
    <n v="15"/>
    <n v="533595"/>
    <n v="309750"/>
  </r>
  <r>
    <x v="20"/>
    <x v="1"/>
    <x v="20"/>
    <x v="4"/>
    <x v="2"/>
    <x v="14"/>
    <n v="16"/>
    <n v="577584"/>
    <n v="330400"/>
  </r>
  <r>
    <x v="21"/>
    <x v="1"/>
    <x v="21"/>
    <x v="4"/>
    <x v="2"/>
    <x v="14"/>
    <n v="13"/>
    <n v="475085"/>
    <n v="268450"/>
  </r>
  <r>
    <x v="22"/>
    <x v="1"/>
    <x v="22"/>
    <x v="4"/>
    <x v="2"/>
    <x v="14"/>
    <n v="9"/>
    <n v="328392"/>
    <n v="185850"/>
  </r>
  <r>
    <x v="23"/>
    <x v="1"/>
    <x v="23"/>
    <x v="4"/>
    <x v="2"/>
    <x v="14"/>
    <n v="11"/>
    <n v="396627"/>
    <n v="227150"/>
  </r>
  <r>
    <x v="0"/>
    <x v="0"/>
    <x v="0"/>
    <x v="4"/>
    <x v="2"/>
    <x v="15"/>
    <n v="11"/>
    <n v="362571"/>
    <n v="172480"/>
  </r>
  <r>
    <x v="1"/>
    <x v="0"/>
    <x v="1"/>
    <x v="4"/>
    <x v="2"/>
    <x v="15"/>
    <n v="7"/>
    <n v="238140"/>
    <n v="109760"/>
  </r>
  <r>
    <x v="2"/>
    <x v="0"/>
    <x v="2"/>
    <x v="4"/>
    <x v="2"/>
    <x v="15"/>
    <n v="6"/>
    <n v="194928"/>
    <n v="94080"/>
  </r>
  <r>
    <x v="3"/>
    <x v="0"/>
    <x v="3"/>
    <x v="4"/>
    <x v="2"/>
    <x v="15"/>
    <n v="10"/>
    <n v="336440"/>
    <n v="156800"/>
  </r>
  <r>
    <x v="4"/>
    <x v="0"/>
    <x v="4"/>
    <x v="4"/>
    <x v="2"/>
    <x v="15"/>
    <n v="13"/>
    <n v="437814"/>
    <n v="203840"/>
  </r>
  <r>
    <x v="5"/>
    <x v="0"/>
    <x v="5"/>
    <x v="4"/>
    <x v="2"/>
    <x v="15"/>
    <n v="12"/>
    <n v="395760"/>
    <n v="188160"/>
  </r>
  <r>
    <x v="6"/>
    <x v="0"/>
    <x v="6"/>
    <x v="4"/>
    <x v="2"/>
    <x v="15"/>
    <n v="13"/>
    <n v="405392"/>
    <n v="203840"/>
  </r>
  <r>
    <x v="7"/>
    <x v="0"/>
    <x v="7"/>
    <x v="4"/>
    <x v="2"/>
    <x v="15"/>
    <n v="11"/>
    <n v="361383"/>
    <n v="172480"/>
  </r>
  <r>
    <x v="8"/>
    <x v="0"/>
    <x v="8"/>
    <x v="4"/>
    <x v="2"/>
    <x v="15"/>
    <n v="11"/>
    <n v="360349"/>
    <n v="172480"/>
  </r>
  <r>
    <x v="9"/>
    <x v="0"/>
    <x v="9"/>
    <x v="4"/>
    <x v="2"/>
    <x v="15"/>
    <n v="10"/>
    <n v="330040"/>
    <n v="156800"/>
  </r>
  <r>
    <x v="10"/>
    <x v="0"/>
    <x v="10"/>
    <x v="4"/>
    <x v="2"/>
    <x v="15"/>
    <n v="7"/>
    <n v="232225"/>
    <n v="109760"/>
  </r>
  <r>
    <x v="11"/>
    <x v="0"/>
    <x v="11"/>
    <x v="4"/>
    <x v="2"/>
    <x v="15"/>
    <n v="8"/>
    <n v="257760"/>
    <n v="125440"/>
  </r>
  <r>
    <x v="12"/>
    <x v="1"/>
    <x v="12"/>
    <x v="4"/>
    <x v="2"/>
    <x v="15"/>
    <n v="12"/>
    <n v="406128"/>
    <n v="188160"/>
  </r>
  <r>
    <x v="13"/>
    <x v="1"/>
    <x v="13"/>
    <x v="4"/>
    <x v="2"/>
    <x v="15"/>
    <n v="8"/>
    <n v="272128"/>
    <n v="125440"/>
  </r>
  <r>
    <x v="14"/>
    <x v="1"/>
    <x v="14"/>
    <x v="4"/>
    <x v="2"/>
    <x v="15"/>
    <n v="6"/>
    <n v="198096"/>
    <n v="94080"/>
  </r>
  <r>
    <x v="15"/>
    <x v="1"/>
    <x v="15"/>
    <x v="4"/>
    <x v="2"/>
    <x v="15"/>
    <n v="11"/>
    <n v="373890"/>
    <n v="172480"/>
  </r>
  <r>
    <x v="16"/>
    <x v="1"/>
    <x v="16"/>
    <x v="4"/>
    <x v="2"/>
    <x v="15"/>
    <n v="14"/>
    <n v="477596"/>
    <n v="219520"/>
  </r>
  <r>
    <x v="17"/>
    <x v="1"/>
    <x v="17"/>
    <x v="4"/>
    <x v="2"/>
    <x v="15"/>
    <n v="13"/>
    <n v="441454"/>
    <n v="203840"/>
  </r>
  <r>
    <x v="18"/>
    <x v="1"/>
    <x v="18"/>
    <x v="4"/>
    <x v="2"/>
    <x v="15"/>
    <n v="14"/>
    <n v="448504"/>
    <n v="219520"/>
  </r>
  <r>
    <x v="19"/>
    <x v="1"/>
    <x v="19"/>
    <x v="4"/>
    <x v="2"/>
    <x v="15"/>
    <n v="12"/>
    <n v="390444"/>
    <n v="188160"/>
  </r>
  <r>
    <x v="20"/>
    <x v="1"/>
    <x v="20"/>
    <x v="4"/>
    <x v="2"/>
    <x v="15"/>
    <n v="13"/>
    <n v="428077"/>
    <n v="203840"/>
  </r>
  <r>
    <x v="21"/>
    <x v="1"/>
    <x v="21"/>
    <x v="4"/>
    <x v="2"/>
    <x v="15"/>
    <n v="10"/>
    <n v="329500"/>
    <n v="156800"/>
  </r>
  <r>
    <x v="22"/>
    <x v="1"/>
    <x v="22"/>
    <x v="4"/>
    <x v="2"/>
    <x v="15"/>
    <n v="8"/>
    <n v="267256"/>
    <n v="125440"/>
  </r>
  <r>
    <x v="23"/>
    <x v="1"/>
    <x v="23"/>
    <x v="4"/>
    <x v="2"/>
    <x v="15"/>
    <n v="9"/>
    <n v="297684"/>
    <n v="141120"/>
  </r>
  <r>
    <x v="0"/>
    <x v="0"/>
    <x v="0"/>
    <x v="4"/>
    <x v="2"/>
    <x v="16"/>
    <n v="12"/>
    <n v="522840"/>
    <n v="216720"/>
  </r>
  <r>
    <x v="1"/>
    <x v="0"/>
    <x v="1"/>
    <x v="4"/>
    <x v="2"/>
    <x v="16"/>
    <n v="8"/>
    <n v="349184"/>
    <n v="144480"/>
  </r>
  <r>
    <x v="2"/>
    <x v="0"/>
    <x v="2"/>
    <x v="4"/>
    <x v="2"/>
    <x v="16"/>
    <n v="6"/>
    <n v="258672"/>
    <n v="108360"/>
  </r>
  <r>
    <x v="3"/>
    <x v="0"/>
    <x v="3"/>
    <x v="4"/>
    <x v="2"/>
    <x v="16"/>
    <n v="11"/>
    <n v="475871"/>
    <n v="198660"/>
  </r>
  <r>
    <x v="4"/>
    <x v="0"/>
    <x v="4"/>
    <x v="4"/>
    <x v="2"/>
    <x v="16"/>
    <n v="14"/>
    <n v="618856"/>
    <n v="252840"/>
  </r>
  <r>
    <x v="5"/>
    <x v="0"/>
    <x v="5"/>
    <x v="4"/>
    <x v="2"/>
    <x v="16"/>
    <n v="13"/>
    <n v="558558"/>
    <n v="234780"/>
  </r>
  <r>
    <x v="6"/>
    <x v="0"/>
    <x v="6"/>
    <x v="4"/>
    <x v="2"/>
    <x v="16"/>
    <n v="14"/>
    <n v="577528"/>
    <n v="252840"/>
  </r>
  <r>
    <x v="7"/>
    <x v="0"/>
    <x v="7"/>
    <x v="4"/>
    <x v="2"/>
    <x v="16"/>
    <n v="12"/>
    <n v="509004"/>
    <n v="216720"/>
  </r>
  <r>
    <x v="8"/>
    <x v="0"/>
    <x v="8"/>
    <x v="4"/>
    <x v="2"/>
    <x v="16"/>
    <n v="13"/>
    <n v="561678"/>
    <n v="234780"/>
  </r>
  <r>
    <x v="9"/>
    <x v="0"/>
    <x v="9"/>
    <x v="4"/>
    <x v="2"/>
    <x v="16"/>
    <n v="11"/>
    <n v="478764"/>
    <n v="198660"/>
  </r>
  <r>
    <x v="10"/>
    <x v="0"/>
    <x v="10"/>
    <x v="4"/>
    <x v="2"/>
    <x v="16"/>
    <n v="8"/>
    <n v="343520"/>
    <n v="144480"/>
  </r>
  <r>
    <x v="11"/>
    <x v="0"/>
    <x v="11"/>
    <x v="4"/>
    <x v="2"/>
    <x v="16"/>
    <n v="9"/>
    <n v="385650"/>
    <n v="162540"/>
  </r>
  <r>
    <x v="12"/>
    <x v="1"/>
    <x v="12"/>
    <x v="4"/>
    <x v="2"/>
    <x v="16"/>
    <n v="13"/>
    <n v="557466"/>
    <n v="234780"/>
  </r>
  <r>
    <x v="13"/>
    <x v="1"/>
    <x v="13"/>
    <x v="4"/>
    <x v="2"/>
    <x v="16"/>
    <n v="8"/>
    <n v="345360"/>
    <n v="144480"/>
  </r>
  <r>
    <x v="14"/>
    <x v="1"/>
    <x v="14"/>
    <x v="4"/>
    <x v="2"/>
    <x v="16"/>
    <n v="7"/>
    <n v="300034"/>
    <n v="126420"/>
  </r>
  <r>
    <x v="15"/>
    <x v="1"/>
    <x v="15"/>
    <x v="4"/>
    <x v="2"/>
    <x v="16"/>
    <n v="12"/>
    <n v="525804"/>
    <n v="216720"/>
  </r>
  <r>
    <x v="16"/>
    <x v="1"/>
    <x v="16"/>
    <x v="4"/>
    <x v="2"/>
    <x v="16"/>
    <n v="16"/>
    <n v="700160"/>
    <n v="288960"/>
  </r>
  <r>
    <x v="17"/>
    <x v="1"/>
    <x v="17"/>
    <x v="4"/>
    <x v="2"/>
    <x v="16"/>
    <n v="15"/>
    <n v="653385"/>
    <n v="270900"/>
  </r>
  <r>
    <x v="18"/>
    <x v="1"/>
    <x v="18"/>
    <x v="4"/>
    <x v="2"/>
    <x v="16"/>
    <n v="16"/>
    <n v="676240"/>
    <n v="288960"/>
  </r>
  <r>
    <x v="19"/>
    <x v="1"/>
    <x v="19"/>
    <x v="4"/>
    <x v="2"/>
    <x v="16"/>
    <n v="13"/>
    <n v="555919"/>
    <n v="234780"/>
  </r>
  <r>
    <x v="20"/>
    <x v="1"/>
    <x v="20"/>
    <x v="4"/>
    <x v="2"/>
    <x v="16"/>
    <n v="14"/>
    <n v="596792"/>
    <n v="252840"/>
  </r>
  <r>
    <x v="21"/>
    <x v="1"/>
    <x v="21"/>
    <x v="4"/>
    <x v="2"/>
    <x v="16"/>
    <n v="12"/>
    <n v="517320"/>
    <n v="216720"/>
  </r>
  <r>
    <x v="22"/>
    <x v="1"/>
    <x v="22"/>
    <x v="4"/>
    <x v="2"/>
    <x v="16"/>
    <n v="8"/>
    <n v="342304"/>
    <n v="144480"/>
  </r>
  <r>
    <x v="23"/>
    <x v="1"/>
    <x v="23"/>
    <x v="4"/>
    <x v="2"/>
    <x v="16"/>
    <n v="10"/>
    <n v="429560"/>
    <n v="180600"/>
  </r>
  <r>
    <x v="0"/>
    <x v="0"/>
    <x v="0"/>
    <x v="4"/>
    <x v="2"/>
    <x v="17"/>
    <n v="11"/>
    <n v="320331"/>
    <n v="123200"/>
  </r>
  <r>
    <x v="1"/>
    <x v="0"/>
    <x v="1"/>
    <x v="4"/>
    <x v="2"/>
    <x v="17"/>
    <n v="7"/>
    <n v="204715"/>
    <n v="78400"/>
  </r>
  <r>
    <x v="2"/>
    <x v="0"/>
    <x v="2"/>
    <x v="4"/>
    <x v="2"/>
    <x v="17"/>
    <n v="6"/>
    <n v="170868"/>
    <n v="67200"/>
  </r>
  <r>
    <x v="3"/>
    <x v="0"/>
    <x v="3"/>
    <x v="4"/>
    <x v="2"/>
    <x v="17"/>
    <n v="10"/>
    <n v="293940"/>
    <n v="112000"/>
  </r>
  <r>
    <x v="4"/>
    <x v="0"/>
    <x v="4"/>
    <x v="4"/>
    <x v="2"/>
    <x v="17"/>
    <n v="13"/>
    <n v="388037"/>
    <n v="145600"/>
  </r>
  <r>
    <x v="5"/>
    <x v="0"/>
    <x v="5"/>
    <x v="4"/>
    <x v="2"/>
    <x v="17"/>
    <n v="12"/>
    <n v="352824"/>
    <n v="134400"/>
  </r>
  <r>
    <x v="6"/>
    <x v="0"/>
    <x v="6"/>
    <x v="4"/>
    <x v="2"/>
    <x v="17"/>
    <n v="13"/>
    <n v="354614"/>
    <n v="145600"/>
  </r>
  <r>
    <x v="7"/>
    <x v="0"/>
    <x v="7"/>
    <x v="4"/>
    <x v="2"/>
    <x v="17"/>
    <n v="11"/>
    <n v="319242"/>
    <n v="123200"/>
  </r>
  <r>
    <x v="8"/>
    <x v="0"/>
    <x v="8"/>
    <x v="4"/>
    <x v="2"/>
    <x v="17"/>
    <n v="12"/>
    <n v="350088"/>
    <n v="134400"/>
  </r>
  <r>
    <x v="9"/>
    <x v="0"/>
    <x v="9"/>
    <x v="4"/>
    <x v="2"/>
    <x v="17"/>
    <n v="10"/>
    <n v="290900"/>
    <n v="112000"/>
  </r>
  <r>
    <x v="10"/>
    <x v="0"/>
    <x v="10"/>
    <x v="4"/>
    <x v="2"/>
    <x v="17"/>
    <n v="7"/>
    <n v="202503"/>
    <n v="78400"/>
  </r>
  <r>
    <x v="11"/>
    <x v="0"/>
    <x v="11"/>
    <x v="4"/>
    <x v="2"/>
    <x v="17"/>
    <n v="8"/>
    <n v="229352"/>
    <n v="89600"/>
  </r>
  <r>
    <x v="12"/>
    <x v="1"/>
    <x v="12"/>
    <x v="4"/>
    <x v="2"/>
    <x v="17"/>
    <n v="12"/>
    <n v="353784"/>
    <n v="134400"/>
  </r>
  <r>
    <x v="13"/>
    <x v="1"/>
    <x v="13"/>
    <x v="4"/>
    <x v="2"/>
    <x v="17"/>
    <n v="8"/>
    <n v="241184"/>
    <n v="89600"/>
  </r>
  <r>
    <x v="14"/>
    <x v="1"/>
    <x v="14"/>
    <x v="4"/>
    <x v="2"/>
    <x v="17"/>
    <n v="6"/>
    <n v="171132"/>
    <n v="67200"/>
  </r>
  <r>
    <x v="15"/>
    <x v="1"/>
    <x v="15"/>
    <x v="4"/>
    <x v="2"/>
    <x v="17"/>
    <n v="11"/>
    <n v="328185"/>
    <n v="123200"/>
  </r>
  <r>
    <x v="16"/>
    <x v="1"/>
    <x v="16"/>
    <x v="4"/>
    <x v="2"/>
    <x v="17"/>
    <n v="14"/>
    <n v="428456"/>
    <n v="156800"/>
  </r>
  <r>
    <x v="17"/>
    <x v="1"/>
    <x v="17"/>
    <x v="4"/>
    <x v="2"/>
    <x v="17"/>
    <n v="13"/>
    <n v="378001"/>
    <n v="145600"/>
  </r>
  <r>
    <x v="18"/>
    <x v="1"/>
    <x v="18"/>
    <x v="4"/>
    <x v="2"/>
    <x v="17"/>
    <n v="14"/>
    <n v="392658"/>
    <n v="156800"/>
  </r>
  <r>
    <x v="19"/>
    <x v="1"/>
    <x v="19"/>
    <x v="4"/>
    <x v="2"/>
    <x v="17"/>
    <n v="12"/>
    <n v="339576"/>
    <n v="134400"/>
  </r>
  <r>
    <x v="20"/>
    <x v="1"/>
    <x v="20"/>
    <x v="4"/>
    <x v="2"/>
    <x v="17"/>
    <n v="13"/>
    <n v="379236"/>
    <n v="145600"/>
  </r>
  <r>
    <x v="21"/>
    <x v="1"/>
    <x v="21"/>
    <x v="4"/>
    <x v="2"/>
    <x v="17"/>
    <n v="11"/>
    <n v="321893"/>
    <n v="123200"/>
  </r>
  <r>
    <x v="22"/>
    <x v="1"/>
    <x v="22"/>
    <x v="4"/>
    <x v="2"/>
    <x v="17"/>
    <n v="8"/>
    <n v="234936"/>
    <n v="89600"/>
  </r>
  <r>
    <x v="23"/>
    <x v="1"/>
    <x v="23"/>
    <x v="4"/>
    <x v="2"/>
    <x v="17"/>
    <n v="9"/>
    <n v="258705"/>
    <n v="100800"/>
  </r>
  <r>
    <x v="0"/>
    <x v="0"/>
    <x v="0"/>
    <x v="4"/>
    <x v="2"/>
    <x v="18"/>
    <n v="14"/>
    <n v="643342"/>
    <n v="352800.00000000006"/>
  </r>
  <r>
    <x v="1"/>
    <x v="0"/>
    <x v="1"/>
    <x v="4"/>
    <x v="2"/>
    <x v="18"/>
    <n v="9"/>
    <n v="422451"/>
    <n v="226800.00000000003"/>
  </r>
  <r>
    <x v="2"/>
    <x v="0"/>
    <x v="2"/>
    <x v="4"/>
    <x v="2"/>
    <x v="18"/>
    <n v="7"/>
    <n v="321867"/>
    <n v="176400.00000000003"/>
  </r>
  <r>
    <x v="3"/>
    <x v="0"/>
    <x v="3"/>
    <x v="4"/>
    <x v="2"/>
    <x v="18"/>
    <n v="13"/>
    <n v="613314"/>
    <n v="327600.00000000006"/>
  </r>
  <r>
    <x v="4"/>
    <x v="0"/>
    <x v="4"/>
    <x v="4"/>
    <x v="2"/>
    <x v="18"/>
    <n v="16"/>
    <n v="748992"/>
    <n v="403200.00000000006"/>
  </r>
  <r>
    <x v="5"/>
    <x v="0"/>
    <x v="5"/>
    <x v="4"/>
    <x v="2"/>
    <x v="18"/>
    <n v="15"/>
    <n v="688650"/>
    <n v="378000.00000000006"/>
  </r>
  <r>
    <x v="6"/>
    <x v="0"/>
    <x v="6"/>
    <x v="4"/>
    <x v="2"/>
    <x v="18"/>
    <n v="16"/>
    <n v="718720"/>
    <n v="403200.00000000006"/>
  </r>
  <r>
    <x v="7"/>
    <x v="0"/>
    <x v="7"/>
    <x v="4"/>
    <x v="2"/>
    <x v="18"/>
    <n v="14"/>
    <n v="645540"/>
    <n v="352800.00000000006"/>
  </r>
  <r>
    <x v="8"/>
    <x v="0"/>
    <x v="8"/>
    <x v="4"/>
    <x v="2"/>
    <x v="18"/>
    <n v="15"/>
    <n v="678885"/>
    <n v="378000.00000000006"/>
  </r>
  <r>
    <x v="9"/>
    <x v="0"/>
    <x v="9"/>
    <x v="4"/>
    <x v="2"/>
    <x v="18"/>
    <n v="12"/>
    <n v="550932"/>
    <n v="302400.00000000006"/>
  </r>
  <r>
    <x v="10"/>
    <x v="0"/>
    <x v="10"/>
    <x v="4"/>
    <x v="2"/>
    <x v="18"/>
    <n v="9"/>
    <n v="415188"/>
    <n v="226800.00000000003"/>
  </r>
  <r>
    <x v="11"/>
    <x v="0"/>
    <x v="11"/>
    <x v="4"/>
    <x v="2"/>
    <x v="18"/>
    <n v="10"/>
    <n v="455800"/>
    <n v="252000.00000000003"/>
  </r>
  <r>
    <x v="12"/>
    <x v="1"/>
    <x v="12"/>
    <x v="4"/>
    <x v="2"/>
    <x v="18"/>
    <n v="15"/>
    <n v="696045"/>
    <n v="378000.00000000006"/>
  </r>
  <r>
    <x v="13"/>
    <x v="1"/>
    <x v="13"/>
    <x v="4"/>
    <x v="2"/>
    <x v="18"/>
    <n v="10"/>
    <n v="463540"/>
    <n v="252000.00000000003"/>
  </r>
  <r>
    <x v="14"/>
    <x v="1"/>
    <x v="14"/>
    <x v="4"/>
    <x v="2"/>
    <x v="18"/>
    <n v="8"/>
    <n v="361824"/>
    <n v="201600.00000000003"/>
  </r>
  <r>
    <x v="15"/>
    <x v="1"/>
    <x v="15"/>
    <x v="4"/>
    <x v="2"/>
    <x v="18"/>
    <n v="14"/>
    <n v="656810"/>
    <n v="352800.00000000006"/>
  </r>
  <r>
    <x v="16"/>
    <x v="1"/>
    <x v="16"/>
    <x v="4"/>
    <x v="2"/>
    <x v="18"/>
    <n v="18"/>
    <n v="845874"/>
    <n v="453600.00000000006"/>
  </r>
  <r>
    <x v="17"/>
    <x v="1"/>
    <x v="17"/>
    <x v="4"/>
    <x v="2"/>
    <x v="18"/>
    <n v="17"/>
    <n v="791588"/>
    <n v="428400.00000000006"/>
  </r>
  <r>
    <x v="18"/>
    <x v="1"/>
    <x v="18"/>
    <x v="4"/>
    <x v="2"/>
    <x v="18"/>
    <n v="18"/>
    <n v="815058"/>
    <n v="453600.00000000006"/>
  </r>
  <r>
    <x v="19"/>
    <x v="1"/>
    <x v="19"/>
    <x v="4"/>
    <x v="2"/>
    <x v="18"/>
    <n v="15"/>
    <n v="689685"/>
    <n v="378000.00000000006"/>
  </r>
  <r>
    <x v="20"/>
    <x v="1"/>
    <x v="20"/>
    <x v="4"/>
    <x v="2"/>
    <x v="18"/>
    <n v="16"/>
    <n v="728528"/>
    <n v="403200.00000000006"/>
  </r>
  <r>
    <x v="21"/>
    <x v="1"/>
    <x v="21"/>
    <x v="4"/>
    <x v="2"/>
    <x v="18"/>
    <n v="13"/>
    <n v="608257"/>
    <n v="327600.00000000006"/>
  </r>
  <r>
    <x v="22"/>
    <x v="1"/>
    <x v="22"/>
    <x v="4"/>
    <x v="2"/>
    <x v="18"/>
    <n v="10"/>
    <n v="461340"/>
    <n v="252000.00000000003"/>
  </r>
  <r>
    <x v="23"/>
    <x v="1"/>
    <x v="23"/>
    <x v="4"/>
    <x v="2"/>
    <x v="18"/>
    <n v="11"/>
    <n v="497200"/>
    <n v="277200.00000000006"/>
  </r>
  <r>
    <x v="0"/>
    <x v="0"/>
    <x v="0"/>
    <x v="4"/>
    <x v="2"/>
    <x v="19"/>
    <n v="14"/>
    <n v="254226"/>
    <n v="133280"/>
  </r>
  <r>
    <x v="1"/>
    <x v="0"/>
    <x v="1"/>
    <x v="4"/>
    <x v="2"/>
    <x v="19"/>
    <n v="9"/>
    <n v="168453"/>
    <n v="85680"/>
  </r>
  <r>
    <x v="2"/>
    <x v="0"/>
    <x v="2"/>
    <x v="4"/>
    <x v="2"/>
    <x v="19"/>
    <n v="7"/>
    <n v="125622"/>
    <n v="66640"/>
  </r>
  <r>
    <x v="3"/>
    <x v="0"/>
    <x v="3"/>
    <x v="4"/>
    <x v="2"/>
    <x v="19"/>
    <n v="13"/>
    <n v="236457"/>
    <n v="123760"/>
  </r>
  <r>
    <x v="4"/>
    <x v="0"/>
    <x v="4"/>
    <x v="4"/>
    <x v="2"/>
    <x v="19"/>
    <n v="16"/>
    <n v="305760"/>
    <n v="152320"/>
  </r>
  <r>
    <x v="5"/>
    <x v="0"/>
    <x v="5"/>
    <x v="4"/>
    <x v="2"/>
    <x v="19"/>
    <n v="15"/>
    <n v="268890"/>
    <n v="142800"/>
  </r>
  <r>
    <x v="6"/>
    <x v="0"/>
    <x v="6"/>
    <x v="4"/>
    <x v="2"/>
    <x v="19"/>
    <n v="16"/>
    <n v="273408"/>
    <n v="152320"/>
  </r>
  <r>
    <x v="7"/>
    <x v="0"/>
    <x v="7"/>
    <x v="4"/>
    <x v="2"/>
    <x v="19"/>
    <n v="14"/>
    <n v="247380"/>
    <n v="133280"/>
  </r>
  <r>
    <x v="8"/>
    <x v="0"/>
    <x v="8"/>
    <x v="4"/>
    <x v="2"/>
    <x v="19"/>
    <n v="15"/>
    <n v="270000"/>
    <n v="142800"/>
  </r>
  <r>
    <x v="9"/>
    <x v="0"/>
    <x v="9"/>
    <x v="4"/>
    <x v="2"/>
    <x v="19"/>
    <n v="12"/>
    <n v="221196"/>
    <n v="114240"/>
  </r>
  <r>
    <x v="10"/>
    <x v="0"/>
    <x v="10"/>
    <x v="4"/>
    <x v="2"/>
    <x v="19"/>
    <n v="9"/>
    <n v="161253"/>
    <n v="85680"/>
  </r>
  <r>
    <x v="11"/>
    <x v="0"/>
    <x v="11"/>
    <x v="4"/>
    <x v="2"/>
    <x v="19"/>
    <n v="10"/>
    <n v="180360"/>
    <n v="95200"/>
  </r>
  <r>
    <x v="12"/>
    <x v="1"/>
    <x v="12"/>
    <x v="4"/>
    <x v="2"/>
    <x v="19"/>
    <n v="15"/>
    <n v="273420"/>
    <n v="142800"/>
  </r>
  <r>
    <x v="13"/>
    <x v="1"/>
    <x v="13"/>
    <x v="4"/>
    <x v="2"/>
    <x v="19"/>
    <n v="10"/>
    <n v="179030"/>
    <n v="95200"/>
  </r>
  <r>
    <x v="14"/>
    <x v="1"/>
    <x v="14"/>
    <x v="4"/>
    <x v="2"/>
    <x v="19"/>
    <n v="8"/>
    <n v="142968"/>
    <n v="76160"/>
  </r>
  <r>
    <x v="15"/>
    <x v="1"/>
    <x v="15"/>
    <x v="4"/>
    <x v="2"/>
    <x v="19"/>
    <n v="14"/>
    <n v="265664"/>
    <n v="133280"/>
  </r>
  <r>
    <x v="16"/>
    <x v="1"/>
    <x v="16"/>
    <x v="4"/>
    <x v="2"/>
    <x v="19"/>
    <n v="18"/>
    <n v="347112"/>
    <n v="171360"/>
  </r>
  <r>
    <x v="17"/>
    <x v="1"/>
    <x v="17"/>
    <x v="4"/>
    <x v="2"/>
    <x v="19"/>
    <n v="17"/>
    <n v="304436"/>
    <n v="161840"/>
  </r>
  <r>
    <x v="18"/>
    <x v="1"/>
    <x v="18"/>
    <x v="4"/>
    <x v="2"/>
    <x v="19"/>
    <n v="18"/>
    <n v="302400"/>
    <n v="171360"/>
  </r>
  <r>
    <x v="19"/>
    <x v="1"/>
    <x v="19"/>
    <x v="4"/>
    <x v="2"/>
    <x v="19"/>
    <n v="15"/>
    <n v="260655"/>
    <n v="142800"/>
  </r>
  <r>
    <x v="20"/>
    <x v="1"/>
    <x v="20"/>
    <x v="4"/>
    <x v="2"/>
    <x v="19"/>
    <n v="16"/>
    <n v="292416"/>
    <n v="152320"/>
  </r>
  <r>
    <x v="21"/>
    <x v="1"/>
    <x v="21"/>
    <x v="4"/>
    <x v="2"/>
    <x v="19"/>
    <n v="13"/>
    <n v="245583"/>
    <n v="123760"/>
  </r>
  <r>
    <x v="22"/>
    <x v="1"/>
    <x v="22"/>
    <x v="4"/>
    <x v="2"/>
    <x v="19"/>
    <n v="10"/>
    <n v="183130"/>
    <n v="95200"/>
  </r>
  <r>
    <x v="23"/>
    <x v="1"/>
    <x v="23"/>
    <x v="4"/>
    <x v="2"/>
    <x v="19"/>
    <n v="11"/>
    <n v="199925"/>
    <n v="104720"/>
  </r>
  <r>
    <x v="0"/>
    <x v="0"/>
    <x v="0"/>
    <x v="4"/>
    <x v="2"/>
    <x v="20"/>
    <n v="11"/>
    <n v="440968"/>
    <n v="180180"/>
  </r>
  <r>
    <x v="1"/>
    <x v="0"/>
    <x v="1"/>
    <x v="4"/>
    <x v="2"/>
    <x v="20"/>
    <n v="7"/>
    <n v="282002"/>
    <n v="114660"/>
  </r>
  <r>
    <x v="2"/>
    <x v="0"/>
    <x v="2"/>
    <x v="4"/>
    <x v="2"/>
    <x v="20"/>
    <n v="6"/>
    <n v="237474"/>
    <n v="98280"/>
  </r>
  <r>
    <x v="3"/>
    <x v="0"/>
    <x v="3"/>
    <x v="4"/>
    <x v="2"/>
    <x v="20"/>
    <n v="10"/>
    <n v="407960"/>
    <n v="163800"/>
  </r>
  <r>
    <x v="4"/>
    <x v="0"/>
    <x v="4"/>
    <x v="4"/>
    <x v="2"/>
    <x v="20"/>
    <n v="13"/>
    <n v="525109"/>
    <n v="212940"/>
  </r>
  <r>
    <x v="5"/>
    <x v="0"/>
    <x v="5"/>
    <x v="4"/>
    <x v="2"/>
    <x v="20"/>
    <n v="12"/>
    <n v="478416"/>
    <n v="196560"/>
  </r>
  <r>
    <x v="6"/>
    <x v="0"/>
    <x v="6"/>
    <x v="4"/>
    <x v="2"/>
    <x v="20"/>
    <n v="13"/>
    <n v="502788"/>
    <n v="212940"/>
  </r>
  <r>
    <x v="7"/>
    <x v="0"/>
    <x v="7"/>
    <x v="4"/>
    <x v="2"/>
    <x v="20"/>
    <n v="11"/>
    <n v="438207"/>
    <n v="180180"/>
  </r>
  <r>
    <x v="8"/>
    <x v="0"/>
    <x v="8"/>
    <x v="4"/>
    <x v="2"/>
    <x v="20"/>
    <n v="12"/>
    <n v="481116"/>
    <n v="196560"/>
  </r>
  <r>
    <x v="9"/>
    <x v="0"/>
    <x v="9"/>
    <x v="4"/>
    <x v="2"/>
    <x v="20"/>
    <n v="10"/>
    <n v="408570"/>
    <n v="163800"/>
  </r>
  <r>
    <x v="10"/>
    <x v="0"/>
    <x v="10"/>
    <x v="4"/>
    <x v="2"/>
    <x v="20"/>
    <n v="7"/>
    <n v="280378"/>
    <n v="114660"/>
  </r>
  <r>
    <x v="11"/>
    <x v="0"/>
    <x v="11"/>
    <x v="4"/>
    <x v="2"/>
    <x v="20"/>
    <n v="8"/>
    <n v="316832"/>
    <n v="131040"/>
  </r>
  <r>
    <x v="12"/>
    <x v="1"/>
    <x v="12"/>
    <x v="4"/>
    <x v="2"/>
    <x v="20"/>
    <n v="12"/>
    <n v="484296"/>
    <n v="196560"/>
  </r>
  <r>
    <x v="13"/>
    <x v="1"/>
    <x v="13"/>
    <x v="4"/>
    <x v="2"/>
    <x v="20"/>
    <n v="8"/>
    <n v="321240"/>
    <n v="131040"/>
  </r>
  <r>
    <x v="14"/>
    <x v="1"/>
    <x v="14"/>
    <x v="4"/>
    <x v="2"/>
    <x v="20"/>
    <n v="6"/>
    <n v="237174"/>
    <n v="98280"/>
  </r>
  <r>
    <x v="15"/>
    <x v="1"/>
    <x v="15"/>
    <x v="4"/>
    <x v="2"/>
    <x v="20"/>
    <n v="11"/>
    <n v="451451"/>
    <n v="180180"/>
  </r>
  <r>
    <x v="16"/>
    <x v="1"/>
    <x v="16"/>
    <x v="4"/>
    <x v="2"/>
    <x v="20"/>
    <n v="14"/>
    <n v="572950"/>
    <n v="229320"/>
  </r>
  <r>
    <x v="17"/>
    <x v="1"/>
    <x v="17"/>
    <x v="4"/>
    <x v="2"/>
    <x v="20"/>
    <n v="14"/>
    <n v="574854"/>
    <n v="229320"/>
  </r>
  <r>
    <x v="18"/>
    <x v="1"/>
    <x v="18"/>
    <x v="4"/>
    <x v="2"/>
    <x v="20"/>
    <n v="14"/>
    <n v="551194"/>
    <n v="229320"/>
  </r>
  <r>
    <x v="19"/>
    <x v="1"/>
    <x v="19"/>
    <x v="4"/>
    <x v="2"/>
    <x v="20"/>
    <n v="12"/>
    <n v="476520"/>
    <n v="196560"/>
  </r>
  <r>
    <x v="20"/>
    <x v="1"/>
    <x v="20"/>
    <x v="4"/>
    <x v="2"/>
    <x v="20"/>
    <n v="13"/>
    <n v="517322"/>
    <n v="212940"/>
  </r>
  <r>
    <x v="21"/>
    <x v="1"/>
    <x v="21"/>
    <x v="4"/>
    <x v="2"/>
    <x v="20"/>
    <n v="11"/>
    <n v="440935"/>
    <n v="180180"/>
  </r>
  <r>
    <x v="22"/>
    <x v="1"/>
    <x v="22"/>
    <x v="4"/>
    <x v="2"/>
    <x v="20"/>
    <n v="8"/>
    <n v="321056"/>
    <n v="131040"/>
  </r>
  <r>
    <x v="23"/>
    <x v="1"/>
    <x v="23"/>
    <x v="4"/>
    <x v="2"/>
    <x v="20"/>
    <n v="9"/>
    <n v="357471"/>
    <n v="147420"/>
  </r>
  <r>
    <x v="0"/>
    <x v="0"/>
    <x v="0"/>
    <x v="4"/>
    <x v="3"/>
    <x v="21"/>
    <n v="33"/>
    <n v="211431"/>
    <n v="75900"/>
  </r>
  <r>
    <x v="1"/>
    <x v="0"/>
    <x v="1"/>
    <x v="4"/>
    <x v="3"/>
    <x v="21"/>
    <n v="21"/>
    <n v="132258"/>
    <n v="48300"/>
  </r>
  <r>
    <x v="2"/>
    <x v="0"/>
    <x v="2"/>
    <x v="4"/>
    <x v="3"/>
    <x v="21"/>
    <n v="17"/>
    <n v="100011"/>
    <n v="39100"/>
  </r>
  <r>
    <x v="3"/>
    <x v="0"/>
    <x v="3"/>
    <x v="4"/>
    <x v="3"/>
    <x v="21"/>
    <n v="31"/>
    <n v="226858"/>
    <n v="71300"/>
  </r>
  <r>
    <x v="4"/>
    <x v="0"/>
    <x v="4"/>
    <x v="4"/>
    <x v="3"/>
    <x v="21"/>
    <n v="40"/>
    <n v="258280"/>
    <n v="92000"/>
  </r>
  <r>
    <x v="5"/>
    <x v="0"/>
    <x v="5"/>
    <x v="4"/>
    <x v="3"/>
    <x v="21"/>
    <n v="38"/>
    <n v="233396"/>
    <n v="87400"/>
  </r>
  <r>
    <x v="6"/>
    <x v="0"/>
    <x v="6"/>
    <x v="4"/>
    <x v="3"/>
    <x v="21"/>
    <n v="40"/>
    <n v="167600"/>
    <n v="92000"/>
  </r>
  <r>
    <x v="7"/>
    <x v="0"/>
    <x v="7"/>
    <x v="4"/>
    <x v="3"/>
    <x v="21"/>
    <n v="33"/>
    <n v="186648"/>
    <n v="75900"/>
  </r>
  <r>
    <x v="8"/>
    <x v="0"/>
    <x v="8"/>
    <x v="4"/>
    <x v="3"/>
    <x v="21"/>
    <n v="36"/>
    <n v="191592"/>
    <n v="82800"/>
  </r>
  <r>
    <x v="9"/>
    <x v="0"/>
    <x v="9"/>
    <x v="4"/>
    <x v="3"/>
    <x v="21"/>
    <n v="29"/>
    <n v="195895"/>
    <n v="66700"/>
  </r>
  <r>
    <x v="10"/>
    <x v="0"/>
    <x v="10"/>
    <x v="4"/>
    <x v="3"/>
    <x v="21"/>
    <n v="21"/>
    <n v="139272"/>
    <n v="48300"/>
  </r>
  <r>
    <x v="11"/>
    <x v="0"/>
    <x v="11"/>
    <x v="4"/>
    <x v="3"/>
    <x v="21"/>
    <n v="25"/>
    <n v="142650"/>
    <n v="57500"/>
  </r>
  <r>
    <x v="12"/>
    <x v="1"/>
    <x v="12"/>
    <x v="4"/>
    <x v="3"/>
    <x v="21"/>
    <n v="37"/>
    <n v="222259"/>
    <n v="85100"/>
  </r>
  <r>
    <x v="13"/>
    <x v="1"/>
    <x v="13"/>
    <x v="4"/>
    <x v="3"/>
    <x v="21"/>
    <n v="23"/>
    <n v="147292"/>
    <n v="52900"/>
  </r>
  <r>
    <x v="14"/>
    <x v="1"/>
    <x v="14"/>
    <x v="4"/>
    <x v="3"/>
    <x v="21"/>
    <n v="19"/>
    <n v="118199"/>
    <n v="43700"/>
  </r>
  <r>
    <x v="15"/>
    <x v="1"/>
    <x v="15"/>
    <x v="4"/>
    <x v="3"/>
    <x v="21"/>
    <n v="34"/>
    <n v="211038"/>
    <n v="78200"/>
  </r>
  <r>
    <x v="16"/>
    <x v="1"/>
    <x v="16"/>
    <x v="4"/>
    <x v="3"/>
    <x v="21"/>
    <n v="44"/>
    <n v="278212"/>
    <n v="101200"/>
  </r>
  <r>
    <x v="17"/>
    <x v="1"/>
    <x v="17"/>
    <x v="4"/>
    <x v="3"/>
    <x v="21"/>
    <n v="41"/>
    <n v="256742"/>
    <n v="94300"/>
  </r>
  <r>
    <x v="18"/>
    <x v="1"/>
    <x v="18"/>
    <x v="4"/>
    <x v="3"/>
    <x v="21"/>
    <n v="44"/>
    <n v="181148"/>
    <n v="101200"/>
  </r>
  <r>
    <x v="19"/>
    <x v="1"/>
    <x v="19"/>
    <x v="4"/>
    <x v="3"/>
    <x v="21"/>
    <n v="37"/>
    <n v="220816"/>
    <n v="85100"/>
  </r>
  <r>
    <x v="20"/>
    <x v="1"/>
    <x v="20"/>
    <x v="4"/>
    <x v="3"/>
    <x v="21"/>
    <n v="39"/>
    <n v="217893"/>
    <n v="89700"/>
  </r>
  <r>
    <x v="21"/>
    <x v="1"/>
    <x v="21"/>
    <x v="4"/>
    <x v="3"/>
    <x v="21"/>
    <n v="32"/>
    <n v="204864"/>
    <n v="73600"/>
  </r>
  <r>
    <x v="22"/>
    <x v="1"/>
    <x v="22"/>
    <x v="4"/>
    <x v="3"/>
    <x v="21"/>
    <n v="23"/>
    <n v="144555"/>
    <n v="52900"/>
  </r>
  <r>
    <x v="23"/>
    <x v="1"/>
    <x v="23"/>
    <x v="4"/>
    <x v="3"/>
    <x v="21"/>
    <n v="28"/>
    <n v="176288"/>
    <n v="64400"/>
  </r>
  <r>
    <x v="0"/>
    <x v="0"/>
    <x v="0"/>
    <x v="4"/>
    <x v="3"/>
    <x v="22"/>
    <n v="30"/>
    <n v="313710"/>
    <n v="121500"/>
  </r>
  <r>
    <x v="1"/>
    <x v="0"/>
    <x v="1"/>
    <x v="4"/>
    <x v="3"/>
    <x v="22"/>
    <n v="19"/>
    <n v="192413"/>
    <n v="76950"/>
  </r>
  <r>
    <x v="2"/>
    <x v="0"/>
    <x v="2"/>
    <x v="4"/>
    <x v="3"/>
    <x v="22"/>
    <n v="15"/>
    <n v="150495"/>
    <n v="60750"/>
  </r>
  <r>
    <x v="3"/>
    <x v="0"/>
    <x v="3"/>
    <x v="4"/>
    <x v="3"/>
    <x v="22"/>
    <n v="28"/>
    <n v="314216"/>
    <n v="113400"/>
  </r>
  <r>
    <x v="4"/>
    <x v="0"/>
    <x v="4"/>
    <x v="4"/>
    <x v="3"/>
    <x v="22"/>
    <n v="35"/>
    <n v="392735"/>
    <n v="141750"/>
  </r>
  <r>
    <x v="5"/>
    <x v="0"/>
    <x v="5"/>
    <x v="4"/>
    <x v="3"/>
    <x v="22"/>
    <n v="33"/>
    <n v="334554"/>
    <n v="133650"/>
  </r>
  <r>
    <x v="6"/>
    <x v="0"/>
    <x v="6"/>
    <x v="4"/>
    <x v="3"/>
    <x v="22"/>
    <n v="35"/>
    <n v="316435"/>
    <n v="141750"/>
  </r>
  <r>
    <x v="7"/>
    <x v="0"/>
    <x v="7"/>
    <x v="4"/>
    <x v="3"/>
    <x v="22"/>
    <n v="30"/>
    <n v="304170"/>
    <n v="121500"/>
  </r>
  <r>
    <x v="8"/>
    <x v="0"/>
    <x v="8"/>
    <x v="4"/>
    <x v="3"/>
    <x v="22"/>
    <n v="31"/>
    <n v="299522"/>
    <n v="125550"/>
  </r>
  <r>
    <x v="9"/>
    <x v="0"/>
    <x v="9"/>
    <x v="4"/>
    <x v="3"/>
    <x v="22"/>
    <n v="26"/>
    <n v="258934"/>
    <n v="105300"/>
  </r>
  <r>
    <x v="10"/>
    <x v="0"/>
    <x v="10"/>
    <x v="4"/>
    <x v="3"/>
    <x v="22"/>
    <n v="19"/>
    <n v="197923"/>
    <n v="76950"/>
  </r>
  <r>
    <x v="11"/>
    <x v="0"/>
    <x v="11"/>
    <x v="4"/>
    <x v="3"/>
    <x v="22"/>
    <n v="22"/>
    <n v="211156"/>
    <n v="89100"/>
  </r>
  <r>
    <x v="12"/>
    <x v="1"/>
    <x v="12"/>
    <x v="4"/>
    <x v="3"/>
    <x v="22"/>
    <n v="33"/>
    <n v="316107"/>
    <n v="133650"/>
  </r>
  <r>
    <x v="13"/>
    <x v="1"/>
    <x v="13"/>
    <x v="4"/>
    <x v="3"/>
    <x v="22"/>
    <n v="21"/>
    <n v="217434"/>
    <n v="85050"/>
  </r>
  <r>
    <x v="14"/>
    <x v="1"/>
    <x v="14"/>
    <x v="4"/>
    <x v="3"/>
    <x v="22"/>
    <n v="17"/>
    <n v="163319"/>
    <n v="68850"/>
  </r>
  <r>
    <x v="15"/>
    <x v="1"/>
    <x v="15"/>
    <x v="4"/>
    <x v="3"/>
    <x v="22"/>
    <n v="31"/>
    <n v="335637"/>
    <n v="125550"/>
  </r>
  <r>
    <x v="16"/>
    <x v="1"/>
    <x v="16"/>
    <x v="4"/>
    <x v="3"/>
    <x v="22"/>
    <n v="39"/>
    <n v="421239"/>
    <n v="157950"/>
  </r>
  <r>
    <x v="17"/>
    <x v="1"/>
    <x v="17"/>
    <x v="4"/>
    <x v="3"/>
    <x v="22"/>
    <n v="37"/>
    <n v="369741"/>
    <n v="149850"/>
  </r>
  <r>
    <x v="18"/>
    <x v="1"/>
    <x v="18"/>
    <x v="4"/>
    <x v="3"/>
    <x v="22"/>
    <n v="39"/>
    <n v="334971"/>
    <n v="157950"/>
  </r>
  <r>
    <x v="19"/>
    <x v="1"/>
    <x v="19"/>
    <x v="4"/>
    <x v="3"/>
    <x v="22"/>
    <n v="33"/>
    <n v="319770"/>
    <n v="133650"/>
  </r>
  <r>
    <x v="20"/>
    <x v="1"/>
    <x v="20"/>
    <x v="4"/>
    <x v="3"/>
    <x v="22"/>
    <n v="35"/>
    <n v="324135"/>
    <n v="141750"/>
  </r>
  <r>
    <x v="21"/>
    <x v="1"/>
    <x v="21"/>
    <x v="4"/>
    <x v="3"/>
    <x v="22"/>
    <n v="29"/>
    <n v="311982"/>
    <n v="117450"/>
  </r>
  <r>
    <x v="22"/>
    <x v="1"/>
    <x v="22"/>
    <x v="4"/>
    <x v="3"/>
    <x v="22"/>
    <n v="21"/>
    <n v="216783"/>
    <n v="85050"/>
  </r>
  <r>
    <x v="23"/>
    <x v="1"/>
    <x v="23"/>
    <x v="4"/>
    <x v="3"/>
    <x v="22"/>
    <n v="25"/>
    <n v="236950"/>
    <n v="101250"/>
  </r>
  <r>
    <x v="0"/>
    <x v="0"/>
    <x v="0"/>
    <x v="4"/>
    <x v="3"/>
    <x v="23"/>
    <n v="33"/>
    <n v="254100"/>
    <n v="131669.99999999997"/>
  </r>
  <r>
    <x v="1"/>
    <x v="0"/>
    <x v="1"/>
    <x v="4"/>
    <x v="3"/>
    <x v="23"/>
    <n v="21"/>
    <n v="177996"/>
    <n v="83789.999999999985"/>
  </r>
  <r>
    <x v="2"/>
    <x v="0"/>
    <x v="2"/>
    <x v="4"/>
    <x v="3"/>
    <x v="23"/>
    <n v="17"/>
    <n v="132141"/>
    <n v="67829.999999999985"/>
  </r>
  <r>
    <x v="3"/>
    <x v="0"/>
    <x v="3"/>
    <x v="4"/>
    <x v="3"/>
    <x v="23"/>
    <n v="31"/>
    <n v="275869"/>
    <n v="123689.99999999999"/>
  </r>
  <r>
    <x v="4"/>
    <x v="0"/>
    <x v="4"/>
    <x v="4"/>
    <x v="3"/>
    <x v="23"/>
    <n v="40"/>
    <n v="340240"/>
    <n v="159599.99999999997"/>
  </r>
  <r>
    <x v="5"/>
    <x v="0"/>
    <x v="5"/>
    <x v="4"/>
    <x v="3"/>
    <x v="23"/>
    <n v="38"/>
    <n v="311828"/>
    <n v="151619.99999999997"/>
  </r>
  <r>
    <x v="6"/>
    <x v="0"/>
    <x v="6"/>
    <x v="4"/>
    <x v="3"/>
    <x v="23"/>
    <n v="40"/>
    <n v="286960"/>
    <n v="159599.99999999997"/>
  </r>
  <r>
    <x v="7"/>
    <x v="0"/>
    <x v="7"/>
    <x v="4"/>
    <x v="3"/>
    <x v="23"/>
    <n v="33"/>
    <n v="238623"/>
    <n v="131669.99999999997"/>
  </r>
  <r>
    <x v="8"/>
    <x v="0"/>
    <x v="8"/>
    <x v="4"/>
    <x v="3"/>
    <x v="23"/>
    <n v="36"/>
    <n v="286236"/>
    <n v="143639.99999999997"/>
  </r>
  <r>
    <x v="9"/>
    <x v="0"/>
    <x v="9"/>
    <x v="4"/>
    <x v="3"/>
    <x v="23"/>
    <n v="29"/>
    <n v="250502"/>
    <n v="115709.99999999999"/>
  </r>
  <r>
    <x v="10"/>
    <x v="0"/>
    <x v="10"/>
    <x v="4"/>
    <x v="3"/>
    <x v="23"/>
    <n v="21"/>
    <n v="185703"/>
    <n v="83789.999999999985"/>
  </r>
  <r>
    <x v="11"/>
    <x v="0"/>
    <x v="11"/>
    <x v="4"/>
    <x v="3"/>
    <x v="23"/>
    <n v="25"/>
    <n v="186200"/>
    <n v="99749.999999999985"/>
  </r>
  <r>
    <x v="12"/>
    <x v="1"/>
    <x v="12"/>
    <x v="4"/>
    <x v="3"/>
    <x v="23"/>
    <n v="37"/>
    <n v="307063"/>
    <n v="147629.99999999997"/>
  </r>
  <r>
    <x v="13"/>
    <x v="1"/>
    <x v="13"/>
    <x v="4"/>
    <x v="3"/>
    <x v="23"/>
    <n v="23"/>
    <n v="183724"/>
    <n v="91769.999999999985"/>
  </r>
  <r>
    <x v="14"/>
    <x v="1"/>
    <x v="14"/>
    <x v="4"/>
    <x v="3"/>
    <x v="23"/>
    <n v="19"/>
    <n v="143412"/>
    <n v="75809.999999999985"/>
  </r>
  <r>
    <x v="15"/>
    <x v="1"/>
    <x v="15"/>
    <x v="4"/>
    <x v="3"/>
    <x v="23"/>
    <n v="34"/>
    <n v="275298"/>
    <n v="135659.99999999997"/>
  </r>
  <r>
    <x v="16"/>
    <x v="1"/>
    <x v="16"/>
    <x v="4"/>
    <x v="3"/>
    <x v="23"/>
    <n v="44"/>
    <n v="393272"/>
    <n v="175559.99999999997"/>
  </r>
  <r>
    <x v="17"/>
    <x v="1"/>
    <x v="17"/>
    <x v="4"/>
    <x v="3"/>
    <x v="23"/>
    <n v="41"/>
    <n v="336077"/>
    <n v="163589.99999999997"/>
  </r>
  <r>
    <x v="18"/>
    <x v="1"/>
    <x v="18"/>
    <x v="4"/>
    <x v="3"/>
    <x v="23"/>
    <n v="44"/>
    <n v="292644"/>
    <n v="175559.99999999997"/>
  </r>
  <r>
    <x v="19"/>
    <x v="1"/>
    <x v="19"/>
    <x v="4"/>
    <x v="3"/>
    <x v="23"/>
    <n v="37"/>
    <n v="298923"/>
    <n v="147629.99999999997"/>
  </r>
  <r>
    <x v="20"/>
    <x v="1"/>
    <x v="20"/>
    <x v="4"/>
    <x v="3"/>
    <x v="23"/>
    <n v="39"/>
    <n v="319098"/>
    <n v="155609.99999999997"/>
  </r>
  <r>
    <x v="21"/>
    <x v="1"/>
    <x v="21"/>
    <x v="4"/>
    <x v="3"/>
    <x v="23"/>
    <n v="32"/>
    <n v="277760"/>
    <n v="127679.99999999999"/>
  </r>
  <r>
    <x v="22"/>
    <x v="1"/>
    <x v="22"/>
    <x v="4"/>
    <x v="3"/>
    <x v="23"/>
    <n v="23"/>
    <n v="204585"/>
    <n v="91769.999999999985"/>
  </r>
  <r>
    <x v="23"/>
    <x v="1"/>
    <x v="23"/>
    <x v="4"/>
    <x v="3"/>
    <x v="23"/>
    <n v="28"/>
    <n v="204708"/>
    <n v="111719.99999999999"/>
  </r>
  <r>
    <x v="0"/>
    <x v="0"/>
    <x v="0"/>
    <x v="4"/>
    <x v="3"/>
    <x v="24"/>
    <n v="29"/>
    <n v="267525"/>
    <n v="120785"/>
  </r>
  <r>
    <x v="1"/>
    <x v="0"/>
    <x v="1"/>
    <x v="4"/>
    <x v="3"/>
    <x v="24"/>
    <n v="18"/>
    <n v="169380"/>
    <n v="74970"/>
  </r>
  <r>
    <x v="2"/>
    <x v="0"/>
    <x v="2"/>
    <x v="4"/>
    <x v="3"/>
    <x v="24"/>
    <n v="15"/>
    <n v="133605"/>
    <n v="62475"/>
  </r>
  <r>
    <x v="3"/>
    <x v="0"/>
    <x v="3"/>
    <x v="4"/>
    <x v="3"/>
    <x v="24"/>
    <n v="27"/>
    <n v="290250"/>
    <n v="112455"/>
  </r>
  <r>
    <x v="4"/>
    <x v="0"/>
    <x v="4"/>
    <x v="4"/>
    <x v="3"/>
    <x v="24"/>
    <n v="35"/>
    <n v="369005"/>
    <n v="145775"/>
  </r>
  <r>
    <x v="5"/>
    <x v="0"/>
    <x v="5"/>
    <x v="4"/>
    <x v="3"/>
    <x v="24"/>
    <n v="33"/>
    <n v="335511"/>
    <n v="137445"/>
  </r>
  <r>
    <x v="6"/>
    <x v="0"/>
    <x v="6"/>
    <x v="4"/>
    <x v="3"/>
    <x v="24"/>
    <n v="35"/>
    <n v="281610"/>
    <n v="145775"/>
  </r>
  <r>
    <x v="7"/>
    <x v="0"/>
    <x v="7"/>
    <x v="4"/>
    <x v="3"/>
    <x v="24"/>
    <n v="29"/>
    <n v="269932"/>
    <n v="120785"/>
  </r>
  <r>
    <x v="8"/>
    <x v="0"/>
    <x v="8"/>
    <x v="4"/>
    <x v="3"/>
    <x v="24"/>
    <n v="31"/>
    <n v="298561"/>
    <n v="129115"/>
  </r>
  <r>
    <x v="9"/>
    <x v="0"/>
    <x v="9"/>
    <x v="4"/>
    <x v="3"/>
    <x v="24"/>
    <n v="26"/>
    <n v="264134"/>
    <n v="108290"/>
  </r>
  <r>
    <x v="10"/>
    <x v="0"/>
    <x v="10"/>
    <x v="4"/>
    <x v="3"/>
    <x v="24"/>
    <n v="18"/>
    <n v="180054"/>
    <n v="74970"/>
  </r>
  <r>
    <x v="11"/>
    <x v="0"/>
    <x v="11"/>
    <x v="4"/>
    <x v="3"/>
    <x v="24"/>
    <n v="22"/>
    <n v="205612"/>
    <n v="91630"/>
  </r>
  <r>
    <x v="12"/>
    <x v="1"/>
    <x v="12"/>
    <x v="4"/>
    <x v="3"/>
    <x v="24"/>
    <n v="32"/>
    <n v="299232"/>
    <n v="133280"/>
  </r>
  <r>
    <x v="13"/>
    <x v="1"/>
    <x v="13"/>
    <x v="4"/>
    <x v="3"/>
    <x v="24"/>
    <n v="20"/>
    <n v="196940"/>
    <n v="83300"/>
  </r>
  <r>
    <x v="14"/>
    <x v="1"/>
    <x v="14"/>
    <x v="4"/>
    <x v="3"/>
    <x v="24"/>
    <n v="16"/>
    <n v="148144"/>
    <n v="66640"/>
  </r>
  <r>
    <x v="15"/>
    <x v="1"/>
    <x v="15"/>
    <x v="4"/>
    <x v="3"/>
    <x v="24"/>
    <n v="30"/>
    <n v="292320"/>
    <n v="124950"/>
  </r>
  <r>
    <x v="16"/>
    <x v="1"/>
    <x v="16"/>
    <x v="4"/>
    <x v="3"/>
    <x v="24"/>
    <n v="38"/>
    <n v="399114"/>
    <n v="158270"/>
  </r>
  <r>
    <x v="17"/>
    <x v="1"/>
    <x v="17"/>
    <x v="4"/>
    <x v="3"/>
    <x v="24"/>
    <n v="36"/>
    <n v="333252"/>
    <n v="149940"/>
  </r>
  <r>
    <x v="18"/>
    <x v="1"/>
    <x v="18"/>
    <x v="4"/>
    <x v="3"/>
    <x v="24"/>
    <n v="38"/>
    <n v="333070"/>
    <n v="158270"/>
  </r>
  <r>
    <x v="19"/>
    <x v="1"/>
    <x v="19"/>
    <x v="4"/>
    <x v="3"/>
    <x v="24"/>
    <n v="32"/>
    <n v="303872"/>
    <n v="133280"/>
  </r>
  <r>
    <x v="20"/>
    <x v="1"/>
    <x v="20"/>
    <x v="4"/>
    <x v="3"/>
    <x v="24"/>
    <n v="34"/>
    <n v="326468"/>
    <n v="141610"/>
  </r>
  <r>
    <x v="21"/>
    <x v="1"/>
    <x v="21"/>
    <x v="4"/>
    <x v="3"/>
    <x v="24"/>
    <n v="28"/>
    <n v="271208"/>
    <n v="116620"/>
  </r>
  <r>
    <x v="22"/>
    <x v="1"/>
    <x v="22"/>
    <x v="4"/>
    <x v="3"/>
    <x v="24"/>
    <n v="20"/>
    <n v="186360"/>
    <n v="83300"/>
  </r>
  <r>
    <x v="23"/>
    <x v="1"/>
    <x v="23"/>
    <x v="4"/>
    <x v="3"/>
    <x v="24"/>
    <n v="24"/>
    <n v="211512"/>
    <n v="99960"/>
  </r>
  <r>
    <x v="0"/>
    <x v="0"/>
    <x v="0"/>
    <x v="4"/>
    <x v="3"/>
    <x v="25"/>
    <n v="29"/>
    <n v="223880"/>
    <n v="88740"/>
  </r>
  <r>
    <x v="1"/>
    <x v="0"/>
    <x v="1"/>
    <x v="4"/>
    <x v="3"/>
    <x v="25"/>
    <n v="18"/>
    <n v="142290"/>
    <n v="55080"/>
  </r>
  <r>
    <x v="2"/>
    <x v="0"/>
    <x v="2"/>
    <x v="4"/>
    <x v="3"/>
    <x v="25"/>
    <n v="15"/>
    <n v="103470"/>
    <n v="45900"/>
  </r>
  <r>
    <x v="3"/>
    <x v="0"/>
    <x v="3"/>
    <x v="4"/>
    <x v="3"/>
    <x v="25"/>
    <n v="27"/>
    <n v="216324"/>
    <n v="82620"/>
  </r>
  <r>
    <x v="4"/>
    <x v="0"/>
    <x v="4"/>
    <x v="4"/>
    <x v="3"/>
    <x v="25"/>
    <n v="35"/>
    <n v="283850"/>
    <n v="107100"/>
  </r>
  <r>
    <x v="5"/>
    <x v="0"/>
    <x v="5"/>
    <x v="4"/>
    <x v="3"/>
    <x v="25"/>
    <n v="33"/>
    <n v="232452"/>
    <n v="100980"/>
  </r>
  <r>
    <x v="6"/>
    <x v="0"/>
    <x v="6"/>
    <x v="4"/>
    <x v="3"/>
    <x v="25"/>
    <n v="35"/>
    <n v="211680"/>
    <n v="107100"/>
  </r>
  <r>
    <x v="7"/>
    <x v="0"/>
    <x v="7"/>
    <x v="4"/>
    <x v="3"/>
    <x v="25"/>
    <n v="29"/>
    <n v="196562"/>
    <n v="88740"/>
  </r>
  <r>
    <x v="8"/>
    <x v="0"/>
    <x v="8"/>
    <x v="4"/>
    <x v="3"/>
    <x v="25"/>
    <n v="31"/>
    <n v="221960"/>
    <n v="94860"/>
  </r>
  <r>
    <x v="9"/>
    <x v="0"/>
    <x v="9"/>
    <x v="4"/>
    <x v="3"/>
    <x v="25"/>
    <n v="26"/>
    <n v="197002"/>
    <n v="79560"/>
  </r>
  <r>
    <x v="10"/>
    <x v="0"/>
    <x v="10"/>
    <x v="4"/>
    <x v="3"/>
    <x v="25"/>
    <n v="18"/>
    <n v="135828"/>
    <n v="55080"/>
  </r>
  <r>
    <x v="11"/>
    <x v="0"/>
    <x v="11"/>
    <x v="4"/>
    <x v="3"/>
    <x v="25"/>
    <n v="22"/>
    <n v="156310"/>
    <n v="67320"/>
  </r>
  <r>
    <x v="12"/>
    <x v="1"/>
    <x v="12"/>
    <x v="4"/>
    <x v="3"/>
    <x v="25"/>
    <n v="32"/>
    <n v="237632"/>
    <n v="97920"/>
  </r>
  <r>
    <x v="13"/>
    <x v="1"/>
    <x v="13"/>
    <x v="4"/>
    <x v="3"/>
    <x v="25"/>
    <n v="20"/>
    <n v="157700"/>
    <n v="61200"/>
  </r>
  <r>
    <x v="14"/>
    <x v="1"/>
    <x v="14"/>
    <x v="4"/>
    <x v="3"/>
    <x v="25"/>
    <n v="16"/>
    <n v="106016"/>
    <n v="48960"/>
  </r>
  <r>
    <x v="15"/>
    <x v="1"/>
    <x v="15"/>
    <x v="4"/>
    <x v="3"/>
    <x v="25"/>
    <n v="30"/>
    <n v="246960"/>
    <n v="91800"/>
  </r>
  <r>
    <x v="16"/>
    <x v="1"/>
    <x v="16"/>
    <x v="4"/>
    <x v="3"/>
    <x v="25"/>
    <n v="38"/>
    <n v="303126"/>
    <n v="116280"/>
  </r>
  <r>
    <x v="17"/>
    <x v="1"/>
    <x v="17"/>
    <x v="4"/>
    <x v="3"/>
    <x v="25"/>
    <n v="36"/>
    <n v="281124"/>
    <n v="110160"/>
  </r>
  <r>
    <x v="18"/>
    <x v="1"/>
    <x v="18"/>
    <x v="4"/>
    <x v="3"/>
    <x v="25"/>
    <n v="38"/>
    <n v="212116"/>
    <n v="116280"/>
  </r>
  <r>
    <x v="19"/>
    <x v="1"/>
    <x v="19"/>
    <x v="4"/>
    <x v="3"/>
    <x v="25"/>
    <n v="32"/>
    <n v="233344"/>
    <n v="97920"/>
  </r>
  <r>
    <x v="20"/>
    <x v="1"/>
    <x v="20"/>
    <x v="4"/>
    <x v="3"/>
    <x v="25"/>
    <n v="34"/>
    <n v="218756"/>
    <n v="104040"/>
  </r>
  <r>
    <x v="21"/>
    <x v="1"/>
    <x v="21"/>
    <x v="4"/>
    <x v="3"/>
    <x v="25"/>
    <n v="28"/>
    <n v="207984"/>
    <n v="85680"/>
  </r>
  <r>
    <x v="22"/>
    <x v="1"/>
    <x v="22"/>
    <x v="4"/>
    <x v="3"/>
    <x v="25"/>
    <n v="20"/>
    <n v="149420"/>
    <n v="61200"/>
  </r>
  <r>
    <x v="23"/>
    <x v="1"/>
    <x v="23"/>
    <x v="4"/>
    <x v="3"/>
    <x v="25"/>
    <n v="24"/>
    <n v="160176"/>
    <n v="73440"/>
  </r>
  <r>
    <x v="0"/>
    <x v="0"/>
    <x v="0"/>
    <x v="4"/>
    <x v="3"/>
    <x v="26"/>
    <n v="31"/>
    <n v="275404"/>
    <n v="107136"/>
  </r>
  <r>
    <x v="1"/>
    <x v="0"/>
    <x v="1"/>
    <x v="4"/>
    <x v="3"/>
    <x v="26"/>
    <n v="19"/>
    <n v="170392"/>
    <n v="65664"/>
  </r>
  <r>
    <x v="2"/>
    <x v="0"/>
    <x v="2"/>
    <x v="4"/>
    <x v="3"/>
    <x v="26"/>
    <n v="16"/>
    <n v="134640"/>
    <n v="55296"/>
  </r>
  <r>
    <x v="3"/>
    <x v="0"/>
    <x v="3"/>
    <x v="4"/>
    <x v="3"/>
    <x v="26"/>
    <n v="29"/>
    <n v="256650"/>
    <n v="100224"/>
  </r>
  <r>
    <x v="4"/>
    <x v="0"/>
    <x v="4"/>
    <x v="4"/>
    <x v="3"/>
    <x v="26"/>
    <n v="36"/>
    <n v="350028"/>
    <n v="124416"/>
  </r>
  <r>
    <x v="5"/>
    <x v="0"/>
    <x v="5"/>
    <x v="4"/>
    <x v="3"/>
    <x v="26"/>
    <n v="34"/>
    <n v="301818"/>
    <n v="117504"/>
  </r>
  <r>
    <x v="6"/>
    <x v="0"/>
    <x v="6"/>
    <x v="4"/>
    <x v="3"/>
    <x v="26"/>
    <n v="36"/>
    <n v="247824"/>
    <n v="124416"/>
  </r>
  <r>
    <x v="7"/>
    <x v="0"/>
    <x v="7"/>
    <x v="4"/>
    <x v="3"/>
    <x v="26"/>
    <n v="31"/>
    <n v="262074"/>
    <n v="107136"/>
  </r>
  <r>
    <x v="8"/>
    <x v="0"/>
    <x v="8"/>
    <x v="4"/>
    <x v="3"/>
    <x v="26"/>
    <n v="32"/>
    <n v="260096"/>
    <n v="110592"/>
  </r>
  <r>
    <x v="9"/>
    <x v="0"/>
    <x v="9"/>
    <x v="4"/>
    <x v="3"/>
    <x v="26"/>
    <n v="27"/>
    <n v="239841"/>
    <n v="93312"/>
  </r>
  <r>
    <x v="10"/>
    <x v="0"/>
    <x v="10"/>
    <x v="4"/>
    <x v="3"/>
    <x v="26"/>
    <n v="19"/>
    <n v="169689"/>
    <n v="65664"/>
  </r>
  <r>
    <x v="11"/>
    <x v="0"/>
    <x v="11"/>
    <x v="4"/>
    <x v="3"/>
    <x v="26"/>
    <n v="23"/>
    <n v="173098"/>
    <n v="79488"/>
  </r>
  <r>
    <x v="12"/>
    <x v="1"/>
    <x v="12"/>
    <x v="4"/>
    <x v="3"/>
    <x v="26"/>
    <n v="34"/>
    <n v="297500"/>
    <n v="117504"/>
  </r>
  <r>
    <x v="13"/>
    <x v="1"/>
    <x v="13"/>
    <x v="4"/>
    <x v="3"/>
    <x v="26"/>
    <n v="21"/>
    <n v="174699"/>
    <n v="72576"/>
  </r>
  <r>
    <x v="14"/>
    <x v="1"/>
    <x v="14"/>
    <x v="4"/>
    <x v="3"/>
    <x v="26"/>
    <n v="17"/>
    <n v="126259"/>
    <n v="58752"/>
  </r>
  <r>
    <x v="15"/>
    <x v="1"/>
    <x v="15"/>
    <x v="4"/>
    <x v="3"/>
    <x v="26"/>
    <n v="32"/>
    <n v="284896"/>
    <n v="110592"/>
  </r>
  <r>
    <x v="16"/>
    <x v="1"/>
    <x v="16"/>
    <x v="4"/>
    <x v="3"/>
    <x v="26"/>
    <n v="40"/>
    <n v="372120"/>
    <n v="138240"/>
  </r>
  <r>
    <x v="17"/>
    <x v="1"/>
    <x v="17"/>
    <x v="4"/>
    <x v="3"/>
    <x v="26"/>
    <n v="38"/>
    <n v="350740"/>
    <n v="131328"/>
  </r>
  <r>
    <x v="18"/>
    <x v="1"/>
    <x v="18"/>
    <x v="4"/>
    <x v="3"/>
    <x v="26"/>
    <n v="40"/>
    <n v="252680"/>
    <n v="138240"/>
  </r>
  <r>
    <x v="19"/>
    <x v="1"/>
    <x v="19"/>
    <x v="4"/>
    <x v="3"/>
    <x v="26"/>
    <n v="34"/>
    <n v="273836"/>
    <n v="117504"/>
  </r>
  <r>
    <x v="20"/>
    <x v="1"/>
    <x v="20"/>
    <x v="4"/>
    <x v="3"/>
    <x v="26"/>
    <n v="36"/>
    <n v="302976"/>
    <n v="124416"/>
  </r>
  <r>
    <x v="21"/>
    <x v="1"/>
    <x v="21"/>
    <x v="4"/>
    <x v="3"/>
    <x v="26"/>
    <n v="29"/>
    <n v="263436"/>
    <n v="100224"/>
  </r>
  <r>
    <x v="22"/>
    <x v="1"/>
    <x v="22"/>
    <x v="4"/>
    <x v="3"/>
    <x v="26"/>
    <n v="21"/>
    <n v="178647"/>
    <n v="72576"/>
  </r>
  <r>
    <x v="23"/>
    <x v="1"/>
    <x v="23"/>
    <x v="4"/>
    <x v="3"/>
    <x v="26"/>
    <n v="25"/>
    <n v="209050"/>
    <n v="86400"/>
  </r>
  <r>
    <x v="0"/>
    <x v="0"/>
    <x v="0"/>
    <x v="4"/>
    <x v="3"/>
    <x v="27"/>
    <n v="32"/>
    <n v="337120"/>
    <n v="165984"/>
  </r>
  <r>
    <x v="1"/>
    <x v="0"/>
    <x v="1"/>
    <x v="4"/>
    <x v="3"/>
    <x v="27"/>
    <n v="20"/>
    <n v="212860"/>
    <n v="103740"/>
  </r>
  <r>
    <x v="2"/>
    <x v="0"/>
    <x v="2"/>
    <x v="4"/>
    <x v="3"/>
    <x v="27"/>
    <n v="16"/>
    <n v="159936"/>
    <n v="82992"/>
  </r>
  <r>
    <x v="3"/>
    <x v="0"/>
    <x v="3"/>
    <x v="4"/>
    <x v="3"/>
    <x v="27"/>
    <n v="30"/>
    <n v="321840"/>
    <n v="155610"/>
  </r>
  <r>
    <x v="4"/>
    <x v="0"/>
    <x v="4"/>
    <x v="4"/>
    <x v="3"/>
    <x v="27"/>
    <n v="37"/>
    <n v="430828"/>
    <n v="191919"/>
  </r>
  <r>
    <x v="5"/>
    <x v="0"/>
    <x v="5"/>
    <x v="4"/>
    <x v="3"/>
    <x v="27"/>
    <n v="35"/>
    <n v="372540"/>
    <n v="181545"/>
  </r>
  <r>
    <x v="6"/>
    <x v="0"/>
    <x v="6"/>
    <x v="4"/>
    <x v="3"/>
    <x v="27"/>
    <n v="37"/>
    <n v="328634"/>
    <n v="191919"/>
  </r>
  <r>
    <x v="7"/>
    <x v="0"/>
    <x v="7"/>
    <x v="4"/>
    <x v="3"/>
    <x v="27"/>
    <n v="32"/>
    <n v="306368"/>
    <n v="165984"/>
  </r>
  <r>
    <x v="8"/>
    <x v="0"/>
    <x v="8"/>
    <x v="4"/>
    <x v="3"/>
    <x v="27"/>
    <n v="33"/>
    <n v="339009"/>
    <n v="171171"/>
  </r>
  <r>
    <x v="9"/>
    <x v="0"/>
    <x v="9"/>
    <x v="4"/>
    <x v="3"/>
    <x v="27"/>
    <n v="28"/>
    <n v="293468"/>
    <n v="145236"/>
  </r>
  <r>
    <x v="10"/>
    <x v="0"/>
    <x v="10"/>
    <x v="4"/>
    <x v="3"/>
    <x v="27"/>
    <n v="20"/>
    <n v="202220"/>
    <n v="103740"/>
  </r>
  <r>
    <x v="11"/>
    <x v="0"/>
    <x v="11"/>
    <x v="4"/>
    <x v="3"/>
    <x v="27"/>
    <n v="24"/>
    <n v="222408"/>
    <n v="124488"/>
  </r>
  <r>
    <x v="12"/>
    <x v="1"/>
    <x v="12"/>
    <x v="4"/>
    <x v="3"/>
    <x v="27"/>
    <n v="35"/>
    <n v="376845"/>
    <n v="181545"/>
  </r>
  <r>
    <x v="13"/>
    <x v="1"/>
    <x v="13"/>
    <x v="4"/>
    <x v="3"/>
    <x v="27"/>
    <n v="22"/>
    <n v="237886"/>
    <n v="114114"/>
  </r>
  <r>
    <x v="14"/>
    <x v="1"/>
    <x v="14"/>
    <x v="4"/>
    <x v="3"/>
    <x v="27"/>
    <n v="18"/>
    <n v="169956"/>
    <n v="93366"/>
  </r>
  <r>
    <x v="15"/>
    <x v="1"/>
    <x v="15"/>
    <x v="4"/>
    <x v="3"/>
    <x v="27"/>
    <n v="33"/>
    <n v="350394"/>
    <n v="171171"/>
  </r>
  <r>
    <x v="16"/>
    <x v="1"/>
    <x v="16"/>
    <x v="4"/>
    <x v="3"/>
    <x v="27"/>
    <n v="41"/>
    <n v="465186"/>
    <n v="212667"/>
  </r>
  <r>
    <x v="17"/>
    <x v="1"/>
    <x v="17"/>
    <x v="4"/>
    <x v="3"/>
    <x v="27"/>
    <n v="39"/>
    <n v="407862"/>
    <n v="202293"/>
  </r>
  <r>
    <x v="18"/>
    <x v="1"/>
    <x v="18"/>
    <x v="4"/>
    <x v="3"/>
    <x v="27"/>
    <n v="41"/>
    <n v="375396"/>
    <n v="212667"/>
  </r>
  <r>
    <x v="19"/>
    <x v="1"/>
    <x v="19"/>
    <x v="4"/>
    <x v="3"/>
    <x v="27"/>
    <n v="35"/>
    <n v="327075"/>
    <n v="181545"/>
  </r>
  <r>
    <x v="20"/>
    <x v="1"/>
    <x v="20"/>
    <x v="4"/>
    <x v="3"/>
    <x v="27"/>
    <n v="37"/>
    <n v="390905"/>
    <n v="191919"/>
  </r>
  <r>
    <x v="21"/>
    <x v="1"/>
    <x v="21"/>
    <x v="4"/>
    <x v="3"/>
    <x v="27"/>
    <n v="30"/>
    <n v="328680"/>
    <n v="155610"/>
  </r>
  <r>
    <x v="22"/>
    <x v="1"/>
    <x v="22"/>
    <x v="4"/>
    <x v="3"/>
    <x v="27"/>
    <n v="22"/>
    <n v="225830"/>
    <n v="114114"/>
  </r>
  <r>
    <x v="23"/>
    <x v="1"/>
    <x v="23"/>
    <x v="4"/>
    <x v="3"/>
    <x v="27"/>
    <n v="26"/>
    <n v="274924"/>
    <n v="134862"/>
  </r>
  <r>
    <x v="0"/>
    <x v="0"/>
    <x v="0"/>
    <x v="4"/>
    <x v="4"/>
    <x v="28"/>
    <n v="34"/>
    <n v="439688"/>
    <n v="204000"/>
  </r>
  <r>
    <x v="1"/>
    <x v="0"/>
    <x v="1"/>
    <x v="4"/>
    <x v="4"/>
    <x v="28"/>
    <n v="21"/>
    <n v="284928"/>
    <n v="126000"/>
  </r>
  <r>
    <x v="2"/>
    <x v="0"/>
    <x v="2"/>
    <x v="4"/>
    <x v="4"/>
    <x v="28"/>
    <n v="17"/>
    <n v="213639"/>
    <n v="102000"/>
  </r>
  <r>
    <x v="3"/>
    <x v="0"/>
    <x v="3"/>
    <x v="4"/>
    <x v="4"/>
    <x v="28"/>
    <n v="32"/>
    <n v="436192"/>
    <n v="192000"/>
  </r>
  <r>
    <x v="4"/>
    <x v="0"/>
    <x v="4"/>
    <x v="4"/>
    <x v="4"/>
    <x v="28"/>
    <n v="40"/>
    <n v="544680"/>
    <n v="240000"/>
  </r>
  <r>
    <x v="5"/>
    <x v="0"/>
    <x v="5"/>
    <x v="4"/>
    <x v="4"/>
    <x v="28"/>
    <n v="38"/>
    <n v="525768"/>
    <n v="228000"/>
  </r>
  <r>
    <x v="6"/>
    <x v="0"/>
    <x v="6"/>
    <x v="4"/>
    <x v="4"/>
    <x v="28"/>
    <n v="40"/>
    <n v="460000"/>
    <n v="240000"/>
  </r>
  <r>
    <x v="7"/>
    <x v="0"/>
    <x v="7"/>
    <x v="4"/>
    <x v="4"/>
    <x v="28"/>
    <n v="34"/>
    <n v="451010"/>
    <n v="204000"/>
  </r>
  <r>
    <x v="8"/>
    <x v="0"/>
    <x v="8"/>
    <x v="4"/>
    <x v="4"/>
    <x v="28"/>
    <n v="36"/>
    <n v="449604"/>
    <n v="216000"/>
  </r>
  <r>
    <x v="9"/>
    <x v="0"/>
    <x v="9"/>
    <x v="4"/>
    <x v="4"/>
    <x v="28"/>
    <n v="30"/>
    <n v="422130"/>
    <n v="180000"/>
  </r>
  <r>
    <x v="10"/>
    <x v="0"/>
    <x v="10"/>
    <x v="4"/>
    <x v="4"/>
    <x v="28"/>
    <n v="21"/>
    <n v="265440"/>
    <n v="126000"/>
  </r>
  <r>
    <x v="11"/>
    <x v="0"/>
    <x v="11"/>
    <x v="4"/>
    <x v="4"/>
    <x v="28"/>
    <n v="25"/>
    <n v="310650"/>
    <n v="150000"/>
  </r>
  <r>
    <x v="12"/>
    <x v="1"/>
    <x v="12"/>
    <x v="4"/>
    <x v="4"/>
    <x v="28"/>
    <n v="37"/>
    <n v="506234"/>
    <n v="222000"/>
  </r>
  <r>
    <x v="13"/>
    <x v="1"/>
    <x v="13"/>
    <x v="4"/>
    <x v="4"/>
    <x v="28"/>
    <n v="23"/>
    <n v="298310"/>
    <n v="138000"/>
  </r>
  <r>
    <x v="14"/>
    <x v="1"/>
    <x v="14"/>
    <x v="4"/>
    <x v="4"/>
    <x v="28"/>
    <n v="19"/>
    <n v="242953"/>
    <n v="114000"/>
  </r>
  <r>
    <x v="15"/>
    <x v="1"/>
    <x v="15"/>
    <x v="4"/>
    <x v="4"/>
    <x v="28"/>
    <n v="35"/>
    <n v="492380"/>
    <n v="210000"/>
  </r>
  <r>
    <x v="16"/>
    <x v="1"/>
    <x v="16"/>
    <x v="4"/>
    <x v="4"/>
    <x v="28"/>
    <n v="44"/>
    <n v="600864"/>
    <n v="264000"/>
  </r>
  <r>
    <x v="17"/>
    <x v="1"/>
    <x v="17"/>
    <x v="4"/>
    <x v="4"/>
    <x v="28"/>
    <n v="42"/>
    <n v="561750"/>
    <n v="252000"/>
  </r>
  <r>
    <x v="18"/>
    <x v="1"/>
    <x v="18"/>
    <x v="4"/>
    <x v="4"/>
    <x v="28"/>
    <n v="44"/>
    <n v="528352"/>
    <n v="264000"/>
  </r>
  <r>
    <x v="19"/>
    <x v="1"/>
    <x v="19"/>
    <x v="4"/>
    <x v="4"/>
    <x v="28"/>
    <n v="37"/>
    <n v="468494"/>
    <n v="222000"/>
  </r>
  <r>
    <x v="20"/>
    <x v="1"/>
    <x v="20"/>
    <x v="4"/>
    <x v="4"/>
    <x v="28"/>
    <n v="39"/>
    <n v="505908"/>
    <n v="234000"/>
  </r>
  <r>
    <x v="21"/>
    <x v="1"/>
    <x v="21"/>
    <x v="4"/>
    <x v="4"/>
    <x v="28"/>
    <n v="33"/>
    <n v="446721"/>
    <n v="198000"/>
  </r>
  <r>
    <x v="22"/>
    <x v="1"/>
    <x v="22"/>
    <x v="4"/>
    <x v="4"/>
    <x v="28"/>
    <n v="23"/>
    <n v="298586"/>
    <n v="138000"/>
  </r>
  <r>
    <x v="23"/>
    <x v="1"/>
    <x v="23"/>
    <x v="4"/>
    <x v="4"/>
    <x v="28"/>
    <n v="28"/>
    <n v="356608"/>
    <n v="168000"/>
  </r>
  <r>
    <x v="0"/>
    <x v="0"/>
    <x v="0"/>
    <x v="4"/>
    <x v="4"/>
    <x v="29"/>
    <n v="25"/>
    <n v="267250"/>
    <n v="132750"/>
  </r>
  <r>
    <x v="1"/>
    <x v="0"/>
    <x v="1"/>
    <x v="4"/>
    <x v="4"/>
    <x v="29"/>
    <n v="16"/>
    <n v="171232"/>
    <n v="84960"/>
  </r>
  <r>
    <x v="2"/>
    <x v="0"/>
    <x v="2"/>
    <x v="4"/>
    <x v="4"/>
    <x v="29"/>
    <n v="13"/>
    <n v="128921"/>
    <n v="69030"/>
  </r>
  <r>
    <x v="3"/>
    <x v="0"/>
    <x v="3"/>
    <x v="4"/>
    <x v="4"/>
    <x v="29"/>
    <n v="23"/>
    <n v="247089"/>
    <n v="122130"/>
  </r>
  <r>
    <x v="4"/>
    <x v="0"/>
    <x v="4"/>
    <x v="4"/>
    <x v="4"/>
    <x v="29"/>
    <n v="29"/>
    <n v="333587"/>
    <n v="153990"/>
  </r>
  <r>
    <x v="5"/>
    <x v="0"/>
    <x v="5"/>
    <x v="4"/>
    <x v="4"/>
    <x v="29"/>
    <n v="28"/>
    <n v="291536"/>
    <n v="148680"/>
  </r>
  <r>
    <x v="6"/>
    <x v="0"/>
    <x v="6"/>
    <x v="4"/>
    <x v="4"/>
    <x v="29"/>
    <n v="29"/>
    <n v="258042"/>
    <n v="153990"/>
  </r>
  <r>
    <x v="7"/>
    <x v="0"/>
    <x v="7"/>
    <x v="4"/>
    <x v="4"/>
    <x v="29"/>
    <n v="25"/>
    <n v="239225"/>
    <n v="132750"/>
  </r>
  <r>
    <x v="8"/>
    <x v="0"/>
    <x v="8"/>
    <x v="4"/>
    <x v="4"/>
    <x v="29"/>
    <n v="26"/>
    <n v="260000"/>
    <n v="138060"/>
  </r>
  <r>
    <x v="9"/>
    <x v="0"/>
    <x v="9"/>
    <x v="4"/>
    <x v="4"/>
    <x v="29"/>
    <n v="22"/>
    <n v="225126"/>
    <n v="116820"/>
  </r>
  <r>
    <x v="10"/>
    <x v="0"/>
    <x v="10"/>
    <x v="4"/>
    <x v="4"/>
    <x v="29"/>
    <n v="16"/>
    <n v="168784"/>
    <n v="84960"/>
  </r>
  <r>
    <x v="11"/>
    <x v="0"/>
    <x v="11"/>
    <x v="4"/>
    <x v="4"/>
    <x v="29"/>
    <n v="19"/>
    <n v="185326"/>
    <n v="100890"/>
  </r>
  <r>
    <x v="12"/>
    <x v="1"/>
    <x v="12"/>
    <x v="4"/>
    <x v="4"/>
    <x v="29"/>
    <n v="27"/>
    <n v="273537"/>
    <n v="143370"/>
  </r>
  <r>
    <x v="13"/>
    <x v="1"/>
    <x v="13"/>
    <x v="4"/>
    <x v="4"/>
    <x v="29"/>
    <n v="17"/>
    <n v="175100"/>
    <n v="90270"/>
  </r>
  <r>
    <x v="14"/>
    <x v="1"/>
    <x v="14"/>
    <x v="4"/>
    <x v="4"/>
    <x v="29"/>
    <n v="14"/>
    <n v="138194"/>
    <n v="74340"/>
  </r>
  <r>
    <x v="15"/>
    <x v="1"/>
    <x v="15"/>
    <x v="4"/>
    <x v="4"/>
    <x v="29"/>
    <n v="25"/>
    <n v="278900"/>
    <n v="132750"/>
  </r>
  <r>
    <x v="16"/>
    <x v="1"/>
    <x v="16"/>
    <x v="4"/>
    <x v="4"/>
    <x v="29"/>
    <n v="32"/>
    <n v="351168"/>
    <n v="169920"/>
  </r>
  <r>
    <x v="17"/>
    <x v="1"/>
    <x v="17"/>
    <x v="4"/>
    <x v="4"/>
    <x v="29"/>
    <n v="30"/>
    <n v="322410"/>
    <n v="159300"/>
  </r>
  <r>
    <x v="18"/>
    <x v="1"/>
    <x v="18"/>
    <x v="4"/>
    <x v="4"/>
    <x v="29"/>
    <n v="32"/>
    <n v="272672"/>
    <n v="169920"/>
  </r>
  <r>
    <x v="19"/>
    <x v="1"/>
    <x v="19"/>
    <x v="4"/>
    <x v="4"/>
    <x v="29"/>
    <n v="27"/>
    <n v="258201"/>
    <n v="143370"/>
  </r>
  <r>
    <x v="20"/>
    <x v="1"/>
    <x v="20"/>
    <x v="4"/>
    <x v="4"/>
    <x v="29"/>
    <n v="29"/>
    <n v="295162"/>
    <n v="153990"/>
  </r>
  <r>
    <x v="21"/>
    <x v="1"/>
    <x v="21"/>
    <x v="4"/>
    <x v="4"/>
    <x v="29"/>
    <n v="24"/>
    <n v="237792"/>
    <n v="127440"/>
  </r>
  <r>
    <x v="22"/>
    <x v="1"/>
    <x v="22"/>
    <x v="4"/>
    <x v="4"/>
    <x v="29"/>
    <n v="17"/>
    <n v="178738"/>
    <n v="90270"/>
  </r>
  <r>
    <x v="23"/>
    <x v="1"/>
    <x v="23"/>
    <x v="4"/>
    <x v="4"/>
    <x v="29"/>
    <n v="20"/>
    <n v="184980"/>
    <n v="106200"/>
  </r>
  <r>
    <x v="0"/>
    <x v="0"/>
    <x v="0"/>
    <x v="4"/>
    <x v="4"/>
    <x v="30"/>
    <n v="23"/>
    <n v="187818"/>
    <n v="74060"/>
  </r>
  <r>
    <x v="1"/>
    <x v="0"/>
    <x v="1"/>
    <x v="4"/>
    <x v="4"/>
    <x v="30"/>
    <n v="15"/>
    <n v="137400"/>
    <n v="48300"/>
  </r>
  <r>
    <x v="2"/>
    <x v="0"/>
    <x v="2"/>
    <x v="4"/>
    <x v="4"/>
    <x v="30"/>
    <n v="12"/>
    <n v="98892"/>
    <n v="38640"/>
  </r>
  <r>
    <x v="3"/>
    <x v="0"/>
    <x v="3"/>
    <x v="4"/>
    <x v="4"/>
    <x v="30"/>
    <n v="22"/>
    <n v="200310"/>
    <n v="70840"/>
  </r>
  <r>
    <x v="4"/>
    <x v="0"/>
    <x v="4"/>
    <x v="4"/>
    <x v="4"/>
    <x v="30"/>
    <n v="28"/>
    <n v="248192"/>
    <n v="90160"/>
  </r>
  <r>
    <x v="5"/>
    <x v="0"/>
    <x v="5"/>
    <x v="4"/>
    <x v="4"/>
    <x v="30"/>
    <n v="26"/>
    <n v="221390"/>
    <n v="83720"/>
  </r>
  <r>
    <x v="6"/>
    <x v="0"/>
    <x v="6"/>
    <x v="4"/>
    <x v="4"/>
    <x v="30"/>
    <n v="28"/>
    <n v="193872"/>
    <n v="90160"/>
  </r>
  <r>
    <x v="7"/>
    <x v="0"/>
    <x v="7"/>
    <x v="4"/>
    <x v="4"/>
    <x v="30"/>
    <n v="23"/>
    <n v="177008"/>
    <n v="74060"/>
  </r>
  <r>
    <x v="8"/>
    <x v="0"/>
    <x v="8"/>
    <x v="4"/>
    <x v="4"/>
    <x v="30"/>
    <n v="25"/>
    <n v="196475"/>
    <n v="80500"/>
  </r>
  <r>
    <x v="9"/>
    <x v="0"/>
    <x v="9"/>
    <x v="4"/>
    <x v="4"/>
    <x v="30"/>
    <n v="21"/>
    <n v="187467"/>
    <n v="67620"/>
  </r>
  <r>
    <x v="10"/>
    <x v="0"/>
    <x v="10"/>
    <x v="4"/>
    <x v="4"/>
    <x v="30"/>
    <n v="15"/>
    <n v="116880"/>
    <n v="48300"/>
  </r>
  <r>
    <x v="11"/>
    <x v="0"/>
    <x v="11"/>
    <x v="4"/>
    <x v="4"/>
    <x v="30"/>
    <n v="18"/>
    <n v="136098"/>
    <n v="57960"/>
  </r>
  <r>
    <x v="12"/>
    <x v="1"/>
    <x v="12"/>
    <x v="4"/>
    <x v="4"/>
    <x v="30"/>
    <n v="26"/>
    <n v="228410"/>
    <n v="83720"/>
  </r>
  <r>
    <x v="13"/>
    <x v="1"/>
    <x v="13"/>
    <x v="4"/>
    <x v="4"/>
    <x v="30"/>
    <n v="16"/>
    <n v="129680"/>
    <n v="51520"/>
  </r>
  <r>
    <x v="14"/>
    <x v="1"/>
    <x v="14"/>
    <x v="4"/>
    <x v="4"/>
    <x v="30"/>
    <n v="13"/>
    <n v="99021"/>
    <n v="41860"/>
  </r>
  <r>
    <x v="15"/>
    <x v="1"/>
    <x v="15"/>
    <x v="4"/>
    <x v="4"/>
    <x v="30"/>
    <n v="24"/>
    <n v="195552"/>
    <n v="77280"/>
  </r>
  <r>
    <x v="16"/>
    <x v="1"/>
    <x v="16"/>
    <x v="4"/>
    <x v="4"/>
    <x v="30"/>
    <n v="30"/>
    <n v="276360"/>
    <n v="96600"/>
  </r>
  <r>
    <x v="17"/>
    <x v="1"/>
    <x v="17"/>
    <x v="4"/>
    <x v="4"/>
    <x v="30"/>
    <n v="29"/>
    <n v="224083"/>
    <n v="93380"/>
  </r>
  <r>
    <x v="18"/>
    <x v="1"/>
    <x v="18"/>
    <x v="4"/>
    <x v="4"/>
    <x v="30"/>
    <n v="30"/>
    <n v="200130"/>
    <n v="96600"/>
  </r>
  <r>
    <x v="19"/>
    <x v="1"/>
    <x v="19"/>
    <x v="4"/>
    <x v="4"/>
    <x v="30"/>
    <n v="26"/>
    <n v="195468"/>
    <n v="83720"/>
  </r>
  <r>
    <x v="20"/>
    <x v="1"/>
    <x v="20"/>
    <x v="4"/>
    <x v="4"/>
    <x v="30"/>
    <n v="27"/>
    <n v="211626"/>
    <n v="86940"/>
  </r>
  <r>
    <x v="21"/>
    <x v="1"/>
    <x v="21"/>
    <x v="4"/>
    <x v="4"/>
    <x v="30"/>
    <n v="23"/>
    <n v="195569"/>
    <n v="74060"/>
  </r>
  <r>
    <x v="22"/>
    <x v="1"/>
    <x v="22"/>
    <x v="4"/>
    <x v="4"/>
    <x v="30"/>
    <n v="16"/>
    <n v="137616"/>
    <n v="51520"/>
  </r>
  <r>
    <x v="23"/>
    <x v="1"/>
    <x v="23"/>
    <x v="4"/>
    <x v="4"/>
    <x v="30"/>
    <n v="19"/>
    <n v="153691"/>
    <n v="61180"/>
  </r>
  <r>
    <x v="0"/>
    <x v="0"/>
    <x v="0"/>
    <x v="4"/>
    <x v="4"/>
    <x v="31"/>
    <n v="29"/>
    <n v="218109"/>
    <n v="96135"/>
  </r>
  <r>
    <x v="1"/>
    <x v="0"/>
    <x v="1"/>
    <x v="4"/>
    <x v="4"/>
    <x v="31"/>
    <n v="18"/>
    <n v="131706"/>
    <n v="59670"/>
  </r>
  <r>
    <x v="2"/>
    <x v="0"/>
    <x v="2"/>
    <x v="4"/>
    <x v="4"/>
    <x v="31"/>
    <n v="15"/>
    <n v="97710"/>
    <n v="49725"/>
  </r>
  <r>
    <x v="3"/>
    <x v="0"/>
    <x v="3"/>
    <x v="4"/>
    <x v="4"/>
    <x v="31"/>
    <n v="27"/>
    <n v="222723"/>
    <n v="89505"/>
  </r>
  <r>
    <x v="4"/>
    <x v="0"/>
    <x v="4"/>
    <x v="4"/>
    <x v="4"/>
    <x v="31"/>
    <n v="34"/>
    <n v="268430"/>
    <n v="112710"/>
  </r>
  <r>
    <x v="5"/>
    <x v="0"/>
    <x v="5"/>
    <x v="4"/>
    <x v="4"/>
    <x v="31"/>
    <n v="33"/>
    <n v="254793"/>
    <n v="109395"/>
  </r>
  <r>
    <x v="6"/>
    <x v="0"/>
    <x v="6"/>
    <x v="4"/>
    <x v="4"/>
    <x v="31"/>
    <n v="34"/>
    <n v="207468"/>
    <n v="112710"/>
  </r>
  <r>
    <x v="7"/>
    <x v="0"/>
    <x v="7"/>
    <x v="4"/>
    <x v="4"/>
    <x v="31"/>
    <n v="29"/>
    <n v="219385"/>
    <n v="96135"/>
  </r>
  <r>
    <x v="8"/>
    <x v="0"/>
    <x v="8"/>
    <x v="4"/>
    <x v="4"/>
    <x v="31"/>
    <n v="31"/>
    <n v="245489"/>
    <n v="102765"/>
  </r>
  <r>
    <x v="9"/>
    <x v="0"/>
    <x v="9"/>
    <x v="4"/>
    <x v="4"/>
    <x v="31"/>
    <n v="25"/>
    <n v="195575"/>
    <n v="82875"/>
  </r>
  <r>
    <x v="10"/>
    <x v="0"/>
    <x v="10"/>
    <x v="4"/>
    <x v="4"/>
    <x v="31"/>
    <n v="18"/>
    <n v="143856"/>
    <n v="59670"/>
  </r>
  <r>
    <x v="11"/>
    <x v="0"/>
    <x v="11"/>
    <x v="4"/>
    <x v="4"/>
    <x v="31"/>
    <n v="22"/>
    <n v="154748"/>
    <n v="72930"/>
  </r>
  <r>
    <x v="12"/>
    <x v="1"/>
    <x v="12"/>
    <x v="4"/>
    <x v="4"/>
    <x v="31"/>
    <n v="32"/>
    <n v="242528"/>
    <n v="106080"/>
  </r>
  <r>
    <x v="13"/>
    <x v="1"/>
    <x v="13"/>
    <x v="4"/>
    <x v="4"/>
    <x v="31"/>
    <n v="20"/>
    <n v="159600"/>
    <n v="66300"/>
  </r>
  <r>
    <x v="14"/>
    <x v="1"/>
    <x v="14"/>
    <x v="4"/>
    <x v="4"/>
    <x v="31"/>
    <n v="16"/>
    <n v="117328"/>
    <n v="53040"/>
  </r>
  <r>
    <x v="15"/>
    <x v="1"/>
    <x v="15"/>
    <x v="4"/>
    <x v="4"/>
    <x v="31"/>
    <n v="30"/>
    <n v="243870"/>
    <n v="99450"/>
  </r>
  <r>
    <x v="16"/>
    <x v="1"/>
    <x v="16"/>
    <x v="4"/>
    <x v="4"/>
    <x v="31"/>
    <n v="38"/>
    <n v="307116"/>
    <n v="125970"/>
  </r>
  <r>
    <x v="17"/>
    <x v="1"/>
    <x v="17"/>
    <x v="4"/>
    <x v="4"/>
    <x v="31"/>
    <n v="36"/>
    <n v="277200"/>
    <n v="119340"/>
  </r>
  <r>
    <x v="18"/>
    <x v="1"/>
    <x v="18"/>
    <x v="4"/>
    <x v="4"/>
    <x v="31"/>
    <n v="38"/>
    <n v="246544"/>
    <n v="125970"/>
  </r>
  <r>
    <x v="19"/>
    <x v="1"/>
    <x v="19"/>
    <x v="4"/>
    <x v="4"/>
    <x v="31"/>
    <n v="32"/>
    <n v="219168"/>
    <n v="106080"/>
  </r>
  <r>
    <x v="20"/>
    <x v="1"/>
    <x v="20"/>
    <x v="4"/>
    <x v="4"/>
    <x v="31"/>
    <n v="34"/>
    <n v="247044"/>
    <n v="112710"/>
  </r>
  <r>
    <x v="21"/>
    <x v="1"/>
    <x v="21"/>
    <x v="4"/>
    <x v="4"/>
    <x v="31"/>
    <n v="28"/>
    <n v="230356"/>
    <n v="92820"/>
  </r>
  <r>
    <x v="22"/>
    <x v="1"/>
    <x v="22"/>
    <x v="4"/>
    <x v="4"/>
    <x v="31"/>
    <n v="20"/>
    <n v="145840"/>
    <n v="66300"/>
  </r>
  <r>
    <x v="23"/>
    <x v="1"/>
    <x v="23"/>
    <x v="4"/>
    <x v="4"/>
    <x v="31"/>
    <n v="24"/>
    <n v="182256"/>
    <n v="79560"/>
  </r>
  <r>
    <x v="0"/>
    <x v="0"/>
    <x v="0"/>
    <x v="4"/>
    <x v="4"/>
    <x v="32"/>
    <n v="32"/>
    <n v="370880"/>
    <n v="150400"/>
  </r>
  <r>
    <x v="1"/>
    <x v="0"/>
    <x v="1"/>
    <x v="4"/>
    <x v="4"/>
    <x v="32"/>
    <n v="20"/>
    <n v="225980"/>
    <n v="94000"/>
  </r>
  <r>
    <x v="2"/>
    <x v="0"/>
    <x v="2"/>
    <x v="4"/>
    <x v="4"/>
    <x v="32"/>
    <n v="16"/>
    <n v="175904"/>
    <n v="75200"/>
  </r>
  <r>
    <x v="3"/>
    <x v="0"/>
    <x v="3"/>
    <x v="4"/>
    <x v="4"/>
    <x v="32"/>
    <n v="30"/>
    <n v="356910"/>
    <n v="141000"/>
  </r>
  <r>
    <x v="4"/>
    <x v="0"/>
    <x v="4"/>
    <x v="4"/>
    <x v="4"/>
    <x v="32"/>
    <n v="38"/>
    <n v="472188"/>
    <n v="178600"/>
  </r>
  <r>
    <x v="5"/>
    <x v="0"/>
    <x v="5"/>
    <x v="4"/>
    <x v="4"/>
    <x v="32"/>
    <n v="36"/>
    <n v="427572"/>
    <n v="169200"/>
  </r>
  <r>
    <x v="6"/>
    <x v="0"/>
    <x v="6"/>
    <x v="4"/>
    <x v="4"/>
    <x v="32"/>
    <n v="38"/>
    <n v="375630"/>
    <n v="178600"/>
  </r>
  <r>
    <x v="7"/>
    <x v="0"/>
    <x v="7"/>
    <x v="4"/>
    <x v="4"/>
    <x v="32"/>
    <n v="32"/>
    <n v="337184"/>
    <n v="150400"/>
  </r>
  <r>
    <x v="8"/>
    <x v="0"/>
    <x v="8"/>
    <x v="4"/>
    <x v="4"/>
    <x v="32"/>
    <n v="34"/>
    <n v="350302"/>
    <n v="159800"/>
  </r>
  <r>
    <x v="9"/>
    <x v="0"/>
    <x v="9"/>
    <x v="4"/>
    <x v="4"/>
    <x v="32"/>
    <n v="28"/>
    <n v="329924"/>
    <n v="131600"/>
  </r>
  <r>
    <x v="10"/>
    <x v="0"/>
    <x v="10"/>
    <x v="4"/>
    <x v="4"/>
    <x v="32"/>
    <n v="20"/>
    <n v="222180"/>
    <n v="94000"/>
  </r>
  <r>
    <x v="11"/>
    <x v="0"/>
    <x v="11"/>
    <x v="4"/>
    <x v="4"/>
    <x v="32"/>
    <n v="24"/>
    <n v="251040"/>
    <n v="112800"/>
  </r>
  <r>
    <x v="12"/>
    <x v="1"/>
    <x v="12"/>
    <x v="4"/>
    <x v="4"/>
    <x v="32"/>
    <n v="35"/>
    <n v="402640"/>
    <n v="164500"/>
  </r>
  <r>
    <x v="13"/>
    <x v="1"/>
    <x v="13"/>
    <x v="4"/>
    <x v="4"/>
    <x v="32"/>
    <n v="22"/>
    <n v="262834"/>
    <n v="103400"/>
  </r>
  <r>
    <x v="14"/>
    <x v="1"/>
    <x v="14"/>
    <x v="4"/>
    <x v="4"/>
    <x v="32"/>
    <n v="18"/>
    <n v="189072"/>
    <n v="84600"/>
  </r>
  <r>
    <x v="15"/>
    <x v="1"/>
    <x v="15"/>
    <x v="4"/>
    <x v="4"/>
    <x v="32"/>
    <n v="33"/>
    <n v="370920"/>
    <n v="155100"/>
  </r>
  <r>
    <x v="16"/>
    <x v="1"/>
    <x v="16"/>
    <x v="4"/>
    <x v="4"/>
    <x v="32"/>
    <n v="41"/>
    <n v="473140"/>
    <n v="192700"/>
  </r>
  <r>
    <x v="17"/>
    <x v="1"/>
    <x v="17"/>
    <x v="4"/>
    <x v="4"/>
    <x v="32"/>
    <n v="39"/>
    <n v="451581"/>
    <n v="183300"/>
  </r>
  <r>
    <x v="18"/>
    <x v="1"/>
    <x v="18"/>
    <x v="4"/>
    <x v="4"/>
    <x v="32"/>
    <n v="41"/>
    <n v="398889"/>
    <n v="192700"/>
  </r>
  <r>
    <x v="19"/>
    <x v="1"/>
    <x v="19"/>
    <x v="4"/>
    <x v="4"/>
    <x v="32"/>
    <n v="35"/>
    <n v="392455"/>
    <n v="164500"/>
  </r>
  <r>
    <x v="20"/>
    <x v="1"/>
    <x v="20"/>
    <x v="4"/>
    <x v="4"/>
    <x v="32"/>
    <n v="37"/>
    <n v="418914"/>
    <n v="173900"/>
  </r>
  <r>
    <x v="21"/>
    <x v="1"/>
    <x v="21"/>
    <x v="4"/>
    <x v="4"/>
    <x v="32"/>
    <n v="31"/>
    <n v="351540"/>
    <n v="145700"/>
  </r>
  <r>
    <x v="22"/>
    <x v="1"/>
    <x v="22"/>
    <x v="4"/>
    <x v="4"/>
    <x v="32"/>
    <n v="22"/>
    <n v="256718"/>
    <n v="103400"/>
  </r>
  <r>
    <x v="23"/>
    <x v="1"/>
    <x v="23"/>
    <x v="4"/>
    <x v="4"/>
    <x v="32"/>
    <n v="26"/>
    <n v="275444"/>
    <n v="122200"/>
  </r>
  <r>
    <x v="0"/>
    <x v="0"/>
    <x v="0"/>
    <x v="4"/>
    <x v="4"/>
    <x v="33"/>
    <n v="34"/>
    <n v="342482"/>
    <n v="182546"/>
  </r>
  <r>
    <x v="1"/>
    <x v="0"/>
    <x v="1"/>
    <x v="4"/>
    <x v="4"/>
    <x v="33"/>
    <n v="21"/>
    <n v="212289"/>
    <n v="112749"/>
  </r>
  <r>
    <x v="2"/>
    <x v="0"/>
    <x v="2"/>
    <x v="4"/>
    <x v="4"/>
    <x v="33"/>
    <n v="17"/>
    <n v="163608"/>
    <n v="91273"/>
  </r>
  <r>
    <x v="3"/>
    <x v="0"/>
    <x v="3"/>
    <x v="4"/>
    <x v="4"/>
    <x v="33"/>
    <n v="31"/>
    <n v="339419"/>
    <n v="166439"/>
  </r>
  <r>
    <x v="4"/>
    <x v="0"/>
    <x v="4"/>
    <x v="4"/>
    <x v="4"/>
    <x v="33"/>
    <n v="40"/>
    <n v="436560"/>
    <n v="214760"/>
  </r>
  <r>
    <x v="5"/>
    <x v="0"/>
    <x v="5"/>
    <x v="4"/>
    <x v="4"/>
    <x v="33"/>
    <n v="38"/>
    <n v="385054"/>
    <n v="204022"/>
  </r>
  <r>
    <x v="6"/>
    <x v="0"/>
    <x v="6"/>
    <x v="4"/>
    <x v="4"/>
    <x v="33"/>
    <n v="40"/>
    <n v="354680"/>
    <n v="214760"/>
  </r>
  <r>
    <x v="7"/>
    <x v="0"/>
    <x v="7"/>
    <x v="4"/>
    <x v="4"/>
    <x v="33"/>
    <n v="34"/>
    <n v="340136"/>
    <n v="182546"/>
  </r>
  <r>
    <x v="8"/>
    <x v="0"/>
    <x v="8"/>
    <x v="4"/>
    <x v="4"/>
    <x v="33"/>
    <n v="36"/>
    <n v="365400"/>
    <n v="193284"/>
  </r>
  <r>
    <x v="9"/>
    <x v="0"/>
    <x v="9"/>
    <x v="4"/>
    <x v="4"/>
    <x v="33"/>
    <n v="29"/>
    <n v="309691"/>
    <n v="155701"/>
  </r>
  <r>
    <x v="10"/>
    <x v="0"/>
    <x v="10"/>
    <x v="4"/>
    <x v="4"/>
    <x v="33"/>
    <n v="21"/>
    <n v="221172"/>
    <n v="112749"/>
  </r>
  <r>
    <x v="11"/>
    <x v="0"/>
    <x v="11"/>
    <x v="4"/>
    <x v="4"/>
    <x v="33"/>
    <n v="25"/>
    <n v="252450"/>
    <n v="134225"/>
  </r>
  <r>
    <x v="12"/>
    <x v="1"/>
    <x v="12"/>
    <x v="4"/>
    <x v="4"/>
    <x v="33"/>
    <n v="37"/>
    <n v="374514"/>
    <n v="198653"/>
  </r>
  <r>
    <x v="13"/>
    <x v="1"/>
    <x v="13"/>
    <x v="4"/>
    <x v="4"/>
    <x v="33"/>
    <n v="23"/>
    <n v="226481"/>
    <n v="123487"/>
  </r>
  <r>
    <x v="14"/>
    <x v="1"/>
    <x v="14"/>
    <x v="4"/>
    <x v="4"/>
    <x v="33"/>
    <n v="19"/>
    <n v="182020"/>
    <n v="102011"/>
  </r>
  <r>
    <x v="15"/>
    <x v="1"/>
    <x v="15"/>
    <x v="4"/>
    <x v="4"/>
    <x v="33"/>
    <n v="35"/>
    <n v="389235"/>
    <n v="187915"/>
  </r>
  <r>
    <x v="16"/>
    <x v="1"/>
    <x v="16"/>
    <x v="4"/>
    <x v="4"/>
    <x v="33"/>
    <n v="44"/>
    <n v="492184"/>
    <n v="236236"/>
  </r>
  <r>
    <x v="17"/>
    <x v="1"/>
    <x v="17"/>
    <x v="4"/>
    <x v="4"/>
    <x v="33"/>
    <n v="41"/>
    <n v="415289"/>
    <n v="220129"/>
  </r>
  <r>
    <x v="18"/>
    <x v="1"/>
    <x v="18"/>
    <x v="4"/>
    <x v="4"/>
    <x v="33"/>
    <n v="44"/>
    <n v="404844"/>
    <n v="236236"/>
  </r>
  <r>
    <x v="19"/>
    <x v="1"/>
    <x v="19"/>
    <x v="4"/>
    <x v="4"/>
    <x v="33"/>
    <n v="37"/>
    <n v="353905"/>
    <n v="198653"/>
  </r>
  <r>
    <x v="20"/>
    <x v="1"/>
    <x v="20"/>
    <x v="4"/>
    <x v="4"/>
    <x v="33"/>
    <n v="39"/>
    <n v="371787"/>
    <n v="209391"/>
  </r>
  <r>
    <x v="21"/>
    <x v="1"/>
    <x v="21"/>
    <x v="4"/>
    <x v="4"/>
    <x v="33"/>
    <n v="32"/>
    <n v="338752"/>
    <n v="171808"/>
  </r>
  <r>
    <x v="22"/>
    <x v="1"/>
    <x v="22"/>
    <x v="4"/>
    <x v="4"/>
    <x v="33"/>
    <n v="23"/>
    <n v="229379"/>
    <n v="123487"/>
  </r>
  <r>
    <x v="23"/>
    <x v="1"/>
    <x v="23"/>
    <x v="4"/>
    <x v="4"/>
    <x v="33"/>
    <n v="28"/>
    <n v="274512"/>
    <n v="150332"/>
  </r>
  <r>
    <x v="0"/>
    <x v="0"/>
    <x v="0"/>
    <x v="4"/>
    <x v="4"/>
    <x v="34"/>
    <n v="24"/>
    <n v="280968"/>
    <n v="132000"/>
  </r>
  <r>
    <x v="1"/>
    <x v="0"/>
    <x v="1"/>
    <x v="4"/>
    <x v="4"/>
    <x v="34"/>
    <n v="15"/>
    <n v="193620"/>
    <n v="82500"/>
  </r>
  <r>
    <x v="2"/>
    <x v="0"/>
    <x v="2"/>
    <x v="4"/>
    <x v="4"/>
    <x v="34"/>
    <n v="12"/>
    <n v="142884"/>
    <n v="66000"/>
  </r>
  <r>
    <x v="3"/>
    <x v="0"/>
    <x v="3"/>
    <x v="4"/>
    <x v="4"/>
    <x v="34"/>
    <n v="23"/>
    <n v="289570"/>
    <n v="126500"/>
  </r>
  <r>
    <x v="4"/>
    <x v="0"/>
    <x v="4"/>
    <x v="4"/>
    <x v="4"/>
    <x v="34"/>
    <n v="28"/>
    <n v="366240"/>
    <n v="154000"/>
  </r>
  <r>
    <x v="5"/>
    <x v="0"/>
    <x v="5"/>
    <x v="4"/>
    <x v="4"/>
    <x v="34"/>
    <n v="27"/>
    <n v="340011"/>
    <n v="148500"/>
  </r>
  <r>
    <x v="6"/>
    <x v="0"/>
    <x v="6"/>
    <x v="4"/>
    <x v="4"/>
    <x v="34"/>
    <n v="28"/>
    <n v="307832"/>
    <n v="154000"/>
  </r>
  <r>
    <x v="7"/>
    <x v="0"/>
    <x v="7"/>
    <x v="4"/>
    <x v="4"/>
    <x v="34"/>
    <n v="24"/>
    <n v="276864"/>
    <n v="132000"/>
  </r>
  <r>
    <x v="8"/>
    <x v="0"/>
    <x v="8"/>
    <x v="4"/>
    <x v="4"/>
    <x v="34"/>
    <n v="25"/>
    <n v="295475"/>
    <n v="137500"/>
  </r>
  <r>
    <x v="9"/>
    <x v="0"/>
    <x v="9"/>
    <x v="4"/>
    <x v="4"/>
    <x v="34"/>
    <n v="21"/>
    <n v="266154"/>
    <n v="115500"/>
  </r>
  <r>
    <x v="10"/>
    <x v="0"/>
    <x v="10"/>
    <x v="4"/>
    <x v="4"/>
    <x v="34"/>
    <n v="15"/>
    <n v="182055"/>
    <n v="82500"/>
  </r>
  <r>
    <x v="11"/>
    <x v="0"/>
    <x v="11"/>
    <x v="4"/>
    <x v="4"/>
    <x v="34"/>
    <n v="18"/>
    <n v="215748"/>
    <n v="99000"/>
  </r>
  <r>
    <x v="12"/>
    <x v="1"/>
    <x v="12"/>
    <x v="4"/>
    <x v="4"/>
    <x v="34"/>
    <n v="26"/>
    <n v="327392"/>
    <n v="143000"/>
  </r>
  <r>
    <x v="13"/>
    <x v="1"/>
    <x v="13"/>
    <x v="4"/>
    <x v="4"/>
    <x v="34"/>
    <n v="17"/>
    <n v="216410"/>
    <n v="93500"/>
  </r>
  <r>
    <x v="14"/>
    <x v="1"/>
    <x v="14"/>
    <x v="4"/>
    <x v="4"/>
    <x v="34"/>
    <n v="13"/>
    <n v="143208"/>
    <n v="71500"/>
  </r>
  <r>
    <x v="15"/>
    <x v="1"/>
    <x v="15"/>
    <x v="4"/>
    <x v="4"/>
    <x v="34"/>
    <n v="25"/>
    <n v="327375"/>
    <n v="137500"/>
  </r>
  <r>
    <x v="16"/>
    <x v="1"/>
    <x v="16"/>
    <x v="4"/>
    <x v="4"/>
    <x v="34"/>
    <n v="31"/>
    <n v="386291"/>
    <n v="170500"/>
  </r>
  <r>
    <x v="17"/>
    <x v="1"/>
    <x v="17"/>
    <x v="4"/>
    <x v="4"/>
    <x v="34"/>
    <n v="30"/>
    <n v="361680"/>
    <n v="165000"/>
  </r>
  <r>
    <x v="18"/>
    <x v="1"/>
    <x v="18"/>
    <x v="4"/>
    <x v="4"/>
    <x v="34"/>
    <n v="31"/>
    <n v="332754"/>
    <n v="170500"/>
  </r>
  <r>
    <x v="19"/>
    <x v="1"/>
    <x v="19"/>
    <x v="4"/>
    <x v="4"/>
    <x v="34"/>
    <n v="26"/>
    <n v="289718"/>
    <n v="143000"/>
  </r>
  <r>
    <x v="20"/>
    <x v="1"/>
    <x v="20"/>
    <x v="4"/>
    <x v="4"/>
    <x v="34"/>
    <n v="28"/>
    <n v="345604"/>
    <n v="154000"/>
  </r>
  <r>
    <x v="21"/>
    <x v="1"/>
    <x v="21"/>
    <x v="4"/>
    <x v="4"/>
    <x v="34"/>
    <n v="23"/>
    <n v="287017"/>
    <n v="126500"/>
  </r>
  <r>
    <x v="22"/>
    <x v="1"/>
    <x v="22"/>
    <x v="4"/>
    <x v="4"/>
    <x v="34"/>
    <n v="17"/>
    <n v="209916"/>
    <n v="93500"/>
  </r>
  <r>
    <x v="23"/>
    <x v="1"/>
    <x v="23"/>
    <x v="4"/>
    <x v="4"/>
    <x v="34"/>
    <n v="20"/>
    <n v="240600"/>
    <n v="110000"/>
  </r>
  <r>
    <x v="0"/>
    <x v="0"/>
    <x v="0"/>
    <x v="4"/>
    <x v="5"/>
    <x v="35"/>
    <n v="8"/>
    <n v="29208"/>
    <n v="12096"/>
  </r>
  <r>
    <x v="1"/>
    <x v="0"/>
    <x v="1"/>
    <x v="4"/>
    <x v="5"/>
    <x v="35"/>
    <n v="5"/>
    <n v="20170"/>
    <n v="7560"/>
  </r>
  <r>
    <x v="2"/>
    <x v="0"/>
    <x v="2"/>
    <x v="4"/>
    <x v="5"/>
    <x v="35"/>
    <n v="4"/>
    <n v="14104"/>
    <n v="6048"/>
  </r>
  <r>
    <x v="3"/>
    <x v="0"/>
    <x v="3"/>
    <x v="4"/>
    <x v="5"/>
    <x v="35"/>
    <n v="7"/>
    <n v="30184"/>
    <n v="10584"/>
  </r>
  <r>
    <x v="4"/>
    <x v="0"/>
    <x v="4"/>
    <x v="4"/>
    <x v="5"/>
    <x v="35"/>
    <n v="9"/>
    <n v="40212"/>
    <n v="13608"/>
  </r>
  <r>
    <x v="5"/>
    <x v="0"/>
    <x v="5"/>
    <x v="4"/>
    <x v="5"/>
    <x v="35"/>
    <n v="9"/>
    <n v="34641"/>
    <n v="13608"/>
  </r>
  <r>
    <x v="6"/>
    <x v="0"/>
    <x v="6"/>
    <x v="4"/>
    <x v="5"/>
    <x v="35"/>
    <n v="9"/>
    <n v="25848"/>
    <n v="13608"/>
  </r>
  <r>
    <x v="7"/>
    <x v="0"/>
    <x v="7"/>
    <x v="4"/>
    <x v="5"/>
    <x v="35"/>
    <n v="8"/>
    <n v="25984"/>
    <n v="12096"/>
  </r>
  <r>
    <x v="8"/>
    <x v="0"/>
    <x v="8"/>
    <x v="4"/>
    <x v="5"/>
    <x v="35"/>
    <n v="8"/>
    <n v="30824"/>
    <n v="12096"/>
  </r>
  <r>
    <x v="9"/>
    <x v="0"/>
    <x v="9"/>
    <x v="4"/>
    <x v="5"/>
    <x v="35"/>
    <n v="7"/>
    <n v="28616"/>
    <n v="10584"/>
  </r>
  <r>
    <x v="10"/>
    <x v="0"/>
    <x v="10"/>
    <x v="4"/>
    <x v="5"/>
    <x v="35"/>
    <n v="5"/>
    <n v="17810"/>
    <n v="7560"/>
  </r>
  <r>
    <x v="11"/>
    <x v="0"/>
    <x v="11"/>
    <x v="4"/>
    <x v="5"/>
    <x v="35"/>
    <n v="6"/>
    <n v="21900"/>
    <n v="9072"/>
  </r>
  <r>
    <x v="12"/>
    <x v="1"/>
    <x v="12"/>
    <x v="4"/>
    <x v="5"/>
    <x v="35"/>
    <n v="8"/>
    <n v="33912"/>
    <n v="12096"/>
  </r>
  <r>
    <x v="13"/>
    <x v="1"/>
    <x v="13"/>
    <x v="4"/>
    <x v="5"/>
    <x v="35"/>
    <n v="5"/>
    <n v="22045"/>
    <n v="7560"/>
  </r>
  <r>
    <x v="14"/>
    <x v="1"/>
    <x v="14"/>
    <x v="4"/>
    <x v="5"/>
    <x v="35"/>
    <n v="4"/>
    <n v="13444"/>
    <n v="6048"/>
  </r>
  <r>
    <x v="15"/>
    <x v="1"/>
    <x v="15"/>
    <x v="4"/>
    <x v="5"/>
    <x v="35"/>
    <n v="8"/>
    <n v="41104"/>
    <n v="12096"/>
  </r>
  <r>
    <x v="16"/>
    <x v="1"/>
    <x v="16"/>
    <x v="4"/>
    <x v="5"/>
    <x v="35"/>
    <n v="10"/>
    <n v="47990"/>
    <n v="15120"/>
  </r>
  <r>
    <x v="17"/>
    <x v="1"/>
    <x v="17"/>
    <x v="4"/>
    <x v="5"/>
    <x v="35"/>
    <n v="9"/>
    <n v="39366"/>
    <n v="13608"/>
  </r>
  <r>
    <x v="18"/>
    <x v="1"/>
    <x v="18"/>
    <x v="4"/>
    <x v="5"/>
    <x v="35"/>
    <n v="10"/>
    <n v="27420"/>
    <n v="15120"/>
  </r>
  <r>
    <x v="19"/>
    <x v="1"/>
    <x v="19"/>
    <x v="4"/>
    <x v="5"/>
    <x v="35"/>
    <n v="8"/>
    <n v="29112"/>
    <n v="12096"/>
  </r>
  <r>
    <x v="20"/>
    <x v="1"/>
    <x v="20"/>
    <x v="4"/>
    <x v="5"/>
    <x v="35"/>
    <n v="9"/>
    <n v="30213"/>
    <n v="13608"/>
  </r>
  <r>
    <x v="21"/>
    <x v="1"/>
    <x v="21"/>
    <x v="4"/>
    <x v="5"/>
    <x v="35"/>
    <n v="7"/>
    <n v="30373"/>
    <n v="10584"/>
  </r>
  <r>
    <x v="22"/>
    <x v="1"/>
    <x v="22"/>
    <x v="4"/>
    <x v="5"/>
    <x v="35"/>
    <n v="5"/>
    <n v="20190"/>
    <n v="7560"/>
  </r>
  <r>
    <x v="23"/>
    <x v="1"/>
    <x v="23"/>
    <x v="4"/>
    <x v="5"/>
    <x v="35"/>
    <n v="6"/>
    <n v="19206"/>
    <n v="9072"/>
  </r>
  <r>
    <x v="0"/>
    <x v="0"/>
    <x v="0"/>
    <x v="4"/>
    <x v="5"/>
    <x v="36"/>
    <n v="9"/>
    <n v="28647"/>
    <n v="7038"/>
  </r>
  <r>
    <x v="1"/>
    <x v="0"/>
    <x v="1"/>
    <x v="4"/>
    <x v="5"/>
    <x v="36"/>
    <n v="6"/>
    <n v="16170"/>
    <n v="4692"/>
  </r>
  <r>
    <x v="2"/>
    <x v="0"/>
    <x v="2"/>
    <x v="4"/>
    <x v="5"/>
    <x v="36"/>
    <n v="5"/>
    <n v="11145"/>
    <n v="3910"/>
  </r>
  <r>
    <x v="3"/>
    <x v="0"/>
    <x v="3"/>
    <x v="4"/>
    <x v="5"/>
    <x v="36"/>
    <n v="9"/>
    <n v="32787"/>
    <n v="7038"/>
  </r>
  <r>
    <x v="4"/>
    <x v="0"/>
    <x v="4"/>
    <x v="4"/>
    <x v="5"/>
    <x v="36"/>
    <n v="11"/>
    <n v="46926"/>
    <n v="8602"/>
  </r>
  <r>
    <x v="5"/>
    <x v="0"/>
    <x v="5"/>
    <x v="4"/>
    <x v="5"/>
    <x v="36"/>
    <n v="10"/>
    <n v="37320"/>
    <n v="7820"/>
  </r>
  <r>
    <x v="6"/>
    <x v="0"/>
    <x v="6"/>
    <x v="4"/>
    <x v="5"/>
    <x v="36"/>
    <n v="11"/>
    <n v="18799"/>
    <n v="8602"/>
  </r>
  <r>
    <x v="7"/>
    <x v="0"/>
    <x v="7"/>
    <x v="4"/>
    <x v="5"/>
    <x v="36"/>
    <n v="9"/>
    <n v="19575"/>
    <n v="7038"/>
  </r>
  <r>
    <x v="8"/>
    <x v="0"/>
    <x v="8"/>
    <x v="4"/>
    <x v="5"/>
    <x v="36"/>
    <n v="10"/>
    <n v="26600"/>
    <n v="7820"/>
  </r>
  <r>
    <x v="9"/>
    <x v="0"/>
    <x v="9"/>
    <x v="4"/>
    <x v="5"/>
    <x v="36"/>
    <n v="8"/>
    <n v="28528"/>
    <n v="6256"/>
  </r>
  <r>
    <x v="10"/>
    <x v="0"/>
    <x v="10"/>
    <x v="4"/>
    <x v="5"/>
    <x v="36"/>
    <n v="6"/>
    <n v="16866"/>
    <n v="4692"/>
  </r>
  <r>
    <x v="11"/>
    <x v="0"/>
    <x v="11"/>
    <x v="4"/>
    <x v="5"/>
    <x v="36"/>
    <n v="7"/>
    <n v="14847"/>
    <n v="5474"/>
  </r>
  <r>
    <x v="12"/>
    <x v="1"/>
    <x v="12"/>
    <x v="4"/>
    <x v="5"/>
    <x v="36"/>
    <n v="10"/>
    <n v="26030"/>
    <n v="7820"/>
  </r>
  <r>
    <x v="13"/>
    <x v="1"/>
    <x v="13"/>
    <x v="4"/>
    <x v="5"/>
    <x v="36"/>
    <n v="7"/>
    <n v="23828"/>
    <n v="5474"/>
  </r>
  <r>
    <x v="14"/>
    <x v="1"/>
    <x v="14"/>
    <x v="4"/>
    <x v="5"/>
    <x v="36"/>
    <n v="5"/>
    <n v="12275"/>
    <n v="3910"/>
  </r>
  <r>
    <x v="15"/>
    <x v="1"/>
    <x v="15"/>
    <x v="4"/>
    <x v="5"/>
    <x v="36"/>
    <n v="10"/>
    <n v="31350"/>
    <n v="7820"/>
  </r>
  <r>
    <x v="16"/>
    <x v="1"/>
    <x v="16"/>
    <x v="4"/>
    <x v="5"/>
    <x v="36"/>
    <n v="12"/>
    <n v="41208"/>
    <n v="9384"/>
  </r>
  <r>
    <x v="17"/>
    <x v="1"/>
    <x v="17"/>
    <x v="4"/>
    <x v="5"/>
    <x v="36"/>
    <n v="11"/>
    <n v="37796"/>
    <n v="8602"/>
  </r>
  <r>
    <x v="18"/>
    <x v="1"/>
    <x v="18"/>
    <x v="4"/>
    <x v="5"/>
    <x v="36"/>
    <n v="12"/>
    <n v="20928"/>
    <n v="9384"/>
  </r>
  <r>
    <x v="19"/>
    <x v="1"/>
    <x v="19"/>
    <x v="4"/>
    <x v="5"/>
    <x v="36"/>
    <n v="10"/>
    <n v="23950"/>
    <n v="7820"/>
  </r>
  <r>
    <x v="20"/>
    <x v="1"/>
    <x v="20"/>
    <x v="4"/>
    <x v="5"/>
    <x v="36"/>
    <n v="11"/>
    <n v="28655"/>
    <n v="8602"/>
  </r>
  <r>
    <x v="21"/>
    <x v="1"/>
    <x v="21"/>
    <x v="4"/>
    <x v="5"/>
    <x v="36"/>
    <n v="9"/>
    <n v="27720"/>
    <n v="7038"/>
  </r>
  <r>
    <x v="22"/>
    <x v="1"/>
    <x v="22"/>
    <x v="4"/>
    <x v="5"/>
    <x v="36"/>
    <n v="7"/>
    <n v="17192"/>
    <n v="5474"/>
  </r>
  <r>
    <x v="23"/>
    <x v="1"/>
    <x v="23"/>
    <x v="4"/>
    <x v="5"/>
    <x v="36"/>
    <n v="8"/>
    <n v="18816"/>
    <n v="6256"/>
  </r>
  <r>
    <x v="0"/>
    <x v="0"/>
    <x v="0"/>
    <x v="4"/>
    <x v="5"/>
    <x v="37"/>
    <n v="8"/>
    <n v="35344"/>
    <n v="14000"/>
  </r>
  <r>
    <x v="1"/>
    <x v="0"/>
    <x v="1"/>
    <x v="4"/>
    <x v="5"/>
    <x v="37"/>
    <n v="5"/>
    <n v="22865"/>
    <n v="8750"/>
  </r>
  <r>
    <x v="2"/>
    <x v="0"/>
    <x v="2"/>
    <x v="4"/>
    <x v="5"/>
    <x v="37"/>
    <n v="4"/>
    <n v="18072"/>
    <n v="7000"/>
  </r>
  <r>
    <x v="3"/>
    <x v="0"/>
    <x v="3"/>
    <x v="4"/>
    <x v="5"/>
    <x v="37"/>
    <n v="8"/>
    <n v="40848"/>
    <n v="14000"/>
  </r>
  <r>
    <x v="4"/>
    <x v="0"/>
    <x v="4"/>
    <x v="4"/>
    <x v="5"/>
    <x v="37"/>
    <n v="10"/>
    <n v="55820"/>
    <n v="17500"/>
  </r>
  <r>
    <x v="5"/>
    <x v="0"/>
    <x v="5"/>
    <x v="4"/>
    <x v="5"/>
    <x v="37"/>
    <n v="9"/>
    <n v="43101"/>
    <n v="15750"/>
  </r>
  <r>
    <x v="6"/>
    <x v="0"/>
    <x v="6"/>
    <x v="4"/>
    <x v="5"/>
    <x v="37"/>
    <n v="10"/>
    <n v="32260"/>
    <n v="17500"/>
  </r>
  <r>
    <x v="7"/>
    <x v="0"/>
    <x v="7"/>
    <x v="4"/>
    <x v="5"/>
    <x v="37"/>
    <n v="8"/>
    <n v="33744"/>
    <n v="14000"/>
  </r>
  <r>
    <x v="8"/>
    <x v="0"/>
    <x v="8"/>
    <x v="4"/>
    <x v="5"/>
    <x v="37"/>
    <n v="9"/>
    <n v="34056"/>
    <n v="15750"/>
  </r>
  <r>
    <x v="9"/>
    <x v="0"/>
    <x v="9"/>
    <x v="4"/>
    <x v="5"/>
    <x v="37"/>
    <n v="7"/>
    <n v="34783"/>
    <n v="12250"/>
  </r>
  <r>
    <x v="10"/>
    <x v="0"/>
    <x v="10"/>
    <x v="4"/>
    <x v="5"/>
    <x v="37"/>
    <n v="5"/>
    <n v="23670"/>
    <n v="8750"/>
  </r>
  <r>
    <x v="11"/>
    <x v="0"/>
    <x v="11"/>
    <x v="4"/>
    <x v="5"/>
    <x v="37"/>
    <n v="6"/>
    <n v="26550"/>
    <n v="10500"/>
  </r>
  <r>
    <x v="12"/>
    <x v="1"/>
    <x v="12"/>
    <x v="4"/>
    <x v="5"/>
    <x v="37"/>
    <n v="9"/>
    <n v="45288"/>
    <n v="15750"/>
  </r>
  <r>
    <x v="13"/>
    <x v="1"/>
    <x v="13"/>
    <x v="4"/>
    <x v="5"/>
    <x v="37"/>
    <n v="6"/>
    <n v="28974"/>
    <n v="10500"/>
  </r>
  <r>
    <x v="14"/>
    <x v="1"/>
    <x v="14"/>
    <x v="4"/>
    <x v="5"/>
    <x v="37"/>
    <n v="5"/>
    <n v="18865"/>
    <n v="8750"/>
  </r>
  <r>
    <x v="15"/>
    <x v="1"/>
    <x v="15"/>
    <x v="4"/>
    <x v="5"/>
    <x v="37"/>
    <n v="9"/>
    <n v="44172"/>
    <n v="15750"/>
  </r>
  <r>
    <x v="16"/>
    <x v="1"/>
    <x v="16"/>
    <x v="4"/>
    <x v="5"/>
    <x v="37"/>
    <n v="11"/>
    <n v="65098"/>
    <n v="19250"/>
  </r>
  <r>
    <x v="17"/>
    <x v="1"/>
    <x v="17"/>
    <x v="4"/>
    <x v="5"/>
    <x v="37"/>
    <n v="10"/>
    <n v="46360"/>
    <n v="17500"/>
  </r>
  <r>
    <x v="18"/>
    <x v="1"/>
    <x v="18"/>
    <x v="4"/>
    <x v="5"/>
    <x v="37"/>
    <n v="11"/>
    <n v="37719"/>
    <n v="19250"/>
  </r>
  <r>
    <x v="19"/>
    <x v="1"/>
    <x v="19"/>
    <x v="4"/>
    <x v="5"/>
    <x v="37"/>
    <n v="9"/>
    <n v="43866"/>
    <n v="15750"/>
  </r>
  <r>
    <x v="20"/>
    <x v="1"/>
    <x v="20"/>
    <x v="4"/>
    <x v="5"/>
    <x v="37"/>
    <n v="10"/>
    <n v="43720"/>
    <n v="17500"/>
  </r>
  <r>
    <x v="21"/>
    <x v="1"/>
    <x v="21"/>
    <x v="4"/>
    <x v="5"/>
    <x v="37"/>
    <n v="8"/>
    <n v="42872"/>
    <n v="14000"/>
  </r>
  <r>
    <x v="22"/>
    <x v="1"/>
    <x v="22"/>
    <x v="4"/>
    <x v="5"/>
    <x v="37"/>
    <n v="6"/>
    <n v="28560"/>
    <n v="10500"/>
  </r>
  <r>
    <x v="23"/>
    <x v="1"/>
    <x v="23"/>
    <x v="4"/>
    <x v="5"/>
    <x v="37"/>
    <n v="7"/>
    <n v="25480"/>
    <n v="12250"/>
  </r>
  <r>
    <x v="0"/>
    <x v="0"/>
    <x v="0"/>
    <x v="4"/>
    <x v="5"/>
    <x v="38"/>
    <n v="8"/>
    <n v="45872"/>
    <n v="20160"/>
  </r>
  <r>
    <x v="1"/>
    <x v="0"/>
    <x v="1"/>
    <x v="4"/>
    <x v="5"/>
    <x v="38"/>
    <n v="5"/>
    <n v="30690"/>
    <n v="12600"/>
  </r>
  <r>
    <x v="2"/>
    <x v="0"/>
    <x v="2"/>
    <x v="4"/>
    <x v="5"/>
    <x v="38"/>
    <n v="4"/>
    <n v="18876"/>
    <n v="10080"/>
  </r>
  <r>
    <x v="3"/>
    <x v="0"/>
    <x v="3"/>
    <x v="4"/>
    <x v="5"/>
    <x v="38"/>
    <n v="7"/>
    <n v="38640"/>
    <n v="17640"/>
  </r>
  <r>
    <x v="4"/>
    <x v="0"/>
    <x v="4"/>
    <x v="4"/>
    <x v="5"/>
    <x v="38"/>
    <n v="9"/>
    <n v="53892"/>
    <n v="22680"/>
  </r>
  <r>
    <x v="5"/>
    <x v="0"/>
    <x v="5"/>
    <x v="4"/>
    <x v="5"/>
    <x v="38"/>
    <n v="9"/>
    <n v="52605"/>
    <n v="22680"/>
  </r>
  <r>
    <x v="6"/>
    <x v="0"/>
    <x v="6"/>
    <x v="4"/>
    <x v="5"/>
    <x v="38"/>
    <n v="9"/>
    <n v="32724"/>
    <n v="22680"/>
  </r>
  <r>
    <x v="7"/>
    <x v="0"/>
    <x v="7"/>
    <x v="4"/>
    <x v="5"/>
    <x v="38"/>
    <n v="8"/>
    <n v="36552"/>
    <n v="20160"/>
  </r>
  <r>
    <x v="8"/>
    <x v="0"/>
    <x v="8"/>
    <x v="4"/>
    <x v="5"/>
    <x v="38"/>
    <n v="8"/>
    <n v="42144"/>
    <n v="20160"/>
  </r>
  <r>
    <x v="9"/>
    <x v="0"/>
    <x v="9"/>
    <x v="4"/>
    <x v="5"/>
    <x v="38"/>
    <n v="7"/>
    <n v="40586"/>
    <n v="17640"/>
  </r>
  <r>
    <x v="10"/>
    <x v="0"/>
    <x v="10"/>
    <x v="4"/>
    <x v="5"/>
    <x v="38"/>
    <n v="5"/>
    <n v="25395"/>
    <n v="12600"/>
  </r>
  <r>
    <x v="11"/>
    <x v="0"/>
    <x v="11"/>
    <x v="4"/>
    <x v="5"/>
    <x v="38"/>
    <n v="6"/>
    <n v="29214"/>
    <n v="15120"/>
  </r>
  <r>
    <x v="12"/>
    <x v="1"/>
    <x v="12"/>
    <x v="4"/>
    <x v="5"/>
    <x v="38"/>
    <n v="8"/>
    <n v="42952"/>
    <n v="20160"/>
  </r>
  <r>
    <x v="13"/>
    <x v="1"/>
    <x v="13"/>
    <x v="4"/>
    <x v="5"/>
    <x v="38"/>
    <n v="5"/>
    <n v="28810"/>
    <n v="12600"/>
  </r>
  <r>
    <x v="14"/>
    <x v="1"/>
    <x v="14"/>
    <x v="4"/>
    <x v="5"/>
    <x v="38"/>
    <n v="4"/>
    <n v="20208"/>
    <n v="10080"/>
  </r>
  <r>
    <x v="15"/>
    <x v="1"/>
    <x v="15"/>
    <x v="4"/>
    <x v="5"/>
    <x v="38"/>
    <n v="8"/>
    <n v="49832"/>
    <n v="20160"/>
  </r>
  <r>
    <x v="16"/>
    <x v="1"/>
    <x v="16"/>
    <x v="4"/>
    <x v="5"/>
    <x v="38"/>
    <n v="10"/>
    <n v="61530"/>
    <n v="25200"/>
  </r>
  <r>
    <x v="17"/>
    <x v="1"/>
    <x v="17"/>
    <x v="4"/>
    <x v="5"/>
    <x v="38"/>
    <n v="9"/>
    <n v="54558"/>
    <n v="22680"/>
  </r>
  <r>
    <x v="18"/>
    <x v="1"/>
    <x v="18"/>
    <x v="4"/>
    <x v="5"/>
    <x v="38"/>
    <n v="10"/>
    <n v="40860"/>
    <n v="25200"/>
  </r>
  <r>
    <x v="19"/>
    <x v="1"/>
    <x v="19"/>
    <x v="4"/>
    <x v="5"/>
    <x v="38"/>
    <n v="8"/>
    <n v="40552"/>
    <n v="20160"/>
  </r>
  <r>
    <x v="20"/>
    <x v="1"/>
    <x v="20"/>
    <x v="4"/>
    <x v="5"/>
    <x v="38"/>
    <n v="9"/>
    <n v="46791"/>
    <n v="22680"/>
  </r>
  <r>
    <x v="21"/>
    <x v="1"/>
    <x v="21"/>
    <x v="4"/>
    <x v="5"/>
    <x v="38"/>
    <n v="7"/>
    <n v="40747"/>
    <n v="17640"/>
  </r>
  <r>
    <x v="22"/>
    <x v="1"/>
    <x v="22"/>
    <x v="4"/>
    <x v="5"/>
    <x v="38"/>
    <n v="5"/>
    <n v="25265"/>
    <n v="12600"/>
  </r>
  <r>
    <x v="23"/>
    <x v="1"/>
    <x v="23"/>
    <x v="4"/>
    <x v="5"/>
    <x v="38"/>
    <n v="6"/>
    <n v="30978"/>
    <n v="15120"/>
  </r>
  <r>
    <x v="0"/>
    <x v="0"/>
    <x v="0"/>
    <x v="4"/>
    <x v="5"/>
    <x v="39"/>
    <n v="10"/>
    <n v="30010"/>
    <n v="9240"/>
  </r>
  <r>
    <x v="1"/>
    <x v="0"/>
    <x v="1"/>
    <x v="4"/>
    <x v="5"/>
    <x v="39"/>
    <n v="6"/>
    <n v="20574"/>
    <n v="5544"/>
  </r>
  <r>
    <x v="2"/>
    <x v="0"/>
    <x v="2"/>
    <x v="4"/>
    <x v="5"/>
    <x v="39"/>
    <n v="5"/>
    <n v="14930"/>
    <n v="4620"/>
  </r>
  <r>
    <x v="3"/>
    <x v="0"/>
    <x v="3"/>
    <x v="4"/>
    <x v="5"/>
    <x v="39"/>
    <n v="9"/>
    <n v="40221"/>
    <n v="8316"/>
  </r>
  <r>
    <x v="4"/>
    <x v="0"/>
    <x v="4"/>
    <x v="4"/>
    <x v="5"/>
    <x v="39"/>
    <n v="11"/>
    <n v="44187"/>
    <n v="10164"/>
  </r>
  <r>
    <x v="5"/>
    <x v="0"/>
    <x v="5"/>
    <x v="4"/>
    <x v="5"/>
    <x v="39"/>
    <n v="11"/>
    <n v="34793"/>
    <n v="10164"/>
  </r>
  <r>
    <x v="6"/>
    <x v="0"/>
    <x v="6"/>
    <x v="4"/>
    <x v="5"/>
    <x v="39"/>
    <n v="11"/>
    <n v="14806"/>
    <n v="10164"/>
  </r>
  <r>
    <x v="7"/>
    <x v="0"/>
    <x v="7"/>
    <x v="4"/>
    <x v="5"/>
    <x v="39"/>
    <n v="10"/>
    <n v="27280"/>
    <n v="9240"/>
  </r>
  <r>
    <x v="8"/>
    <x v="0"/>
    <x v="8"/>
    <x v="4"/>
    <x v="5"/>
    <x v="39"/>
    <n v="10"/>
    <n v="27450"/>
    <n v="9240"/>
  </r>
  <r>
    <x v="9"/>
    <x v="0"/>
    <x v="9"/>
    <x v="4"/>
    <x v="5"/>
    <x v="39"/>
    <n v="9"/>
    <n v="35379"/>
    <n v="8316"/>
  </r>
  <r>
    <x v="10"/>
    <x v="0"/>
    <x v="10"/>
    <x v="4"/>
    <x v="5"/>
    <x v="39"/>
    <n v="6"/>
    <n v="23250"/>
    <n v="5544"/>
  </r>
  <r>
    <x v="11"/>
    <x v="0"/>
    <x v="11"/>
    <x v="4"/>
    <x v="5"/>
    <x v="39"/>
    <n v="7"/>
    <n v="23660"/>
    <n v="6468"/>
  </r>
  <r>
    <x v="12"/>
    <x v="1"/>
    <x v="12"/>
    <x v="4"/>
    <x v="5"/>
    <x v="39"/>
    <n v="11"/>
    <n v="32142"/>
    <n v="10164"/>
  </r>
  <r>
    <x v="13"/>
    <x v="1"/>
    <x v="13"/>
    <x v="4"/>
    <x v="5"/>
    <x v="39"/>
    <n v="7"/>
    <n v="24619"/>
    <n v="6468"/>
  </r>
  <r>
    <x v="14"/>
    <x v="1"/>
    <x v="14"/>
    <x v="4"/>
    <x v="5"/>
    <x v="39"/>
    <n v="6"/>
    <n v="14616"/>
    <n v="5544"/>
  </r>
  <r>
    <x v="15"/>
    <x v="1"/>
    <x v="15"/>
    <x v="4"/>
    <x v="5"/>
    <x v="39"/>
    <n v="10"/>
    <n v="41620"/>
    <n v="9240"/>
  </r>
  <r>
    <x v="16"/>
    <x v="1"/>
    <x v="16"/>
    <x v="4"/>
    <x v="5"/>
    <x v="39"/>
    <n v="13"/>
    <n v="56420"/>
    <n v="12012"/>
  </r>
  <r>
    <x v="17"/>
    <x v="1"/>
    <x v="17"/>
    <x v="4"/>
    <x v="5"/>
    <x v="39"/>
    <n v="12"/>
    <n v="39444"/>
    <n v="11088"/>
  </r>
  <r>
    <x v="18"/>
    <x v="1"/>
    <x v="18"/>
    <x v="4"/>
    <x v="5"/>
    <x v="39"/>
    <n v="13"/>
    <n v="26910"/>
    <n v="12012"/>
  </r>
  <r>
    <x v="19"/>
    <x v="1"/>
    <x v="19"/>
    <x v="4"/>
    <x v="5"/>
    <x v="39"/>
    <n v="11"/>
    <n v="27632"/>
    <n v="10164"/>
  </r>
  <r>
    <x v="20"/>
    <x v="1"/>
    <x v="20"/>
    <x v="4"/>
    <x v="5"/>
    <x v="39"/>
    <n v="11"/>
    <n v="29590"/>
    <n v="10164"/>
  </r>
  <r>
    <x v="21"/>
    <x v="1"/>
    <x v="21"/>
    <x v="4"/>
    <x v="5"/>
    <x v="39"/>
    <n v="9"/>
    <n v="33003"/>
    <n v="8316"/>
  </r>
  <r>
    <x v="22"/>
    <x v="1"/>
    <x v="22"/>
    <x v="4"/>
    <x v="5"/>
    <x v="39"/>
    <n v="7"/>
    <n v="22351"/>
    <n v="6468"/>
  </r>
  <r>
    <x v="23"/>
    <x v="1"/>
    <x v="23"/>
    <x v="4"/>
    <x v="5"/>
    <x v="39"/>
    <n v="8"/>
    <n v="27752"/>
    <n v="7392"/>
  </r>
  <r>
    <x v="0"/>
    <x v="0"/>
    <x v="0"/>
    <x v="4"/>
    <x v="5"/>
    <x v="40"/>
    <n v="8"/>
    <n v="27192"/>
    <n v="8736"/>
  </r>
  <r>
    <x v="1"/>
    <x v="0"/>
    <x v="1"/>
    <x v="4"/>
    <x v="5"/>
    <x v="40"/>
    <n v="5"/>
    <n v="23510"/>
    <n v="5460"/>
  </r>
  <r>
    <x v="2"/>
    <x v="0"/>
    <x v="2"/>
    <x v="4"/>
    <x v="5"/>
    <x v="40"/>
    <n v="4"/>
    <n v="15000"/>
    <n v="4368"/>
  </r>
  <r>
    <x v="3"/>
    <x v="0"/>
    <x v="3"/>
    <x v="4"/>
    <x v="5"/>
    <x v="40"/>
    <n v="7"/>
    <n v="29862"/>
    <n v="7644"/>
  </r>
  <r>
    <x v="4"/>
    <x v="0"/>
    <x v="4"/>
    <x v="4"/>
    <x v="5"/>
    <x v="40"/>
    <n v="9"/>
    <n v="36738"/>
    <n v="9828"/>
  </r>
  <r>
    <x v="5"/>
    <x v="0"/>
    <x v="5"/>
    <x v="4"/>
    <x v="5"/>
    <x v="40"/>
    <n v="9"/>
    <n v="34506"/>
    <n v="9828"/>
  </r>
  <r>
    <x v="6"/>
    <x v="0"/>
    <x v="6"/>
    <x v="4"/>
    <x v="5"/>
    <x v="40"/>
    <n v="9"/>
    <n v="22716"/>
    <n v="9828"/>
  </r>
  <r>
    <x v="7"/>
    <x v="0"/>
    <x v="7"/>
    <x v="4"/>
    <x v="5"/>
    <x v="40"/>
    <n v="8"/>
    <n v="24744"/>
    <n v="8736"/>
  </r>
  <r>
    <x v="8"/>
    <x v="0"/>
    <x v="8"/>
    <x v="4"/>
    <x v="5"/>
    <x v="40"/>
    <n v="8"/>
    <n v="30512"/>
    <n v="8736"/>
  </r>
  <r>
    <x v="9"/>
    <x v="0"/>
    <x v="9"/>
    <x v="4"/>
    <x v="5"/>
    <x v="40"/>
    <n v="7"/>
    <n v="26306"/>
    <n v="7644"/>
  </r>
  <r>
    <x v="10"/>
    <x v="0"/>
    <x v="10"/>
    <x v="4"/>
    <x v="5"/>
    <x v="40"/>
    <n v="5"/>
    <n v="16895"/>
    <n v="5460"/>
  </r>
  <r>
    <x v="11"/>
    <x v="0"/>
    <x v="11"/>
    <x v="4"/>
    <x v="5"/>
    <x v="40"/>
    <n v="6"/>
    <n v="19704"/>
    <n v="6552"/>
  </r>
  <r>
    <x v="12"/>
    <x v="1"/>
    <x v="12"/>
    <x v="4"/>
    <x v="5"/>
    <x v="40"/>
    <n v="9"/>
    <n v="38169"/>
    <n v="9828"/>
  </r>
  <r>
    <x v="13"/>
    <x v="1"/>
    <x v="13"/>
    <x v="4"/>
    <x v="5"/>
    <x v="40"/>
    <n v="6"/>
    <n v="22026"/>
    <n v="6552"/>
  </r>
  <r>
    <x v="14"/>
    <x v="1"/>
    <x v="14"/>
    <x v="4"/>
    <x v="5"/>
    <x v="40"/>
    <n v="5"/>
    <n v="15145"/>
    <n v="5460"/>
  </r>
  <r>
    <x v="15"/>
    <x v="1"/>
    <x v="15"/>
    <x v="4"/>
    <x v="5"/>
    <x v="40"/>
    <n v="8"/>
    <n v="37712"/>
    <n v="8736"/>
  </r>
  <r>
    <x v="16"/>
    <x v="1"/>
    <x v="16"/>
    <x v="4"/>
    <x v="5"/>
    <x v="40"/>
    <n v="10"/>
    <n v="42860"/>
    <n v="10920"/>
  </r>
  <r>
    <x v="17"/>
    <x v="1"/>
    <x v="17"/>
    <x v="4"/>
    <x v="5"/>
    <x v="40"/>
    <n v="10"/>
    <n v="41500"/>
    <n v="10920"/>
  </r>
  <r>
    <x v="18"/>
    <x v="1"/>
    <x v="18"/>
    <x v="4"/>
    <x v="5"/>
    <x v="40"/>
    <n v="10"/>
    <n v="27750"/>
    <n v="10920"/>
  </r>
  <r>
    <x v="19"/>
    <x v="1"/>
    <x v="19"/>
    <x v="4"/>
    <x v="5"/>
    <x v="40"/>
    <n v="9"/>
    <n v="25299"/>
    <n v="9828"/>
  </r>
  <r>
    <x v="20"/>
    <x v="1"/>
    <x v="20"/>
    <x v="4"/>
    <x v="5"/>
    <x v="40"/>
    <n v="9"/>
    <n v="27945"/>
    <n v="9828"/>
  </r>
  <r>
    <x v="21"/>
    <x v="1"/>
    <x v="21"/>
    <x v="4"/>
    <x v="5"/>
    <x v="40"/>
    <n v="8"/>
    <n v="34816"/>
    <n v="8736"/>
  </r>
  <r>
    <x v="22"/>
    <x v="1"/>
    <x v="22"/>
    <x v="4"/>
    <x v="5"/>
    <x v="40"/>
    <n v="6"/>
    <n v="21288"/>
    <n v="6552"/>
  </r>
  <r>
    <x v="23"/>
    <x v="1"/>
    <x v="23"/>
    <x v="4"/>
    <x v="5"/>
    <x v="40"/>
    <n v="7"/>
    <n v="24248"/>
    <n v="7644"/>
  </r>
  <r>
    <x v="0"/>
    <x v="0"/>
    <x v="0"/>
    <x v="4"/>
    <x v="5"/>
    <x v="41"/>
    <n v="10"/>
    <n v="28160"/>
    <n v="8740"/>
  </r>
  <r>
    <x v="1"/>
    <x v="0"/>
    <x v="1"/>
    <x v="4"/>
    <x v="5"/>
    <x v="41"/>
    <n v="6"/>
    <n v="21462"/>
    <n v="5244"/>
  </r>
  <r>
    <x v="2"/>
    <x v="0"/>
    <x v="2"/>
    <x v="4"/>
    <x v="5"/>
    <x v="41"/>
    <n v="5"/>
    <n v="11445"/>
    <n v="4370"/>
  </r>
  <r>
    <x v="3"/>
    <x v="0"/>
    <x v="3"/>
    <x v="4"/>
    <x v="5"/>
    <x v="41"/>
    <n v="9"/>
    <n v="31707"/>
    <n v="7866"/>
  </r>
  <r>
    <x v="4"/>
    <x v="0"/>
    <x v="4"/>
    <x v="4"/>
    <x v="5"/>
    <x v="41"/>
    <n v="12"/>
    <n v="48420"/>
    <n v="10488"/>
  </r>
  <r>
    <x v="5"/>
    <x v="0"/>
    <x v="5"/>
    <x v="4"/>
    <x v="5"/>
    <x v="41"/>
    <n v="11"/>
    <n v="35893"/>
    <n v="9614"/>
  </r>
  <r>
    <x v="6"/>
    <x v="0"/>
    <x v="6"/>
    <x v="4"/>
    <x v="5"/>
    <x v="41"/>
    <n v="12"/>
    <n v="16512"/>
    <n v="10488"/>
  </r>
  <r>
    <x v="7"/>
    <x v="0"/>
    <x v="7"/>
    <x v="4"/>
    <x v="5"/>
    <x v="41"/>
    <n v="10"/>
    <n v="25000"/>
    <n v="8740"/>
  </r>
  <r>
    <x v="8"/>
    <x v="0"/>
    <x v="8"/>
    <x v="4"/>
    <x v="5"/>
    <x v="41"/>
    <n v="11"/>
    <n v="34661"/>
    <n v="9614"/>
  </r>
  <r>
    <x v="9"/>
    <x v="0"/>
    <x v="9"/>
    <x v="4"/>
    <x v="5"/>
    <x v="41"/>
    <n v="9"/>
    <n v="25209"/>
    <n v="7866"/>
  </r>
  <r>
    <x v="10"/>
    <x v="0"/>
    <x v="10"/>
    <x v="4"/>
    <x v="5"/>
    <x v="41"/>
    <n v="6"/>
    <n v="16104"/>
    <n v="5244"/>
  </r>
  <r>
    <x v="11"/>
    <x v="0"/>
    <x v="11"/>
    <x v="4"/>
    <x v="5"/>
    <x v="41"/>
    <n v="8"/>
    <n v="21280"/>
    <n v="6992"/>
  </r>
  <r>
    <x v="12"/>
    <x v="1"/>
    <x v="12"/>
    <x v="4"/>
    <x v="5"/>
    <x v="41"/>
    <n v="11"/>
    <n v="29282"/>
    <n v="9614"/>
  </r>
  <r>
    <x v="13"/>
    <x v="1"/>
    <x v="13"/>
    <x v="4"/>
    <x v="5"/>
    <x v="41"/>
    <n v="7"/>
    <n v="26082"/>
    <n v="6118"/>
  </r>
  <r>
    <x v="14"/>
    <x v="1"/>
    <x v="14"/>
    <x v="4"/>
    <x v="5"/>
    <x v="41"/>
    <n v="6"/>
    <n v="15876"/>
    <n v="5244"/>
  </r>
  <r>
    <x v="15"/>
    <x v="1"/>
    <x v="15"/>
    <x v="4"/>
    <x v="5"/>
    <x v="41"/>
    <n v="10"/>
    <n v="33060"/>
    <n v="8740"/>
  </r>
  <r>
    <x v="16"/>
    <x v="1"/>
    <x v="16"/>
    <x v="4"/>
    <x v="5"/>
    <x v="41"/>
    <n v="13"/>
    <n v="49426"/>
    <n v="11362"/>
  </r>
  <r>
    <x v="17"/>
    <x v="1"/>
    <x v="17"/>
    <x v="4"/>
    <x v="5"/>
    <x v="41"/>
    <n v="12"/>
    <n v="34068"/>
    <n v="10488"/>
  </r>
  <r>
    <x v="18"/>
    <x v="1"/>
    <x v="18"/>
    <x v="4"/>
    <x v="5"/>
    <x v="41"/>
    <n v="13"/>
    <n v="16367"/>
    <n v="11362"/>
  </r>
  <r>
    <x v="19"/>
    <x v="1"/>
    <x v="19"/>
    <x v="4"/>
    <x v="5"/>
    <x v="41"/>
    <n v="11"/>
    <n v="23243"/>
    <n v="9614"/>
  </r>
  <r>
    <x v="20"/>
    <x v="1"/>
    <x v="20"/>
    <x v="4"/>
    <x v="5"/>
    <x v="41"/>
    <n v="12"/>
    <n v="30828"/>
    <n v="10488"/>
  </r>
  <r>
    <x v="21"/>
    <x v="1"/>
    <x v="21"/>
    <x v="4"/>
    <x v="5"/>
    <x v="41"/>
    <n v="10"/>
    <n v="33720"/>
    <n v="8740"/>
  </r>
  <r>
    <x v="22"/>
    <x v="1"/>
    <x v="22"/>
    <x v="4"/>
    <x v="5"/>
    <x v="41"/>
    <n v="7"/>
    <n v="18410"/>
    <n v="6118"/>
  </r>
  <r>
    <x v="23"/>
    <x v="1"/>
    <x v="23"/>
    <x v="4"/>
    <x v="5"/>
    <x v="41"/>
    <n v="8"/>
    <n v="26024"/>
    <n v="6992"/>
  </r>
  <r>
    <x v="0"/>
    <x v="0"/>
    <x v="0"/>
    <x v="5"/>
    <x v="0"/>
    <x v="0"/>
    <n v="76"/>
    <n v="855532"/>
    <n v="456000"/>
  </r>
  <r>
    <x v="1"/>
    <x v="0"/>
    <x v="1"/>
    <x v="5"/>
    <x v="0"/>
    <x v="0"/>
    <n v="48"/>
    <n v="550080"/>
    <n v="288000"/>
  </r>
  <r>
    <x v="2"/>
    <x v="0"/>
    <x v="2"/>
    <x v="5"/>
    <x v="0"/>
    <x v="0"/>
    <n v="38"/>
    <n v="391438"/>
    <n v="228000"/>
  </r>
  <r>
    <x v="3"/>
    <x v="0"/>
    <x v="3"/>
    <x v="5"/>
    <x v="0"/>
    <x v="0"/>
    <n v="71"/>
    <n v="843835"/>
    <n v="426000"/>
  </r>
  <r>
    <x v="4"/>
    <x v="0"/>
    <x v="4"/>
    <x v="5"/>
    <x v="0"/>
    <x v="0"/>
    <n v="90"/>
    <n v="1046160"/>
    <n v="540000"/>
  </r>
  <r>
    <x v="5"/>
    <x v="0"/>
    <x v="5"/>
    <x v="5"/>
    <x v="0"/>
    <x v="0"/>
    <n v="85"/>
    <n v="959480"/>
    <n v="510000"/>
  </r>
  <r>
    <x v="6"/>
    <x v="0"/>
    <x v="6"/>
    <x v="5"/>
    <x v="0"/>
    <x v="0"/>
    <n v="90"/>
    <n v="914400"/>
    <n v="540000"/>
  </r>
  <r>
    <x v="7"/>
    <x v="0"/>
    <x v="7"/>
    <x v="5"/>
    <x v="0"/>
    <x v="0"/>
    <n v="76"/>
    <n v="864804"/>
    <n v="456000"/>
  </r>
  <r>
    <x v="8"/>
    <x v="0"/>
    <x v="8"/>
    <x v="5"/>
    <x v="0"/>
    <x v="0"/>
    <n v="81"/>
    <n v="852687"/>
    <n v="486000"/>
  </r>
  <r>
    <x v="9"/>
    <x v="0"/>
    <x v="9"/>
    <x v="5"/>
    <x v="0"/>
    <x v="0"/>
    <n v="67"/>
    <n v="734655"/>
    <n v="402000"/>
  </r>
  <r>
    <x v="10"/>
    <x v="0"/>
    <x v="10"/>
    <x v="5"/>
    <x v="0"/>
    <x v="0"/>
    <n v="48"/>
    <n v="533232"/>
    <n v="288000"/>
  </r>
  <r>
    <x v="11"/>
    <x v="0"/>
    <x v="11"/>
    <x v="5"/>
    <x v="0"/>
    <x v="0"/>
    <n v="57"/>
    <n v="609444"/>
    <n v="342000"/>
  </r>
  <r>
    <x v="12"/>
    <x v="1"/>
    <x v="12"/>
    <x v="5"/>
    <x v="0"/>
    <x v="0"/>
    <n v="84"/>
    <n v="917868"/>
    <n v="504000"/>
  </r>
  <r>
    <x v="13"/>
    <x v="1"/>
    <x v="13"/>
    <x v="5"/>
    <x v="0"/>
    <x v="0"/>
    <n v="52"/>
    <n v="621608"/>
    <n v="312000"/>
  </r>
  <r>
    <x v="14"/>
    <x v="1"/>
    <x v="14"/>
    <x v="5"/>
    <x v="0"/>
    <x v="0"/>
    <n v="42"/>
    <n v="456624"/>
    <n v="252000"/>
  </r>
  <r>
    <x v="15"/>
    <x v="1"/>
    <x v="15"/>
    <x v="5"/>
    <x v="0"/>
    <x v="0"/>
    <n v="78"/>
    <n v="911430"/>
    <n v="468000"/>
  </r>
  <r>
    <x v="16"/>
    <x v="1"/>
    <x v="16"/>
    <x v="5"/>
    <x v="0"/>
    <x v="0"/>
    <n v="99"/>
    <n v="1204731"/>
    <n v="594000"/>
  </r>
  <r>
    <x v="17"/>
    <x v="1"/>
    <x v="17"/>
    <x v="5"/>
    <x v="0"/>
    <x v="0"/>
    <n v="94"/>
    <n v="1029770"/>
    <n v="564000"/>
  </r>
  <r>
    <x v="18"/>
    <x v="1"/>
    <x v="18"/>
    <x v="5"/>
    <x v="0"/>
    <x v="0"/>
    <n v="99"/>
    <n v="946836"/>
    <n v="594000"/>
  </r>
  <r>
    <x v="19"/>
    <x v="1"/>
    <x v="19"/>
    <x v="5"/>
    <x v="0"/>
    <x v="0"/>
    <n v="84"/>
    <n v="858480"/>
    <n v="504000"/>
  </r>
  <r>
    <x v="20"/>
    <x v="1"/>
    <x v="20"/>
    <x v="5"/>
    <x v="0"/>
    <x v="0"/>
    <n v="89"/>
    <n v="962268"/>
    <n v="534000"/>
  </r>
  <r>
    <x v="21"/>
    <x v="1"/>
    <x v="21"/>
    <x v="5"/>
    <x v="0"/>
    <x v="0"/>
    <n v="73"/>
    <n v="847895"/>
    <n v="438000"/>
  </r>
  <r>
    <x v="22"/>
    <x v="1"/>
    <x v="22"/>
    <x v="5"/>
    <x v="0"/>
    <x v="0"/>
    <n v="52"/>
    <n v="567632"/>
    <n v="312000"/>
  </r>
  <r>
    <x v="23"/>
    <x v="1"/>
    <x v="23"/>
    <x v="5"/>
    <x v="0"/>
    <x v="0"/>
    <n v="63"/>
    <n v="682857"/>
    <n v="378000"/>
  </r>
  <r>
    <x v="0"/>
    <x v="0"/>
    <x v="0"/>
    <x v="5"/>
    <x v="0"/>
    <x v="1"/>
    <n v="70"/>
    <n v="905520"/>
    <n v="495600"/>
  </r>
  <r>
    <x v="1"/>
    <x v="0"/>
    <x v="1"/>
    <x v="5"/>
    <x v="0"/>
    <x v="1"/>
    <n v="44"/>
    <n v="588676"/>
    <n v="311520"/>
  </r>
  <r>
    <x v="2"/>
    <x v="0"/>
    <x v="2"/>
    <x v="5"/>
    <x v="0"/>
    <x v="1"/>
    <n v="35"/>
    <n v="443520"/>
    <n v="247800"/>
  </r>
  <r>
    <x v="3"/>
    <x v="0"/>
    <x v="3"/>
    <x v="5"/>
    <x v="0"/>
    <x v="1"/>
    <n v="65"/>
    <n v="882050"/>
    <n v="460200"/>
  </r>
  <r>
    <x v="4"/>
    <x v="0"/>
    <x v="4"/>
    <x v="5"/>
    <x v="0"/>
    <x v="1"/>
    <n v="83"/>
    <n v="1142910"/>
    <n v="587640"/>
  </r>
  <r>
    <x v="5"/>
    <x v="0"/>
    <x v="5"/>
    <x v="5"/>
    <x v="0"/>
    <x v="1"/>
    <n v="78"/>
    <n v="1048632"/>
    <n v="552240"/>
  </r>
  <r>
    <x v="6"/>
    <x v="0"/>
    <x v="6"/>
    <x v="5"/>
    <x v="0"/>
    <x v="1"/>
    <n v="83"/>
    <n v="997743"/>
    <n v="587640"/>
  </r>
  <r>
    <x v="7"/>
    <x v="0"/>
    <x v="7"/>
    <x v="5"/>
    <x v="0"/>
    <x v="1"/>
    <n v="70"/>
    <n v="874440"/>
    <n v="495600"/>
  </r>
  <r>
    <x v="8"/>
    <x v="0"/>
    <x v="8"/>
    <x v="5"/>
    <x v="0"/>
    <x v="1"/>
    <n v="74"/>
    <n v="991156"/>
    <n v="523920"/>
  </r>
  <r>
    <x v="9"/>
    <x v="0"/>
    <x v="9"/>
    <x v="5"/>
    <x v="0"/>
    <x v="1"/>
    <n v="61"/>
    <n v="821060"/>
    <n v="431880"/>
  </r>
  <r>
    <x v="10"/>
    <x v="0"/>
    <x v="10"/>
    <x v="5"/>
    <x v="0"/>
    <x v="1"/>
    <n v="44"/>
    <n v="579084"/>
    <n v="311520"/>
  </r>
  <r>
    <x v="11"/>
    <x v="0"/>
    <x v="11"/>
    <x v="5"/>
    <x v="0"/>
    <x v="1"/>
    <n v="52"/>
    <n v="664820"/>
    <n v="368160"/>
  </r>
  <r>
    <x v="12"/>
    <x v="1"/>
    <x v="12"/>
    <x v="5"/>
    <x v="0"/>
    <x v="1"/>
    <n v="77"/>
    <n v="1038191"/>
    <n v="545160"/>
  </r>
  <r>
    <x v="13"/>
    <x v="1"/>
    <x v="13"/>
    <x v="5"/>
    <x v="0"/>
    <x v="1"/>
    <n v="48"/>
    <n v="619200"/>
    <n v="339840"/>
  </r>
  <r>
    <x v="14"/>
    <x v="1"/>
    <x v="14"/>
    <x v="5"/>
    <x v="0"/>
    <x v="1"/>
    <n v="39"/>
    <n v="511212"/>
    <n v="276120"/>
  </r>
  <r>
    <x v="15"/>
    <x v="1"/>
    <x v="15"/>
    <x v="5"/>
    <x v="0"/>
    <x v="1"/>
    <n v="72"/>
    <n v="992376"/>
    <n v="509760"/>
  </r>
  <r>
    <x v="16"/>
    <x v="1"/>
    <x v="16"/>
    <x v="5"/>
    <x v="0"/>
    <x v="1"/>
    <n v="91"/>
    <n v="1259804"/>
    <n v="644280"/>
  </r>
  <r>
    <x v="17"/>
    <x v="1"/>
    <x v="17"/>
    <x v="5"/>
    <x v="0"/>
    <x v="1"/>
    <n v="86"/>
    <n v="1172696"/>
    <n v="608880"/>
  </r>
  <r>
    <x v="18"/>
    <x v="1"/>
    <x v="18"/>
    <x v="5"/>
    <x v="0"/>
    <x v="1"/>
    <n v="91"/>
    <n v="1051414"/>
    <n v="644280"/>
  </r>
  <r>
    <x v="19"/>
    <x v="1"/>
    <x v="19"/>
    <x v="5"/>
    <x v="0"/>
    <x v="1"/>
    <n v="77"/>
    <n v="1007699"/>
    <n v="545160"/>
  </r>
  <r>
    <x v="20"/>
    <x v="1"/>
    <x v="20"/>
    <x v="5"/>
    <x v="0"/>
    <x v="1"/>
    <n v="81"/>
    <n v="1012581"/>
    <n v="573480"/>
  </r>
  <r>
    <x v="21"/>
    <x v="1"/>
    <x v="21"/>
    <x v="5"/>
    <x v="0"/>
    <x v="1"/>
    <n v="67"/>
    <n v="883395"/>
    <n v="474360"/>
  </r>
  <r>
    <x v="22"/>
    <x v="1"/>
    <x v="22"/>
    <x v="5"/>
    <x v="0"/>
    <x v="1"/>
    <n v="48"/>
    <n v="644976"/>
    <n v="339840"/>
  </r>
  <r>
    <x v="23"/>
    <x v="1"/>
    <x v="23"/>
    <x v="5"/>
    <x v="0"/>
    <x v="1"/>
    <n v="58"/>
    <n v="748722"/>
    <n v="410640"/>
  </r>
  <r>
    <x v="0"/>
    <x v="0"/>
    <x v="0"/>
    <x v="5"/>
    <x v="0"/>
    <x v="2"/>
    <n v="70"/>
    <n v="1831550"/>
    <n v="735000"/>
  </r>
  <r>
    <x v="1"/>
    <x v="0"/>
    <x v="1"/>
    <x v="5"/>
    <x v="0"/>
    <x v="2"/>
    <n v="44"/>
    <n v="1150908"/>
    <n v="462000"/>
  </r>
  <r>
    <x v="2"/>
    <x v="0"/>
    <x v="2"/>
    <x v="5"/>
    <x v="0"/>
    <x v="2"/>
    <n v="35"/>
    <n v="891940"/>
    <n v="367500"/>
  </r>
  <r>
    <x v="3"/>
    <x v="0"/>
    <x v="3"/>
    <x v="5"/>
    <x v="0"/>
    <x v="2"/>
    <n v="65"/>
    <n v="1748305"/>
    <n v="682500"/>
  </r>
  <r>
    <x v="4"/>
    <x v="0"/>
    <x v="4"/>
    <x v="5"/>
    <x v="0"/>
    <x v="2"/>
    <n v="83"/>
    <n v="2212282"/>
    <n v="871500"/>
  </r>
  <r>
    <x v="5"/>
    <x v="0"/>
    <x v="5"/>
    <x v="5"/>
    <x v="0"/>
    <x v="2"/>
    <n v="78"/>
    <n v="2081352"/>
    <n v="819000"/>
  </r>
  <r>
    <x v="6"/>
    <x v="0"/>
    <x v="6"/>
    <x v="5"/>
    <x v="0"/>
    <x v="2"/>
    <n v="83"/>
    <n v="2085375"/>
    <n v="871500"/>
  </r>
  <r>
    <x v="7"/>
    <x v="0"/>
    <x v="7"/>
    <x v="5"/>
    <x v="0"/>
    <x v="2"/>
    <n v="70"/>
    <n v="1793400"/>
    <n v="735000"/>
  </r>
  <r>
    <x v="8"/>
    <x v="0"/>
    <x v="8"/>
    <x v="5"/>
    <x v="0"/>
    <x v="2"/>
    <n v="74"/>
    <n v="1897878"/>
    <n v="777000"/>
  </r>
  <r>
    <x v="9"/>
    <x v="0"/>
    <x v="9"/>
    <x v="5"/>
    <x v="0"/>
    <x v="2"/>
    <n v="61"/>
    <n v="1632909"/>
    <n v="640500"/>
  </r>
  <r>
    <x v="10"/>
    <x v="0"/>
    <x v="10"/>
    <x v="5"/>
    <x v="0"/>
    <x v="2"/>
    <n v="44"/>
    <n v="1158256"/>
    <n v="462000"/>
  </r>
  <r>
    <x v="11"/>
    <x v="0"/>
    <x v="11"/>
    <x v="5"/>
    <x v="0"/>
    <x v="2"/>
    <n v="52"/>
    <n v="1339104"/>
    <n v="546000"/>
  </r>
  <r>
    <x v="12"/>
    <x v="1"/>
    <x v="12"/>
    <x v="5"/>
    <x v="0"/>
    <x v="2"/>
    <n v="77"/>
    <n v="2017323"/>
    <n v="808500"/>
  </r>
  <r>
    <x v="13"/>
    <x v="1"/>
    <x v="13"/>
    <x v="5"/>
    <x v="0"/>
    <x v="2"/>
    <n v="48"/>
    <n v="1244976"/>
    <n v="504000"/>
  </r>
  <r>
    <x v="14"/>
    <x v="1"/>
    <x v="14"/>
    <x v="5"/>
    <x v="0"/>
    <x v="2"/>
    <n v="39"/>
    <n v="1021176"/>
    <n v="409500"/>
  </r>
  <r>
    <x v="15"/>
    <x v="1"/>
    <x v="15"/>
    <x v="5"/>
    <x v="0"/>
    <x v="2"/>
    <n v="72"/>
    <n v="1923624"/>
    <n v="756000"/>
  </r>
  <r>
    <x v="16"/>
    <x v="1"/>
    <x v="16"/>
    <x v="5"/>
    <x v="0"/>
    <x v="2"/>
    <n v="91"/>
    <n v="2507323"/>
    <n v="955500"/>
  </r>
  <r>
    <x v="17"/>
    <x v="1"/>
    <x v="17"/>
    <x v="5"/>
    <x v="0"/>
    <x v="2"/>
    <n v="86"/>
    <n v="2250362"/>
    <n v="903000"/>
  </r>
  <r>
    <x v="18"/>
    <x v="1"/>
    <x v="18"/>
    <x v="5"/>
    <x v="0"/>
    <x v="2"/>
    <n v="91"/>
    <n v="2302391"/>
    <n v="955500"/>
  </r>
  <r>
    <x v="19"/>
    <x v="1"/>
    <x v="19"/>
    <x v="5"/>
    <x v="0"/>
    <x v="2"/>
    <n v="77"/>
    <n v="1979978"/>
    <n v="808500"/>
  </r>
  <r>
    <x v="20"/>
    <x v="1"/>
    <x v="20"/>
    <x v="5"/>
    <x v="0"/>
    <x v="2"/>
    <n v="81"/>
    <n v="2054646"/>
    <n v="850500"/>
  </r>
  <r>
    <x v="21"/>
    <x v="1"/>
    <x v="21"/>
    <x v="5"/>
    <x v="0"/>
    <x v="2"/>
    <n v="67"/>
    <n v="1765919"/>
    <n v="703500"/>
  </r>
  <r>
    <x v="22"/>
    <x v="1"/>
    <x v="22"/>
    <x v="5"/>
    <x v="0"/>
    <x v="2"/>
    <n v="48"/>
    <n v="1264848"/>
    <n v="504000"/>
  </r>
  <r>
    <x v="23"/>
    <x v="1"/>
    <x v="23"/>
    <x v="5"/>
    <x v="0"/>
    <x v="2"/>
    <n v="58"/>
    <n v="1519948"/>
    <n v="609000"/>
  </r>
  <r>
    <x v="0"/>
    <x v="0"/>
    <x v="0"/>
    <x v="5"/>
    <x v="0"/>
    <x v="3"/>
    <n v="75"/>
    <n v="1417575"/>
    <n v="561000"/>
  </r>
  <r>
    <x v="1"/>
    <x v="0"/>
    <x v="1"/>
    <x v="5"/>
    <x v="0"/>
    <x v="3"/>
    <n v="47"/>
    <n v="872743"/>
    <n v="351560"/>
  </r>
  <r>
    <x v="2"/>
    <x v="0"/>
    <x v="2"/>
    <x v="5"/>
    <x v="0"/>
    <x v="3"/>
    <n v="38"/>
    <n v="696274"/>
    <n v="284240"/>
  </r>
  <r>
    <x v="3"/>
    <x v="0"/>
    <x v="3"/>
    <x v="5"/>
    <x v="0"/>
    <x v="3"/>
    <n v="71"/>
    <n v="1348503"/>
    <n v="531080"/>
  </r>
  <r>
    <x v="4"/>
    <x v="0"/>
    <x v="4"/>
    <x v="5"/>
    <x v="0"/>
    <x v="3"/>
    <n v="89"/>
    <n v="1709779"/>
    <n v="665720"/>
  </r>
  <r>
    <x v="5"/>
    <x v="0"/>
    <x v="5"/>
    <x v="5"/>
    <x v="0"/>
    <x v="3"/>
    <n v="85"/>
    <n v="1560515"/>
    <n v="635800"/>
  </r>
  <r>
    <x v="6"/>
    <x v="0"/>
    <x v="6"/>
    <x v="5"/>
    <x v="0"/>
    <x v="3"/>
    <n v="89"/>
    <n v="1447941"/>
    <n v="665720"/>
  </r>
  <r>
    <x v="7"/>
    <x v="0"/>
    <x v="7"/>
    <x v="5"/>
    <x v="0"/>
    <x v="3"/>
    <n v="75"/>
    <n v="1355250"/>
    <n v="561000"/>
  </r>
  <r>
    <x v="8"/>
    <x v="0"/>
    <x v="8"/>
    <x v="5"/>
    <x v="0"/>
    <x v="3"/>
    <n v="80"/>
    <n v="1421280"/>
    <n v="598400"/>
  </r>
  <r>
    <x v="9"/>
    <x v="0"/>
    <x v="9"/>
    <x v="5"/>
    <x v="0"/>
    <x v="3"/>
    <n v="66"/>
    <n v="1240338"/>
    <n v="493680"/>
  </r>
  <r>
    <x v="10"/>
    <x v="0"/>
    <x v="10"/>
    <x v="5"/>
    <x v="0"/>
    <x v="3"/>
    <n v="47"/>
    <n v="874106"/>
    <n v="351560"/>
  </r>
  <r>
    <x v="11"/>
    <x v="0"/>
    <x v="11"/>
    <x v="5"/>
    <x v="0"/>
    <x v="3"/>
    <n v="57"/>
    <n v="1022979"/>
    <n v="426360"/>
  </r>
  <r>
    <x v="12"/>
    <x v="1"/>
    <x v="12"/>
    <x v="5"/>
    <x v="0"/>
    <x v="3"/>
    <n v="83"/>
    <n v="1497237"/>
    <n v="620840"/>
  </r>
  <r>
    <x v="13"/>
    <x v="1"/>
    <x v="13"/>
    <x v="5"/>
    <x v="0"/>
    <x v="3"/>
    <n v="52"/>
    <n v="950300"/>
    <n v="388960"/>
  </r>
  <r>
    <x v="14"/>
    <x v="1"/>
    <x v="14"/>
    <x v="5"/>
    <x v="0"/>
    <x v="3"/>
    <n v="42"/>
    <n v="742770"/>
    <n v="314160"/>
  </r>
  <r>
    <x v="15"/>
    <x v="1"/>
    <x v="15"/>
    <x v="5"/>
    <x v="0"/>
    <x v="3"/>
    <n v="78"/>
    <n v="1410552"/>
    <n v="583440"/>
  </r>
  <r>
    <x v="16"/>
    <x v="1"/>
    <x v="16"/>
    <x v="5"/>
    <x v="0"/>
    <x v="3"/>
    <n v="98"/>
    <n v="1822702"/>
    <n v="733040"/>
  </r>
  <r>
    <x v="17"/>
    <x v="1"/>
    <x v="17"/>
    <x v="5"/>
    <x v="0"/>
    <x v="3"/>
    <n v="93"/>
    <n v="1736310"/>
    <n v="695640"/>
  </r>
  <r>
    <x v="18"/>
    <x v="1"/>
    <x v="18"/>
    <x v="5"/>
    <x v="0"/>
    <x v="3"/>
    <n v="98"/>
    <n v="1696674"/>
    <n v="733040"/>
  </r>
  <r>
    <x v="19"/>
    <x v="1"/>
    <x v="19"/>
    <x v="5"/>
    <x v="0"/>
    <x v="3"/>
    <n v="83"/>
    <n v="1478728"/>
    <n v="620840"/>
  </r>
  <r>
    <x v="20"/>
    <x v="1"/>
    <x v="20"/>
    <x v="5"/>
    <x v="0"/>
    <x v="3"/>
    <n v="88"/>
    <n v="1552848"/>
    <n v="658240"/>
  </r>
  <r>
    <x v="21"/>
    <x v="1"/>
    <x v="21"/>
    <x v="5"/>
    <x v="0"/>
    <x v="3"/>
    <n v="73"/>
    <n v="1387292"/>
    <n v="546040"/>
  </r>
  <r>
    <x v="22"/>
    <x v="1"/>
    <x v="22"/>
    <x v="5"/>
    <x v="0"/>
    <x v="3"/>
    <n v="52"/>
    <n v="978380"/>
    <n v="388960"/>
  </r>
  <r>
    <x v="23"/>
    <x v="1"/>
    <x v="23"/>
    <x v="5"/>
    <x v="0"/>
    <x v="3"/>
    <n v="62"/>
    <n v="1081590"/>
    <n v="463760"/>
  </r>
  <r>
    <x v="0"/>
    <x v="0"/>
    <x v="0"/>
    <x v="5"/>
    <x v="0"/>
    <x v="4"/>
    <n v="59"/>
    <n v="1876259"/>
    <n v="991200"/>
  </r>
  <r>
    <x v="1"/>
    <x v="0"/>
    <x v="1"/>
    <x v="5"/>
    <x v="0"/>
    <x v="4"/>
    <n v="37"/>
    <n v="1174380"/>
    <n v="621600"/>
  </r>
  <r>
    <x v="2"/>
    <x v="0"/>
    <x v="2"/>
    <x v="5"/>
    <x v="0"/>
    <x v="4"/>
    <n v="30"/>
    <n v="922680"/>
    <n v="504000"/>
  </r>
  <r>
    <x v="3"/>
    <x v="0"/>
    <x v="3"/>
    <x v="5"/>
    <x v="0"/>
    <x v="4"/>
    <n v="55"/>
    <n v="1755930"/>
    <n v="924000"/>
  </r>
  <r>
    <x v="4"/>
    <x v="0"/>
    <x v="4"/>
    <x v="5"/>
    <x v="0"/>
    <x v="4"/>
    <n v="70"/>
    <n v="2205770"/>
    <n v="1176000"/>
  </r>
  <r>
    <x v="5"/>
    <x v="0"/>
    <x v="5"/>
    <x v="5"/>
    <x v="0"/>
    <x v="4"/>
    <n v="66"/>
    <n v="2093124"/>
    <n v="1108800"/>
  </r>
  <r>
    <x v="6"/>
    <x v="0"/>
    <x v="6"/>
    <x v="5"/>
    <x v="0"/>
    <x v="4"/>
    <n v="70"/>
    <n v="2092440"/>
    <n v="1176000"/>
  </r>
  <r>
    <x v="7"/>
    <x v="0"/>
    <x v="7"/>
    <x v="5"/>
    <x v="0"/>
    <x v="4"/>
    <n v="59"/>
    <n v="1820209"/>
    <n v="991200"/>
  </r>
  <r>
    <x v="8"/>
    <x v="0"/>
    <x v="8"/>
    <x v="5"/>
    <x v="0"/>
    <x v="4"/>
    <n v="62"/>
    <n v="1900176"/>
    <n v="1041600"/>
  </r>
  <r>
    <x v="9"/>
    <x v="0"/>
    <x v="9"/>
    <x v="5"/>
    <x v="0"/>
    <x v="4"/>
    <n v="51"/>
    <n v="1608438"/>
    <n v="856800"/>
  </r>
  <r>
    <x v="10"/>
    <x v="0"/>
    <x v="10"/>
    <x v="5"/>
    <x v="0"/>
    <x v="4"/>
    <n v="37"/>
    <n v="1165241"/>
    <n v="621600"/>
  </r>
  <r>
    <x v="11"/>
    <x v="0"/>
    <x v="11"/>
    <x v="5"/>
    <x v="0"/>
    <x v="4"/>
    <n v="44"/>
    <n v="1373944"/>
    <n v="739200"/>
  </r>
  <r>
    <x v="12"/>
    <x v="1"/>
    <x v="12"/>
    <x v="5"/>
    <x v="0"/>
    <x v="4"/>
    <n v="65"/>
    <n v="2027220"/>
    <n v="1092000"/>
  </r>
  <r>
    <x v="13"/>
    <x v="1"/>
    <x v="13"/>
    <x v="5"/>
    <x v="0"/>
    <x v="4"/>
    <n v="41"/>
    <n v="1304128"/>
    <n v="688800"/>
  </r>
  <r>
    <x v="14"/>
    <x v="1"/>
    <x v="14"/>
    <x v="5"/>
    <x v="0"/>
    <x v="4"/>
    <n v="33"/>
    <n v="1001649"/>
    <n v="554400"/>
  </r>
  <r>
    <x v="15"/>
    <x v="1"/>
    <x v="15"/>
    <x v="5"/>
    <x v="0"/>
    <x v="4"/>
    <n v="61"/>
    <n v="1947425"/>
    <n v="1024800"/>
  </r>
  <r>
    <x v="16"/>
    <x v="1"/>
    <x v="16"/>
    <x v="5"/>
    <x v="0"/>
    <x v="4"/>
    <n v="77"/>
    <n v="2428503"/>
    <n v="1293600"/>
  </r>
  <r>
    <x v="17"/>
    <x v="1"/>
    <x v="17"/>
    <x v="5"/>
    <x v="0"/>
    <x v="4"/>
    <n v="73"/>
    <n v="2295850"/>
    <n v="1226400"/>
  </r>
  <r>
    <x v="18"/>
    <x v="1"/>
    <x v="18"/>
    <x v="5"/>
    <x v="0"/>
    <x v="4"/>
    <n v="77"/>
    <n v="2268035"/>
    <n v="1293600"/>
  </r>
  <r>
    <x v="19"/>
    <x v="1"/>
    <x v="19"/>
    <x v="5"/>
    <x v="0"/>
    <x v="4"/>
    <n v="65"/>
    <n v="1952470"/>
    <n v="1092000"/>
  </r>
  <r>
    <x v="20"/>
    <x v="1"/>
    <x v="20"/>
    <x v="5"/>
    <x v="0"/>
    <x v="4"/>
    <n v="69"/>
    <n v="2157561"/>
    <n v="1159200"/>
  </r>
  <r>
    <x v="21"/>
    <x v="1"/>
    <x v="21"/>
    <x v="5"/>
    <x v="0"/>
    <x v="4"/>
    <n v="57"/>
    <n v="1758108"/>
    <n v="957600"/>
  </r>
  <r>
    <x v="22"/>
    <x v="1"/>
    <x v="22"/>
    <x v="5"/>
    <x v="0"/>
    <x v="4"/>
    <n v="41"/>
    <n v="1283177"/>
    <n v="688800"/>
  </r>
  <r>
    <x v="23"/>
    <x v="1"/>
    <x v="23"/>
    <x v="5"/>
    <x v="0"/>
    <x v="4"/>
    <n v="49"/>
    <n v="1495823"/>
    <n v="823200"/>
  </r>
  <r>
    <x v="0"/>
    <x v="0"/>
    <x v="0"/>
    <x v="5"/>
    <x v="0"/>
    <x v="5"/>
    <n v="56"/>
    <n v="932736"/>
    <n v="344400"/>
  </r>
  <r>
    <x v="1"/>
    <x v="0"/>
    <x v="1"/>
    <x v="5"/>
    <x v="0"/>
    <x v="5"/>
    <n v="35"/>
    <n v="571830"/>
    <n v="215250"/>
  </r>
  <r>
    <x v="2"/>
    <x v="0"/>
    <x v="2"/>
    <x v="5"/>
    <x v="0"/>
    <x v="5"/>
    <n v="28"/>
    <n v="423864"/>
    <n v="172200"/>
  </r>
  <r>
    <x v="3"/>
    <x v="0"/>
    <x v="3"/>
    <x v="5"/>
    <x v="0"/>
    <x v="5"/>
    <n v="53"/>
    <n v="861939"/>
    <n v="325950"/>
  </r>
  <r>
    <x v="4"/>
    <x v="0"/>
    <x v="4"/>
    <x v="5"/>
    <x v="0"/>
    <x v="5"/>
    <n v="67"/>
    <n v="1108716"/>
    <n v="412050"/>
  </r>
  <r>
    <x v="5"/>
    <x v="0"/>
    <x v="5"/>
    <x v="5"/>
    <x v="0"/>
    <x v="5"/>
    <n v="63"/>
    <n v="1037673"/>
    <n v="387450"/>
  </r>
  <r>
    <x v="6"/>
    <x v="0"/>
    <x v="6"/>
    <x v="5"/>
    <x v="0"/>
    <x v="5"/>
    <n v="67"/>
    <n v="1002789"/>
    <n v="412050"/>
  </r>
  <r>
    <x v="7"/>
    <x v="0"/>
    <x v="7"/>
    <x v="5"/>
    <x v="0"/>
    <x v="5"/>
    <n v="56"/>
    <n v="883288"/>
    <n v="344400"/>
  </r>
  <r>
    <x v="8"/>
    <x v="0"/>
    <x v="8"/>
    <x v="5"/>
    <x v="0"/>
    <x v="5"/>
    <n v="60"/>
    <n v="943980"/>
    <n v="369000"/>
  </r>
  <r>
    <x v="9"/>
    <x v="0"/>
    <x v="9"/>
    <x v="5"/>
    <x v="0"/>
    <x v="5"/>
    <n v="49"/>
    <n v="801101"/>
    <n v="301350"/>
  </r>
  <r>
    <x v="10"/>
    <x v="0"/>
    <x v="10"/>
    <x v="5"/>
    <x v="0"/>
    <x v="5"/>
    <n v="35"/>
    <n v="560805"/>
    <n v="215250"/>
  </r>
  <r>
    <x v="11"/>
    <x v="0"/>
    <x v="11"/>
    <x v="5"/>
    <x v="0"/>
    <x v="5"/>
    <n v="42"/>
    <n v="678342"/>
    <n v="258300"/>
  </r>
  <r>
    <x v="12"/>
    <x v="1"/>
    <x v="12"/>
    <x v="5"/>
    <x v="0"/>
    <x v="5"/>
    <n v="62"/>
    <n v="1013204"/>
    <n v="381300"/>
  </r>
  <r>
    <x v="13"/>
    <x v="1"/>
    <x v="13"/>
    <x v="5"/>
    <x v="0"/>
    <x v="5"/>
    <n v="39"/>
    <n v="648531"/>
    <n v="239850"/>
  </r>
  <r>
    <x v="14"/>
    <x v="1"/>
    <x v="14"/>
    <x v="5"/>
    <x v="0"/>
    <x v="5"/>
    <n v="31"/>
    <n v="489676"/>
    <n v="190650"/>
  </r>
  <r>
    <x v="15"/>
    <x v="1"/>
    <x v="15"/>
    <x v="5"/>
    <x v="0"/>
    <x v="5"/>
    <n v="58"/>
    <n v="974864"/>
    <n v="356700"/>
  </r>
  <r>
    <x v="16"/>
    <x v="1"/>
    <x v="16"/>
    <x v="5"/>
    <x v="0"/>
    <x v="5"/>
    <n v="73"/>
    <n v="1243993"/>
    <n v="448950"/>
  </r>
  <r>
    <x v="17"/>
    <x v="1"/>
    <x v="17"/>
    <x v="5"/>
    <x v="0"/>
    <x v="5"/>
    <n v="69"/>
    <n v="1100205"/>
    <n v="424350"/>
  </r>
  <r>
    <x v="18"/>
    <x v="1"/>
    <x v="18"/>
    <x v="5"/>
    <x v="0"/>
    <x v="5"/>
    <n v="73"/>
    <n v="1056894"/>
    <n v="448950"/>
  </r>
  <r>
    <x v="19"/>
    <x v="1"/>
    <x v="19"/>
    <x v="5"/>
    <x v="0"/>
    <x v="5"/>
    <n v="62"/>
    <n v="978918"/>
    <n v="381300"/>
  </r>
  <r>
    <x v="20"/>
    <x v="1"/>
    <x v="20"/>
    <x v="5"/>
    <x v="0"/>
    <x v="5"/>
    <n v="66"/>
    <n v="1041480"/>
    <n v="405900"/>
  </r>
  <r>
    <x v="21"/>
    <x v="1"/>
    <x v="21"/>
    <x v="5"/>
    <x v="0"/>
    <x v="5"/>
    <n v="54"/>
    <n v="907092"/>
    <n v="332100"/>
  </r>
  <r>
    <x v="22"/>
    <x v="1"/>
    <x v="22"/>
    <x v="5"/>
    <x v="0"/>
    <x v="5"/>
    <n v="39"/>
    <n v="625989"/>
    <n v="239850"/>
  </r>
  <r>
    <x v="23"/>
    <x v="1"/>
    <x v="23"/>
    <x v="5"/>
    <x v="0"/>
    <x v="5"/>
    <n v="46"/>
    <n v="739864"/>
    <n v="282900"/>
  </r>
  <r>
    <x v="0"/>
    <x v="0"/>
    <x v="0"/>
    <x v="5"/>
    <x v="0"/>
    <x v="6"/>
    <n v="73"/>
    <n v="869138"/>
    <n v="321200"/>
  </r>
  <r>
    <x v="1"/>
    <x v="0"/>
    <x v="1"/>
    <x v="5"/>
    <x v="0"/>
    <x v="6"/>
    <n v="46"/>
    <n v="558486"/>
    <n v="202400"/>
  </r>
  <r>
    <x v="2"/>
    <x v="0"/>
    <x v="2"/>
    <x v="5"/>
    <x v="0"/>
    <x v="6"/>
    <n v="37"/>
    <n v="446664"/>
    <n v="162800"/>
  </r>
  <r>
    <x v="3"/>
    <x v="0"/>
    <x v="3"/>
    <x v="5"/>
    <x v="0"/>
    <x v="6"/>
    <n v="69"/>
    <n v="900174"/>
    <n v="303600"/>
  </r>
  <r>
    <x v="4"/>
    <x v="0"/>
    <x v="4"/>
    <x v="5"/>
    <x v="0"/>
    <x v="6"/>
    <n v="87"/>
    <n v="1150749"/>
    <n v="382800"/>
  </r>
  <r>
    <x v="5"/>
    <x v="0"/>
    <x v="5"/>
    <x v="5"/>
    <x v="0"/>
    <x v="6"/>
    <n v="83"/>
    <n v="1021398"/>
    <n v="365200"/>
  </r>
  <r>
    <x v="6"/>
    <x v="0"/>
    <x v="6"/>
    <x v="5"/>
    <x v="0"/>
    <x v="6"/>
    <n v="87"/>
    <n v="975531"/>
    <n v="382800"/>
  </r>
  <r>
    <x v="7"/>
    <x v="0"/>
    <x v="7"/>
    <x v="5"/>
    <x v="0"/>
    <x v="6"/>
    <n v="73"/>
    <n v="852494"/>
    <n v="321200"/>
  </r>
  <r>
    <x v="8"/>
    <x v="0"/>
    <x v="8"/>
    <x v="5"/>
    <x v="0"/>
    <x v="6"/>
    <n v="78"/>
    <n v="904644"/>
    <n v="343200"/>
  </r>
  <r>
    <x v="9"/>
    <x v="0"/>
    <x v="9"/>
    <x v="5"/>
    <x v="0"/>
    <x v="6"/>
    <n v="64"/>
    <n v="803072"/>
    <n v="281600"/>
  </r>
  <r>
    <x v="10"/>
    <x v="0"/>
    <x v="10"/>
    <x v="5"/>
    <x v="0"/>
    <x v="6"/>
    <n v="46"/>
    <n v="578818"/>
    <n v="202400"/>
  </r>
  <r>
    <x v="11"/>
    <x v="0"/>
    <x v="11"/>
    <x v="5"/>
    <x v="0"/>
    <x v="6"/>
    <n v="55"/>
    <n v="630080"/>
    <n v="242000"/>
  </r>
  <r>
    <x v="12"/>
    <x v="1"/>
    <x v="12"/>
    <x v="5"/>
    <x v="0"/>
    <x v="6"/>
    <n v="81"/>
    <n v="987471"/>
    <n v="356400"/>
  </r>
  <r>
    <x v="13"/>
    <x v="1"/>
    <x v="13"/>
    <x v="5"/>
    <x v="0"/>
    <x v="6"/>
    <n v="51"/>
    <n v="660093"/>
    <n v="224400"/>
  </r>
  <r>
    <x v="14"/>
    <x v="1"/>
    <x v="14"/>
    <x v="5"/>
    <x v="0"/>
    <x v="6"/>
    <n v="41"/>
    <n v="498437"/>
    <n v="180400"/>
  </r>
  <r>
    <x v="15"/>
    <x v="1"/>
    <x v="15"/>
    <x v="5"/>
    <x v="0"/>
    <x v="6"/>
    <n v="76"/>
    <n v="983440"/>
    <n v="334400"/>
  </r>
  <r>
    <x v="16"/>
    <x v="1"/>
    <x v="16"/>
    <x v="5"/>
    <x v="0"/>
    <x v="6"/>
    <n v="96"/>
    <n v="1289280"/>
    <n v="422400"/>
  </r>
  <r>
    <x v="17"/>
    <x v="1"/>
    <x v="17"/>
    <x v="5"/>
    <x v="0"/>
    <x v="6"/>
    <n v="91"/>
    <n v="1136317"/>
    <n v="400400"/>
  </r>
  <r>
    <x v="18"/>
    <x v="1"/>
    <x v="18"/>
    <x v="5"/>
    <x v="0"/>
    <x v="6"/>
    <n v="96"/>
    <n v="1017888"/>
    <n v="422400"/>
  </r>
  <r>
    <x v="19"/>
    <x v="1"/>
    <x v="19"/>
    <x v="5"/>
    <x v="0"/>
    <x v="6"/>
    <n v="81"/>
    <n v="964305"/>
    <n v="356400"/>
  </r>
  <r>
    <x v="20"/>
    <x v="1"/>
    <x v="20"/>
    <x v="5"/>
    <x v="0"/>
    <x v="6"/>
    <n v="86"/>
    <n v="994934"/>
    <n v="378400"/>
  </r>
  <r>
    <x v="21"/>
    <x v="1"/>
    <x v="21"/>
    <x v="5"/>
    <x v="0"/>
    <x v="6"/>
    <n v="71"/>
    <n v="902907"/>
    <n v="312400"/>
  </r>
  <r>
    <x v="22"/>
    <x v="1"/>
    <x v="22"/>
    <x v="5"/>
    <x v="0"/>
    <x v="6"/>
    <n v="51"/>
    <n v="625158"/>
    <n v="224400"/>
  </r>
  <r>
    <x v="23"/>
    <x v="1"/>
    <x v="23"/>
    <x v="5"/>
    <x v="0"/>
    <x v="6"/>
    <n v="61"/>
    <n v="700646"/>
    <n v="268400"/>
  </r>
  <r>
    <x v="0"/>
    <x v="0"/>
    <x v="0"/>
    <x v="5"/>
    <x v="1"/>
    <x v="7"/>
    <n v="37"/>
    <n v="192437"/>
    <n v="67081"/>
  </r>
  <r>
    <x v="1"/>
    <x v="0"/>
    <x v="1"/>
    <x v="5"/>
    <x v="1"/>
    <x v="7"/>
    <n v="23"/>
    <n v="113183"/>
    <n v="41699"/>
  </r>
  <r>
    <x v="2"/>
    <x v="0"/>
    <x v="2"/>
    <x v="5"/>
    <x v="1"/>
    <x v="7"/>
    <n v="19"/>
    <n v="80921"/>
    <n v="34447"/>
  </r>
  <r>
    <x v="3"/>
    <x v="0"/>
    <x v="3"/>
    <x v="5"/>
    <x v="1"/>
    <x v="7"/>
    <n v="35"/>
    <n v="199325"/>
    <n v="63455"/>
  </r>
  <r>
    <x v="4"/>
    <x v="0"/>
    <x v="4"/>
    <x v="5"/>
    <x v="1"/>
    <x v="7"/>
    <n v="44"/>
    <n v="244596"/>
    <n v="79772"/>
  </r>
  <r>
    <x v="5"/>
    <x v="0"/>
    <x v="5"/>
    <x v="5"/>
    <x v="1"/>
    <x v="7"/>
    <n v="42"/>
    <n v="205422"/>
    <n v="76146"/>
  </r>
  <r>
    <x v="6"/>
    <x v="0"/>
    <x v="6"/>
    <x v="5"/>
    <x v="1"/>
    <x v="7"/>
    <n v="44"/>
    <n v="180444"/>
    <n v="79772"/>
  </r>
  <r>
    <x v="7"/>
    <x v="0"/>
    <x v="7"/>
    <x v="5"/>
    <x v="1"/>
    <x v="7"/>
    <n v="37"/>
    <n v="171754"/>
    <n v="67081"/>
  </r>
  <r>
    <x v="8"/>
    <x v="0"/>
    <x v="8"/>
    <x v="5"/>
    <x v="1"/>
    <x v="7"/>
    <n v="40"/>
    <n v="196360"/>
    <n v="72520"/>
  </r>
  <r>
    <x v="9"/>
    <x v="0"/>
    <x v="9"/>
    <x v="5"/>
    <x v="1"/>
    <x v="7"/>
    <n v="33"/>
    <n v="169818"/>
    <n v="59829"/>
  </r>
  <r>
    <x v="10"/>
    <x v="0"/>
    <x v="10"/>
    <x v="5"/>
    <x v="1"/>
    <x v="7"/>
    <n v="23"/>
    <n v="117507"/>
    <n v="41699"/>
  </r>
  <r>
    <x v="11"/>
    <x v="0"/>
    <x v="11"/>
    <x v="5"/>
    <x v="1"/>
    <x v="7"/>
    <n v="28"/>
    <n v="130200"/>
    <n v="50764"/>
  </r>
  <r>
    <x v="12"/>
    <x v="1"/>
    <x v="12"/>
    <x v="5"/>
    <x v="1"/>
    <x v="7"/>
    <n v="41"/>
    <n v="217505"/>
    <n v="74333"/>
  </r>
  <r>
    <x v="13"/>
    <x v="1"/>
    <x v="13"/>
    <x v="5"/>
    <x v="1"/>
    <x v="7"/>
    <n v="26"/>
    <n v="139724"/>
    <n v="47138"/>
  </r>
  <r>
    <x v="14"/>
    <x v="1"/>
    <x v="14"/>
    <x v="5"/>
    <x v="1"/>
    <x v="7"/>
    <n v="21"/>
    <n v="96054"/>
    <n v="38073"/>
  </r>
  <r>
    <x v="15"/>
    <x v="1"/>
    <x v="15"/>
    <x v="5"/>
    <x v="1"/>
    <x v="7"/>
    <n v="38"/>
    <n v="215004"/>
    <n v="68894"/>
  </r>
  <r>
    <x v="16"/>
    <x v="1"/>
    <x v="16"/>
    <x v="5"/>
    <x v="1"/>
    <x v="7"/>
    <n v="49"/>
    <n v="271117"/>
    <n v="88837"/>
  </r>
  <r>
    <x v="17"/>
    <x v="1"/>
    <x v="17"/>
    <x v="5"/>
    <x v="1"/>
    <x v="7"/>
    <n v="46"/>
    <n v="221122"/>
    <n v="83398"/>
  </r>
  <r>
    <x v="18"/>
    <x v="1"/>
    <x v="18"/>
    <x v="5"/>
    <x v="1"/>
    <x v="7"/>
    <n v="49"/>
    <n v="163905"/>
    <n v="88837"/>
  </r>
  <r>
    <x v="19"/>
    <x v="1"/>
    <x v="19"/>
    <x v="5"/>
    <x v="1"/>
    <x v="7"/>
    <n v="41"/>
    <n v="176997"/>
    <n v="74333"/>
  </r>
  <r>
    <x v="20"/>
    <x v="1"/>
    <x v="20"/>
    <x v="5"/>
    <x v="1"/>
    <x v="7"/>
    <n v="44"/>
    <n v="196900"/>
    <n v="79772"/>
  </r>
  <r>
    <x v="21"/>
    <x v="1"/>
    <x v="21"/>
    <x v="5"/>
    <x v="1"/>
    <x v="7"/>
    <n v="36"/>
    <n v="195948"/>
    <n v="65268"/>
  </r>
  <r>
    <x v="22"/>
    <x v="1"/>
    <x v="22"/>
    <x v="5"/>
    <x v="1"/>
    <x v="7"/>
    <n v="26"/>
    <n v="123656"/>
    <n v="47138"/>
  </r>
  <r>
    <x v="23"/>
    <x v="1"/>
    <x v="23"/>
    <x v="5"/>
    <x v="1"/>
    <x v="7"/>
    <n v="31"/>
    <n v="128929"/>
    <n v="56203"/>
  </r>
  <r>
    <x v="0"/>
    <x v="0"/>
    <x v="0"/>
    <x v="5"/>
    <x v="1"/>
    <x v="8"/>
    <n v="29"/>
    <n v="112926"/>
    <n v="33350"/>
  </r>
  <r>
    <x v="1"/>
    <x v="0"/>
    <x v="1"/>
    <x v="5"/>
    <x v="1"/>
    <x v="8"/>
    <n v="18"/>
    <n v="72936"/>
    <n v="20700"/>
  </r>
  <r>
    <x v="2"/>
    <x v="0"/>
    <x v="2"/>
    <x v="5"/>
    <x v="1"/>
    <x v="8"/>
    <n v="15"/>
    <n v="41175"/>
    <n v="17250"/>
  </r>
  <r>
    <x v="3"/>
    <x v="0"/>
    <x v="3"/>
    <x v="5"/>
    <x v="1"/>
    <x v="8"/>
    <n v="27"/>
    <n v="108027"/>
    <n v="31050"/>
  </r>
  <r>
    <x v="4"/>
    <x v="0"/>
    <x v="4"/>
    <x v="5"/>
    <x v="1"/>
    <x v="8"/>
    <n v="35"/>
    <n v="163765"/>
    <n v="40250"/>
  </r>
  <r>
    <x v="5"/>
    <x v="0"/>
    <x v="5"/>
    <x v="5"/>
    <x v="1"/>
    <x v="8"/>
    <n v="33"/>
    <n v="128832"/>
    <n v="37950"/>
  </r>
  <r>
    <x v="6"/>
    <x v="0"/>
    <x v="6"/>
    <x v="5"/>
    <x v="1"/>
    <x v="8"/>
    <n v="35"/>
    <n v="70525"/>
    <n v="40250"/>
  </r>
  <r>
    <x v="7"/>
    <x v="0"/>
    <x v="7"/>
    <x v="5"/>
    <x v="1"/>
    <x v="8"/>
    <n v="29"/>
    <n v="90248"/>
    <n v="33350"/>
  </r>
  <r>
    <x v="8"/>
    <x v="0"/>
    <x v="8"/>
    <x v="5"/>
    <x v="1"/>
    <x v="8"/>
    <n v="31"/>
    <n v="125705"/>
    <n v="35650"/>
  </r>
  <r>
    <x v="9"/>
    <x v="0"/>
    <x v="9"/>
    <x v="5"/>
    <x v="1"/>
    <x v="8"/>
    <n v="26"/>
    <n v="120276"/>
    <n v="29900"/>
  </r>
  <r>
    <x v="10"/>
    <x v="0"/>
    <x v="10"/>
    <x v="5"/>
    <x v="1"/>
    <x v="8"/>
    <n v="18"/>
    <n v="73548"/>
    <n v="20700"/>
  </r>
  <r>
    <x v="11"/>
    <x v="0"/>
    <x v="11"/>
    <x v="5"/>
    <x v="1"/>
    <x v="8"/>
    <n v="22"/>
    <n v="80806"/>
    <n v="25300"/>
  </r>
  <r>
    <x v="12"/>
    <x v="1"/>
    <x v="12"/>
    <x v="5"/>
    <x v="1"/>
    <x v="8"/>
    <n v="32"/>
    <n v="112640"/>
    <n v="36800"/>
  </r>
  <r>
    <x v="13"/>
    <x v="1"/>
    <x v="13"/>
    <x v="5"/>
    <x v="1"/>
    <x v="8"/>
    <n v="20"/>
    <n v="70100"/>
    <n v="23000"/>
  </r>
  <r>
    <x v="14"/>
    <x v="1"/>
    <x v="14"/>
    <x v="5"/>
    <x v="1"/>
    <x v="8"/>
    <n v="16"/>
    <n v="55264"/>
    <n v="18400"/>
  </r>
  <r>
    <x v="15"/>
    <x v="1"/>
    <x v="15"/>
    <x v="5"/>
    <x v="1"/>
    <x v="8"/>
    <n v="30"/>
    <n v="120270"/>
    <n v="34500"/>
  </r>
  <r>
    <x v="16"/>
    <x v="1"/>
    <x v="16"/>
    <x v="5"/>
    <x v="1"/>
    <x v="8"/>
    <n v="38"/>
    <n v="167998"/>
    <n v="43700"/>
  </r>
  <r>
    <x v="17"/>
    <x v="1"/>
    <x v="17"/>
    <x v="5"/>
    <x v="1"/>
    <x v="8"/>
    <n v="36"/>
    <n v="134640"/>
    <n v="41400"/>
  </r>
  <r>
    <x v="18"/>
    <x v="1"/>
    <x v="18"/>
    <x v="5"/>
    <x v="1"/>
    <x v="8"/>
    <n v="38"/>
    <n v="106552"/>
    <n v="43700"/>
  </r>
  <r>
    <x v="19"/>
    <x v="1"/>
    <x v="19"/>
    <x v="5"/>
    <x v="1"/>
    <x v="8"/>
    <n v="32"/>
    <n v="106464"/>
    <n v="36800"/>
  </r>
  <r>
    <x v="20"/>
    <x v="1"/>
    <x v="20"/>
    <x v="5"/>
    <x v="1"/>
    <x v="8"/>
    <n v="34"/>
    <n v="117436"/>
    <n v="39100"/>
  </r>
  <r>
    <x v="21"/>
    <x v="1"/>
    <x v="21"/>
    <x v="5"/>
    <x v="1"/>
    <x v="8"/>
    <n v="28"/>
    <n v="114296"/>
    <n v="32200"/>
  </r>
  <r>
    <x v="22"/>
    <x v="1"/>
    <x v="22"/>
    <x v="5"/>
    <x v="1"/>
    <x v="8"/>
    <n v="20"/>
    <n v="69880"/>
    <n v="23000"/>
  </r>
  <r>
    <x v="23"/>
    <x v="1"/>
    <x v="23"/>
    <x v="5"/>
    <x v="1"/>
    <x v="8"/>
    <n v="24"/>
    <n v="70872"/>
    <n v="27600"/>
  </r>
  <r>
    <x v="0"/>
    <x v="0"/>
    <x v="0"/>
    <x v="5"/>
    <x v="1"/>
    <x v="9"/>
    <n v="38"/>
    <n v="175256"/>
    <n v="50692"/>
  </r>
  <r>
    <x v="1"/>
    <x v="0"/>
    <x v="1"/>
    <x v="5"/>
    <x v="1"/>
    <x v="9"/>
    <n v="24"/>
    <n v="97848"/>
    <n v="32016"/>
  </r>
  <r>
    <x v="2"/>
    <x v="0"/>
    <x v="2"/>
    <x v="5"/>
    <x v="1"/>
    <x v="9"/>
    <n v="19"/>
    <n v="71041"/>
    <n v="25346"/>
  </r>
  <r>
    <x v="3"/>
    <x v="0"/>
    <x v="3"/>
    <x v="5"/>
    <x v="1"/>
    <x v="9"/>
    <n v="35"/>
    <n v="169680"/>
    <n v="46690"/>
  </r>
  <r>
    <x v="4"/>
    <x v="0"/>
    <x v="4"/>
    <x v="5"/>
    <x v="1"/>
    <x v="9"/>
    <n v="45"/>
    <n v="234855"/>
    <n v="60030"/>
  </r>
  <r>
    <x v="5"/>
    <x v="0"/>
    <x v="5"/>
    <x v="5"/>
    <x v="1"/>
    <x v="9"/>
    <n v="42"/>
    <n v="155652"/>
    <n v="56028"/>
  </r>
  <r>
    <x v="6"/>
    <x v="0"/>
    <x v="6"/>
    <x v="5"/>
    <x v="1"/>
    <x v="9"/>
    <n v="45"/>
    <n v="102375"/>
    <n v="60030"/>
  </r>
  <r>
    <x v="7"/>
    <x v="0"/>
    <x v="7"/>
    <x v="5"/>
    <x v="1"/>
    <x v="9"/>
    <n v="38"/>
    <n v="138206"/>
    <n v="50692"/>
  </r>
  <r>
    <x v="8"/>
    <x v="0"/>
    <x v="8"/>
    <x v="5"/>
    <x v="1"/>
    <x v="9"/>
    <n v="40"/>
    <n v="167320"/>
    <n v="53360"/>
  </r>
  <r>
    <x v="9"/>
    <x v="0"/>
    <x v="9"/>
    <x v="5"/>
    <x v="1"/>
    <x v="9"/>
    <n v="33"/>
    <n v="138831"/>
    <n v="44022"/>
  </r>
  <r>
    <x v="10"/>
    <x v="0"/>
    <x v="10"/>
    <x v="5"/>
    <x v="1"/>
    <x v="9"/>
    <n v="24"/>
    <n v="94896"/>
    <n v="32016"/>
  </r>
  <r>
    <x v="11"/>
    <x v="0"/>
    <x v="11"/>
    <x v="5"/>
    <x v="1"/>
    <x v="9"/>
    <n v="28"/>
    <n v="118132"/>
    <n v="37352"/>
  </r>
  <r>
    <x v="12"/>
    <x v="1"/>
    <x v="12"/>
    <x v="5"/>
    <x v="1"/>
    <x v="9"/>
    <n v="41"/>
    <n v="187903"/>
    <n v="54694"/>
  </r>
  <r>
    <x v="13"/>
    <x v="1"/>
    <x v="13"/>
    <x v="5"/>
    <x v="1"/>
    <x v="9"/>
    <n v="26"/>
    <n v="117702"/>
    <n v="34684"/>
  </r>
  <r>
    <x v="14"/>
    <x v="1"/>
    <x v="14"/>
    <x v="5"/>
    <x v="1"/>
    <x v="9"/>
    <n v="21"/>
    <n v="74466"/>
    <n v="28014"/>
  </r>
  <r>
    <x v="15"/>
    <x v="1"/>
    <x v="15"/>
    <x v="5"/>
    <x v="1"/>
    <x v="9"/>
    <n v="39"/>
    <n v="186264"/>
    <n v="52026"/>
  </r>
  <r>
    <x v="16"/>
    <x v="1"/>
    <x v="16"/>
    <x v="5"/>
    <x v="1"/>
    <x v="9"/>
    <n v="49"/>
    <n v="215453"/>
    <n v="65366"/>
  </r>
  <r>
    <x v="17"/>
    <x v="1"/>
    <x v="17"/>
    <x v="5"/>
    <x v="1"/>
    <x v="9"/>
    <n v="46"/>
    <n v="203274"/>
    <n v="61364"/>
  </r>
  <r>
    <x v="18"/>
    <x v="1"/>
    <x v="18"/>
    <x v="5"/>
    <x v="1"/>
    <x v="9"/>
    <n v="49"/>
    <n v="121177"/>
    <n v="65366"/>
  </r>
  <r>
    <x v="19"/>
    <x v="1"/>
    <x v="19"/>
    <x v="5"/>
    <x v="1"/>
    <x v="9"/>
    <n v="41"/>
    <n v="159695"/>
    <n v="54694"/>
  </r>
  <r>
    <x v="20"/>
    <x v="1"/>
    <x v="20"/>
    <x v="5"/>
    <x v="1"/>
    <x v="9"/>
    <n v="44"/>
    <n v="171160"/>
    <n v="58696"/>
  </r>
  <r>
    <x v="21"/>
    <x v="1"/>
    <x v="21"/>
    <x v="5"/>
    <x v="1"/>
    <x v="9"/>
    <n v="36"/>
    <n v="159372"/>
    <n v="48024"/>
  </r>
  <r>
    <x v="22"/>
    <x v="1"/>
    <x v="22"/>
    <x v="5"/>
    <x v="1"/>
    <x v="9"/>
    <n v="26"/>
    <n v="115674"/>
    <n v="34684"/>
  </r>
  <r>
    <x v="23"/>
    <x v="1"/>
    <x v="23"/>
    <x v="5"/>
    <x v="1"/>
    <x v="9"/>
    <n v="31"/>
    <n v="100409"/>
    <n v="41354"/>
  </r>
  <r>
    <x v="0"/>
    <x v="0"/>
    <x v="0"/>
    <x v="5"/>
    <x v="1"/>
    <x v="10"/>
    <n v="31"/>
    <n v="156736"/>
    <n v="62496"/>
  </r>
  <r>
    <x v="1"/>
    <x v="0"/>
    <x v="1"/>
    <x v="5"/>
    <x v="1"/>
    <x v="10"/>
    <n v="20"/>
    <n v="124900"/>
    <n v="40320"/>
  </r>
  <r>
    <x v="2"/>
    <x v="0"/>
    <x v="2"/>
    <x v="5"/>
    <x v="1"/>
    <x v="10"/>
    <n v="16"/>
    <n v="77776"/>
    <n v="32256"/>
  </r>
  <r>
    <x v="3"/>
    <x v="0"/>
    <x v="3"/>
    <x v="5"/>
    <x v="1"/>
    <x v="10"/>
    <n v="29"/>
    <n v="181888"/>
    <n v="58464"/>
  </r>
  <r>
    <x v="4"/>
    <x v="0"/>
    <x v="4"/>
    <x v="5"/>
    <x v="1"/>
    <x v="10"/>
    <n v="37"/>
    <n v="210308"/>
    <n v="74592"/>
  </r>
  <r>
    <x v="5"/>
    <x v="0"/>
    <x v="5"/>
    <x v="5"/>
    <x v="1"/>
    <x v="10"/>
    <n v="35"/>
    <n v="215250"/>
    <n v="70560"/>
  </r>
  <r>
    <x v="6"/>
    <x v="0"/>
    <x v="6"/>
    <x v="5"/>
    <x v="1"/>
    <x v="10"/>
    <n v="37"/>
    <n v="147223"/>
    <n v="74592"/>
  </r>
  <r>
    <x v="7"/>
    <x v="0"/>
    <x v="7"/>
    <x v="5"/>
    <x v="1"/>
    <x v="10"/>
    <n v="31"/>
    <n v="150598"/>
    <n v="62496"/>
  </r>
  <r>
    <x v="8"/>
    <x v="0"/>
    <x v="8"/>
    <x v="5"/>
    <x v="1"/>
    <x v="10"/>
    <n v="33"/>
    <n v="154902"/>
    <n v="66528"/>
  </r>
  <r>
    <x v="9"/>
    <x v="0"/>
    <x v="9"/>
    <x v="5"/>
    <x v="1"/>
    <x v="10"/>
    <n v="27"/>
    <n v="146988"/>
    <n v="54432"/>
  </r>
  <r>
    <x v="10"/>
    <x v="0"/>
    <x v="10"/>
    <x v="5"/>
    <x v="1"/>
    <x v="10"/>
    <n v="20"/>
    <n v="115240"/>
    <n v="40320"/>
  </r>
  <r>
    <x v="11"/>
    <x v="0"/>
    <x v="11"/>
    <x v="5"/>
    <x v="1"/>
    <x v="10"/>
    <n v="24"/>
    <n v="118320"/>
    <n v="48384"/>
  </r>
  <r>
    <x v="12"/>
    <x v="1"/>
    <x v="12"/>
    <x v="5"/>
    <x v="1"/>
    <x v="10"/>
    <n v="34"/>
    <n v="172312"/>
    <n v="68544"/>
  </r>
  <r>
    <x v="13"/>
    <x v="1"/>
    <x v="13"/>
    <x v="5"/>
    <x v="1"/>
    <x v="10"/>
    <n v="22"/>
    <n v="125664"/>
    <n v="44352"/>
  </r>
  <r>
    <x v="14"/>
    <x v="1"/>
    <x v="14"/>
    <x v="5"/>
    <x v="1"/>
    <x v="10"/>
    <n v="17"/>
    <n v="74613"/>
    <n v="34272"/>
  </r>
  <r>
    <x v="15"/>
    <x v="1"/>
    <x v="15"/>
    <x v="5"/>
    <x v="1"/>
    <x v="10"/>
    <n v="32"/>
    <n v="193568"/>
    <n v="64512"/>
  </r>
  <r>
    <x v="16"/>
    <x v="1"/>
    <x v="16"/>
    <x v="5"/>
    <x v="1"/>
    <x v="10"/>
    <n v="41"/>
    <n v="262892"/>
    <n v="82656"/>
  </r>
  <r>
    <x v="17"/>
    <x v="1"/>
    <x v="17"/>
    <x v="5"/>
    <x v="1"/>
    <x v="10"/>
    <n v="39"/>
    <n v="228774"/>
    <n v="78624"/>
  </r>
  <r>
    <x v="18"/>
    <x v="1"/>
    <x v="18"/>
    <x v="5"/>
    <x v="1"/>
    <x v="10"/>
    <n v="41"/>
    <n v="154324"/>
    <n v="82656"/>
  </r>
  <r>
    <x v="19"/>
    <x v="1"/>
    <x v="19"/>
    <x v="5"/>
    <x v="1"/>
    <x v="10"/>
    <n v="34"/>
    <n v="180268"/>
    <n v="68544"/>
  </r>
  <r>
    <x v="20"/>
    <x v="1"/>
    <x v="20"/>
    <x v="5"/>
    <x v="1"/>
    <x v="10"/>
    <n v="36"/>
    <n v="163584"/>
    <n v="72576"/>
  </r>
  <r>
    <x v="21"/>
    <x v="1"/>
    <x v="21"/>
    <x v="5"/>
    <x v="1"/>
    <x v="10"/>
    <n v="30"/>
    <n v="186180"/>
    <n v="60480"/>
  </r>
  <r>
    <x v="22"/>
    <x v="1"/>
    <x v="22"/>
    <x v="5"/>
    <x v="1"/>
    <x v="10"/>
    <n v="22"/>
    <n v="124564"/>
    <n v="44352"/>
  </r>
  <r>
    <x v="23"/>
    <x v="1"/>
    <x v="23"/>
    <x v="5"/>
    <x v="1"/>
    <x v="10"/>
    <n v="26"/>
    <n v="112060"/>
    <n v="52416"/>
  </r>
  <r>
    <x v="0"/>
    <x v="0"/>
    <x v="0"/>
    <x v="5"/>
    <x v="1"/>
    <x v="11"/>
    <n v="28"/>
    <n v="76160"/>
    <n v="26180.000000000004"/>
  </r>
  <r>
    <x v="1"/>
    <x v="0"/>
    <x v="1"/>
    <x v="5"/>
    <x v="1"/>
    <x v="11"/>
    <n v="18"/>
    <n v="60030"/>
    <n v="16830.000000000004"/>
  </r>
  <r>
    <x v="2"/>
    <x v="0"/>
    <x v="2"/>
    <x v="5"/>
    <x v="1"/>
    <x v="11"/>
    <n v="14"/>
    <n v="35014"/>
    <n v="13090.000000000002"/>
  </r>
  <r>
    <x v="3"/>
    <x v="0"/>
    <x v="3"/>
    <x v="5"/>
    <x v="1"/>
    <x v="11"/>
    <n v="27"/>
    <n v="83997"/>
    <n v="25245.000000000004"/>
  </r>
  <r>
    <x v="4"/>
    <x v="0"/>
    <x v="4"/>
    <x v="5"/>
    <x v="1"/>
    <x v="11"/>
    <n v="34"/>
    <n v="115158"/>
    <n v="31790.000000000004"/>
  </r>
  <r>
    <x v="5"/>
    <x v="0"/>
    <x v="5"/>
    <x v="5"/>
    <x v="1"/>
    <x v="11"/>
    <n v="32"/>
    <n v="104544"/>
    <n v="29920.000000000004"/>
  </r>
  <r>
    <x v="6"/>
    <x v="0"/>
    <x v="6"/>
    <x v="5"/>
    <x v="1"/>
    <x v="11"/>
    <n v="34"/>
    <n v="60962"/>
    <n v="31790.000000000004"/>
  </r>
  <r>
    <x v="7"/>
    <x v="0"/>
    <x v="7"/>
    <x v="5"/>
    <x v="1"/>
    <x v="11"/>
    <n v="28"/>
    <n v="63784"/>
    <n v="26180.000000000004"/>
  </r>
  <r>
    <x v="8"/>
    <x v="0"/>
    <x v="8"/>
    <x v="5"/>
    <x v="1"/>
    <x v="11"/>
    <n v="30"/>
    <n v="92190"/>
    <n v="28050.000000000004"/>
  </r>
  <r>
    <x v="9"/>
    <x v="0"/>
    <x v="9"/>
    <x v="5"/>
    <x v="1"/>
    <x v="11"/>
    <n v="25"/>
    <n v="78425"/>
    <n v="23375.000000000004"/>
  </r>
  <r>
    <x v="10"/>
    <x v="0"/>
    <x v="10"/>
    <x v="5"/>
    <x v="1"/>
    <x v="11"/>
    <n v="18"/>
    <n v="45180"/>
    <n v="16830.000000000004"/>
  </r>
  <r>
    <x v="11"/>
    <x v="0"/>
    <x v="11"/>
    <x v="5"/>
    <x v="1"/>
    <x v="11"/>
    <n v="21"/>
    <n v="51618"/>
    <n v="19635.000000000004"/>
  </r>
  <r>
    <x v="12"/>
    <x v="1"/>
    <x v="12"/>
    <x v="5"/>
    <x v="1"/>
    <x v="11"/>
    <n v="31"/>
    <n v="93620"/>
    <n v="28985.000000000004"/>
  </r>
  <r>
    <x v="13"/>
    <x v="1"/>
    <x v="13"/>
    <x v="5"/>
    <x v="1"/>
    <x v="11"/>
    <n v="20"/>
    <n v="66760"/>
    <n v="18700.000000000004"/>
  </r>
  <r>
    <x v="14"/>
    <x v="1"/>
    <x v="14"/>
    <x v="5"/>
    <x v="1"/>
    <x v="11"/>
    <n v="16"/>
    <n v="45536"/>
    <n v="14960.000000000002"/>
  </r>
  <r>
    <x v="15"/>
    <x v="1"/>
    <x v="15"/>
    <x v="5"/>
    <x v="1"/>
    <x v="11"/>
    <n v="29"/>
    <n v="95352"/>
    <n v="27115.000000000004"/>
  </r>
  <r>
    <x v="16"/>
    <x v="1"/>
    <x v="16"/>
    <x v="5"/>
    <x v="1"/>
    <x v="11"/>
    <n v="37"/>
    <n v="129241"/>
    <n v="34595.000000000007"/>
  </r>
  <r>
    <x v="17"/>
    <x v="1"/>
    <x v="17"/>
    <x v="5"/>
    <x v="1"/>
    <x v="11"/>
    <n v="35"/>
    <n v="95760"/>
    <n v="32725.000000000004"/>
  </r>
  <r>
    <x v="18"/>
    <x v="1"/>
    <x v="18"/>
    <x v="5"/>
    <x v="1"/>
    <x v="11"/>
    <n v="37"/>
    <n v="66600"/>
    <n v="34595.000000000007"/>
  </r>
  <r>
    <x v="19"/>
    <x v="1"/>
    <x v="19"/>
    <x v="5"/>
    <x v="1"/>
    <x v="11"/>
    <n v="31"/>
    <n v="80848"/>
    <n v="28985.000000000004"/>
  </r>
  <r>
    <x v="20"/>
    <x v="1"/>
    <x v="20"/>
    <x v="5"/>
    <x v="1"/>
    <x v="11"/>
    <n v="33"/>
    <n v="84975"/>
    <n v="30855.000000000004"/>
  </r>
  <r>
    <x v="21"/>
    <x v="1"/>
    <x v="21"/>
    <x v="5"/>
    <x v="1"/>
    <x v="11"/>
    <n v="27"/>
    <n v="81270"/>
    <n v="25245.000000000004"/>
  </r>
  <r>
    <x v="22"/>
    <x v="1"/>
    <x v="22"/>
    <x v="5"/>
    <x v="1"/>
    <x v="11"/>
    <n v="20"/>
    <n v="53440"/>
    <n v="18700.000000000004"/>
  </r>
  <r>
    <x v="23"/>
    <x v="1"/>
    <x v="23"/>
    <x v="5"/>
    <x v="1"/>
    <x v="11"/>
    <n v="23"/>
    <n v="56626"/>
    <n v="21505.000000000004"/>
  </r>
  <r>
    <x v="0"/>
    <x v="0"/>
    <x v="0"/>
    <x v="5"/>
    <x v="1"/>
    <x v="12"/>
    <n v="35"/>
    <n v="182595"/>
    <n v="69160"/>
  </r>
  <r>
    <x v="1"/>
    <x v="0"/>
    <x v="1"/>
    <x v="5"/>
    <x v="1"/>
    <x v="12"/>
    <n v="22"/>
    <n v="109934"/>
    <n v="43472"/>
  </r>
  <r>
    <x v="2"/>
    <x v="0"/>
    <x v="2"/>
    <x v="5"/>
    <x v="1"/>
    <x v="12"/>
    <n v="18"/>
    <n v="88200"/>
    <n v="35568"/>
  </r>
  <r>
    <x v="3"/>
    <x v="0"/>
    <x v="3"/>
    <x v="5"/>
    <x v="1"/>
    <x v="12"/>
    <n v="33"/>
    <n v="192258"/>
    <n v="65208"/>
  </r>
  <r>
    <x v="4"/>
    <x v="0"/>
    <x v="4"/>
    <x v="5"/>
    <x v="1"/>
    <x v="12"/>
    <n v="41"/>
    <n v="229641"/>
    <n v="81016"/>
  </r>
  <r>
    <x v="5"/>
    <x v="0"/>
    <x v="5"/>
    <x v="5"/>
    <x v="1"/>
    <x v="12"/>
    <n v="39"/>
    <n v="204477"/>
    <n v="77064"/>
  </r>
  <r>
    <x v="6"/>
    <x v="0"/>
    <x v="6"/>
    <x v="5"/>
    <x v="1"/>
    <x v="12"/>
    <n v="41"/>
    <n v="163221"/>
    <n v="81016"/>
  </r>
  <r>
    <x v="7"/>
    <x v="0"/>
    <x v="7"/>
    <x v="5"/>
    <x v="1"/>
    <x v="12"/>
    <n v="35"/>
    <n v="161490"/>
    <n v="69160"/>
  </r>
  <r>
    <x v="8"/>
    <x v="0"/>
    <x v="8"/>
    <x v="5"/>
    <x v="1"/>
    <x v="12"/>
    <n v="37"/>
    <n v="185518"/>
    <n v="73112"/>
  </r>
  <r>
    <x v="9"/>
    <x v="0"/>
    <x v="9"/>
    <x v="5"/>
    <x v="1"/>
    <x v="12"/>
    <n v="30"/>
    <n v="152640"/>
    <n v="59280"/>
  </r>
  <r>
    <x v="10"/>
    <x v="0"/>
    <x v="10"/>
    <x v="5"/>
    <x v="1"/>
    <x v="12"/>
    <n v="22"/>
    <n v="116534"/>
    <n v="43472"/>
  </r>
  <r>
    <x v="11"/>
    <x v="0"/>
    <x v="11"/>
    <x v="5"/>
    <x v="1"/>
    <x v="12"/>
    <n v="26"/>
    <n v="108992"/>
    <n v="51376"/>
  </r>
  <r>
    <x v="12"/>
    <x v="1"/>
    <x v="12"/>
    <x v="5"/>
    <x v="1"/>
    <x v="12"/>
    <n v="38"/>
    <n v="206188"/>
    <n v="75088"/>
  </r>
  <r>
    <x v="13"/>
    <x v="1"/>
    <x v="13"/>
    <x v="5"/>
    <x v="1"/>
    <x v="12"/>
    <n v="24"/>
    <n v="123792"/>
    <n v="47424"/>
  </r>
  <r>
    <x v="14"/>
    <x v="1"/>
    <x v="14"/>
    <x v="5"/>
    <x v="1"/>
    <x v="12"/>
    <n v="19"/>
    <n v="77843"/>
    <n v="37544"/>
  </r>
  <r>
    <x v="15"/>
    <x v="1"/>
    <x v="15"/>
    <x v="5"/>
    <x v="1"/>
    <x v="12"/>
    <n v="36"/>
    <n v="208044"/>
    <n v="71136"/>
  </r>
  <r>
    <x v="16"/>
    <x v="1"/>
    <x v="16"/>
    <x v="5"/>
    <x v="1"/>
    <x v="12"/>
    <n v="45"/>
    <n v="268830"/>
    <n v="88920"/>
  </r>
  <r>
    <x v="17"/>
    <x v="1"/>
    <x v="17"/>
    <x v="5"/>
    <x v="1"/>
    <x v="12"/>
    <n v="43"/>
    <n v="243595"/>
    <n v="84968"/>
  </r>
  <r>
    <x v="18"/>
    <x v="1"/>
    <x v="18"/>
    <x v="5"/>
    <x v="1"/>
    <x v="12"/>
    <n v="45"/>
    <n v="171540"/>
    <n v="88920"/>
  </r>
  <r>
    <x v="19"/>
    <x v="1"/>
    <x v="19"/>
    <x v="5"/>
    <x v="1"/>
    <x v="12"/>
    <n v="38"/>
    <n v="168378"/>
    <n v="75088"/>
  </r>
  <r>
    <x v="20"/>
    <x v="1"/>
    <x v="20"/>
    <x v="5"/>
    <x v="1"/>
    <x v="12"/>
    <n v="41"/>
    <n v="168592"/>
    <n v="81016"/>
  </r>
  <r>
    <x v="21"/>
    <x v="1"/>
    <x v="21"/>
    <x v="5"/>
    <x v="1"/>
    <x v="12"/>
    <n v="33"/>
    <n v="168564"/>
    <n v="65208"/>
  </r>
  <r>
    <x v="22"/>
    <x v="1"/>
    <x v="22"/>
    <x v="5"/>
    <x v="1"/>
    <x v="12"/>
    <n v="24"/>
    <n v="122112"/>
    <n v="47424"/>
  </r>
  <r>
    <x v="23"/>
    <x v="1"/>
    <x v="23"/>
    <x v="5"/>
    <x v="1"/>
    <x v="12"/>
    <n v="29"/>
    <n v="133313"/>
    <n v="57304"/>
  </r>
  <r>
    <x v="0"/>
    <x v="0"/>
    <x v="0"/>
    <x v="5"/>
    <x v="1"/>
    <x v="13"/>
    <n v="31"/>
    <n v="163618"/>
    <n v="55800"/>
  </r>
  <r>
    <x v="1"/>
    <x v="0"/>
    <x v="1"/>
    <x v="5"/>
    <x v="1"/>
    <x v="13"/>
    <n v="20"/>
    <n v="119520"/>
    <n v="36000"/>
  </r>
  <r>
    <x v="2"/>
    <x v="0"/>
    <x v="2"/>
    <x v="5"/>
    <x v="1"/>
    <x v="13"/>
    <n v="16"/>
    <n v="82560"/>
    <n v="28800"/>
  </r>
  <r>
    <x v="3"/>
    <x v="0"/>
    <x v="3"/>
    <x v="5"/>
    <x v="1"/>
    <x v="13"/>
    <n v="29"/>
    <n v="171042"/>
    <n v="52200"/>
  </r>
  <r>
    <x v="4"/>
    <x v="0"/>
    <x v="4"/>
    <x v="5"/>
    <x v="1"/>
    <x v="13"/>
    <n v="37"/>
    <n v="245939"/>
    <n v="66600"/>
  </r>
  <r>
    <x v="5"/>
    <x v="0"/>
    <x v="5"/>
    <x v="5"/>
    <x v="1"/>
    <x v="13"/>
    <n v="35"/>
    <n v="225400"/>
    <n v="63000"/>
  </r>
  <r>
    <x v="6"/>
    <x v="0"/>
    <x v="6"/>
    <x v="5"/>
    <x v="1"/>
    <x v="13"/>
    <n v="37"/>
    <n v="142154"/>
    <n v="66600"/>
  </r>
  <r>
    <x v="7"/>
    <x v="0"/>
    <x v="7"/>
    <x v="5"/>
    <x v="1"/>
    <x v="13"/>
    <n v="31"/>
    <n v="148397"/>
    <n v="55800"/>
  </r>
  <r>
    <x v="8"/>
    <x v="0"/>
    <x v="8"/>
    <x v="5"/>
    <x v="1"/>
    <x v="13"/>
    <n v="33"/>
    <n v="180543"/>
    <n v="59400"/>
  </r>
  <r>
    <x v="9"/>
    <x v="0"/>
    <x v="9"/>
    <x v="5"/>
    <x v="1"/>
    <x v="13"/>
    <n v="27"/>
    <n v="150012"/>
    <n v="48600"/>
  </r>
  <r>
    <x v="10"/>
    <x v="0"/>
    <x v="10"/>
    <x v="5"/>
    <x v="1"/>
    <x v="13"/>
    <n v="20"/>
    <n v="128920"/>
    <n v="36000"/>
  </r>
  <r>
    <x v="11"/>
    <x v="0"/>
    <x v="11"/>
    <x v="5"/>
    <x v="1"/>
    <x v="13"/>
    <n v="24"/>
    <n v="110400"/>
    <n v="43200"/>
  </r>
  <r>
    <x v="12"/>
    <x v="1"/>
    <x v="12"/>
    <x v="5"/>
    <x v="1"/>
    <x v="13"/>
    <n v="34"/>
    <n v="182376"/>
    <n v="61200"/>
  </r>
  <r>
    <x v="13"/>
    <x v="1"/>
    <x v="13"/>
    <x v="5"/>
    <x v="1"/>
    <x v="13"/>
    <n v="22"/>
    <n v="133210"/>
    <n v="39600"/>
  </r>
  <r>
    <x v="14"/>
    <x v="1"/>
    <x v="14"/>
    <x v="5"/>
    <x v="1"/>
    <x v="13"/>
    <n v="17"/>
    <n v="85595"/>
    <n v="30600"/>
  </r>
  <r>
    <x v="15"/>
    <x v="1"/>
    <x v="15"/>
    <x v="5"/>
    <x v="1"/>
    <x v="13"/>
    <n v="32"/>
    <n v="208256"/>
    <n v="57600"/>
  </r>
  <r>
    <x v="16"/>
    <x v="1"/>
    <x v="16"/>
    <x v="5"/>
    <x v="1"/>
    <x v="13"/>
    <n v="41"/>
    <n v="250674"/>
    <n v="73800"/>
  </r>
  <r>
    <x v="17"/>
    <x v="1"/>
    <x v="17"/>
    <x v="5"/>
    <x v="1"/>
    <x v="13"/>
    <n v="39"/>
    <n v="224835"/>
    <n v="70200"/>
  </r>
  <r>
    <x v="18"/>
    <x v="1"/>
    <x v="18"/>
    <x v="5"/>
    <x v="1"/>
    <x v="13"/>
    <n v="41"/>
    <n v="164410"/>
    <n v="73800"/>
  </r>
  <r>
    <x v="19"/>
    <x v="1"/>
    <x v="19"/>
    <x v="5"/>
    <x v="1"/>
    <x v="13"/>
    <n v="34"/>
    <n v="186082"/>
    <n v="61200"/>
  </r>
  <r>
    <x v="20"/>
    <x v="1"/>
    <x v="20"/>
    <x v="5"/>
    <x v="1"/>
    <x v="13"/>
    <n v="36"/>
    <n v="192924"/>
    <n v="64800"/>
  </r>
  <r>
    <x v="21"/>
    <x v="1"/>
    <x v="21"/>
    <x v="5"/>
    <x v="1"/>
    <x v="13"/>
    <n v="30"/>
    <n v="178200"/>
    <n v="54000"/>
  </r>
  <r>
    <x v="22"/>
    <x v="1"/>
    <x v="22"/>
    <x v="5"/>
    <x v="1"/>
    <x v="13"/>
    <n v="22"/>
    <n v="134882"/>
    <n v="39600"/>
  </r>
  <r>
    <x v="23"/>
    <x v="1"/>
    <x v="23"/>
    <x v="5"/>
    <x v="1"/>
    <x v="13"/>
    <n v="26"/>
    <n v="144274"/>
    <n v="46800"/>
  </r>
  <r>
    <x v="0"/>
    <x v="0"/>
    <x v="0"/>
    <x v="5"/>
    <x v="2"/>
    <x v="14"/>
    <n v="21"/>
    <n v="762993"/>
    <n v="433650"/>
  </r>
  <r>
    <x v="1"/>
    <x v="0"/>
    <x v="1"/>
    <x v="5"/>
    <x v="2"/>
    <x v="14"/>
    <n v="13"/>
    <n v="471016"/>
    <n v="268450"/>
  </r>
  <r>
    <x v="2"/>
    <x v="0"/>
    <x v="2"/>
    <x v="5"/>
    <x v="2"/>
    <x v="14"/>
    <n v="11"/>
    <n v="388091"/>
    <n v="227150"/>
  </r>
  <r>
    <x v="3"/>
    <x v="0"/>
    <x v="3"/>
    <x v="5"/>
    <x v="2"/>
    <x v="14"/>
    <n v="20"/>
    <n v="743760"/>
    <n v="413000"/>
  </r>
  <r>
    <x v="4"/>
    <x v="0"/>
    <x v="4"/>
    <x v="5"/>
    <x v="2"/>
    <x v="14"/>
    <n v="25"/>
    <n v="923025"/>
    <n v="516250"/>
  </r>
  <r>
    <x v="5"/>
    <x v="0"/>
    <x v="5"/>
    <x v="5"/>
    <x v="2"/>
    <x v="14"/>
    <n v="24"/>
    <n v="866760"/>
    <n v="495600"/>
  </r>
  <r>
    <x v="6"/>
    <x v="0"/>
    <x v="6"/>
    <x v="5"/>
    <x v="2"/>
    <x v="14"/>
    <n v="25"/>
    <n v="871675"/>
    <n v="516250"/>
  </r>
  <r>
    <x v="7"/>
    <x v="0"/>
    <x v="7"/>
    <x v="5"/>
    <x v="2"/>
    <x v="14"/>
    <n v="21"/>
    <n v="747705"/>
    <n v="433650"/>
  </r>
  <r>
    <x v="8"/>
    <x v="0"/>
    <x v="8"/>
    <x v="5"/>
    <x v="2"/>
    <x v="14"/>
    <n v="22"/>
    <n v="788766"/>
    <n v="454300"/>
  </r>
  <r>
    <x v="9"/>
    <x v="0"/>
    <x v="9"/>
    <x v="5"/>
    <x v="2"/>
    <x v="14"/>
    <n v="18"/>
    <n v="652572"/>
    <n v="371700"/>
  </r>
  <r>
    <x v="10"/>
    <x v="0"/>
    <x v="10"/>
    <x v="5"/>
    <x v="2"/>
    <x v="14"/>
    <n v="13"/>
    <n v="474097"/>
    <n v="268450"/>
  </r>
  <r>
    <x v="11"/>
    <x v="0"/>
    <x v="11"/>
    <x v="5"/>
    <x v="2"/>
    <x v="14"/>
    <n v="16"/>
    <n v="575424"/>
    <n v="330400"/>
  </r>
  <r>
    <x v="12"/>
    <x v="1"/>
    <x v="12"/>
    <x v="5"/>
    <x v="2"/>
    <x v="14"/>
    <n v="23"/>
    <n v="826505"/>
    <n v="474950"/>
  </r>
  <r>
    <x v="13"/>
    <x v="1"/>
    <x v="13"/>
    <x v="5"/>
    <x v="2"/>
    <x v="14"/>
    <n v="15"/>
    <n v="545760"/>
    <n v="309750"/>
  </r>
  <r>
    <x v="14"/>
    <x v="1"/>
    <x v="14"/>
    <x v="5"/>
    <x v="2"/>
    <x v="14"/>
    <n v="12"/>
    <n v="426204"/>
    <n v="247800"/>
  </r>
  <r>
    <x v="15"/>
    <x v="1"/>
    <x v="15"/>
    <x v="5"/>
    <x v="2"/>
    <x v="14"/>
    <n v="22"/>
    <n v="800932"/>
    <n v="454300"/>
  </r>
  <r>
    <x v="16"/>
    <x v="1"/>
    <x v="16"/>
    <x v="5"/>
    <x v="2"/>
    <x v="14"/>
    <n v="27"/>
    <n v="1000836"/>
    <n v="557550"/>
  </r>
  <r>
    <x v="17"/>
    <x v="1"/>
    <x v="17"/>
    <x v="5"/>
    <x v="2"/>
    <x v="14"/>
    <n v="26"/>
    <n v="962156"/>
    <n v="536900"/>
  </r>
  <r>
    <x v="18"/>
    <x v="1"/>
    <x v="18"/>
    <x v="5"/>
    <x v="2"/>
    <x v="14"/>
    <n v="27"/>
    <n v="932877"/>
    <n v="557550"/>
  </r>
  <r>
    <x v="19"/>
    <x v="1"/>
    <x v="19"/>
    <x v="5"/>
    <x v="2"/>
    <x v="14"/>
    <n v="23"/>
    <n v="826436"/>
    <n v="474950"/>
  </r>
  <r>
    <x v="20"/>
    <x v="1"/>
    <x v="20"/>
    <x v="5"/>
    <x v="2"/>
    <x v="14"/>
    <n v="25"/>
    <n v="904450"/>
    <n v="516250"/>
  </r>
  <r>
    <x v="21"/>
    <x v="1"/>
    <x v="21"/>
    <x v="5"/>
    <x v="2"/>
    <x v="14"/>
    <n v="20"/>
    <n v="729400"/>
    <n v="413000"/>
  </r>
  <r>
    <x v="22"/>
    <x v="1"/>
    <x v="22"/>
    <x v="5"/>
    <x v="2"/>
    <x v="14"/>
    <n v="15"/>
    <n v="538380"/>
    <n v="309750"/>
  </r>
  <r>
    <x v="23"/>
    <x v="1"/>
    <x v="23"/>
    <x v="5"/>
    <x v="2"/>
    <x v="14"/>
    <n v="17"/>
    <n v="597193"/>
    <n v="351050"/>
  </r>
  <r>
    <x v="0"/>
    <x v="0"/>
    <x v="0"/>
    <x v="5"/>
    <x v="2"/>
    <x v="15"/>
    <n v="17"/>
    <n v="566253"/>
    <n v="266560"/>
  </r>
  <r>
    <x v="1"/>
    <x v="0"/>
    <x v="1"/>
    <x v="5"/>
    <x v="2"/>
    <x v="15"/>
    <n v="11"/>
    <n v="365948"/>
    <n v="172480"/>
  </r>
  <r>
    <x v="2"/>
    <x v="0"/>
    <x v="2"/>
    <x v="5"/>
    <x v="2"/>
    <x v="15"/>
    <n v="9"/>
    <n v="292941"/>
    <n v="141120"/>
  </r>
  <r>
    <x v="3"/>
    <x v="0"/>
    <x v="3"/>
    <x v="5"/>
    <x v="2"/>
    <x v="15"/>
    <n v="16"/>
    <n v="538288"/>
    <n v="250880"/>
  </r>
  <r>
    <x v="4"/>
    <x v="0"/>
    <x v="4"/>
    <x v="5"/>
    <x v="2"/>
    <x v="15"/>
    <n v="20"/>
    <n v="673780"/>
    <n v="313600"/>
  </r>
  <r>
    <x v="5"/>
    <x v="0"/>
    <x v="5"/>
    <x v="5"/>
    <x v="2"/>
    <x v="15"/>
    <n v="19"/>
    <n v="629147"/>
    <n v="297920"/>
  </r>
  <r>
    <x v="6"/>
    <x v="0"/>
    <x v="6"/>
    <x v="5"/>
    <x v="2"/>
    <x v="15"/>
    <n v="20"/>
    <n v="630420"/>
    <n v="313600"/>
  </r>
  <r>
    <x v="7"/>
    <x v="0"/>
    <x v="7"/>
    <x v="5"/>
    <x v="2"/>
    <x v="15"/>
    <n v="17"/>
    <n v="545649"/>
    <n v="266560"/>
  </r>
  <r>
    <x v="8"/>
    <x v="0"/>
    <x v="8"/>
    <x v="5"/>
    <x v="2"/>
    <x v="15"/>
    <n v="18"/>
    <n v="597312"/>
    <n v="282240"/>
  </r>
  <r>
    <x v="9"/>
    <x v="0"/>
    <x v="9"/>
    <x v="5"/>
    <x v="2"/>
    <x v="15"/>
    <n v="15"/>
    <n v="499980"/>
    <n v="235200"/>
  </r>
  <r>
    <x v="10"/>
    <x v="0"/>
    <x v="10"/>
    <x v="5"/>
    <x v="2"/>
    <x v="15"/>
    <n v="11"/>
    <n v="368302"/>
    <n v="172480"/>
  </r>
  <r>
    <x v="11"/>
    <x v="0"/>
    <x v="11"/>
    <x v="5"/>
    <x v="2"/>
    <x v="15"/>
    <n v="13"/>
    <n v="430274"/>
    <n v="203840"/>
  </r>
  <r>
    <x v="12"/>
    <x v="1"/>
    <x v="12"/>
    <x v="5"/>
    <x v="2"/>
    <x v="15"/>
    <n v="19"/>
    <n v="621338"/>
    <n v="297920"/>
  </r>
  <r>
    <x v="13"/>
    <x v="1"/>
    <x v="13"/>
    <x v="5"/>
    <x v="2"/>
    <x v="15"/>
    <n v="12"/>
    <n v="393204"/>
    <n v="188160"/>
  </r>
  <r>
    <x v="14"/>
    <x v="1"/>
    <x v="14"/>
    <x v="5"/>
    <x v="2"/>
    <x v="15"/>
    <n v="10"/>
    <n v="333400"/>
    <n v="156800"/>
  </r>
  <r>
    <x v="15"/>
    <x v="1"/>
    <x v="15"/>
    <x v="5"/>
    <x v="2"/>
    <x v="15"/>
    <n v="18"/>
    <n v="607932"/>
    <n v="282240"/>
  </r>
  <r>
    <x v="16"/>
    <x v="1"/>
    <x v="16"/>
    <x v="5"/>
    <x v="2"/>
    <x v="15"/>
    <n v="22"/>
    <n v="743402"/>
    <n v="344960"/>
  </r>
  <r>
    <x v="17"/>
    <x v="1"/>
    <x v="17"/>
    <x v="5"/>
    <x v="2"/>
    <x v="15"/>
    <n v="21"/>
    <n v="708456"/>
    <n v="329280"/>
  </r>
  <r>
    <x v="18"/>
    <x v="1"/>
    <x v="18"/>
    <x v="5"/>
    <x v="2"/>
    <x v="15"/>
    <n v="22"/>
    <n v="699028"/>
    <n v="344960"/>
  </r>
  <r>
    <x v="19"/>
    <x v="1"/>
    <x v="19"/>
    <x v="5"/>
    <x v="2"/>
    <x v="15"/>
    <n v="19"/>
    <n v="619552"/>
    <n v="297920"/>
  </r>
  <r>
    <x v="20"/>
    <x v="1"/>
    <x v="20"/>
    <x v="5"/>
    <x v="2"/>
    <x v="15"/>
    <n v="20"/>
    <n v="662040"/>
    <n v="313600"/>
  </r>
  <r>
    <x v="21"/>
    <x v="1"/>
    <x v="21"/>
    <x v="5"/>
    <x v="2"/>
    <x v="15"/>
    <n v="16"/>
    <n v="539072"/>
    <n v="250880"/>
  </r>
  <r>
    <x v="22"/>
    <x v="1"/>
    <x v="22"/>
    <x v="5"/>
    <x v="2"/>
    <x v="15"/>
    <n v="12"/>
    <n v="403752"/>
    <n v="188160"/>
  </r>
  <r>
    <x v="23"/>
    <x v="1"/>
    <x v="23"/>
    <x v="5"/>
    <x v="2"/>
    <x v="15"/>
    <n v="14"/>
    <n v="451318"/>
    <n v="219520"/>
  </r>
  <r>
    <x v="0"/>
    <x v="0"/>
    <x v="0"/>
    <x v="5"/>
    <x v="2"/>
    <x v="16"/>
    <n v="19"/>
    <n v="818311"/>
    <n v="343140"/>
  </r>
  <r>
    <x v="1"/>
    <x v="0"/>
    <x v="1"/>
    <x v="5"/>
    <x v="2"/>
    <x v="16"/>
    <n v="12"/>
    <n v="522600"/>
    <n v="216720"/>
  </r>
  <r>
    <x v="2"/>
    <x v="0"/>
    <x v="2"/>
    <x v="5"/>
    <x v="2"/>
    <x v="16"/>
    <n v="10"/>
    <n v="427770"/>
    <n v="180600"/>
  </r>
  <r>
    <x v="3"/>
    <x v="0"/>
    <x v="3"/>
    <x v="5"/>
    <x v="2"/>
    <x v="16"/>
    <n v="18"/>
    <n v="778428"/>
    <n v="325080"/>
  </r>
  <r>
    <x v="4"/>
    <x v="0"/>
    <x v="4"/>
    <x v="5"/>
    <x v="2"/>
    <x v="16"/>
    <n v="22"/>
    <n v="981200"/>
    <n v="397320"/>
  </r>
  <r>
    <x v="5"/>
    <x v="0"/>
    <x v="5"/>
    <x v="5"/>
    <x v="2"/>
    <x v="16"/>
    <n v="21"/>
    <n v="903861"/>
    <n v="379260"/>
  </r>
  <r>
    <x v="6"/>
    <x v="0"/>
    <x v="6"/>
    <x v="5"/>
    <x v="2"/>
    <x v="16"/>
    <n v="22"/>
    <n v="915200"/>
    <n v="397320"/>
  </r>
  <r>
    <x v="7"/>
    <x v="0"/>
    <x v="7"/>
    <x v="5"/>
    <x v="2"/>
    <x v="16"/>
    <n v="19"/>
    <n v="816145"/>
    <n v="343140"/>
  </r>
  <r>
    <x v="8"/>
    <x v="0"/>
    <x v="8"/>
    <x v="5"/>
    <x v="2"/>
    <x v="16"/>
    <n v="20"/>
    <n v="852620"/>
    <n v="361200"/>
  </r>
  <r>
    <x v="9"/>
    <x v="0"/>
    <x v="9"/>
    <x v="5"/>
    <x v="2"/>
    <x v="16"/>
    <n v="17"/>
    <n v="736644"/>
    <n v="307020"/>
  </r>
  <r>
    <x v="10"/>
    <x v="0"/>
    <x v="10"/>
    <x v="5"/>
    <x v="2"/>
    <x v="16"/>
    <n v="12"/>
    <n v="520404"/>
    <n v="216720"/>
  </r>
  <r>
    <x v="11"/>
    <x v="0"/>
    <x v="11"/>
    <x v="5"/>
    <x v="2"/>
    <x v="16"/>
    <n v="14"/>
    <n v="595168"/>
    <n v="252840"/>
  </r>
  <r>
    <x v="12"/>
    <x v="1"/>
    <x v="12"/>
    <x v="5"/>
    <x v="2"/>
    <x v="16"/>
    <n v="21"/>
    <n v="910014"/>
    <n v="379260"/>
  </r>
  <r>
    <x v="13"/>
    <x v="1"/>
    <x v="13"/>
    <x v="5"/>
    <x v="2"/>
    <x v="16"/>
    <n v="13"/>
    <n v="571155"/>
    <n v="234780"/>
  </r>
  <r>
    <x v="14"/>
    <x v="1"/>
    <x v="14"/>
    <x v="5"/>
    <x v="2"/>
    <x v="16"/>
    <n v="11"/>
    <n v="470217"/>
    <n v="198660"/>
  </r>
  <r>
    <x v="15"/>
    <x v="1"/>
    <x v="15"/>
    <x v="5"/>
    <x v="2"/>
    <x v="16"/>
    <n v="20"/>
    <n v="871400"/>
    <n v="361200"/>
  </r>
  <r>
    <x v="16"/>
    <x v="1"/>
    <x v="16"/>
    <x v="5"/>
    <x v="2"/>
    <x v="16"/>
    <n v="25"/>
    <n v="1097250"/>
    <n v="451500"/>
  </r>
  <r>
    <x v="17"/>
    <x v="1"/>
    <x v="17"/>
    <x v="5"/>
    <x v="2"/>
    <x v="16"/>
    <n v="23"/>
    <n v="1009585"/>
    <n v="415380"/>
  </r>
  <r>
    <x v="18"/>
    <x v="1"/>
    <x v="18"/>
    <x v="5"/>
    <x v="2"/>
    <x v="16"/>
    <n v="25"/>
    <n v="1043550"/>
    <n v="451500"/>
  </r>
  <r>
    <x v="19"/>
    <x v="1"/>
    <x v="19"/>
    <x v="5"/>
    <x v="2"/>
    <x v="16"/>
    <n v="21"/>
    <n v="906738"/>
    <n v="379260"/>
  </r>
  <r>
    <x v="20"/>
    <x v="1"/>
    <x v="20"/>
    <x v="5"/>
    <x v="2"/>
    <x v="16"/>
    <n v="22"/>
    <n v="948904"/>
    <n v="397320"/>
  </r>
  <r>
    <x v="21"/>
    <x v="1"/>
    <x v="21"/>
    <x v="5"/>
    <x v="2"/>
    <x v="16"/>
    <n v="18"/>
    <n v="788868"/>
    <n v="325080"/>
  </r>
  <r>
    <x v="22"/>
    <x v="1"/>
    <x v="22"/>
    <x v="5"/>
    <x v="2"/>
    <x v="16"/>
    <n v="13"/>
    <n v="561821"/>
    <n v="234780"/>
  </r>
  <r>
    <x v="23"/>
    <x v="1"/>
    <x v="23"/>
    <x v="5"/>
    <x v="2"/>
    <x v="16"/>
    <n v="16"/>
    <n v="681840"/>
    <n v="288960"/>
  </r>
  <r>
    <x v="0"/>
    <x v="0"/>
    <x v="0"/>
    <x v="5"/>
    <x v="2"/>
    <x v="17"/>
    <n v="17"/>
    <n v="500956"/>
    <n v="190400"/>
  </r>
  <r>
    <x v="1"/>
    <x v="0"/>
    <x v="1"/>
    <x v="5"/>
    <x v="2"/>
    <x v="17"/>
    <n v="11"/>
    <n v="318681"/>
    <n v="123200"/>
  </r>
  <r>
    <x v="2"/>
    <x v="0"/>
    <x v="2"/>
    <x v="5"/>
    <x v="2"/>
    <x v="17"/>
    <n v="9"/>
    <n v="260001"/>
    <n v="100800"/>
  </r>
  <r>
    <x v="3"/>
    <x v="0"/>
    <x v="3"/>
    <x v="5"/>
    <x v="2"/>
    <x v="17"/>
    <n v="16"/>
    <n v="478800"/>
    <n v="179200"/>
  </r>
  <r>
    <x v="4"/>
    <x v="0"/>
    <x v="4"/>
    <x v="5"/>
    <x v="2"/>
    <x v="17"/>
    <n v="20"/>
    <n v="606400"/>
    <n v="224000"/>
  </r>
  <r>
    <x v="5"/>
    <x v="0"/>
    <x v="5"/>
    <x v="5"/>
    <x v="2"/>
    <x v="17"/>
    <n v="19"/>
    <n v="564281"/>
    <n v="212800"/>
  </r>
  <r>
    <x v="6"/>
    <x v="0"/>
    <x v="6"/>
    <x v="5"/>
    <x v="2"/>
    <x v="17"/>
    <n v="20"/>
    <n v="562380"/>
    <n v="224000"/>
  </r>
  <r>
    <x v="7"/>
    <x v="0"/>
    <x v="7"/>
    <x v="5"/>
    <x v="2"/>
    <x v="17"/>
    <n v="17"/>
    <n v="494105"/>
    <n v="190400"/>
  </r>
  <r>
    <x v="8"/>
    <x v="0"/>
    <x v="8"/>
    <x v="5"/>
    <x v="2"/>
    <x v="17"/>
    <n v="18"/>
    <n v="525996"/>
    <n v="201600"/>
  </r>
  <r>
    <x v="9"/>
    <x v="0"/>
    <x v="9"/>
    <x v="5"/>
    <x v="2"/>
    <x v="17"/>
    <n v="15"/>
    <n v="440925"/>
    <n v="168000"/>
  </r>
  <r>
    <x v="10"/>
    <x v="0"/>
    <x v="10"/>
    <x v="5"/>
    <x v="2"/>
    <x v="17"/>
    <n v="11"/>
    <n v="324368"/>
    <n v="123200"/>
  </r>
  <r>
    <x v="11"/>
    <x v="0"/>
    <x v="11"/>
    <x v="5"/>
    <x v="2"/>
    <x v="17"/>
    <n v="13"/>
    <n v="379821"/>
    <n v="145600"/>
  </r>
  <r>
    <x v="12"/>
    <x v="1"/>
    <x v="12"/>
    <x v="5"/>
    <x v="2"/>
    <x v="17"/>
    <n v="19"/>
    <n v="565953"/>
    <n v="212800"/>
  </r>
  <r>
    <x v="13"/>
    <x v="1"/>
    <x v="13"/>
    <x v="5"/>
    <x v="2"/>
    <x v="17"/>
    <n v="12"/>
    <n v="353448"/>
    <n v="134400"/>
  </r>
  <r>
    <x v="14"/>
    <x v="1"/>
    <x v="14"/>
    <x v="5"/>
    <x v="2"/>
    <x v="17"/>
    <n v="10"/>
    <n v="286990"/>
    <n v="112000"/>
  </r>
  <r>
    <x v="15"/>
    <x v="1"/>
    <x v="15"/>
    <x v="5"/>
    <x v="2"/>
    <x v="17"/>
    <n v="18"/>
    <n v="531000"/>
    <n v="201600"/>
  </r>
  <r>
    <x v="16"/>
    <x v="1"/>
    <x v="16"/>
    <x v="5"/>
    <x v="2"/>
    <x v="17"/>
    <n v="22"/>
    <n v="658680"/>
    <n v="246400"/>
  </r>
  <r>
    <x v="17"/>
    <x v="1"/>
    <x v="17"/>
    <x v="5"/>
    <x v="2"/>
    <x v="17"/>
    <n v="21"/>
    <n v="610218"/>
    <n v="235200"/>
  </r>
  <r>
    <x v="18"/>
    <x v="1"/>
    <x v="18"/>
    <x v="5"/>
    <x v="2"/>
    <x v="17"/>
    <n v="22"/>
    <n v="601788"/>
    <n v="246400"/>
  </r>
  <r>
    <x v="19"/>
    <x v="1"/>
    <x v="19"/>
    <x v="5"/>
    <x v="2"/>
    <x v="17"/>
    <n v="19"/>
    <n v="542811"/>
    <n v="212800"/>
  </r>
  <r>
    <x v="20"/>
    <x v="1"/>
    <x v="20"/>
    <x v="5"/>
    <x v="2"/>
    <x v="17"/>
    <n v="20"/>
    <n v="570180"/>
    <n v="224000"/>
  </r>
  <r>
    <x v="21"/>
    <x v="1"/>
    <x v="21"/>
    <x v="5"/>
    <x v="2"/>
    <x v="17"/>
    <n v="17"/>
    <n v="492473"/>
    <n v="190400"/>
  </r>
  <r>
    <x v="22"/>
    <x v="1"/>
    <x v="22"/>
    <x v="5"/>
    <x v="2"/>
    <x v="17"/>
    <n v="12"/>
    <n v="359652"/>
    <n v="134400"/>
  </r>
  <r>
    <x v="23"/>
    <x v="1"/>
    <x v="23"/>
    <x v="5"/>
    <x v="2"/>
    <x v="17"/>
    <n v="14"/>
    <n v="396004"/>
    <n v="156800"/>
  </r>
  <r>
    <x v="0"/>
    <x v="0"/>
    <x v="0"/>
    <x v="5"/>
    <x v="2"/>
    <x v="18"/>
    <n v="22"/>
    <n v="1016532"/>
    <n v="554400.00000000012"/>
  </r>
  <r>
    <x v="1"/>
    <x v="0"/>
    <x v="1"/>
    <x v="5"/>
    <x v="2"/>
    <x v="18"/>
    <n v="14"/>
    <n v="652610"/>
    <n v="352800.00000000006"/>
  </r>
  <r>
    <x v="2"/>
    <x v="0"/>
    <x v="2"/>
    <x v="5"/>
    <x v="2"/>
    <x v="18"/>
    <n v="11"/>
    <n v="496023"/>
    <n v="277200.00000000006"/>
  </r>
  <r>
    <x v="3"/>
    <x v="0"/>
    <x v="3"/>
    <x v="5"/>
    <x v="2"/>
    <x v="18"/>
    <n v="20"/>
    <n v="931240"/>
    <n v="504000.00000000006"/>
  </r>
  <r>
    <x v="4"/>
    <x v="0"/>
    <x v="4"/>
    <x v="5"/>
    <x v="2"/>
    <x v="18"/>
    <n v="26"/>
    <n v="1208480"/>
    <n v="655200.00000000012"/>
  </r>
  <r>
    <x v="5"/>
    <x v="0"/>
    <x v="5"/>
    <x v="5"/>
    <x v="2"/>
    <x v="18"/>
    <n v="24"/>
    <n v="1109064"/>
    <n v="604800.00000000012"/>
  </r>
  <r>
    <x v="6"/>
    <x v="0"/>
    <x v="6"/>
    <x v="5"/>
    <x v="2"/>
    <x v="18"/>
    <n v="26"/>
    <n v="1157754"/>
    <n v="655200.00000000012"/>
  </r>
  <r>
    <x v="7"/>
    <x v="0"/>
    <x v="7"/>
    <x v="5"/>
    <x v="2"/>
    <x v="18"/>
    <n v="22"/>
    <n v="993894"/>
    <n v="554400.00000000012"/>
  </r>
  <r>
    <x v="8"/>
    <x v="0"/>
    <x v="8"/>
    <x v="5"/>
    <x v="2"/>
    <x v="18"/>
    <n v="23"/>
    <n v="1052227"/>
    <n v="579600.00000000012"/>
  </r>
  <r>
    <x v="9"/>
    <x v="0"/>
    <x v="9"/>
    <x v="5"/>
    <x v="2"/>
    <x v="18"/>
    <n v="19"/>
    <n v="872993"/>
    <n v="478800.00000000006"/>
  </r>
  <r>
    <x v="10"/>
    <x v="0"/>
    <x v="10"/>
    <x v="5"/>
    <x v="2"/>
    <x v="18"/>
    <n v="14"/>
    <n v="647164"/>
    <n v="352800.00000000006"/>
  </r>
  <r>
    <x v="11"/>
    <x v="0"/>
    <x v="11"/>
    <x v="5"/>
    <x v="2"/>
    <x v="18"/>
    <n v="16"/>
    <n v="724416"/>
    <n v="403200.00000000006"/>
  </r>
  <r>
    <x v="12"/>
    <x v="1"/>
    <x v="12"/>
    <x v="5"/>
    <x v="2"/>
    <x v="18"/>
    <n v="24"/>
    <n v="1115904"/>
    <n v="604800.00000000012"/>
  </r>
  <r>
    <x v="13"/>
    <x v="1"/>
    <x v="13"/>
    <x v="5"/>
    <x v="2"/>
    <x v="18"/>
    <n v="15"/>
    <n v="693285"/>
    <n v="378000.00000000006"/>
  </r>
  <r>
    <x v="14"/>
    <x v="1"/>
    <x v="14"/>
    <x v="5"/>
    <x v="2"/>
    <x v="18"/>
    <n v="12"/>
    <n v="544872"/>
    <n v="302400.00000000006"/>
  </r>
  <r>
    <x v="15"/>
    <x v="1"/>
    <x v="15"/>
    <x v="5"/>
    <x v="2"/>
    <x v="18"/>
    <n v="22"/>
    <n v="1026806"/>
    <n v="554400.00000000012"/>
  </r>
  <r>
    <x v="16"/>
    <x v="1"/>
    <x v="16"/>
    <x v="5"/>
    <x v="2"/>
    <x v="18"/>
    <n v="28"/>
    <n v="1325044"/>
    <n v="705600.00000000012"/>
  </r>
  <r>
    <x v="17"/>
    <x v="1"/>
    <x v="17"/>
    <x v="5"/>
    <x v="2"/>
    <x v="18"/>
    <n v="27"/>
    <n v="1238166"/>
    <n v="680400.00000000012"/>
  </r>
  <r>
    <x v="18"/>
    <x v="1"/>
    <x v="18"/>
    <x v="5"/>
    <x v="2"/>
    <x v="18"/>
    <n v="28"/>
    <n v="1234044"/>
    <n v="705600.00000000012"/>
  </r>
  <r>
    <x v="19"/>
    <x v="1"/>
    <x v="19"/>
    <x v="5"/>
    <x v="2"/>
    <x v="18"/>
    <n v="24"/>
    <n v="1096992"/>
    <n v="604800.00000000012"/>
  </r>
  <r>
    <x v="20"/>
    <x v="1"/>
    <x v="20"/>
    <x v="5"/>
    <x v="2"/>
    <x v="18"/>
    <n v="25"/>
    <n v="1144875"/>
    <n v="630000.00000000012"/>
  </r>
  <r>
    <x v="21"/>
    <x v="1"/>
    <x v="21"/>
    <x v="5"/>
    <x v="2"/>
    <x v="18"/>
    <n v="21"/>
    <n v="978537"/>
    <n v="529200.00000000012"/>
  </r>
  <r>
    <x v="22"/>
    <x v="1"/>
    <x v="22"/>
    <x v="5"/>
    <x v="2"/>
    <x v="18"/>
    <n v="15"/>
    <n v="691050"/>
    <n v="378000.00000000006"/>
  </r>
  <r>
    <x v="23"/>
    <x v="1"/>
    <x v="23"/>
    <x v="5"/>
    <x v="2"/>
    <x v="18"/>
    <n v="18"/>
    <n v="815346"/>
    <n v="453600.00000000006"/>
  </r>
  <r>
    <x v="0"/>
    <x v="0"/>
    <x v="0"/>
    <x v="5"/>
    <x v="2"/>
    <x v="19"/>
    <n v="22"/>
    <n v="408628"/>
    <n v="209440"/>
  </r>
  <r>
    <x v="1"/>
    <x v="0"/>
    <x v="1"/>
    <x v="5"/>
    <x v="2"/>
    <x v="19"/>
    <n v="14"/>
    <n v="253428"/>
    <n v="133280"/>
  </r>
  <r>
    <x v="2"/>
    <x v="0"/>
    <x v="2"/>
    <x v="5"/>
    <x v="2"/>
    <x v="19"/>
    <n v="11"/>
    <n v="196977"/>
    <n v="104720"/>
  </r>
  <r>
    <x v="3"/>
    <x v="0"/>
    <x v="3"/>
    <x v="5"/>
    <x v="2"/>
    <x v="19"/>
    <n v="20"/>
    <n v="370240"/>
    <n v="190400"/>
  </r>
  <r>
    <x v="4"/>
    <x v="0"/>
    <x v="4"/>
    <x v="5"/>
    <x v="2"/>
    <x v="19"/>
    <n v="26"/>
    <n v="493584"/>
    <n v="247520"/>
  </r>
  <r>
    <x v="5"/>
    <x v="0"/>
    <x v="5"/>
    <x v="5"/>
    <x v="2"/>
    <x v="19"/>
    <n v="24"/>
    <n v="441720"/>
    <n v="228480"/>
  </r>
  <r>
    <x v="6"/>
    <x v="0"/>
    <x v="6"/>
    <x v="5"/>
    <x v="2"/>
    <x v="19"/>
    <n v="26"/>
    <n v="442416"/>
    <n v="247520"/>
  </r>
  <r>
    <x v="7"/>
    <x v="0"/>
    <x v="7"/>
    <x v="5"/>
    <x v="2"/>
    <x v="19"/>
    <n v="22"/>
    <n v="393206"/>
    <n v="209440"/>
  </r>
  <r>
    <x v="8"/>
    <x v="0"/>
    <x v="8"/>
    <x v="5"/>
    <x v="2"/>
    <x v="19"/>
    <n v="23"/>
    <n v="411815"/>
    <n v="218960"/>
  </r>
  <r>
    <x v="9"/>
    <x v="0"/>
    <x v="9"/>
    <x v="5"/>
    <x v="2"/>
    <x v="19"/>
    <n v="19"/>
    <n v="338732"/>
    <n v="180880"/>
  </r>
  <r>
    <x v="10"/>
    <x v="0"/>
    <x v="10"/>
    <x v="5"/>
    <x v="2"/>
    <x v="19"/>
    <n v="14"/>
    <n v="259308"/>
    <n v="133280"/>
  </r>
  <r>
    <x v="11"/>
    <x v="0"/>
    <x v="11"/>
    <x v="5"/>
    <x v="2"/>
    <x v="19"/>
    <n v="16"/>
    <n v="280448"/>
    <n v="152320"/>
  </r>
  <r>
    <x v="12"/>
    <x v="1"/>
    <x v="12"/>
    <x v="5"/>
    <x v="2"/>
    <x v="19"/>
    <n v="24"/>
    <n v="433272"/>
    <n v="228480"/>
  </r>
  <r>
    <x v="13"/>
    <x v="1"/>
    <x v="13"/>
    <x v="5"/>
    <x v="2"/>
    <x v="19"/>
    <n v="15"/>
    <n v="274620"/>
    <n v="142800"/>
  </r>
  <r>
    <x v="14"/>
    <x v="1"/>
    <x v="14"/>
    <x v="5"/>
    <x v="2"/>
    <x v="19"/>
    <n v="12"/>
    <n v="206748"/>
    <n v="114240"/>
  </r>
  <r>
    <x v="15"/>
    <x v="1"/>
    <x v="15"/>
    <x v="5"/>
    <x v="2"/>
    <x v="19"/>
    <n v="22"/>
    <n v="413072"/>
    <n v="209440"/>
  </r>
  <r>
    <x v="16"/>
    <x v="1"/>
    <x v="16"/>
    <x v="5"/>
    <x v="2"/>
    <x v="19"/>
    <n v="28"/>
    <n v="542556"/>
    <n v="266560"/>
  </r>
  <r>
    <x v="17"/>
    <x v="1"/>
    <x v="17"/>
    <x v="5"/>
    <x v="2"/>
    <x v="19"/>
    <n v="27"/>
    <n v="479250"/>
    <n v="257040"/>
  </r>
  <r>
    <x v="18"/>
    <x v="1"/>
    <x v="18"/>
    <x v="5"/>
    <x v="2"/>
    <x v="19"/>
    <n v="28"/>
    <n v="471660"/>
    <n v="266560"/>
  </r>
  <r>
    <x v="19"/>
    <x v="1"/>
    <x v="19"/>
    <x v="5"/>
    <x v="2"/>
    <x v="19"/>
    <n v="24"/>
    <n v="426480"/>
    <n v="228480"/>
  </r>
  <r>
    <x v="20"/>
    <x v="1"/>
    <x v="20"/>
    <x v="5"/>
    <x v="2"/>
    <x v="19"/>
    <n v="25"/>
    <n v="447975"/>
    <n v="238000"/>
  </r>
  <r>
    <x v="21"/>
    <x v="1"/>
    <x v="21"/>
    <x v="5"/>
    <x v="2"/>
    <x v="19"/>
    <n v="21"/>
    <n v="380373"/>
    <n v="199920"/>
  </r>
  <r>
    <x v="22"/>
    <x v="1"/>
    <x v="22"/>
    <x v="5"/>
    <x v="2"/>
    <x v="19"/>
    <n v="15"/>
    <n v="273945"/>
    <n v="142800"/>
  </r>
  <r>
    <x v="23"/>
    <x v="1"/>
    <x v="23"/>
    <x v="5"/>
    <x v="2"/>
    <x v="19"/>
    <n v="18"/>
    <n v="309690"/>
    <n v="171360"/>
  </r>
  <r>
    <x v="0"/>
    <x v="0"/>
    <x v="0"/>
    <x v="5"/>
    <x v="2"/>
    <x v="20"/>
    <n v="17"/>
    <n v="685848"/>
    <n v="278460"/>
  </r>
  <r>
    <x v="1"/>
    <x v="0"/>
    <x v="1"/>
    <x v="5"/>
    <x v="2"/>
    <x v="20"/>
    <n v="11"/>
    <n v="440121"/>
    <n v="180180"/>
  </r>
  <r>
    <x v="2"/>
    <x v="0"/>
    <x v="2"/>
    <x v="5"/>
    <x v="2"/>
    <x v="20"/>
    <n v="9"/>
    <n v="358281"/>
    <n v="147420"/>
  </r>
  <r>
    <x v="3"/>
    <x v="0"/>
    <x v="3"/>
    <x v="5"/>
    <x v="2"/>
    <x v="20"/>
    <n v="16"/>
    <n v="654752"/>
    <n v="262080"/>
  </r>
  <r>
    <x v="4"/>
    <x v="0"/>
    <x v="4"/>
    <x v="5"/>
    <x v="2"/>
    <x v="20"/>
    <n v="21"/>
    <n v="861966"/>
    <n v="343980"/>
  </r>
  <r>
    <x v="5"/>
    <x v="0"/>
    <x v="5"/>
    <x v="5"/>
    <x v="2"/>
    <x v="20"/>
    <n v="20"/>
    <n v="816500"/>
    <n v="327600"/>
  </r>
  <r>
    <x v="6"/>
    <x v="0"/>
    <x v="6"/>
    <x v="5"/>
    <x v="2"/>
    <x v="20"/>
    <n v="21"/>
    <n v="815409"/>
    <n v="343980"/>
  </r>
  <r>
    <x v="7"/>
    <x v="0"/>
    <x v="7"/>
    <x v="5"/>
    <x v="2"/>
    <x v="20"/>
    <n v="17"/>
    <n v="673047"/>
    <n v="278460"/>
  </r>
  <r>
    <x v="8"/>
    <x v="0"/>
    <x v="8"/>
    <x v="5"/>
    <x v="2"/>
    <x v="20"/>
    <n v="18"/>
    <n v="725166"/>
    <n v="294840"/>
  </r>
  <r>
    <x v="9"/>
    <x v="0"/>
    <x v="9"/>
    <x v="5"/>
    <x v="2"/>
    <x v="20"/>
    <n v="15"/>
    <n v="600135"/>
    <n v="245700"/>
  </r>
  <r>
    <x v="10"/>
    <x v="0"/>
    <x v="10"/>
    <x v="5"/>
    <x v="2"/>
    <x v="20"/>
    <n v="11"/>
    <n v="442948"/>
    <n v="180180"/>
  </r>
  <r>
    <x v="11"/>
    <x v="0"/>
    <x v="11"/>
    <x v="5"/>
    <x v="2"/>
    <x v="20"/>
    <n v="13"/>
    <n v="512239"/>
    <n v="212940"/>
  </r>
  <r>
    <x v="12"/>
    <x v="1"/>
    <x v="12"/>
    <x v="5"/>
    <x v="2"/>
    <x v="20"/>
    <n v="19"/>
    <n v="762774"/>
    <n v="311220"/>
  </r>
  <r>
    <x v="13"/>
    <x v="1"/>
    <x v="13"/>
    <x v="5"/>
    <x v="2"/>
    <x v="20"/>
    <n v="12"/>
    <n v="481620"/>
    <n v="196560"/>
  </r>
  <r>
    <x v="14"/>
    <x v="1"/>
    <x v="14"/>
    <x v="5"/>
    <x v="2"/>
    <x v="20"/>
    <n v="10"/>
    <n v="392030"/>
    <n v="163800"/>
  </r>
  <r>
    <x v="15"/>
    <x v="1"/>
    <x v="15"/>
    <x v="5"/>
    <x v="2"/>
    <x v="20"/>
    <n v="18"/>
    <n v="740808"/>
    <n v="294840"/>
  </r>
  <r>
    <x v="16"/>
    <x v="1"/>
    <x v="16"/>
    <x v="5"/>
    <x v="2"/>
    <x v="20"/>
    <n v="23"/>
    <n v="946220"/>
    <n v="376740"/>
  </r>
  <r>
    <x v="17"/>
    <x v="1"/>
    <x v="17"/>
    <x v="5"/>
    <x v="2"/>
    <x v="20"/>
    <n v="21"/>
    <n v="845712"/>
    <n v="343980"/>
  </r>
  <r>
    <x v="18"/>
    <x v="1"/>
    <x v="18"/>
    <x v="5"/>
    <x v="2"/>
    <x v="20"/>
    <n v="23"/>
    <n v="898380"/>
    <n v="376740"/>
  </r>
  <r>
    <x v="19"/>
    <x v="1"/>
    <x v="19"/>
    <x v="5"/>
    <x v="2"/>
    <x v="20"/>
    <n v="19"/>
    <n v="750519"/>
    <n v="311220"/>
  </r>
  <r>
    <x v="20"/>
    <x v="1"/>
    <x v="20"/>
    <x v="5"/>
    <x v="2"/>
    <x v="20"/>
    <n v="20"/>
    <n v="791580"/>
    <n v="327600"/>
  </r>
  <r>
    <x v="21"/>
    <x v="1"/>
    <x v="21"/>
    <x v="5"/>
    <x v="2"/>
    <x v="20"/>
    <n v="17"/>
    <n v="684335"/>
    <n v="278460"/>
  </r>
  <r>
    <x v="22"/>
    <x v="1"/>
    <x v="22"/>
    <x v="5"/>
    <x v="2"/>
    <x v="20"/>
    <n v="12"/>
    <n v="480276"/>
    <n v="196560"/>
  </r>
  <r>
    <x v="23"/>
    <x v="1"/>
    <x v="23"/>
    <x v="5"/>
    <x v="2"/>
    <x v="20"/>
    <n v="14"/>
    <n v="559426"/>
    <n v="229320"/>
  </r>
  <r>
    <x v="0"/>
    <x v="0"/>
    <x v="0"/>
    <x v="5"/>
    <x v="3"/>
    <x v="21"/>
    <n v="53"/>
    <n v="358704"/>
    <n v="121900"/>
  </r>
  <r>
    <x v="1"/>
    <x v="0"/>
    <x v="1"/>
    <x v="5"/>
    <x v="3"/>
    <x v="21"/>
    <n v="33"/>
    <n v="229416"/>
    <n v="75900"/>
  </r>
  <r>
    <x v="2"/>
    <x v="0"/>
    <x v="2"/>
    <x v="5"/>
    <x v="3"/>
    <x v="21"/>
    <n v="27"/>
    <n v="143532"/>
    <n v="62100"/>
  </r>
  <r>
    <x v="3"/>
    <x v="0"/>
    <x v="3"/>
    <x v="5"/>
    <x v="3"/>
    <x v="21"/>
    <n v="50"/>
    <n v="366100"/>
    <n v="115000"/>
  </r>
  <r>
    <x v="4"/>
    <x v="0"/>
    <x v="4"/>
    <x v="5"/>
    <x v="3"/>
    <x v="21"/>
    <n v="63"/>
    <n v="458829"/>
    <n v="144900"/>
  </r>
  <r>
    <x v="5"/>
    <x v="0"/>
    <x v="5"/>
    <x v="5"/>
    <x v="3"/>
    <x v="21"/>
    <n v="60"/>
    <n v="392340"/>
    <n v="138000"/>
  </r>
  <r>
    <x v="6"/>
    <x v="0"/>
    <x v="6"/>
    <x v="5"/>
    <x v="3"/>
    <x v="21"/>
    <n v="63"/>
    <n v="254079"/>
    <n v="144900"/>
  </r>
  <r>
    <x v="7"/>
    <x v="0"/>
    <x v="7"/>
    <x v="5"/>
    <x v="3"/>
    <x v="21"/>
    <n v="53"/>
    <n v="301888"/>
    <n v="121900"/>
  </r>
  <r>
    <x v="8"/>
    <x v="0"/>
    <x v="8"/>
    <x v="5"/>
    <x v="3"/>
    <x v="21"/>
    <n v="57"/>
    <n v="316806"/>
    <n v="131100"/>
  </r>
  <r>
    <x v="9"/>
    <x v="0"/>
    <x v="9"/>
    <x v="5"/>
    <x v="3"/>
    <x v="21"/>
    <n v="47"/>
    <n v="302680"/>
    <n v="108100"/>
  </r>
  <r>
    <x v="10"/>
    <x v="0"/>
    <x v="10"/>
    <x v="5"/>
    <x v="3"/>
    <x v="21"/>
    <n v="33"/>
    <n v="185757"/>
    <n v="75900"/>
  </r>
  <r>
    <x v="11"/>
    <x v="0"/>
    <x v="11"/>
    <x v="5"/>
    <x v="3"/>
    <x v="21"/>
    <n v="40"/>
    <n v="208040"/>
    <n v="92000"/>
  </r>
  <r>
    <x v="12"/>
    <x v="1"/>
    <x v="12"/>
    <x v="5"/>
    <x v="3"/>
    <x v="21"/>
    <n v="59"/>
    <n v="379606"/>
    <n v="135700"/>
  </r>
  <r>
    <x v="13"/>
    <x v="1"/>
    <x v="13"/>
    <x v="5"/>
    <x v="3"/>
    <x v="21"/>
    <n v="37"/>
    <n v="232508"/>
    <n v="85100"/>
  </r>
  <r>
    <x v="14"/>
    <x v="1"/>
    <x v="14"/>
    <x v="5"/>
    <x v="3"/>
    <x v="21"/>
    <n v="30"/>
    <n v="186900"/>
    <n v="69000"/>
  </r>
  <r>
    <x v="15"/>
    <x v="1"/>
    <x v="15"/>
    <x v="5"/>
    <x v="3"/>
    <x v="21"/>
    <n v="55"/>
    <n v="370975"/>
    <n v="126500"/>
  </r>
  <r>
    <x v="16"/>
    <x v="1"/>
    <x v="16"/>
    <x v="5"/>
    <x v="3"/>
    <x v="21"/>
    <n v="69"/>
    <n v="513498"/>
    <n v="158700"/>
  </r>
  <r>
    <x v="17"/>
    <x v="1"/>
    <x v="17"/>
    <x v="5"/>
    <x v="3"/>
    <x v="21"/>
    <n v="66"/>
    <n v="397320"/>
    <n v="151800"/>
  </r>
  <r>
    <x v="18"/>
    <x v="1"/>
    <x v="18"/>
    <x v="5"/>
    <x v="3"/>
    <x v="21"/>
    <n v="69"/>
    <n v="345483"/>
    <n v="158700"/>
  </r>
  <r>
    <x v="19"/>
    <x v="1"/>
    <x v="19"/>
    <x v="5"/>
    <x v="3"/>
    <x v="21"/>
    <n v="59"/>
    <n v="311402"/>
    <n v="135700"/>
  </r>
  <r>
    <x v="20"/>
    <x v="1"/>
    <x v="20"/>
    <x v="5"/>
    <x v="3"/>
    <x v="21"/>
    <n v="62"/>
    <n v="348812"/>
    <n v="142600"/>
  </r>
  <r>
    <x v="21"/>
    <x v="1"/>
    <x v="21"/>
    <x v="5"/>
    <x v="3"/>
    <x v="21"/>
    <n v="51"/>
    <n v="312324"/>
    <n v="117300"/>
  </r>
  <r>
    <x v="22"/>
    <x v="1"/>
    <x v="22"/>
    <x v="5"/>
    <x v="3"/>
    <x v="21"/>
    <n v="37"/>
    <n v="211048"/>
    <n v="85100"/>
  </r>
  <r>
    <x v="23"/>
    <x v="1"/>
    <x v="23"/>
    <x v="5"/>
    <x v="3"/>
    <x v="21"/>
    <n v="44"/>
    <n v="259688"/>
    <n v="101200"/>
  </r>
  <r>
    <x v="0"/>
    <x v="0"/>
    <x v="0"/>
    <x v="5"/>
    <x v="3"/>
    <x v="22"/>
    <n v="47"/>
    <n v="506425"/>
    <n v="190350"/>
  </r>
  <r>
    <x v="1"/>
    <x v="0"/>
    <x v="1"/>
    <x v="5"/>
    <x v="3"/>
    <x v="22"/>
    <n v="30"/>
    <n v="298200"/>
    <n v="121500"/>
  </r>
  <r>
    <x v="2"/>
    <x v="0"/>
    <x v="2"/>
    <x v="5"/>
    <x v="3"/>
    <x v="22"/>
    <n v="24"/>
    <n v="237768"/>
    <n v="97200"/>
  </r>
  <r>
    <x v="3"/>
    <x v="0"/>
    <x v="3"/>
    <x v="5"/>
    <x v="3"/>
    <x v="22"/>
    <n v="44"/>
    <n v="465960"/>
    <n v="178200"/>
  </r>
  <r>
    <x v="4"/>
    <x v="0"/>
    <x v="4"/>
    <x v="5"/>
    <x v="3"/>
    <x v="22"/>
    <n v="56"/>
    <n v="635936"/>
    <n v="226800"/>
  </r>
  <r>
    <x v="5"/>
    <x v="0"/>
    <x v="5"/>
    <x v="5"/>
    <x v="3"/>
    <x v="22"/>
    <n v="53"/>
    <n v="563602"/>
    <n v="214650"/>
  </r>
  <r>
    <x v="6"/>
    <x v="0"/>
    <x v="6"/>
    <x v="5"/>
    <x v="3"/>
    <x v="22"/>
    <n v="56"/>
    <n v="474096"/>
    <n v="226800"/>
  </r>
  <r>
    <x v="7"/>
    <x v="0"/>
    <x v="7"/>
    <x v="5"/>
    <x v="3"/>
    <x v="22"/>
    <n v="47"/>
    <n v="472867"/>
    <n v="190350"/>
  </r>
  <r>
    <x v="8"/>
    <x v="0"/>
    <x v="8"/>
    <x v="5"/>
    <x v="3"/>
    <x v="22"/>
    <n v="50"/>
    <n v="508900"/>
    <n v="202500"/>
  </r>
  <r>
    <x v="9"/>
    <x v="0"/>
    <x v="9"/>
    <x v="5"/>
    <x v="3"/>
    <x v="22"/>
    <n v="41"/>
    <n v="426564"/>
    <n v="166050"/>
  </r>
  <r>
    <x v="10"/>
    <x v="0"/>
    <x v="10"/>
    <x v="5"/>
    <x v="3"/>
    <x v="22"/>
    <n v="30"/>
    <n v="305100"/>
    <n v="121500"/>
  </r>
  <r>
    <x v="11"/>
    <x v="0"/>
    <x v="11"/>
    <x v="5"/>
    <x v="3"/>
    <x v="22"/>
    <n v="35"/>
    <n v="345240"/>
    <n v="141750"/>
  </r>
  <r>
    <x v="12"/>
    <x v="1"/>
    <x v="12"/>
    <x v="5"/>
    <x v="3"/>
    <x v="22"/>
    <n v="52"/>
    <n v="547560"/>
    <n v="210600"/>
  </r>
  <r>
    <x v="13"/>
    <x v="1"/>
    <x v="13"/>
    <x v="5"/>
    <x v="3"/>
    <x v="22"/>
    <n v="33"/>
    <n v="340197"/>
    <n v="133650"/>
  </r>
  <r>
    <x v="14"/>
    <x v="1"/>
    <x v="14"/>
    <x v="5"/>
    <x v="3"/>
    <x v="22"/>
    <n v="26"/>
    <n v="251056"/>
    <n v="105300"/>
  </r>
  <r>
    <x v="15"/>
    <x v="1"/>
    <x v="15"/>
    <x v="5"/>
    <x v="3"/>
    <x v="22"/>
    <n v="49"/>
    <n v="504847"/>
    <n v="198450"/>
  </r>
  <r>
    <x v="16"/>
    <x v="1"/>
    <x v="16"/>
    <x v="5"/>
    <x v="3"/>
    <x v="22"/>
    <n v="61"/>
    <n v="669353"/>
    <n v="247050"/>
  </r>
  <r>
    <x v="17"/>
    <x v="1"/>
    <x v="17"/>
    <x v="5"/>
    <x v="3"/>
    <x v="22"/>
    <n v="58"/>
    <n v="583074"/>
    <n v="234900"/>
  </r>
  <r>
    <x v="18"/>
    <x v="1"/>
    <x v="18"/>
    <x v="5"/>
    <x v="3"/>
    <x v="22"/>
    <n v="61"/>
    <n v="524478"/>
    <n v="247050"/>
  </r>
  <r>
    <x v="19"/>
    <x v="1"/>
    <x v="19"/>
    <x v="5"/>
    <x v="3"/>
    <x v="22"/>
    <n v="52"/>
    <n v="497120"/>
    <n v="210600"/>
  </r>
  <r>
    <x v="20"/>
    <x v="1"/>
    <x v="20"/>
    <x v="5"/>
    <x v="3"/>
    <x v="22"/>
    <n v="55"/>
    <n v="571450"/>
    <n v="222750"/>
  </r>
  <r>
    <x v="21"/>
    <x v="1"/>
    <x v="21"/>
    <x v="5"/>
    <x v="3"/>
    <x v="22"/>
    <n v="45"/>
    <n v="495900"/>
    <n v="182250"/>
  </r>
  <r>
    <x v="22"/>
    <x v="1"/>
    <x v="22"/>
    <x v="5"/>
    <x v="3"/>
    <x v="22"/>
    <n v="33"/>
    <n v="344157"/>
    <n v="133650"/>
  </r>
  <r>
    <x v="23"/>
    <x v="1"/>
    <x v="23"/>
    <x v="5"/>
    <x v="3"/>
    <x v="22"/>
    <n v="39"/>
    <n v="386139"/>
    <n v="157950"/>
  </r>
  <r>
    <x v="0"/>
    <x v="0"/>
    <x v="0"/>
    <x v="5"/>
    <x v="3"/>
    <x v="23"/>
    <n v="53"/>
    <n v="432109"/>
    <n v="211469.99999999997"/>
  </r>
  <r>
    <x v="1"/>
    <x v="0"/>
    <x v="1"/>
    <x v="5"/>
    <x v="3"/>
    <x v="23"/>
    <n v="33"/>
    <n v="298947"/>
    <n v="131669.99999999997"/>
  </r>
  <r>
    <x v="2"/>
    <x v="0"/>
    <x v="2"/>
    <x v="5"/>
    <x v="3"/>
    <x v="23"/>
    <n v="27"/>
    <n v="208683"/>
    <n v="107729.99999999999"/>
  </r>
  <r>
    <x v="3"/>
    <x v="0"/>
    <x v="3"/>
    <x v="5"/>
    <x v="3"/>
    <x v="23"/>
    <n v="50"/>
    <n v="435000"/>
    <n v="199499.99999999997"/>
  </r>
  <r>
    <x v="4"/>
    <x v="0"/>
    <x v="4"/>
    <x v="5"/>
    <x v="3"/>
    <x v="23"/>
    <n v="63"/>
    <n v="589932"/>
    <n v="251369.99999999997"/>
  </r>
  <r>
    <x v="5"/>
    <x v="0"/>
    <x v="5"/>
    <x v="5"/>
    <x v="3"/>
    <x v="23"/>
    <n v="60"/>
    <n v="499200"/>
    <n v="239399.99999999997"/>
  </r>
  <r>
    <x v="6"/>
    <x v="0"/>
    <x v="6"/>
    <x v="5"/>
    <x v="3"/>
    <x v="23"/>
    <n v="63"/>
    <n v="431487"/>
    <n v="251369.99999999997"/>
  </r>
  <r>
    <x v="7"/>
    <x v="0"/>
    <x v="7"/>
    <x v="5"/>
    <x v="3"/>
    <x v="23"/>
    <n v="53"/>
    <n v="423629"/>
    <n v="211469.99999999997"/>
  </r>
  <r>
    <x v="8"/>
    <x v="0"/>
    <x v="8"/>
    <x v="5"/>
    <x v="3"/>
    <x v="23"/>
    <n v="57"/>
    <n v="471219"/>
    <n v="227429.99999999997"/>
  </r>
  <r>
    <x v="9"/>
    <x v="0"/>
    <x v="9"/>
    <x v="5"/>
    <x v="3"/>
    <x v="23"/>
    <n v="47"/>
    <n v="409464"/>
    <n v="187529.99999999997"/>
  </r>
  <r>
    <x v="10"/>
    <x v="0"/>
    <x v="10"/>
    <x v="5"/>
    <x v="3"/>
    <x v="23"/>
    <n v="33"/>
    <n v="277035"/>
    <n v="131669.99999999997"/>
  </r>
  <r>
    <x v="11"/>
    <x v="0"/>
    <x v="11"/>
    <x v="5"/>
    <x v="3"/>
    <x v="23"/>
    <n v="40"/>
    <n v="306120"/>
    <n v="159599.99999999997"/>
  </r>
  <r>
    <x v="12"/>
    <x v="1"/>
    <x v="12"/>
    <x v="5"/>
    <x v="3"/>
    <x v="23"/>
    <n v="59"/>
    <n v="466749"/>
    <n v="235409.99999999997"/>
  </r>
  <r>
    <x v="13"/>
    <x v="1"/>
    <x v="13"/>
    <x v="5"/>
    <x v="3"/>
    <x v="23"/>
    <n v="37"/>
    <n v="290783"/>
    <n v="147629.99999999997"/>
  </r>
  <r>
    <x v="14"/>
    <x v="1"/>
    <x v="14"/>
    <x v="5"/>
    <x v="3"/>
    <x v="23"/>
    <n v="30"/>
    <n v="234270"/>
    <n v="119699.99999999999"/>
  </r>
  <r>
    <x v="15"/>
    <x v="1"/>
    <x v="15"/>
    <x v="5"/>
    <x v="3"/>
    <x v="23"/>
    <n v="55"/>
    <n v="484715"/>
    <n v="219449.99999999997"/>
  </r>
  <r>
    <x v="16"/>
    <x v="1"/>
    <x v="16"/>
    <x v="5"/>
    <x v="3"/>
    <x v="23"/>
    <n v="69"/>
    <n v="598713"/>
    <n v="275309.99999999994"/>
  </r>
  <r>
    <x v="17"/>
    <x v="1"/>
    <x v="17"/>
    <x v="5"/>
    <x v="3"/>
    <x v="23"/>
    <n v="66"/>
    <n v="550704"/>
    <n v="263339.99999999994"/>
  </r>
  <r>
    <x v="18"/>
    <x v="1"/>
    <x v="18"/>
    <x v="5"/>
    <x v="3"/>
    <x v="23"/>
    <n v="69"/>
    <n v="483828"/>
    <n v="275309.99999999994"/>
  </r>
  <r>
    <x v="19"/>
    <x v="1"/>
    <x v="19"/>
    <x v="5"/>
    <x v="3"/>
    <x v="23"/>
    <n v="59"/>
    <n v="418133"/>
    <n v="235409.99999999997"/>
  </r>
  <r>
    <x v="20"/>
    <x v="1"/>
    <x v="20"/>
    <x v="5"/>
    <x v="3"/>
    <x v="23"/>
    <n v="62"/>
    <n v="502572"/>
    <n v="247379.99999999997"/>
  </r>
  <r>
    <x v="21"/>
    <x v="1"/>
    <x v="21"/>
    <x v="5"/>
    <x v="3"/>
    <x v="23"/>
    <n v="51"/>
    <n v="461193"/>
    <n v="203489.99999999997"/>
  </r>
  <r>
    <x v="22"/>
    <x v="1"/>
    <x v="22"/>
    <x v="5"/>
    <x v="3"/>
    <x v="23"/>
    <n v="37"/>
    <n v="322862"/>
    <n v="147629.99999999997"/>
  </r>
  <r>
    <x v="23"/>
    <x v="1"/>
    <x v="23"/>
    <x v="5"/>
    <x v="3"/>
    <x v="23"/>
    <n v="44"/>
    <n v="329208"/>
    <n v="175559.99999999997"/>
  </r>
  <r>
    <x v="0"/>
    <x v="0"/>
    <x v="0"/>
    <x v="5"/>
    <x v="3"/>
    <x v="24"/>
    <n v="47"/>
    <n v="458626"/>
    <n v="195755"/>
  </r>
  <r>
    <x v="1"/>
    <x v="0"/>
    <x v="1"/>
    <x v="5"/>
    <x v="3"/>
    <x v="24"/>
    <n v="29"/>
    <n v="287593"/>
    <n v="120785"/>
  </r>
  <r>
    <x v="2"/>
    <x v="0"/>
    <x v="2"/>
    <x v="5"/>
    <x v="3"/>
    <x v="24"/>
    <n v="24"/>
    <n v="210480"/>
    <n v="99960"/>
  </r>
  <r>
    <x v="3"/>
    <x v="0"/>
    <x v="3"/>
    <x v="5"/>
    <x v="3"/>
    <x v="24"/>
    <n v="44"/>
    <n v="449152"/>
    <n v="183260"/>
  </r>
  <r>
    <x v="4"/>
    <x v="0"/>
    <x v="4"/>
    <x v="5"/>
    <x v="3"/>
    <x v="24"/>
    <n v="55"/>
    <n v="586465"/>
    <n v="229075"/>
  </r>
  <r>
    <x v="5"/>
    <x v="0"/>
    <x v="5"/>
    <x v="5"/>
    <x v="3"/>
    <x v="24"/>
    <n v="52"/>
    <n v="494832"/>
    <n v="216580"/>
  </r>
  <r>
    <x v="6"/>
    <x v="0"/>
    <x v="6"/>
    <x v="5"/>
    <x v="3"/>
    <x v="24"/>
    <n v="55"/>
    <n v="445610"/>
    <n v="229075"/>
  </r>
  <r>
    <x v="7"/>
    <x v="0"/>
    <x v="7"/>
    <x v="5"/>
    <x v="3"/>
    <x v="24"/>
    <n v="47"/>
    <n v="443633"/>
    <n v="195755"/>
  </r>
  <r>
    <x v="8"/>
    <x v="0"/>
    <x v="8"/>
    <x v="5"/>
    <x v="3"/>
    <x v="24"/>
    <n v="49"/>
    <n v="466725"/>
    <n v="204085"/>
  </r>
  <r>
    <x v="9"/>
    <x v="0"/>
    <x v="9"/>
    <x v="5"/>
    <x v="3"/>
    <x v="24"/>
    <n v="41"/>
    <n v="411353"/>
    <n v="170765"/>
  </r>
  <r>
    <x v="10"/>
    <x v="0"/>
    <x v="10"/>
    <x v="5"/>
    <x v="3"/>
    <x v="24"/>
    <n v="29"/>
    <n v="272339"/>
    <n v="120785"/>
  </r>
  <r>
    <x v="11"/>
    <x v="0"/>
    <x v="11"/>
    <x v="5"/>
    <x v="3"/>
    <x v="24"/>
    <n v="35"/>
    <n v="317415"/>
    <n v="145775"/>
  </r>
  <r>
    <x v="12"/>
    <x v="1"/>
    <x v="12"/>
    <x v="5"/>
    <x v="3"/>
    <x v="24"/>
    <n v="51"/>
    <n v="477462"/>
    <n v="212415"/>
  </r>
  <r>
    <x v="13"/>
    <x v="1"/>
    <x v="13"/>
    <x v="5"/>
    <x v="3"/>
    <x v="24"/>
    <n v="32"/>
    <n v="306368"/>
    <n v="133280"/>
  </r>
  <r>
    <x v="14"/>
    <x v="1"/>
    <x v="14"/>
    <x v="5"/>
    <x v="3"/>
    <x v="24"/>
    <n v="26"/>
    <n v="253370"/>
    <n v="108290"/>
  </r>
  <r>
    <x v="15"/>
    <x v="1"/>
    <x v="15"/>
    <x v="5"/>
    <x v="3"/>
    <x v="24"/>
    <n v="48"/>
    <n v="513984"/>
    <n v="199920"/>
  </r>
  <r>
    <x v="16"/>
    <x v="1"/>
    <x v="16"/>
    <x v="5"/>
    <x v="3"/>
    <x v="24"/>
    <n v="61"/>
    <n v="637206"/>
    <n v="254065"/>
  </r>
  <r>
    <x v="17"/>
    <x v="1"/>
    <x v="17"/>
    <x v="5"/>
    <x v="3"/>
    <x v="24"/>
    <n v="58"/>
    <n v="559410"/>
    <n v="241570"/>
  </r>
  <r>
    <x v="18"/>
    <x v="1"/>
    <x v="18"/>
    <x v="5"/>
    <x v="3"/>
    <x v="24"/>
    <n v="61"/>
    <n v="520208"/>
    <n v="254065"/>
  </r>
  <r>
    <x v="19"/>
    <x v="1"/>
    <x v="19"/>
    <x v="5"/>
    <x v="3"/>
    <x v="24"/>
    <n v="51"/>
    <n v="482817"/>
    <n v="212415"/>
  </r>
  <r>
    <x v="20"/>
    <x v="1"/>
    <x v="20"/>
    <x v="5"/>
    <x v="3"/>
    <x v="24"/>
    <n v="54"/>
    <n v="516780"/>
    <n v="224910"/>
  </r>
  <r>
    <x v="21"/>
    <x v="1"/>
    <x v="21"/>
    <x v="5"/>
    <x v="3"/>
    <x v="24"/>
    <n v="45"/>
    <n v="461610"/>
    <n v="187425"/>
  </r>
  <r>
    <x v="22"/>
    <x v="1"/>
    <x v="22"/>
    <x v="5"/>
    <x v="3"/>
    <x v="24"/>
    <n v="32"/>
    <n v="311392"/>
    <n v="133280"/>
  </r>
  <r>
    <x v="23"/>
    <x v="1"/>
    <x v="23"/>
    <x v="5"/>
    <x v="3"/>
    <x v="24"/>
    <n v="39"/>
    <n v="368589"/>
    <n v="162435"/>
  </r>
  <r>
    <x v="0"/>
    <x v="0"/>
    <x v="0"/>
    <x v="5"/>
    <x v="3"/>
    <x v="25"/>
    <n v="47"/>
    <n v="330034"/>
    <n v="143820"/>
  </r>
  <r>
    <x v="1"/>
    <x v="0"/>
    <x v="1"/>
    <x v="5"/>
    <x v="3"/>
    <x v="25"/>
    <n v="29"/>
    <n v="213034"/>
    <n v="88740"/>
  </r>
  <r>
    <x v="2"/>
    <x v="0"/>
    <x v="2"/>
    <x v="5"/>
    <x v="3"/>
    <x v="25"/>
    <n v="24"/>
    <n v="173472"/>
    <n v="73440"/>
  </r>
  <r>
    <x v="3"/>
    <x v="0"/>
    <x v="3"/>
    <x v="5"/>
    <x v="3"/>
    <x v="25"/>
    <n v="44"/>
    <n v="351208"/>
    <n v="134640"/>
  </r>
  <r>
    <x v="4"/>
    <x v="0"/>
    <x v="4"/>
    <x v="5"/>
    <x v="3"/>
    <x v="25"/>
    <n v="55"/>
    <n v="430265"/>
    <n v="168300"/>
  </r>
  <r>
    <x v="5"/>
    <x v="0"/>
    <x v="5"/>
    <x v="5"/>
    <x v="3"/>
    <x v="25"/>
    <n v="52"/>
    <n v="396188"/>
    <n v="159120"/>
  </r>
  <r>
    <x v="6"/>
    <x v="0"/>
    <x v="6"/>
    <x v="5"/>
    <x v="3"/>
    <x v="25"/>
    <n v="55"/>
    <n v="327800"/>
    <n v="168300"/>
  </r>
  <r>
    <x v="7"/>
    <x v="0"/>
    <x v="7"/>
    <x v="5"/>
    <x v="3"/>
    <x v="25"/>
    <n v="47"/>
    <n v="309401"/>
    <n v="143820"/>
  </r>
  <r>
    <x v="8"/>
    <x v="0"/>
    <x v="8"/>
    <x v="5"/>
    <x v="3"/>
    <x v="25"/>
    <n v="49"/>
    <n v="340942"/>
    <n v="149940"/>
  </r>
  <r>
    <x v="9"/>
    <x v="0"/>
    <x v="9"/>
    <x v="5"/>
    <x v="3"/>
    <x v="25"/>
    <n v="41"/>
    <n v="296922"/>
    <n v="125460"/>
  </r>
  <r>
    <x v="10"/>
    <x v="0"/>
    <x v="10"/>
    <x v="5"/>
    <x v="3"/>
    <x v="25"/>
    <n v="29"/>
    <n v="225156"/>
    <n v="88740"/>
  </r>
  <r>
    <x v="11"/>
    <x v="0"/>
    <x v="11"/>
    <x v="5"/>
    <x v="3"/>
    <x v="25"/>
    <n v="35"/>
    <n v="233065"/>
    <n v="107100"/>
  </r>
  <r>
    <x v="12"/>
    <x v="1"/>
    <x v="12"/>
    <x v="5"/>
    <x v="3"/>
    <x v="25"/>
    <n v="51"/>
    <n v="335733"/>
    <n v="156060"/>
  </r>
  <r>
    <x v="13"/>
    <x v="1"/>
    <x v="13"/>
    <x v="5"/>
    <x v="3"/>
    <x v="25"/>
    <n v="32"/>
    <n v="258368"/>
    <n v="97920"/>
  </r>
  <r>
    <x v="14"/>
    <x v="1"/>
    <x v="14"/>
    <x v="5"/>
    <x v="3"/>
    <x v="25"/>
    <n v="26"/>
    <n v="176696"/>
    <n v="79560"/>
  </r>
  <r>
    <x v="15"/>
    <x v="1"/>
    <x v="15"/>
    <x v="5"/>
    <x v="3"/>
    <x v="25"/>
    <n v="48"/>
    <n v="379584"/>
    <n v="146880"/>
  </r>
  <r>
    <x v="16"/>
    <x v="1"/>
    <x v="16"/>
    <x v="5"/>
    <x v="3"/>
    <x v="25"/>
    <n v="61"/>
    <n v="469334"/>
    <n v="186660"/>
  </r>
  <r>
    <x v="17"/>
    <x v="1"/>
    <x v="17"/>
    <x v="5"/>
    <x v="3"/>
    <x v="25"/>
    <n v="58"/>
    <n v="432158"/>
    <n v="177480"/>
  </r>
  <r>
    <x v="18"/>
    <x v="1"/>
    <x v="18"/>
    <x v="5"/>
    <x v="3"/>
    <x v="25"/>
    <n v="61"/>
    <n v="372466"/>
    <n v="186660"/>
  </r>
  <r>
    <x v="19"/>
    <x v="1"/>
    <x v="19"/>
    <x v="5"/>
    <x v="3"/>
    <x v="25"/>
    <n v="51"/>
    <n v="361539"/>
    <n v="156060"/>
  </r>
  <r>
    <x v="20"/>
    <x v="1"/>
    <x v="20"/>
    <x v="5"/>
    <x v="3"/>
    <x v="25"/>
    <n v="54"/>
    <n v="377514"/>
    <n v="165240"/>
  </r>
  <r>
    <x v="21"/>
    <x v="1"/>
    <x v="21"/>
    <x v="5"/>
    <x v="3"/>
    <x v="25"/>
    <n v="45"/>
    <n v="322965"/>
    <n v="137700"/>
  </r>
  <r>
    <x v="22"/>
    <x v="1"/>
    <x v="22"/>
    <x v="5"/>
    <x v="3"/>
    <x v="25"/>
    <n v="32"/>
    <n v="244384"/>
    <n v="97920"/>
  </r>
  <r>
    <x v="23"/>
    <x v="1"/>
    <x v="23"/>
    <x v="5"/>
    <x v="3"/>
    <x v="25"/>
    <n v="39"/>
    <n v="280839"/>
    <n v="119340"/>
  </r>
  <r>
    <x v="0"/>
    <x v="0"/>
    <x v="0"/>
    <x v="5"/>
    <x v="3"/>
    <x v="26"/>
    <n v="49"/>
    <n v="429093"/>
    <n v="169344"/>
  </r>
  <r>
    <x v="1"/>
    <x v="0"/>
    <x v="1"/>
    <x v="5"/>
    <x v="3"/>
    <x v="26"/>
    <n v="31"/>
    <n v="255409"/>
    <n v="107136"/>
  </r>
  <r>
    <x v="2"/>
    <x v="0"/>
    <x v="2"/>
    <x v="5"/>
    <x v="3"/>
    <x v="26"/>
    <n v="25"/>
    <n v="200525"/>
    <n v="86400"/>
  </r>
  <r>
    <x v="3"/>
    <x v="0"/>
    <x v="3"/>
    <x v="5"/>
    <x v="3"/>
    <x v="26"/>
    <n v="46"/>
    <n v="423200"/>
    <n v="158976"/>
  </r>
  <r>
    <x v="4"/>
    <x v="0"/>
    <x v="4"/>
    <x v="5"/>
    <x v="3"/>
    <x v="26"/>
    <n v="58"/>
    <n v="495610"/>
    <n v="200448"/>
  </r>
  <r>
    <x v="5"/>
    <x v="0"/>
    <x v="5"/>
    <x v="5"/>
    <x v="3"/>
    <x v="26"/>
    <n v="55"/>
    <n v="449955"/>
    <n v="190080"/>
  </r>
  <r>
    <x v="6"/>
    <x v="0"/>
    <x v="6"/>
    <x v="5"/>
    <x v="3"/>
    <x v="26"/>
    <n v="58"/>
    <n v="376014"/>
    <n v="200448"/>
  </r>
  <r>
    <x v="7"/>
    <x v="0"/>
    <x v="7"/>
    <x v="5"/>
    <x v="3"/>
    <x v="26"/>
    <n v="49"/>
    <n v="381073"/>
    <n v="169344"/>
  </r>
  <r>
    <x v="8"/>
    <x v="0"/>
    <x v="8"/>
    <x v="5"/>
    <x v="3"/>
    <x v="26"/>
    <n v="52"/>
    <n v="442052"/>
    <n v="179712"/>
  </r>
  <r>
    <x v="9"/>
    <x v="0"/>
    <x v="9"/>
    <x v="5"/>
    <x v="3"/>
    <x v="26"/>
    <n v="43"/>
    <n v="390569"/>
    <n v="148608"/>
  </r>
  <r>
    <x v="10"/>
    <x v="0"/>
    <x v="10"/>
    <x v="5"/>
    <x v="3"/>
    <x v="26"/>
    <n v="31"/>
    <n v="261826"/>
    <n v="107136"/>
  </r>
  <r>
    <x v="11"/>
    <x v="0"/>
    <x v="11"/>
    <x v="5"/>
    <x v="3"/>
    <x v="26"/>
    <n v="37"/>
    <n v="301883"/>
    <n v="127872"/>
  </r>
  <r>
    <x v="12"/>
    <x v="1"/>
    <x v="12"/>
    <x v="5"/>
    <x v="3"/>
    <x v="26"/>
    <n v="53"/>
    <n v="463538"/>
    <n v="183168"/>
  </r>
  <r>
    <x v="13"/>
    <x v="1"/>
    <x v="13"/>
    <x v="5"/>
    <x v="3"/>
    <x v="26"/>
    <n v="34"/>
    <n v="282064"/>
    <n v="117504"/>
  </r>
  <r>
    <x v="14"/>
    <x v="1"/>
    <x v="14"/>
    <x v="5"/>
    <x v="3"/>
    <x v="26"/>
    <n v="27"/>
    <n v="220563"/>
    <n v="93312"/>
  </r>
  <r>
    <x v="15"/>
    <x v="1"/>
    <x v="15"/>
    <x v="5"/>
    <x v="3"/>
    <x v="26"/>
    <n v="50"/>
    <n v="415250"/>
    <n v="172800"/>
  </r>
  <r>
    <x v="16"/>
    <x v="1"/>
    <x v="16"/>
    <x v="5"/>
    <x v="3"/>
    <x v="26"/>
    <n v="63"/>
    <n v="593460"/>
    <n v="217728"/>
  </r>
  <r>
    <x v="17"/>
    <x v="1"/>
    <x v="17"/>
    <x v="5"/>
    <x v="3"/>
    <x v="26"/>
    <n v="60"/>
    <n v="505200"/>
    <n v="207360"/>
  </r>
  <r>
    <x v="18"/>
    <x v="1"/>
    <x v="18"/>
    <x v="5"/>
    <x v="3"/>
    <x v="26"/>
    <n v="63"/>
    <n v="459900"/>
    <n v="217728"/>
  </r>
  <r>
    <x v="19"/>
    <x v="1"/>
    <x v="19"/>
    <x v="5"/>
    <x v="3"/>
    <x v="26"/>
    <n v="53"/>
    <n v="434123"/>
    <n v="183168"/>
  </r>
  <r>
    <x v="20"/>
    <x v="1"/>
    <x v="20"/>
    <x v="5"/>
    <x v="3"/>
    <x v="26"/>
    <n v="57"/>
    <n v="466659"/>
    <n v="196992"/>
  </r>
  <r>
    <x v="21"/>
    <x v="1"/>
    <x v="21"/>
    <x v="5"/>
    <x v="3"/>
    <x v="26"/>
    <n v="47"/>
    <n v="404952"/>
    <n v="162432"/>
  </r>
  <r>
    <x v="22"/>
    <x v="1"/>
    <x v="22"/>
    <x v="5"/>
    <x v="3"/>
    <x v="26"/>
    <n v="34"/>
    <n v="295664"/>
    <n v="117504"/>
  </r>
  <r>
    <x v="23"/>
    <x v="1"/>
    <x v="23"/>
    <x v="5"/>
    <x v="3"/>
    <x v="26"/>
    <n v="40"/>
    <n v="322920"/>
    <n v="138240"/>
  </r>
  <r>
    <x v="0"/>
    <x v="0"/>
    <x v="0"/>
    <x v="5"/>
    <x v="3"/>
    <x v="27"/>
    <n v="50"/>
    <n v="526100"/>
    <n v="259350"/>
  </r>
  <r>
    <x v="1"/>
    <x v="0"/>
    <x v="1"/>
    <x v="5"/>
    <x v="3"/>
    <x v="27"/>
    <n v="32"/>
    <n v="320800"/>
    <n v="165984"/>
  </r>
  <r>
    <x v="2"/>
    <x v="0"/>
    <x v="2"/>
    <x v="5"/>
    <x v="3"/>
    <x v="27"/>
    <n v="25"/>
    <n v="232925"/>
    <n v="129675"/>
  </r>
  <r>
    <x v="3"/>
    <x v="0"/>
    <x v="3"/>
    <x v="5"/>
    <x v="3"/>
    <x v="27"/>
    <n v="47"/>
    <n v="504404"/>
    <n v="243789"/>
  </r>
  <r>
    <x v="4"/>
    <x v="0"/>
    <x v="4"/>
    <x v="5"/>
    <x v="3"/>
    <x v="27"/>
    <n v="59"/>
    <n v="647289"/>
    <n v="306033"/>
  </r>
  <r>
    <x v="5"/>
    <x v="0"/>
    <x v="5"/>
    <x v="5"/>
    <x v="3"/>
    <x v="27"/>
    <n v="56"/>
    <n v="594944"/>
    <n v="290472"/>
  </r>
  <r>
    <x v="6"/>
    <x v="0"/>
    <x v="6"/>
    <x v="5"/>
    <x v="3"/>
    <x v="27"/>
    <n v="59"/>
    <n v="530292"/>
    <n v="306033"/>
  </r>
  <r>
    <x v="7"/>
    <x v="0"/>
    <x v="7"/>
    <x v="5"/>
    <x v="3"/>
    <x v="27"/>
    <n v="50"/>
    <n v="475550"/>
    <n v="259350"/>
  </r>
  <r>
    <x v="8"/>
    <x v="0"/>
    <x v="8"/>
    <x v="5"/>
    <x v="3"/>
    <x v="27"/>
    <n v="53"/>
    <n v="533922"/>
    <n v="274911"/>
  </r>
  <r>
    <x v="9"/>
    <x v="0"/>
    <x v="9"/>
    <x v="5"/>
    <x v="3"/>
    <x v="27"/>
    <n v="44"/>
    <n v="467280"/>
    <n v="228228"/>
  </r>
  <r>
    <x v="10"/>
    <x v="0"/>
    <x v="10"/>
    <x v="5"/>
    <x v="3"/>
    <x v="27"/>
    <n v="32"/>
    <n v="309344"/>
    <n v="165984"/>
  </r>
  <r>
    <x v="11"/>
    <x v="0"/>
    <x v="11"/>
    <x v="5"/>
    <x v="3"/>
    <x v="27"/>
    <n v="38"/>
    <n v="366282"/>
    <n v="197106"/>
  </r>
  <r>
    <x v="12"/>
    <x v="1"/>
    <x v="12"/>
    <x v="5"/>
    <x v="3"/>
    <x v="27"/>
    <n v="55"/>
    <n v="560395"/>
    <n v="285285"/>
  </r>
  <r>
    <x v="13"/>
    <x v="1"/>
    <x v="13"/>
    <x v="5"/>
    <x v="3"/>
    <x v="27"/>
    <n v="35"/>
    <n v="357630"/>
    <n v="181545"/>
  </r>
  <r>
    <x v="14"/>
    <x v="1"/>
    <x v="14"/>
    <x v="5"/>
    <x v="3"/>
    <x v="27"/>
    <n v="28"/>
    <n v="294952"/>
    <n v="145236"/>
  </r>
  <r>
    <x v="15"/>
    <x v="1"/>
    <x v="15"/>
    <x v="5"/>
    <x v="3"/>
    <x v="27"/>
    <n v="52"/>
    <n v="551824"/>
    <n v="269724"/>
  </r>
  <r>
    <x v="16"/>
    <x v="1"/>
    <x v="16"/>
    <x v="5"/>
    <x v="3"/>
    <x v="27"/>
    <n v="65"/>
    <n v="696410"/>
    <n v="337155"/>
  </r>
  <r>
    <x v="17"/>
    <x v="1"/>
    <x v="17"/>
    <x v="5"/>
    <x v="3"/>
    <x v="27"/>
    <n v="62"/>
    <n v="664020"/>
    <n v="321594"/>
  </r>
  <r>
    <x v="18"/>
    <x v="1"/>
    <x v="18"/>
    <x v="5"/>
    <x v="3"/>
    <x v="27"/>
    <n v="65"/>
    <n v="603265"/>
    <n v="337155"/>
  </r>
  <r>
    <x v="19"/>
    <x v="1"/>
    <x v="19"/>
    <x v="5"/>
    <x v="3"/>
    <x v="27"/>
    <n v="55"/>
    <n v="522225"/>
    <n v="285285"/>
  </r>
  <r>
    <x v="20"/>
    <x v="1"/>
    <x v="20"/>
    <x v="5"/>
    <x v="3"/>
    <x v="27"/>
    <n v="59"/>
    <n v="587522"/>
    <n v="306033"/>
  </r>
  <r>
    <x v="21"/>
    <x v="1"/>
    <x v="21"/>
    <x v="5"/>
    <x v="3"/>
    <x v="27"/>
    <n v="48"/>
    <n v="524592"/>
    <n v="248976"/>
  </r>
  <r>
    <x v="22"/>
    <x v="1"/>
    <x v="22"/>
    <x v="5"/>
    <x v="3"/>
    <x v="27"/>
    <n v="35"/>
    <n v="351225"/>
    <n v="181545"/>
  </r>
  <r>
    <x v="23"/>
    <x v="1"/>
    <x v="23"/>
    <x v="5"/>
    <x v="3"/>
    <x v="27"/>
    <n v="41"/>
    <n v="420619"/>
    <n v="212667"/>
  </r>
  <r>
    <x v="0"/>
    <x v="0"/>
    <x v="0"/>
    <x v="5"/>
    <x v="4"/>
    <x v="28"/>
    <n v="54"/>
    <n v="727326"/>
    <n v="324000"/>
  </r>
  <r>
    <x v="1"/>
    <x v="0"/>
    <x v="1"/>
    <x v="5"/>
    <x v="4"/>
    <x v="28"/>
    <n v="34"/>
    <n v="468010"/>
    <n v="204000"/>
  </r>
  <r>
    <x v="2"/>
    <x v="0"/>
    <x v="2"/>
    <x v="5"/>
    <x v="4"/>
    <x v="28"/>
    <n v="27"/>
    <n v="332910"/>
    <n v="162000"/>
  </r>
  <r>
    <x v="3"/>
    <x v="0"/>
    <x v="3"/>
    <x v="5"/>
    <x v="4"/>
    <x v="28"/>
    <n v="50"/>
    <n v="698800"/>
    <n v="300000"/>
  </r>
  <r>
    <x v="4"/>
    <x v="0"/>
    <x v="4"/>
    <x v="5"/>
    <x v="4"/>
    <x v="28"/>
    <n v="64"/>
    <n v="872384"/>
    <n v="384000"/>
  </r>
  <r>
    <x v="5"/>
    <x v="0"/>
    <x v="5"/>
    <x v="5"/>
    <x v="4"/>
    <x v="28"/>
    <n v="60"/>
    <n v="826380"/>
    <n v="360000"/>
  </r>
  <r>
    <x v="6"/>
    <x v="0"/>
    <x v="6"/>
    <x v="5"/>
    <x v="4"/>
    <x v="28"/>
    <n v="64"/>
    <n v="717248"/>
    <n v="384000"/>
  </r>
  <r>
    <x v="7"/>
    <x v="0"/>
    <x v="7"/>
    <x v="5"/>
    <x v="4"/>
    <x v="28"/>
    <n v="54"/>
    <n v="672300"/>
    <n v="324000"/>
  </r>
  <r>
    <x v="8"/>
    <x v="0"/>
    <x v="8"/>
    <x v="5"/>
    <x v="4"/>
    <x v="28"/>
    <n v="57"/>
    <n v="771153"/>
    <n v="342000"/>
  </r>
  <r>
    <x v="9"/>
    <x v="0"/>
    <x v="9"/>
    <x v="5"/>
    <x v="4"/>
    <x v="28"/>
    <n v="47"/>
    <n v="653159"/>
    <n v="282000"/>
  </r>
  <r>
    <x v="10"/>
    <x v="0"/>
    <x v="10"/>
    <x v="5"/>
    <x v="4"/>
    <x v="28"/>
    <n v="34"/>
    <n v="451486"/>
    <n v="204000"/>
  </r>
  <r>
    <x v="11"/>
    <x v="0"/>
    <x v="11"/>
    <x v="5"/>
    <x v="4"/>
    <x v="28"/>
    <n v="40"/>
    <n v="505720"/>
    <n v="240000"/>
  </r>
  <r>
    <x v="12"/>
    <x v="1"/>
    <x v="12"/>
    <x v="5"/>
    <x v="4"/>
    <x v="28"/>
    <n v="59"/>
    <n v="766882"/>
    <n v="354000"/>
  </r>
  <r>
    <x v="13"/>
    <x v="1"/>
    <x v="13"/>
    <x v="5"/>
    <x v="4"/>
    <x v="28"/>
    <n v="37"/>
    <n v="511303"/>
    <n v="222000"/>
  </r>
  <r>
    <x v="14"/>
    <x v="1"/>
    <x v="14"/>
    <x v="5"/>
    <x v="4"/>
    <x v="28"/>
    <n v="30"/>
    <n v="392640"/>
    <n v="180000"/>
  </r>
  <r>
    <x v="15"/>
    <x v="1"/>
    <x v="15"/>
    <x v="5"/>
    <x v="4"/>
    <x v="28"/>
    <n v="55"/>
    <n v="753885"/>
    <n v="330000"/>
  </r>
  <r>
    <x v="16"/>
    <x v="1"/>
    <x v="16"/>
    <x v="5"/>
    <x v="4"/>
    <x v="28"/>
    <n v="70"/>
    <n v="965510"/>
    <n v="420000"/>
  </r>
  <r>
    <x v="17"/>
    <x v="1"/>
    <x v="17"/>
    <x v="5"/>
    <x v="4"/>
    <x v="28"/>
    <n v="66"/>
    <n v="878790"/>
    <n v="396000"/>
  </r>
  <r>
    <x v="18"/>
    <x v="1"/>
    <x v="18"/>
    <x v="5"/>
    <x v="4"/>
    <x v="28"/>
    <n v="70"/>
    <n v="823270"/>
    <n v="420000"/>
  </r>
  <r>
    <x v="19"/>
    <x v="1"/>
    <x v="19"/>
    <x v="5"/>
    <x v="4"/>
    <x v="28"/>
    <n v="59"/>
    <n v="738621"/>
    <n v="354000"/>
  </r>
  <r>
    <x v="20"/>
    <x v="1"/>
    <x v="20"/>
    <x v="5"/>
    <x v="4"/>
    <x v="28"/>
    <n v="63"/>
    <n v="820827"/>
    <n v="378000"/>
  </r>
  <r>
    <x v="21"/>
    <x v="1"/>
    <x v="21"/>
    <x v="5"/>
    <x v="4"/>
    <x v="28"/>
    <n v="52"/>
    <n v="701272"/>
    <n v="312000"/>
  </r>
  <r>
    <x v="22"/>
    <x v="1"/>
    <x v="22"/>
    <x v="5"/>
    <x v="4"/>
    <x v="28"/>
    <n v="37"/>
    <n v="513190"/>
    <n v="222000"/>
  </r>
  <r>
    <x v="23"/>
    <x v="1"/>
    <x v="23"/>
    <x v="5"/>
    <x v="4"/>
    <x v="28"/>
    <n v="44"/>
    <n v="550264"/>
    <n v="264000"/>
  </r>
  <r>
    <x v="0"/>
    <x v="0"/>
    <x v="0"/>
    <x v="5"/>
    <x v="4"/>
    <x v="29"/>
    <n v="39"/>
    <n v="410007"/>
    <n v="207090"/>
  </r>
  <r>
    <x v="1"/>
    <x v="0"/>
    <x v="1"/>
    <x v="5"/>
    <x v="4"/>
    <x v="29"/>
    <n v="25"/>
    <n v="253175"/>
    <n v="132750"/>
  </r>
  <r>
    <x v="2"/>
    <x v="0"/>
    <x v="2"/>
    <x v="5"/>
    <x v="4"/>
    <x v="29"/>
    <n v="20"/>
    <n v="191460"/>
    <n v="106200"/>
  </r>
  <r>
    <x v="3"/>
    <x v="0"/>
    <x v="3"/>
    <x v="5"/>
    <x v="4"/>
    <x v="29"/>
    <n v="37"/>
    <n v="384319"/>
    <n v="196470"/>
  </r>
  <r>
    <x v="4"/>
    <x v="0"/>
    <x v="4"/>
    <x v="5"/>
    <x v="4"/>
    <x v="29"/>
    <n v="46"/>
    <n v="488704"/>
    <n v="244260"/>
  </r>
  <r>
    <x v="5"/>
    <x v="0"/>
    <x v="5"/>
    <x v="5"/>
    <x v="4"/>
    <x v="29"/>
    <n v="44"/>
    <n v="437888"/>
    <n v="233640"/>
  </r>
  <r>
    <x v="6"/>
    <x v="0"/>
    <x v="6"/>
    <x v="5"/>
    <x v="4"/>
    <x v="29"/>
    <n v="46"/>
    <n v="419750"/>
    <n v="244260"/>
  </r>
  <r>
    <x v="7"/>
    <x v="0"/>
    <x v="7"/>
    <x v="5"/>
    <x v="4"/>
    <x v="29"/>
    <n v="39"/>
    <n v="356382"/>
    <n v="207090"/>
  </r>
  <r>
    <x v="8"/>
    <x v="0"/>
    <x v="8"/>
    <x v="5"/>
    <x v="4"/>
    <x v="29"/>
    <n v="41"/>
    <n v="386220"/>
    <n v="217710"/>
  </r>
  <r>
    <x v="9"/>
    <x v="0"/>
    <x v="9"/>
    <x v="5"/>
    <x v="4"/>
    <x v="29"/>
    <n v="34"/>
    <n v="370532"/>
    <n v="180540"/>
  </r>
  <r>
    <x v="10"/>
    <x v="0"/>
    <x v="10"/>
    <x v="5"/>
    <x v="4"/>
    <x v="29"/>
    <n v="25"/>
    <n v="253625"/>
    <n v="132750"/>
  </r>
  <r>
    <x v="11"/>
    <x v="0"/>
    <x v="11"/>
    <x v="5"/>
    <x v="4"/>
    <x v="29"/>
    <n v="29"/>
    <n v="271179"/>
    <n v="153990"/>
  </r>
  <r>
    <x v="12"/>
    <x v="1"/>
    <x v="12"/>
    <x v="5"/>
    <x v="4"/>
    <x v="29"/>
    <n v="43"/>
    <n v="459111"/>
    <n v="228330"/>
  </r>
  <r>
    <x v="13"/>
    <x v="1"/>
    <x v="13"/>
    <x v="5"/>
    <x v="4"/>
    <x v="29"/>
    <n v="27"/>
    <n v="275022"/>
    <n v="143370"/>
  </r>
  <r>
    <x v="14"/>
    <x v="1"/>
    <x v="14"/>
    <x v="5"/>
    <x v="4"/>
    <x v="29"/>
    <n v="22"/>
    <n v="215666"/>
    <n v="116820"/>
  </r>
  <r>
    <x v="15"/>
    <x v="1"/>
    <x v="15"/>
    <x v="5"/>
    <x v="4"/>
    <x v="29"/>
    <n v="40"/>
    <n v="429160"/>
    <n v="212400"/>
  </r>
  <r>
    <x v="16"/>
    <x v="1"/>
    <x v="16"/>
    <x v="5"/>
    <x v="4"/>
    <x v="29"/>
    <n v="51"/>
    <n v="543456"/>
    <n v="270810"/>
  </r>
  <r>
    <x v="17"/>
    <x v="1"/>
    <x v="17"/>
    <x v="5"/>
    <x v="4"/>
    <x v="29"/>
    <n v="48"/>
    <n v="488544"/>
    <n v="254880"/>
  </r>
  <r>
    <x v="18"/>
    <x v="1"/>
    <x v="18"/>
    <x v="5"/>
    <x v="4"/>
    <x v="29"/>
    <n v="51"/>
    <n v="445485"/>
    <n v="270810"/>
  </r>
  <r>
    <x v="19"/>
    <x v="1"/>
    <x v="19"/>
    <x v="5"/>
    <x v="4"/>
    <x v="29"/>
    <n v="43"/>
    <n v="411424"/>
    <n v="228330"/>
  </r>
  <r>
    <x v="20"/>
    <x v="1"/>
    <x v="20"/>
    <x v="5"/>
    <x v="4"/>
    <x v="29"/>
    <n v="46"/>
    <n v="472926"/>
    <n v="244260"/>
  </r>
  <r>
    <x v="21"/>
    <x v="1"/>
    <x v="21"/>
    <x v="5"/>
    <x v="4"/>
    <x v="29"/>
    <n v="38"/>
    <n v="382280"/>
    <n v="201780"/>
  </r>
  <r>
    <x v="22"/>
    <x v="1"/>
    <x v="22"/>
    <x v="5"/>
    <x v="4"/>
    <x v="29"/>
    <n v="27"/>
    <n v="264573"/>
    <n v="143370"/>
  </r>
  <r>
    <x v="23"/>
    <x v="1"/>
    <x v="23"/>
    <x v="5"/>
    <x v="4"/>
    <x v="29"/>
    <n v="32"/>
    <n v="326400"/>
    <n v="169920"/>
  </r>
  <r>
    <x v="0"/>
    <x v="0"/>
    <x v="0"/>
    <x v="5"/>
    <x v="4"/>
    <x v="30"/>
    <n v="37"/>
    <n v="298738"/>
    <n v="119140"/>
  </r>
  <r>
    <x v="1"/>
    <x v="0"/>
    <x v="1"/>
    <x v="5"/>
    <x v="4"/>
    <x v="30"/>
    <n v="23"/>
    <n v="194373"/>
    <n v="74060"/>
  </r>
  <r>
    <x v="2"/>
    <x v="0"/>
    <x v="2"/>
    <x v="5"/>
    <x v="4"/>
    <x v="30"/>
    <n v="19"/>
    <n v="155610"/>
    <n v="61180"/>
  </r>
  <r>
    <x v="3"/>
    <x v="0"/>
    <x v="3"/>
    <x v="5"/>
    <x v="4"/>
    <x v="30"/>
    <n v="35"/>
    <n v="326515"/>
    <n v="112700"/>
  </r>
  <r>
    <x v="4"/>
    <x v="0"/>
    <x v="4"/>
    <x v="5"/>
    <x v="4"/>
    <x v="30"/>
    <n v="44"/>
    <n v="386804"/>
    <n v="141680"/>
  </r>
  <r>
    <x v="5"/>
    <x v="0"/>
    <x v="5"/>
    <x v="5"/>
    <x v="4"/>
    <x v="30"/>
    <n v="42"/>
    <n v="350364"/>
    <n v="135240"/>
  </r>
  <r>
    <x v="6"/>
    <x v="0"/>
    <x v="6"/>
    <x v="5"/>
    <x v="4"/>
    <x v="30"/>
    <n v="44"/>
    <n v="293876"/>
    <n v="141680"/>
  </r>
  <r>
    <x v="7"/>
    <x v="0"/>
    <x v="7"/>
    <x v="5"/>
    <x v="4"/>
    <x v="30"/>
    <n v="37"/>
    <n v="307951"/>
    <n v="119140"/>
  </r>
  <r>
    <x v="8"/>
    <x v="0"/>
    <x v="8"/>
    <x v="5"/>
    <x v="4"/>
    <x v="30"/>
    <n v="40"/>
    <n v="287160"/>
    <n v="128800"/>
  </r>
  <r>
    <x v="9"/>
    <x v="0"/>
    <x v="9"/>
    <x v="5"/>
    <x v="4"/>
    <x v="30"/>
    <n v="33"/>
    <n v="260304"/>
    <n v="106260"/>
  </r>
  <r>
    <x v="10"/>
    <x v="0"/>
    <x v="10"/>
    <x v="5"/>
    <x v="4"/>
    <x v="30"/>
    <n v="23"/>
    <n v="199640"/>
    <n v="74060"/>
  </r>
  <r>
    <x v="11"/>
    <x v="0"/>
    <x v="11"/>
    <x v="5"/>
    <x v="4"/>
    <x v="30"/>
    <n v="28"/>
    <n v="216104"/>
    <n v="90160"/>
  </r>
  <r>
    <x v="12"/>
    <x v="1"/>
    <x v="12"/>
    <x v="5"/>
    <x v="4"/>
    <x v="30"/>
    <n v="41"/>
    <n v="348869"/>
    <n v="132020"/>
  </r>
  <r>
    <x v="13"/>
    <x v="1"/>
    <x v="13"/>
    <x v="5"/>
    <x v="4"/>
    <x v="30"/>
    <n v="26"/>
    <n v="225654"/>
    <n v="83720"/>
  </r>
  <r>
    <x v="14"/>
    <x v="1"/>
    <x v="14"/>
    <x v="5"/>
    <x v="4"/>
    <x v="30"/>
    <n v="21"/>
    <n v="163023"/>
    <n v="67620"/>
  </r>
  <r>
    <x v="15"/>
    <x v="1"/>
    <x v="15"/>
    <x v="5"/>
    <x v="4"/>
    <x v="30"/>
    <n v="38"/>
    <n v="341278"/>
    <n v="122360"/>
  </r>
  <r>
    <x v="16"/>
    <x v="1"/>
    <x v="16"/>
    <x v="5"/>
    <x v="4"/>
    <x v="30"/>
    <n v="48"/>
    <n v="425280"/>
    <n v="154560"/>
  </r>
  <r>
    <x v="17"/>
    <x v="1"/>
    <x v="17"/>
    <x v="5"/>
    <x v="4"/>
    <x v="30"/>
    <n v="46"/>
    <n v="376878"/>
    <n v="148120"/>
  </r>
  <r>
    <x v="18"/>
    <x v="1"/>
    <x v="18"/>
    <x v="5"/>
    <x v="4"/>
    <x v="30"/>
    <n v="48"/>
    <n v="320400"/>
    <n v="154560"/>
  </r>
  <r>
    <x v="19"/>
    <x v="1"/>
    <x v="19"/>
    <x v="5"/>
    <x v="4"/>
    <x v="30"/>
    <n v="41"/>
    <n v="294380"/>
    <n v="132020"/>
  </r>
  <r>
    <x v="20"/>
    <x v="1"/>
    <x v="20"/>
    <x v="5"/>
    <x v="4"/>
    <x v="30"/>
    <n v="43"/>
    <n v="343097"/>
    <n v="138460"/>
  </r>
  <r>
    <x v="21"/>
    <x v="1"/>
    <x v="21"/>
    <x v="5"/>
    <x v="4"/>
    <x v="30"/>
    <n v="36"/>
    <n v="301284"/>
    <n v="115920"/>
  </r>
  <r>
    <x v="22"/>
    <x v="1"/>
    <x v="22"/>
    <x v="5"/>
    <x v="4"/>
    <x v="30"/>
    <n v="26"/>
    <n v="228020"/>
    <n v="83720"/>
  </r>
  <r>
    <x v="23"/>
    <x v="1"/>
    <x v="23"/>
    <x v="5"/>
    <x v="4"/>
    <x v="30"/>
    <n v="31"/>
    <n v="243226"/>
    <n v="99820"/>
  </r>
  <r>
    <x v="0"/>
    <x v="0"/>
    <x v="0"/>
    <x v="5"/>
    <x v="4"/>
    <x v="31"/>
    <n v="46"/>
    <n v="376694"/>
    <n v="152490"/>
  </r>
  <r>
    <x v="1"/>
    <x v="0"/>
    <x v="1"/>
    <x v="5"/>
    <x v="4"/>
    <x v="31"/>
    <n v="29"/>
    <n v="212512"/>
    <n v="96135"/>
  </r>
  <r>
    <x v="2"/>
    <x v="0"/>
    <x v="2"/>
    <x v="5"/>
    <x v="4"/>
    <x v="31"/>
    <n v="23"/>
    <n v="162196"/>
    <n v="76245"/>
  </r>
  <r>
    <x v="3"/>
    <x v="0"/>
    <x v="3"/>
    <x v="5"/>
    <x v="4"/>
    <x v="31"/>
    <n v="43"/>
    <n v="356599"/>
    <n v="142545"/>
  </r>
  <r>
    <x v="4"/>
    <x v="0"/>
    <x v="4"/>
    <x v="5"/>
    <x v="4"/>
    <x v="31"/>
    <n v="55"/>
    <n v="431145"/>
    <n v="182325"/>
  </r>
  <r>
    <x v="5"/>
    <x v="0"/>
    <x v="5"/>
    <x v="5"/>
    <x v="4"/>
    <x v="31"/>
    <n v="52"/>
    <n v="386828"/>
    <n v="172380"/>
  </r>
  <r>
    <x v="6"/>
    <x v="0"/>
    <x v="6"/>
    <x v="5"/>
    <x v="4"/>
    <x v="31"/>
    <n v="55"/>
    <n v="342980"/>
    <n v="182325"/>
  </r>
  <r>
    <x v="7"/>
    <x v="0"/>
    <x v="7"/>
    <x v="5"/>
    <x v="4"/>
    <x v="31"/>
    <n v="46"/>
    <n v="324990"/>
    <n v="152490"/>
  </r>
  <r>
    <x v="8"/>
    <x v="0"/>
    <x v="8"/>
    <x v="5"/>
    <x v="4"/>
    <x v="31"/>
    <n v="49"/>
    <n v="357406"/>
    <n v="162435"/>
  </r>
  <r>
    <x v="9"/>
    <x v="0"/>
    <x v="9"/>
    <x v="5"/>
    <x v="4"/>
    <x v="31"/>
    <n v="40"/>
    <n v="328440"/>
    <n v="132600"/>
  </r>
  <r>
    <x v="10"/>
    <x v="0"/>
    <x v="10"/>
    <x v="5"/>
    <x v="4"/>
    <x v="31"/>
    <n v="29"/>
    <n v="225330"/>
    <n v="96135"/>
  </r>
  <r>
    <x v="11"/>
    <x v="0"/>
    <x v="11"/>
    <x v="5"/>
    <x v="4"/>
    <x v="31"/>
    <n v="35"/>
    <n v="273420"/>
    <n v="116025"/>
  </r>
  <r>
    <x v="12"/>
    <x v="1"/>
    <x v="12"/>
    <x v="5"/>
    <x v="4"/>
    <x v="31"/>
    <n v="51"/>
    <n v="395709"/>
    <n v="169065"/>
  </r>
  <r>
    <x v="13"/>
    <x v="1"/>
    <x v="13"/>
    <x v="5"/>
    <x v="4"/>
    <x v="31"/>
    <n v="32"/>
    <n v="253504"/>
    <n v="106080"/>
  </r>
  <r>
    <x v="14"/>
    <x v="1"/>
    <x v="14"/>
    <x v="5"/>
    <x v="4"/>
    <x v="31"/>
    <n v="26"/>
    <n v="194272"/>
    <n v="86190"/>
  </r>
  <r>
    <x v="15"/>
    <x v="1"/>
    <x v="15"/>
    <x v="5"/>
    <x v="4"/>
    <x v="31"/>
    <n v="48"/>
    <n v="404400"/>
    <n v="159120"/>
  </r>
  <r>
    <x v="16"/>
    <x v="1"/>
    <x v="16"/>
    <x v="5"/>
    <x v="4"/>
    <x v="31"/>
    <n v="60"/>
    <n v="531240"/>
    <n v="198900"/>
  </r>
  <r>
    <x v="17"/>
    <x v="1"/>
    <x v="17"/>
    <x v="5"/>
    <x v="4"/>
    <x v="31"/>
    <n v="57"/>
    <n v="422655"/>
    <n v="188955"/>
  </r>
  <r>
    <x v="18"/>
    <x v="1"/>
    <x v="18"/>
    <x v="5"/>
    <x v="4"/>
    <x v="31"/>
    <n v="60"/>
    <n v="399720"/>
    <n v="198900"/>
  </r>
  <r>
    <x v="19"/>
    <x v="1"/>
    <x v="19"/>
    <x v="5"/>
    <x v="4"/>
    <x v="31"/>
    <n v="51"/>
    <n v="384795"/>
    <n v="169065"/>
  </r>
  <r>
    <x v="20"/>
    <x v="1"/>
    <x v="20"/>
    <x v="5"/>
    <x v="4"/>
    <x v="31"/>
    <n v="54"/>
    <n v="419148"/>
    <n v="179010"/>
  </r>
  <r>
    <x v="21"/>
    <x v="1"/>
    <x v="21"/>
    <x v="5"/>
    <x v="4"/>
    <x v="31"/>
    <n v="44"/>
    <n v="352088"/>
    <n v="145860"/>
  </r>
  <r>
    <x v="22"/>
    <x v="1"/>
    <x v="22"/>
    <x v="5"/>
    <x v="4"/>
    <x v="31"/>
    <n v="32"/>
    <n v="239232"/>
    <n v="106080"/>
  </r>
  <r>
    <x v="23"/>
    <x v="1"/>
    <x v="23"/>
    <x v="5"/>
    <x v="4"/>
    <x v="31"/>
    <n v="38"/>
    <n v="256234"/>
    <n v="125970"/>
  </r>
  <r>
    <x v="0"/>
    <x v="0"/>
    <x v="0"/>
    <x v="5"/>
    <x v="4"/>
    <x v="32"/>
    <n v="51"/>
    <n v="574311"/>
    <n v="239700"/>
  </r>
  <r>
    <x v="1"/>
    <x v="0"/>
    <x v="1"/>
    <x v="5"/>
    <x v="4"/>
    <x v="32"/>
    <n v="32"/>
    <n v="370144"/>
    <n v="150400"/>
  </r>
  <r>
    <x v="2"/>
    <x v="0"/>
    <x v="2"/>
    <x v="5"/>
    <x v="4"/>
    <x v="32"/>
    <n v="26"/>
    <n v="290550"/>
    <n v="122200"/>
  </r>
  <r>
    <x v="3"/>
    <x v="0"/>
    <x v="3"/>
    <x v="5"/>
    <x v="4"/>
    <x v="32"/>
    <n v="48"/>
    <n v="577056"/>
    <n v="225600"/>
  </r>
  <r>
    <x v="4"/>
    <x v="0"/>
    <x v="4"/>
    <x v="5"/>
    <x v="4"/>
    <x v="32"/>
    <n v="60"/>
    <n v="730380"/>
    <n v="282000"/>
  </r>
  <r>
    <x v="5"/>
    <x v="0"/>
    <x v="5"/>
    <x v="5"/>
    <x v="4"/>
    <x v="32"/>
    <n v="57"/>
    <n v="661029"/>
    <n v="267900"/>
  </r>
  <r>
    <x v="6"/>
    <x v="0"/>
    <x v="6"/>
    <x v="5"/>
    <x v="4"/>
    <x v="32"/>
    <n v="60"/>
    <n v="613680"/>
    <n v="282000"/>
  </r>
  <r>
    <x v="7"/>
    <x v="0"/>
    <x v="7"/>
    <x v="5"/>
    <x v="4"/>
    <x v="32"/>
    <n v="51"/>
    <n v="564774"/>
    <n v="239700"/>
  </r>
  <r>
    <x v="8"/>
    <x v="0"/>
    <x v="8"/>
    <x v="5"/>
    <x v="4"/>
    <x v="32"/>
    <n v="54"/>
    <n v="559710"/>
    <n v="253800"/>
  </r>
  <r>
    <x v="9"/>
    <x v="0"/>
    <x v="9"/>
    <x v="5"/>
    <x v="4"/>
    <x v="32"/>
    <n v="44"/>
    <n v="507848"/>
    <n v="206800"/>
  </r>
  <r>
    <x v="10"/>
    <x v="0"/>
    <x v="10"/>
    <x v="5"/>
    <x v="4"/>
    <x v="32"/>
    <n v="32"/>
    <n v="366752"/>
    <n v="150400"/>
  </r>
  <r>
    <x v="11"/>
    <x v="0"/>
    <x v="11"/>
    <x v="5"/>
    <x v="4"/>
    <x v="32"/>
    <n v="38"/>
    <n v="428336"/>
    <n v="178600"/>
  </r>
  <r>
    <x v="12"/>
    <x v="1"/>
    <x v="12"/>
    <x v="5"/>
    <x v="4"/>
    <x v="32"/>
    <n v="56"/>
    <n v="633080"/>
    <n v="263200"/>
  </r>
  <r>
    <x v="13"/>
    <x v="1"/>
    <x v="13"/>
    <x v="5"/>
    <x v="4"/>
    <x v="32"/>
    <n v="35"/>
    <n v="413245"/>
    <n v="164500"/>
  </r>
  <r>
    <x v="14"/>
    <x v="1"/>
    <x v="14"/>
    <x v="5"/>
    <x v="4"/>
    <x v="32"/>
    <n v="28"/>
    <n v="292516"/>
    <n v="131600"/>
  </r>
  <r>
    <x v="15"/>
    <x v="1"/>
    <x v="15"/>
    <x v="5"/>
    <x v="4"/>
    <x v="32"/>
    <n v="52"/>
    <n v="622128"/>
    <n v="244400"/>
  </r>
  <r>
    <x v="16"/>
    <x v="1"/>
    <x v="16"/>
    <x v="5"/>
    <x v="4"/>
    <x v="32"/>
    <n v="66"/>
    <n v="796488"/>
    <n v="310200"/>
  </r>
  <r>
    <x v="17"/>
    <x v="1"/>
    <x v="17"/>
    <x v="5"/>
    <x v="4"/>
    <x v="32"/>
    <n v="63"/>
    <n v="697347"/>
    <n v="296100"/>
  </r>
  <r>
    <x v="18"/>
    <x v="1"/>
    <x v="18"/>
    <x v="5"/>
    <x v="4"/>
    <x v="32"/>
    <n v="66"/>
    <n v="644820"/>
    <n v="310200"/>
  </r>
  <r>
    <x v="19"/>
    <x v="1"/>
    <x v="19"/>
    <x v="5"/>
    <x v="4"/>
    <x v="32"/>
    <n v="56"/>
    <n v="625968"/>
    <n v="263200"/>
  </r>
  <r>
    <x v="20"/>
    <x v="1"/>
    <x v="20"/>
    <x v="5"/>
    <x v="4"/>
    <x v="32"/>
    <n v="59"/>
    <n v="613364"/>
    <n v="277300"/>
  </r>
  <r>
    <x v="21"/>
    <x v="1"/>
    <x v="21"/>
    <x v="5"/>
    <x v="4"/>
    <x v="32"/>
    <n v="49"/>
    <n v="562765"/>
    <n v="230300"/>
  </r>
  <r>
    <x v="22"/>
    <x v="1"/>
    <x v="22"/>
    <x v="5"/>
    <x v="4"/>
    <x v="32"/>
    <n v="35"/>
    <n v="406980"/>
    <n v="164500"/>
  </r>
  <r>
    <x v="23"/>
    <x v="1"/>
    <x v="23"/>
    <x v="5"/>
    <x v="4"/>
    <x v="32"/>
    <n v="42"/>
    <n v="429198"/>
    <n v="197400"/>
  </r>
  <r>
    <x v="0"/>
    <x v="0"/>
    <x v="0"/>
    <x v="5"/>
    <x v="4"/>
    <x v="33"/>
    <n v="53"/>
    <n v="537049"/>
    <n v="284557"/>
  </r>
  <r>
    <x v="1"/>
    <x v="0"/>
    <x v="1"/>
    <x v="5"/>
    <x v="4"/>
    <x v="33"/>
    <n v="34"/>
    <n v="376788"/>
    <n v="182546"/>
  </r>
  <r>
    <x v="2"/>
    <x v="0"/>
    <x v="2"/>
    <x v="5"/>
    <x v="4"/>
    <x v="33"/>
    <n v="27"/>
    <n v="278262"/>
    <n v="144963"/>
  </r>
  <r>
    <x v="3"/>
    <x v="0"/>
    <x v="3"/>
    <x v="5"/>
    <x v="4"/>
    <x v="33"/>
    <n v="50"/>
    <n v="542750"/>
    <n v="268450"/>
  </r>
  <r>
    <x v="4"/>
    <x v="0"/>
    <x v="4"/>
    <x v="5"/>
    <x v="4"/>
    <x v="33"/>
    <n v="63"/>
    <n v="711774"/>
    <n v="338247"/>
  </r>
  <r>
    <x v="5"/>
    <x v="0"/>
    <x v="5"/>
    <x v="5"/>
    <x v="4"/>
    <x v="33"/>
    <n v="60"/>
    <n v="623940"/>
    <n v="322140"/>
  </r>
  <r>
    <x v="6"/>
    <x v="0"/>
    <x v="6"/>
    <x v="5"/>
    <x v="4"/>
    <x v="33"/>
    <n v="63"/>
    <n v="559881"/>
    <n v="338247"/>
  </r>
  <r>
    <x v="7"/>
    <x v="0"/>
    <x v="7"/>
    <x v="5"/>
    <x v="4"/>
    <x v="33"/>
    <n v="53"/>
    <n v="550140"/>
    <n v="284557"/>
  </r>
  <r>
    <x v="8"/>
    <x v="0"/>
    <x v="8"/>
    <x v="5"/>
    <x v="4"/>
    <x v="33"/>
    <n v="57"/>
    <n v="584421"/>
    <n v="306033"/>
  </r>
  <r>
    <x v="9"/>
    <x v="0"/>
    <x v="9"/>
    <x v="5"/>
    <x v="4"/>
    <x v="33"/>
    <n v="47"/>
    <n v="511501"/>
    <n v="252343"/>
  </r>
  <r>
    <x v="10"/>
    <x v="0"/>
    <x v="10"/>
    <x v="5"/>
    <x v="4"/>
    <x v="33"/>
    <n v="34"/>
    <n v="344012"/>
    <n v="182546"/>
  </r>
  <r>
    <x v="11"/>
    <x v="0"/>
    <x v="11"/>
    <x v="5"/>
    <x v="4"/>
    <x v="33"/>
    <n v="40"/>
    <n v="379480"/>
    <n v="214760"/>
  </r>
  <r>
    <x v="12"/>
    <x v="1"/>
    <x v="12"/>
    <x v="5"/>
    <x v="4"/>
    <x v="33"/>
    <n v="59"/>
    <n v="627406"/>
    <n v="316771"/>
  </r>
  <r>
    <x v="13"/>
    <x v="1"/>
    <x v="13"/>
    <x v="5"/>
    <x v="4"/>
    <x v="33"/>
    <n v="37"/>
    <n v="378769"/>
    <n v="198653"/>
  </r>
  <r>
    <x v="14"/>
    <x v="1"/>
    <x v="14"/>
    <x v="5"/>
    <x v="4"/>
    <x v="33"/>
    <n v="30"/>
    <n v="306720"/>
    <n v="161070"/>
  </r>
  <r>
    <x v="15"/>
    <x v="1"/>
    <x v="15"/>
    <x v="5"/>
    <x v="4"/>
    <x v="33"/>
    <n v="55"/>
    <n v="576840"/>
    <n v="295295"/>
  </r>
  <r>
    <x v="16"/>
    <x v="1"/>
    <x v="16"/>
    <x v="5"/>
    <x v="4"/>
    <x v="33"/>
    <n v="70"/>
    <n v="780640"/>
    <n v="375830"/>
  </r>
  <r>
    <x v="17"/>
    <x v="1"/>
    <x v="17"/>
    <x v="5"/>
    <x v="4"/>
    <x v="33"/>
    <n v="66"/>
    <n v="714648"/>
    <n v="354354"/>
  </r>
  <r>
    <x v="18"/>
    <x v="1"/>
    <x v="18"/>
    <x v="5"/>
    <x v="4"/>
    <x v="33"/>
    <n v="70"/>
    <n v="632590"/>
    <n v="375830"/>
  </r>
  <r>
    <x v="19"/>
    <x v="1"/>
    <x v="19"/>
    <x v="5"/>
    <x v="4"/>
    <x v="33"/>
    <n v="59"/>
    <n v="608231"/>
    <n v="316771"/>
  </r>
  <r>
    <x v="20"/>
    <x v="1"/>
    <x v="20"/>
    <x v="5"/>
    <x v="4"/>
    <x v="33"/>
    <n v="62"/>
    <n v="595076"/>
    <n v="332878"/>
  </r>
  <r>
    <x v="21"/>
    <x v="1"/>
    <x v="21"/>
    <x v="5"/>
    <x v="4"/>
    <x v="33"/>
    <n v="51"/>
    <n v="542691"/>
    <n v="273819"/>
  </r>
  <r>
    <x v="22"/>
    <x v="1"/>
    <x v="22"/>
    <x v="5"/>
    <x v="4"/>
    <x v="33"/>
    <n v="37"/>
    <n v="373478"/>
    <n v="198653"/>
  </r>
  <r>
    <x v="23"/>
    <x v="1"/>
    <x v="23"/>
    <x v="5"/>
    <x v="4"/>
    <x v="33"/>
    <n v="44"/>
    <n v="441760"/>
    <n v="236236"/>
  </r>
  <r>
    <x v="0"/>
    <x v="0"/>
    <x v="0"/>
    <x v="5"/>
    <x v="4"/>
    <x v="34"/>
    <n v="38"/>
    <n v="484234"/>
    <n v="209000"/>
  </r>
  <r>
    <x v="1"/>
    <x v="0"/>
    <x v="1"/>
    <x v="5"/>
    <x v="4"/>
    <x v="34"/>
    <n v="24"/>
    <n v="303552"/>
    <n v="132000"/>
  </r>
  <r>
    <x v="2"/>
    <x v="0"/>
    <x v="2"/>
    <x v="5"/>
    <x v="4"/>
    <x v="34"/>
    <n v="19"/>
    <n v="222984"/>
    <n v="104500"/>
  </r>
  <r>
    <x v="3"/>
    <x v="0"/>
    <x v="3"/>
    <x v="5"/>
    <x v="4"/>
    <x v="34"/>
    <n v="36"/>
    <n v="468252"/>
    <n v="198000"/>
  </r>
  <r>
    <x v="4"/>
    <x v="0"/>
    <x v="4"/>
    <x v="5"/>
    <x v="4"/>
    <x v="34"/>
    <n v="45"/>
    <n v="575820"/>
    <n v="247500"/>
  </r>
  <r>
    <x v="5"/>
    <x v="0"/>
    <x v="5"/>
    <x v="5"/>
    <x v="4"/>
    <x v="34"/>
    <n v="43"/>
    <n v="523009"/>
    <n v="236500"/>
  </r>
  <r>
    <x v="6"/>
    <x v="0"/>
    <x v="6"/>
    <x v="5"/>
    <x v="4"/>
    <x v="34"/>
    <n v="45"/>
    <n v="495990"/>
    <n v="247500"/>
  </r>
  <r>
    <x v="7"/>
    <x v="0"/>
    <x v="7"/>
    <x v="5"/>
    <x v="4"/>
    <x v="34"/>
    <n v="38"/>
    <n v="444030"/>
    <n v="209000"/>
  </r>
  <r>
    <x v="8"/>
    <x v="0"/>
    <x v="8"/>
    <x v="5"/>
    <x v="4"/>
    <x v="34"/>
    <n v="40"/>
    <n v="481960"/>
    <n v="220000"/>
  </r>
  <r>
    <x v="9"/>
    <x v="0"/>
    <x v="9"/>
    <x v="5"/>
    <x v="4"/>
    <x v="34"/>
    <n v="33"/>
    <n v="406758"/>
    <n v="181500"/>
  </r>
  <r>
    <x v="10"/>
    <x v="0"/>
    <x v="10"/>
    <x v="5"/>
    <x v="4"/>
    <x v="34"/>
    <n v="24"/>
    <n v="293808"/>
    <n v="132000"/>
  </r>
  <r>
    <x v="11"/>
    <x v="0"/>
    <x v="11"/>
    <x v="5"/>
    <x v="4"/>
    <x v="34"/>
    <n v="29"/>
    <n v="325264"/>
    <n v="159500"/>
  </r>
  <r>
    <x v="12"/>
    <x v="1"/>
    <x v="12"/>
    <x v="5"/>
    <x v="4"/>
    <x v="34"/>
    <n v="42"/>
    <n v="519624"/>
    <n v="231000"/>
  </r>
  <r>
    <x v="13"/>
    <x v="1"/>
    <x v="13"/>
    <x v="5"/>
    <x v="4"/>
    <x v="34"/>
    <n v="26"/>
    <n v="332410"/>
    <n v="143000"/>
  </r>
  <r>
    <x v="14"/>
    <x v="1"/>
    <x v="14"/>
    <x v="5"/>
    <x v="4"/>
    <x v="34"/>
    <n v="21"/>
    <n v="243117"/>
    <n v="115500"/>
  </r>
  <r>
    <x v="15"/>
    <x v="1"/>
    <x v="15"/>
    <x v="5"/>
    <x v="4"/>
    <x v="34"/>
    <n v="39"/>
    <n v="481494"/>
    <n v="214500"/>
  </r>
  <r>
    <x v="16"/>
    <x v="1"/>
    <x v="16"/>
    <x v="5"/>
    <x v="4"/>
    <x v="34"/>
    <n v="50"/>
    <n v="628650"/>
    <n v="275000"/>
  </r>
  <r>
    <x v="17"/>
    <x v="1"/>
    <x v="17"/>
    <x v="5"/>
    <x v="4"/>
    <x v="34"/>
    <n v="47"/>
    <n v="596994"/>
    <n v="258500"/>
  </r>
  <r>
    <x v="18"/>
    <x v="1"/>
    <x v="18"/>
    <x v="5"/>
    <x v="4"/>
    <x v="34"/>
    <n v="50"/>
    <n v="526950"/>
    <n v="275000"/>
  </r>
  <r>
    <x v="19"/>
    <x v="1"/>
    <x v="19"/>
    <x v="5"/>
    <x v="4"/>
    <x v="34"/>
    <n v="42"/>
    <n v="479010"/>
    <n v="231000"/>
  </r>
  <r>
    <x v="20"/>
    <x v="1"/>
    <x v="20"/>
    <x v="5"/>
    <x v="4"/>
    <x v="34"/>
    <n v="44"/>
    <n v="498344"/>
    <n v="242000"/>
  </r>
  <r>
    <x v="21"/>
    <x v="1"/>
    <x v="21"/>
    <x v="5"/>
    <x v="4"/>
    <x v="34"/>
    <n v="37"/>
    <n v="470381"/>
    <n v="203500"/>
  </r>
  <r>
    <x v="22"/>
    <x v="1"/>
    <x v="22"/>
    <x v="5"/>
    <x v="4"/>
    <x v="34"/>
    <n v="26"/>
    <n v="317798"/>
    <n v="143000"/>
  </r>
  <r>
    <x v="23"/>
    <x v="1"/>
    <x v="23"/>
    <x v="5"/>
    <x v="4"/>
    <x v="34"/>
    <n v="32"/>
    <n v="373824"/>
    <n v="176000"/>
  </r>
  <r>
    <x v="0"/>
    <x v="0"/>
    <x v="0"/>
    <x v="5"/>
    <x v="5"/>
    <x v="35"/>
    <n v="12"/>
    <n v="54984"/>
    <n v="18144"/>
  </r>
  <r>
    <x v="1"/>
    <x v="0"/>
    <x v="1"/>
    <x v="5"/>
    <x v="5"/>
    <x v="35"/>
    <n v="8"/>
    <n v="38656"/>
    <n v="12096"/>
  </r>
  <r>
    <x v="2"/>
    <x v="0"/>
    <x v="2"/>
    <x v="5"/>
    <x v="5"/>
    <x v="35"/>
    <n v="6"/>
    <n v="21012"/>
    <n v="9072"/>
  </r>
  <r>
    <x v="3"/>
    <x v="0"/>
    <x v="3"/>
    <x v="5"/>
    <x v="5"/>
    <x v="35"/>
    <n v="11"/>
    <n v="44770"/>
    <n v="16632"/>
  </r>
  <r>
    <x v="4"/>
    <x v="0"/>
    <x v="4"/>
    <x v="5"/>
    <x v="5"/>
    <x v="35"/>
    <n v="14"/>
    <n v="70910"/>
    <n v="21168"/>
  </r>
  <r>
    <x v="5"/>
    <x v="0"/>
    <x v="5"/>
    <x v="5"/>
    <x v="5"/>
    <x v="35"/>
    <n v="13"/>
    <n v="62335"/>
    <n v="19656"/>
  </r>
  <r>
    <x v="6"/>
    <x v="0"/>
    <x v="6"/>
    <x v="5"/>
    <x v="5"/>
    <x v="35"/>
    <n v="14"/>
    <n v="35490"/>
    <n v="21168"/>
  </r>
  <r>
    <x v="7"/>
    <x v="0"/>
    <x v="7"/>
    <x v="5"/>
    <x v="5"/>
    <x v="35"/>
    <n v="12"/>
    <n v="41400"/>
    <n v="18144"/>
  </r>
  <r>
    <x v="8"/>
    <x v="0"/>
    <x v="8"/>
    <x v="5"/>
    <x v="5"/>
    <x v="35"/>
    <n v="13"/>
    <n v="50245"/>
    <n v="19656"/>
  </r>
  <r>
    <x v="9"/>
    <x v="0"/>
    <x v="9"/>
    <x v="5"/>
    <x v="5"/>
    <x v="35"/>
    <n v="11"/>
    <n v="41514"/>
    <n v="16632"/>
  </r>
  <r>
    <x v="10"/>
    <x v="0"/>
    <x v="10"/>
    <x v="5"/>
    <x v="5"/>
    <x v="35"/>
    <n v="8"/>
    <n v="32904"/>
    <n v="12096"/>
  </r>
  <r>
    <x v="11"/>
    <x v="0"/>
    <x v="11"/>
    <x v="5"/>
    <x v="5"/>
    <x v="35"/>
    <n v="9"/>
    <n v="35217"/>
    <n v="13608"/>
  </r>
  <r>
    <x v="12"/>
    <x v="1"/>
    <x v="12"/>
    <x v="5"/>
    <x v="5"/>
    <x v="35"/>
    <n v="13"/>
    <n v="58500"/>
    <n v="19656"/>
  </r>
  <r>
    <x v="13"/>
    <x v="1"/>
    <x v="13"/>
    <x v="5"/>
    <x v="5"/>
    <x v="35"/>
    <n v="8"/>
    <n v="31368"/>
    <n v="12096"/>
  </r>
  <r>
    <x v="14"/>
    <x v="1"/>
    <x v="14"/>
    <x v="5"/>
    <x v="5"/>
    <x v="35"/>
    <n v="7"/>
    <n v="24157"/>
    <n v="10584"/>
  </r>
  <r>
    <x v="15"/>
    <x v="1"/>
    <x v="15"/>
    <x v="5"/>
    <x v="5"/>
    <x v="35"/>
    <n v="12"/>
    <n v="50004"/>
    <n v="18144"/>
  </r>
  <r>
    <x v="16"/>
    <x v="1"/>
    <x v="16"/>
    <x v="5"/>
    <x v="5"/>
    <x v="35"/>
    <n v="16"/>
    <n v="72352"/>
    <n v="24192"/>
  </r>
  <r>
    <x v="17"/>
    <x v="1"/>
    <x v="17"/>
    <x v="5"/>
    <x v="5"/>
    <x v="35"/>
    <n v="15"/>
    <n v="70740"/>
    <n v="22680"/>
  </r>
  <r>
    <x v="18"/>
    <x v="1"/>
    <x v="18"/>
    <x v="5"/>
    <x v="5"/>
    <x v="35"/>
    <n v="16"/>
    <n v="39664"/>
    <n v="24192"/>
  </r>
  <r>
    <x v="19"/>
    <x v="1"/>
    <x v="19"/>
    <x v="5"/>
    <x v="5"/>
    <x v="35"/>
    <n v="13"/>
    <n v="45227"/>
    <n v="19656"/>
  </r>
  <r>
    <x v="20"/>
    <x v="1"/>
    <x v="20"/>
    <x v="5"/>
    <x v="5"/>
    <x v="35"/>
    <n v="14"/>
    <n v="58408"/>
    <n v="21168"/>
  </r>
  <r>
    <x v="21"/>
    <x v="1"/>
    <x v="21"/>
    <x v="5"/>
    <x v="5"/>
    <x v="35"/>
    <n v="12"/>
    <n v="54720"/>
    <n v="18144"/>
  </r>
  <r>
    <x v="22"/>
    <x v="1"/>
    <x v="22"/>
    <x v="5"/>
    <x v="5"/>
    <x v="35"/>
    <n v="8"/>
    <n v="34584"/>
    <n v="12096"/>
  </r>
  <r>
    <x v="23"/>
    <x v="1"/>
    <x v="23"/>
    <x v="5"/>
    <x v="5"/>
    <x v="35"/>
    <n v="10"/>
    <n v="34390"/>
    <n v="15120"/>
  </r>
  <r>
    <x v="0"/>
    <x v="0"/>
    <x v="0"/>
    <x v="5"/>
    <x v="5"/>
    <x v="36"/>
    <n v="15"/>
    <n v="44265"/>
    <n v="11730"/>
  </r>
  <r>
    <x v="1"/>
    <x v="0"/>
    <x v="1"/>
    <x v="5"/>
    <x v="5"/>
    <x v="36"/>
    <n v="9"/>
    <n v="27180"/>
    <n v="7038"/>
  </r>
  <r>
    <x v="2"/>
    <x v="0"/>
    <x v="2"/>
    <x v="5"/>
    <x v="5"/>
    <x v="36"/>
    <n v="8"/>
    <n v="21840"/>
    <n v="6256"/>
  </r>
  <r>
    <x v="3"/>
    <x v="0"/>
    <x v="3"/>
    <x v="5"/>
    <x v="5"/>
    <x v="36"/>
    <n v="14"/>
    <n v="55300"/>
    <n v="10948"/>
  </r>
  <r>
    <x v="4"/>
    <x v="0"/>
    <x v="4"/>
    <x v="5"/>
    <x v="5"/>
    <x v="36"/>
    <n v="17"/>
    <n v="66079"/>
    <n v="13294"/>
  </r>
  <r>
    <x v="5"/>
    <x v="0"/>
    <x v="5"/>
    <x v="5"/>
    <x v="5"/>
    <x v="36"/>
    <n v="16"/>
    <n v="47008"/>
    <n v="12512"/>
  </r>
  <r>
    <x v="6"/>
    <x v="0"/>
    <x v="6"/>
    <x v="5"/>
    <x v="5"/>
    <x v="36"/>
    <n v="17"/>
    <n v="20366"/>
    <n v="13294"/>
  </r>
  <r>
    <x v="7"/>
    <x v="0"/>
    <x v="7"/>
    <x v="5"/>
    <x v="5"/>
    <x v="36"/>
    <n v="15"/>
    <n v="47445"/>
    <n v="11730"/>
  </r>
  <r>
    <x v="8"/>
    <x v="0"/>
    <x v="8"/>
    <x v="5"/>
    <x v="5"/>
    <x v="36"/>
    <n v="16"/>
    <n v="36832"/>
    <n v="12512"/>
  </r>
  <r>
    <x v="9"/>
    <x v="0"/>
    <x v="9"/>
    <x v="5"/>
    <x v="5"/>
    <x v="36"/>
    <n v="13"/>
    <n v="35282"/>
    <n v="10166"/>
  </r>
  <r>
    <x v="10"/>
    <x v="0"/>
    <x v="10"/>
    <x v="5"/>
    <x v="5"/>
    <x v="36"/>
    <n v="9"/>
    <n v="28197"/>
    <n v="7038"/>
  </r>
  <r>
    <x v="11"/>
    <x v="0"/>
    <x v="11"/>
    <x v="5"/>
    <x v="5"/>
    <x v="36"/>
    <n v="11"/>
    <n v="24420"/>
    <n v="8602"/>
  </r>
  <r>
    <x v="12"/>
    <x v="1"/>
    <x v="12"/>
    <x v="5"/>
    <x v="5"/>
    <x v="36"/>
    <n v="16"/>
    <n v="45744"/>
    <n v="12512"/>
  </r>
  <r>
    <x v="13"/>
    <x v="1"/>
    <x v="13"/>
    <x v="5"/>
    <x v="5"/>
    <x v="36"/>
    <n v="10"/>
    <n v="26020"/>
    <n v="7820"/>
  </r>
  <r>
    <x v="14"/>
    <x v="1"/>
    <x v="14"/>
    <x v="5"/>
    <x v="5"/>
    <x v="36"/>
    <n v="8"/>
    <n v="22336"/>
    <n v="6256"/>
  </r>
  <r>
    <x v="15"/>
    <x v="1"/>
    <x v="15"/>
    <x v="5"/>
    <x v="5"/>
    <x v="36"/>
    <n v="15"/>
    <n v="52965"/>
    <n v="11730"/>
  </r>
  <r>
    <x v="16"/>
    <x v="1"/>
    <x v="16"/>
    <x v="5"/>
    <x v="5"/>
    <x v="36"/>
    <n v="19"/>
    <n v="67963"/>
    <n v="14858"/>
  </r>
  <r>
    <x v="17"/>
    <x v="1"/>
    <x v="17"/>
    <x v="5"/>
    <x v="5"/>
    <x v="36"/>
    <n v="18"/>
    <n v="47052"/>
    <n v="14076"/>
  </r>
  <r>
    <x v="18"/>
    <x v="1"/>
    <x v="18"/>
    <x v="5"/>
    <x v="5"/>
    <x v="36"/>
    <n v="19"/>
    <n v="24092"/>
    <n v="14858"/>
  </r>
  <r>
    <x v="19"/>
    <x v="1"/>
    <x v="19"/>
    <x v="5"/>
    <x v="5"/>
    <x v="36"/>
    <n v="16"/>
    <n v="40896"/>
    <n v="12512"/>
  </r>
  <r>
    <x v="20"/>
    <x v="1"/>
    <x v="20"/>
    <x v="5"/>
    <x v="5"/>
    <x v="36"/>
    <n v="17"/>
    <n v="47175"/>
    <n v="13294"/>
  </r>
  <r>
    <x v="21"/>
    <x v="1"/>
    <x v="21"/>
    <x v="5"/>
    <x v="5"/>
    <x v="36"/>
    <n v="14"/>
    <n v="47978"/>
    <n v="10948"/>
  </r>
  <r>
    <x v="22"/>
    <x v="1"/>
    <x v="22"/>
    <x v="5"/>
    <x v="5"/>
    <x v="36"/>
    <n v="10"/>
    <n v="25030"/>
    <n v="7820"/>
  </r>
  <r>
    <x v="23"/>
    <x v="1"/>
    <x v="23"/>
    <x v="5"/>
    <x v="5"/>
    <x v="36"/>
    <n v="12"/>
    <n v="25932"/>
    <n v="9384"/>
  </r>
  <r>
    <x v="0"/>
    <x v="0"/>
    <x v="0"/>
    <x v="5"/>
    <x v="5"/>
    <x v="37"/>
    <n v="13"/>
    <n v="61906"/>
    <n v="22750"/>
  </r>
  <r>
    <x v="1"/>
    <x v="0"/>
    <x v="1"/>
    <x v="5"/>
    <x v="5"/>
    <x v="37"/>
    <n v="8"/>
    <n v="42552"/>
    <n v="14000"/>
  </r>
  <r>
    <x v="2"/>
    <x v="0"/>
    <x v="2"/>
    <x v="5"/>
    <x v="5"/>
    <x v="37"/>
    <n v="7"/>
    <n v="24759"/>
    <n v="12250"/>
  </r>
  <r>
    <x v="3"/>
    <x v="0"/>
    <x v="3"/>
    <x v="5"/>
    <x v="5"/>
    <x v="37"/>
    <n v="12"/>
    <n v="59820"/>
    <n v="21000"/>
  </r>
  <r>
    <x v="4"/>
    <x v="0"/>
    <x v="4"/>
    <x v="5"/>
    <x v="5"/>
    <x v="37"/>
    <n v="16"/>
    <n v="78304"/>
    <n v="28000"/>
  </r>
  <r>
    <x v="5"/>
    <x v="0"/>
    <x v="5"/>
    <x v="5"/>
    <x v="5"/>
    <x v="37"/>
    <n v="15"/>
    <n v="79440"/>
    <n v="26250"/>
  </r>
  <r>
    <x v="6"/>
    <x v="0"/>
    <x v="6"/>
    <x v="5"/>
    <x v="5"/>
    <x v="37"/>
    <n v="16"/>
    <n v="57360"/>
    <n v="28000"/>
  </r>
  <r>
    <x v="7"/>
    <x v="0"/>
    <x v="7"/>
    <x v="5"/>
    <x v="5"/>
    <x v="37"/>
    <n v="13"/>
    <n v="48438"/>
    <n v="22750"/>
  </r>
  <r>
    <x v="8"/>
    <x v="0"/>
    <x v="8"/>
    <x v="5"/>
    <x v="5"/>
    <x v="37"/>
    <n v="14"/>
    <n v="61894"/>
    <n v="24500"/>
  </r>
  <r>
    <x v="9"/>
    <x v="0"/>
    <x v="9"/>
    <x v="5"/>
    <x v="5"/>
    <x v="37"/>
    <n v="12"/>
    <n v="63672"/>
    <n v="21000"/>
  </r>
  <r>
    <x v="10"/>
    <x v="0"/>
    <x v="10"/>
    <x v="5"/>
    <x v="5"/>
    <x v="37"/>
    <n v="8"/>
    <n v="34840"/>
    <n v="14000"/>
  </r>
  <r>
    <x v="11"/>
    <x v="0"/>
    <x v="11"/>
    <x v="5"/>
    <x v="5"/>
    <x v="37"/>
    <n v="10"/>
    <n v="41100"/>
    <n v="17500"/>
  </r>
  <r>
    <x v="12"/>
    <x v="1"/>
    <x v="12"/>
    <x v="5"/>
    <x v="5"/>
    <x v="37"/>
    <n v="15"/>
    <n v="68985"/>
    <n v="26250"/>
  </r>
  <r>
    <x v="13"/>
    <x v="1"/>
    <x v="13"/>
    <x v="5"/>
    <x v="5"/>
    <x v="37"/>
    <n v="9"/>
    <n v="42534"/>
    <n v="15750"/>
  </r>
  <r>
    <x v="14"/>
    <x v="1"/>
    <x v="14"/>
    <x v="5"/>
    <x v="5"/>
    <x v="37"/>
    <n v="8"/>
    <n v="32336"/>
    <n v="14000"/>
  </r>
  <r>
    <x v="15"/>
    <x v="1"/>
    <x v="15"/>
    <x v="5"/>
    <x v="5"/>
    <x v="37"/>
    <n v="14"/>
    <n v="65324"/>
    <n v="24500"/>
  </r>
  <r>
    <x v="16"/>
    <x v="1"/>
    <x v="16"/>
    <x v="5"/>
    <x v="5"/>
    <x v="37"/>
    <n v="17"/>
    <n v="83470"/>
    <n v="29750"/>
  </r>
  <r>
    <x v="17"/>
    <x v="1"/>
    <x v="17"/>
    <x v="5"/>
    <x v="5"/>
    <x v="37"/>
    <n v="16"/>
    <n v="78304"/>
    <n v="28000"/>
  </r>
  <r>
    <x v="18"/>
    <x v="1"/>
    <x v="18"/>
    <x v="5"/>
    <x v="5"/>
    <x v="37"/>
    <n v="17"/>
    <n v="60061"/>
    <n v="29750"/>
  </r>
  <r>
    <x v="19"/>
    <x v="1"/>
    <x v="19"/>
    <x v="5"/>
    <x v="5"/>
    <x v="37"/>
    <n v="15"/>
    <n v="71775"/>
    <n v="26250"/>
  </r>
  <r>
    <x v="20"/>
    <x v="1"/>
    <x v="20"/>
    <x v="5"/>
    <x v="5"/>
    <x v="37"/>
    <n v="15"/>
    <n v="61845"/>
    <n v="26250"/>
  </r>
  <r>
    <x v="21"/>
    <x v="1"/>
    <x v="21"/>
    <x v="5"/>
    <x v="5"/>
    <x v="37"/>
    <n v="13"/>
    <n v="57707"/>
    <n v="22750"/>
  </r>
  <r>
    <x v="22"/>
    <x v="1"/>
    <x v="22"/>
    <x v="5"/>
    <x v="5"/>
    <x v="37"/>
    <n v="9"/>
    <n v="45972"/>
    <n v="15750"/>
  </r>
  <r>
    <x v="23"/>
    <x v="1"/>
    <x v="23"/>
    <x v="5"/>
    <x v="5"/>
    <x v="37"/>
    <n v="11"/>
    <n v="44847"/>
    <n v="19250"/>
  </r>
  <r>
    <x v="0"/>
    <x v="0"/>
    <x v="0"/>
    <x v="5"/>
    <x v="5"/>
    <x v="38"/>
    <n v="12"/>
    <n v="66492"/>
    <n v="30240"/>
  </r>
  <r>
    <x v="1"/>
    <x v="0"/>
    <x v="1"/>
    <x v="5"/>
    <x v="5"/>
    <x v="38"/>
    <n v="8"/>
    <n v="46704"/>
    <n v="20160"/>
  </r>
  <r>
    <x v="2"/>
    <x v="0"/>
    <x v="2"/>
    <x v="5"/>
    <x v="5"/>
    <x v="38"/>
    <n v="6"/>
    <n v="28638"/>
    <n v="15120"/>
  </r>
  <r>
    <x v="3"/>
    <x v="0"/>
    <x v="3"/>
    <x v="5"/>
    <x v="5"/>
    <x v="38"/>
    <n v="11"/>
    <n v="61215"/>
    <n v="27720"/>
  </r>
  <r>
    <x v="4"/>
    <x v="0"/>
    <x v="4"/>
    <x v="5"/>
    <x v="5"/>
    <x v="38"/>
    <n v="14"/>
    <n v="89404"/>
    <n v="35280"/>
  </r>
  <r>
    <x v="5"/>
    <x v="0"/>
    <x v="5"/>
    <x v="5"/>
    <x v="5"/>
    <x v="38"/>
    <n v="13"/>
    <n v="74906"/>
    <n v="32760"/>
  </r>
  <r>
    <x v="6"/>
    <x v="0"/>
    <x v="6"/>
    <x v="5"/>
    <x v="5"/>
    <x v="38"/>
    <n v="14"/>
    <n v="57498"/>
    <n v="35280"/>
  </r>
  <r>
    <x v="7"/>
    <x v="0"/>
    <x v="7"/>
    <x v="5"/>
    <x v="5"/>
    <x v="38"/>
    <n v="12"/>
    <n v="65064"/>
    <n v="30240"/>
  </r>
  <r>
    <x v="8"/>
    <x v="0"/>
    <x v="8"/>
    <x v="5"/>
    <x v="5"/>
    <x v="38"/>
    <n v="13"/>
    <n v="64155"/>
    <n v="32760"/>
  </r>
  <r>
    <x v="9"/>
    <x v="0"/>
    <x v="9"/>
    <x v="5"/>
    <x v="5"/>
    <x v="38"/>
    <n v="11"/>
    <n v="63459"/>
    <n v="27720"/>
  </r>
  <r>
    <x v="10"/>
    <x v="0"/>
    <x v="10"/>
    <x v="5"/>
    <x v="5"/>
    <x v="38"/>
    <n v="8"/>
    <n v="47432"/>
    <n v="20160"/>
  </r>
  <r>
    <x v="11"/>
    <x v="0"/>
    <x v="11"/>
    <x v="5"/>
    <x v="5"/>
    <x v="38"/>
    <n v="9"/>
    <n v="45153"/>
    <n v="22680"/>
  </r>
  <r>
    <x v="12"/>
    <x v="1"/>
    <x v="12"/>
    <x v="5"/>
    <x v="5"/>
    <x v="38"/>
    <n v="13"/>
    <n v="65858"/>
    <n v="32760"/>
  </r>
  <r>
    <x v="13"/>
    <x v="1"/>
    <x v="13"/>
    <x v="5"/>
    <x v="5"/>
    <x v="38"/>
    <n v="8"/>
    <n v="44448"/>
    <n v="20160"/>
  </r>
  <r>
    <x v="14"/>
    <x v="1"/>
    <x v="14"/>
    <x v="5"/>
    <x v="5"/>
    <x v="38"/>
    <n v="7"/>
    <n v="36302"/>
    <n v="17640"/>
  </r>
  <r>
    <x v="15"/>
    <x v="1"/>
    <x v="15"/>
    <x v="5"/>
    <x v="5"/>
    <x v="38"/>
    <n v="12"/>
    <n v="76392"/>
    <n v="30240"/>
  </r>
  <r>
    <x v="16"/>
    <x v="1"/>
    <x v="16"/>
    <x v="5"/>
    <x v="5"/>
    <x v="38"/>
    <n v="16"/>
    <n v="100256"/>
    <n v="40320"/>
  </r>
  <r>
    <x v="17"/>
    <x v="1"/>
    <x v="17"/>
    <x v="5"/>
    <x v="5"/>
    <x v="38"/>
    <n v="15"/>
    <n v="89415"/>
    <n v="37800"/>
  </r>
  <r>
    <x v="18"/>
    <x v="1"/>
    <x v="18"/>
    <x v="5"/>
    <x v="5"/>
    <x v="38"/>
    <n v="16"/>
    <n v="58576"/>
    <n v="40320"/>
  </r>
  <r>
    <x v="19"/>
    <x v="1"/>
    <x v="19"/>
    <x v="5"/>
    <x v="5"/>
    <x v="38"/>
    <n v="13"/>
    <n v="62634"/>
    <n v="32760"/>
  </r>
  <r>
    <x v="20"/>
    <x v="1"/>
    <x v="20"/>
    <x v="5"/>
    <x v="5"/>
    <x v="38"/>
    <n v="14"/>
    <n v="66906"/>
    <n v="35280"/>
  </r>
  <r>
    <x v="21"/>
    <x v="1"/>
    <x v="21"/>
    <x v="5"/>
    <x v="5"/>
    <x v="38"/>
    <n v="12"/>
    <n v="64512"/>
    <n v="30240"/>
  </r>
  <r>
    <x v="22"/>
    <x v="1"/>
    <x v="22"/>
    <x v="5"/>
    <x v="5"/>
    <x v="38"/>
    <n v="8"/>
    <n v="47792"/>
    <n v="20160"/>
  </r>
  <r>
    <x v="23"/>
    <x v="1"/>
    <x v="23"/>
    <x v="5"/>
    <x v="5"/>
    <x v="38"/>
    <n v="10"/>
    <n v="56720"/>
    <n v="25200"/>
  </r>
  <r>
    <x v="0"/>
    <x v="0"/>
    <x v="0"/>
    <x v="5"/>
    <x v="5"/>
    <x v="39"/>
    <n v="15"/>
    <n v="50640"/>
    <n v="13860"/>
  </r>
  <r>
    <x v="1"/>
    <x v="0"/>
    <x v="1"/>
    <x v="5"/>
    <x v="5"/>
    <x v="39"/>
    <n v="10"/>
    <n v="38810"/>
    <n v="9240"/>
  </r>
  <r>
    <x v="2"/>
    <x v="0"/>
    <x v="2"/>
    <x v="5"/>
    <x v="5"/>
    <x v="39"/>
    <n v="8"/>
    <n v="24784"/>
    <n v="7392"/>
  </r>
  <r>
    <x v="3"/>
    <x v="0"/>
    <x v="3"/>
    <x v="5"/>
    <x v="5"/>
    <x v="39"/>
    <n v="14"/>
    <n v="57876"/>
    <n v="12936"/>
  </r>
  <r>
    <x v="4"/>
    <x v="0"/>
    <x v="4"/>
    <x v="5"/>
    <x v="5"/>
    <x v="39"/>
    <n v="18"/>
    <n v="75438"/>
    <n v="16632"/>
  </r>
  <r>
    <x v="5"/>
    <x v="0"/>
    <x v="5"/>
    <x v="5"/>
    <x v="5"/>
    <x v="39"/>
    <n v="17"/>
    <n v="56593"/>
    <n v="15708"/>
  </r>
  <r>
    <x v="6"/>
    <x v="0"/>
    <x v="6"/>
    <x v="5"/>
    <x v="5"/>
    <x v="39"/>
    <n v="18"/>
    <n v="31302"/>
    <n v="16632"/>
  </r>
  <r>
    <x v="7"/>
    <x v="0"/>
    <x v="7"/>
    <x v="5"/>
    <x v="5"/>
    <x v="39"/>
    <n v="15"/>
    <n v="48465"/>
    <n v="13860"/>
  </r>
  <r>
    <x v="8"/>
    <x v="0"/>
    <x v="8"/>
    <x v="5"/>
    <x v="5"/>
    <x v="39"/>
    <n v="16"/>
    <n v="42944"/>
    <n v="14784"/>
  </r>
  <r>
    <x v="9"/>
    <x v="0"/>
    <x v="9"/>
    <x v="5"/>
    <x v="5"/>
    <x v="39"/>
    <n v="13"/>
    <n v="52663"/>
    <n v="12012"/>
  </r>
  <r>
    <x v="10"/>
    <x v="0"/>
    <x v="10"/>
    <x v="5"/>
    <x v="5"/>
    <x v="39"/>
    <n v="10"/>
    <n v="33040"/>
    <n v="9240"/>
  </r>
  <r>
    <x v="11"/>
    <x v="0"/>
    <x v="11"/>
    <x v="5"/>
    <x v="5"/>
    <x v="39"/>
    <n v="12"/>
    <n v="42108"/>
    <n v="11088"/>
  </r>
  <r>
    <x v="12"/>
    <x v="1"/>
    <x v="12"/>
    <x v="5"/>
    <x v="5"/>
    <x v="39"/>
    <n v="17"/>
    <n v="56015"/>
    <n v="15708"/>
  </r>
  <r>
    <x v="13"/>
    <x v="1"/>
    <x v="13"/>
    <x v="5"/>
    <x v="5"/>
    <x v="39"/>
    <n v="11"/>
    <n v="40392"/>
    <n v="10164"/>
  </r>
  <r>
    <x v="14"/>
    <x v="1"/>
    <x v="14"/>
    <x v="5"/>
    <x v="5"/>
    <x v="39"/>
    <n v="9"/>
    <n v="26964"/>
    <n v="8316"/>
  </r>
  <r>
    <x v="15"/>
    <x v="1"/>
    <x v="15"/>
    <x v="5"/>
    <x v="5"/>
    <x v="39"/>
    <n v="16"/>
    <n v="54432"/>
    <n v="14784"/>
  </r>
  <r>
    <x v="16"/>
    <x v="1"/>
    <x v="16"/>
    <x v="5"/>
    <x v="5"/>
    <x v="39"/>
    <n v="20"/>
    <n v="78800"/>
    <n v="18480"/>
  </r>
  <r>
    <x v="17"/>
    <x v="1"/>
    <x v="17"/>
    <x v="5"/>
    <x v="5"/>
    <x v="39"/>
    <n v="19"/>
    <n v="72637"/>
    <n v="17556"/>
  </r>
  <r>
    <x v="18"/>
    <x v="1"/>
    <x v="18"/>
    <x v="5"/>
    <x v="5"/>
    <x v="39"/>
    <n v="20"/>
    <n v="31360"/>
    <n v="18480"/>
  </r>
  <r>
    <x v="19"/>
    <x v="1"/>
    <x v="19"/>
    <x v="5"/>
    <x v="5"/>
    <x v="39"/>
    <n v="17"/>
    <n v="48144"/>
    <n v="15708"/>
  </r>
  <r>
    <x v="20"/>
    <x v="1"/>
    <x v="20"/>
    <x v="5"/>
    <x v="5"/>
    <x v="39"/>
    <n v="18"/>
    <n v="54378"/>
    <n v="16632"/>
  </r>
  <r>
    <x v="21"/>
    <x v="1"/>
    <x v="21"/>
    <x v="5"/>
    <x v="5"/>
    <x v="39"/>
    <n v="15"/>
    <n v="51900"/>
    <n v="13860"/>
  </r>
  <r>
    <x v="22"/>
    <x v="1"/>
    <x v="22"/>
    <x v="5"/>
    <x v="5"/>
    <x v="39"/>
    <n v="11"/>
    <n v="38434"/>
    <n v="10164"/>
  </r>
  <r>
    <x v="23"/>
    <x v="1"/>
    <x v="23"/>
    <x v="5"/>
    <x v="5"/>
    <x v="39"/>
    <n v="13"/>
    <n v="30186"/>
    <n v="12012"/>
  </r>
  <r>
    <x v="0"/>
    <x v="0"/>
    <x v="0"/>
    <x v="5"/>
    <x v="5"/>
    <x v="40"/>
    <n v="12"/>
    <n v="43956"/>
    <n v="13104"/>
  </r>
  <r>
    <x v="1"/>
    <x v="0"/>
    <x v="1"/>
    <x v="5"/>
    <x v="5"/>
    <x v="40"/>
    <n v="8"/>
    <n v="30784"/>
    <n v="8736"/>
  </r>
  <r>
    <x v="2"/>
    <x v="0"/>
    <x v="2"/>
    <x v="5"/>
    <x v="5"/>
    <x v="40"/>
    <n v="6"/>
    <n v="17610"/>
    <n v="6552"/>
  </r>
  <r>
    <x v="3"/>
    <x v="0"/>
    <x v="3"/>
    <x v="5"/>
    <x v="5"/>
    <x v="40"/>
    <n v="12"/>
    <n v="52536"/>
    <n v="13104"/>
  </r>
  <r>
    <x v="4"/>
    <x v="0"/>
    <x v="4"/>
    <x v="5"/>
    <x v="5"/>
    <x v="40"/>
    <n v="14"/>
    <n v="60158"/>
    <n v="15288"/>
  </r>
  <r>
    <x v="5"/>
    <x v="0"/>
    <x v="5"/>
    <x v="5"/>
    <x v="5"/>
    <x v="40"/>
    <n v="14"/>
    <n v="55118"/>
    <n v="15288"/>
  </r>
  <r>
    <x v="6"/>
    <x v="0"/>
    <x v="6"/>
    <x v="5"/>
    <x v="5"/>
    <x v="40"/>
    <n v="14"/>
    <n v="34622"/>
    <n v="15288"/>
  </r>
  <r>
    <x v="7"/>
    <x v="0"/>
    <x v="7"/>
    <x v="5"/>
    <x v="5"/>
    <x v="40"/>
    <n v="12"/>
    <n v="37812"/>
    <n v="13104"/>
  </r>
  <r>
    <x v="8"/>
    <x v="0"/>
    <x v="8"/>
    <x v="5"/>
    <x v="5"/>
    <x v="40"/>
    <n v="13"/>
    <n v="44148"/>
    <n v="14196"/>
  </r>
  <r>
    <x v="9"/>
    <x v="0"/>
    <x v="9"/>
    <x v="5"/>
    <x v="5"/>
    <x v="40"/>
    <n v="11"/>
    <n v="42526"/>
    <n v="12012"/>
  </r>
  <r>
    <x v="10"/>
    <x v="0"/>
    <x v="10"/>
    <x v="5"/>
    <x v="5"/>
    <x v="40"/>
    <n v="8"/>
    <n v="33232"/>
    <n v="8736"/>
  </r>
  <r>
    <x v="11"/>
    <x v="0"/>
    <x v="11"/>
    <x v="5"/>
    <x v="5"/>
    <x v="40"/>
    <n v="9"/>
    <n v="28800"/>
    <n v="9828"/>
  </r>
  <r>
    <x v="12"/>
    <x v="1"/>
    <x v="12"/>
    <x v="5"/>
    <x v="5"/>
    <x v="40"/>
    <n v="13"/>
    <n v="41717"/>
    <n v="14196"/>
  </r>
  <r>
    <x v="13"/>
    <x v="1"/>
    <x v="13"/>
    <x v="5"/>
    <x v="5"/>
    <x v="40"/>
    <n v="9"/>
    <n v="37701"/>
    <n v="9828"/>
  </r>
  <r>
    <x v="14"/>
    <x v="1"/>
    <x v="14"/>
    <x v="5"/>
    <x v="5"/>
    <x v="40"/>
    <n v="7"/>
    <n v="27692"/>
    <n v="7644"/>
  </r>
  <r>
    <x v="15"/>
    <x v="1"/>
    <x v="15"/>
    <x v="5"/>
    <x v="5"/>
    <x v="40"/>
    <n v="13"/>
    <n v="61256"/>
    <n v="14196"/>
  </r>
  <r>
    <x v="16"/>
    <x v="1"/>
    <x v="16"/>
    <x v="5"/>
    <x v="5"/>
    <x v="40"/>
    <n v="16"/>
    <n v="79024"/>
    <n v="17472"/>
  </r>
  <r>
    <x v="17"/>
    <x v="1"/>
    <x v="17"/>
    <x v="5"/>
    <x v="5"/>
    <x v="40"/>
    <n v="15"/>
    <n v="57345"/>
    <n v="16380"/>
  </r>
  <r>
    <x v="18"/>
    <x v="1"/>
    <x v="18"/>
    <x v="5"/>
    <x v="5"/>
    <x v="40"/>
    <n v="16"/>
    <n v="30336"/>
    <n v="17472"/>
  </r>
  <r>
    <x v="19"/>
    <x v="1"/>
    <x v="19"/>
    <x v="5"/>
    <x v="5"/>
    <x v="40"/>
    <n v="13"/>
    <n v="38233"/>
    <n v="14196"/>
  </r>
  <r>
    <x v="20"/>
    <x v="1"/>
    <x v="20"/>
    <x v="5"/>
    <x v="5"/>
    <x v="40"/>
    <n v="14"/>
    <n v="43876"/>
    <n v="15288"/>
  </r>
  <r>
    <x v="21"/>
    <x v="1"/>
    <x v="21"/>
    <x v="5"/>
    <x v="5"/>
    <x v="40"/>
    <n v="12"/>
    <n v="43104"/>
    <n v="13104"/>
  </r>
  <r>
    <x v="22"/>
    <x v="1"/>
    <x v="22"/>
    <x v="5"/>
    <x v="5"/>
    <x v="40"/>
    <n v="9"/>
    <n v="37107"/>
    <n v="9828"/>
  </r>
  <r>
    <x v="23"/>
    <x v="1"/>
    <x v="23"/>
    <x v="5"/>
    <x v="5"/>
    <x v="40"/>
    <n v="10"/>
    <n v="33030"/>
    <n v="10920"/>
  </r>
  <r>
    <x v="0"/>
    <x v="0"/>
    <x v="0"/>
    <x v="5"/>
    <x v="5"/>
    <x v="41"/>
    <n v="16"/>
    <n v="54496"/>
    <n v="13984"/>
  </r>
  <r>
    <x v="1"/>
    <x v="0"/>
    <x v="1"/>
    <x v="5"/>
    <x v="5"/>
    <x v="41"/>
    <n v="10"/>
    <n v="28020"/>
    <n v="8740"/>
  </r>
  <r>
    <x v="2"/>
    <x v="0"/>
    <x v="2"/>
    <x v="5"/>
    <x v="5"/>
    <x v="41"/>
    <n v="8"/>
    <n v="24056"/>
    <n v="6992"/>
  </r>
  <r>
    <x v="3"/>
    <x v="0"/>
    <x v="3"/>
    <x v="5"/>
    <x v="5"/>
    <x v="41"/>
    <n v="15"/>
    <n v="53160"/>
    <n v="13110"/>
  </r>
  <r>
    <x v="4"/>
    <x v="0"/>
    <x v="4"/>
    <x v="5"/>
    <x v="5"/>
    <x v="41"/>
    <n v="18"/>
    <n v="76032"/>
    <n v="15732"/>
  </r>
  <r>
    <x v="5"/>
    <x v="0"/>
    <x v="5"/>
    <x v="5"/>
    <x v="5"/>
    <x v="41"/>
    <n v="17"/>
    <n v="51068"/>
    <n v="14858"/>
  </r>
  <r>
    <x v="6"/>
    <x v="0"/>
    <x v="6"/>
    <x v="5"/>
    <x v="5"/>
    <x v="41"/>
    <n v="18"/>
    <n v="30546"/>
    <n v="15732"/>
  </r>
  <r>
    <x v="7"/>
    <x v="0"/>
    <x v="7"/>
    <x v="5"/>
    <x v="5"/>
    <x v="41"/>
    <n v="16"/>
    <n v="30928"/>
    <n v="13984"/>
  </r>
  <r>
    <x v="8"/>
    <x v="0"/>
    <x v="8"/>
    <x v="5"/>
    <x v="5"/>
    <x v="41"/>
    <n v="17"/>
    <n v="48433"/>
    <n v="14858"/>
  </r>
  <r>
    <x v="9"/>
    <x v="0"/>
    <x v="9"/>
    <x v="5"/>
    <x v="5"/>
    <x v="41"/>
    <n v="14"/>
    <n v="54264"/>
    <n v="12236"/>
  </r>
  <r>
    <x v="10"/>
    <x v="0"/>
    <x v="10"/>
    <x v="5"/>
    <x v="5"/>
    <x v="41"/>
    <n v="10"/>
    <n v="28670"/>
    <n v="8740"/>
  </r>
  <r>
    <x v="11"/>
    <x v="0"/>
    <x v="11"/>
    <x v="5"/>
    <x v="5"/>
    <x v="41"/>
    <n v="12"/>
    <n v="34080"/>
    <n v="10488"/>
  </r>
  <r>
    <x v="12"/>
    <x v="1"/>
    <x v="12"/>
    <x v="5"/>
    <x v="5"/>
    <x v="41"/>
    <n v="17"/>
    <n v="45917"/>
    <n v="14858"/>
  </r>
  <r>
    <x v="13"/>
    <x v="1"/>
    <x v="13"/>
    <x v="5"/>
    <x v="5"/>
    <x v="41"/>
    <n v="11"/>
    <n v="35783"/>
    <n v="9614"/>
  </r>
  <r>
    <x v="14"/>
    <x v="1"/>
    <x v="14"/>
    <x v="5"/>
    <x v="5"/>
    <x v="41"/>
    <n v="9"/>
    <n v="23229"/>
    <n v="7866"/>
  </r>
  <r>
    <x v="15"/>
    <x v="1"/>
    <x v="15"/>
    <x v="5"/>
    <x v="5"/>
    <x v="41"/>
    <n v="16"/>
    <n v="51696"/>
    <n v="13984"/>
  </r>
  <r>
    <x v="16"/>
    <x v="1"/>
    <x v="16"/>
    <x v="5"/>
    <x v="5"/>
    <x v="41"/>
    <n v="20"/>
    <n v="71780"/>
    <n v="17480"/>
  </r>
  <r>
    <x v="17"/>
    <x v="1"/>
    <x v="17"/>
    <x v="5"/>
    <x v="5"/>
    <x v="41"/>
    <n v="19"/>
    <n v="62320"/>
    <n v="16606"/>
  </r>
  <r>
    <x v="18"/>
    <x v="1"/>
    <x v="18"/>
    <x v="5"/>
    <x v="5"/>
    <x v="41"/>
    <n v="20"/>
    <n v="30600"/>
    <n v="17480"/>
  </r>
  <r>
    <x v="19"/>
    <x v="1"/>
    <x v="19"/>
    <x v="5"/>
    <x v="5"/>
    <x v="41"/>
    <n v="17"/>
    <n v="39559"/>
    <n v="14858"/>
  </r>
  <r>
    <x v="20"/>
    <x v="1"/>
    <x v="20"/>
    <x v="5"/>
    <x v="5"/>
    <x v="41"/>
    <n v="18"/>
    <n v="49464"/>
    <n v="15732"/>
  </r>
  <r>
    <x v="21"/>
    <x v="1"/>
    <x v="21"/>
    <x v="5"/>
    <x v="5"/>
    <x v="41"/>
    <n v="15"/>
    <n v="45420"/>
    <n v="13110"/>
  </r>
  <r>
    <x v="22"/>
    <x v="1"/>
    <x v="22"/>
    <x v="5"/>
    <x v="5"/>
    <x v="41"/>
    <n v="11"/>
    <n v="30910"/>
    <n v="9614"/>
  </r>
  <r>
    <x v="23"/>
    <x v="1"/>
    <x v="23"/>
    <x v="5"/>
    <x v="5"/>
    <x v="41"/>
    <n v="13"/>
    <n v="37414"/>
    <n v="11362"/>
  </r>
  <r>
    <x v="0"/>
    <x v="0"/>
    <x v="0"/>
    <x v="6"/>
    <x v="0"/>
    <x v="0"/>
    <n v="90"/>
    <n v="1006740"/>
    <n v="540000"/>
  </r>
  <r>
    <x v="1"/>
    <x v="0"/>
    <x v="1"/>
    <x v="6"/>
    <x v="0"/>
    <x v="0"/>
    <n v="57"/>
    <n v="619932"/>
    <n v="342000"/>
  </r>
  <r>
    <x v="2"/>
    <x v="0"/>
    <x v="2"/>
    <x v="6"/>
    <x v="0"/>
    <x v="0"/>
    <n v="45"/>
    <n v="465705"/>
    <n v="270000"/>
  </r>
  <r>
    <x v="3"/>
    <x v="0"/>
    <x v="3"/>
    <x v="6"/>
    <x v="0"/>
    <x v="0"/>
    <n v="85"/>
    <n v="1004190"/>
    <n v="510000"/>
  </r>
  <r>
    <x v="4"/>
    <x v="0"/>
    <x v="4"/>
    <x v="6"/>
    <x v="0"/>
    <x v="0"/>
    <n v="107"/>
    <n v="1263242"/>
    <n v="642000"/>
  </r>
  <r>
    <x v="5"/>
    <x v="0"/>
    <x v="5"/>
    <x v="6"/>
    <x v="0"/>
    <x v="0"/>
    <n v="101"/>
    <n v="1081811"/>
    <n v="606000"/>
  </r>
  <r>
    <x v="6"/>
    <x v="0"/>
    <x v="6"/>
    <x v="6"/>
    <x v="0"/>
    <x v="0"/>
    <n v="107"/>
    <n v="999594"/>
    <n v="642000"/>
  </r>
  <r>
    <x v="7"/>
    <x v="0"/>
    <x v="7"/>
    <x v="6"/>
    <x v="0"/>
    <x v="0"/>
    <n v="90"/>
    <n v="947970"/>
    <n v="540000"/>
  </r>
  <r>
    <x v="8"/>
    <x v="0"/>
    <x v="8"/>
    <x v="6"/>
    <x v="0"/>
    <x v="0"/>
    <n v="96"/>
    <n v="995520"/>
    <n v="576000"/>
  </r>
  <r>
    <x v="9"/>
    <x v="0"/>
    <x v="9"/>
    <x v="6"/>
    <x v="0"/>
    <x v="0"/>
    <n v="79"/>
    <n v="911344"/>
    <n v="474000"/>
  </r>
  <r>
    <x v="10"/>
    <x v="0"/>
    <x v="10"/>
    <x v="6"/>
    <x v="0"/>
    <x v="0"/>
    <n v="57"/>
    <n v="675621"/>
    <n v="342000"/>
  </r>
  <r>
    <x v="11"/>
    <x v="0"/>
    <x v="11"/>
    <x v="6"/>
    <x v="0"/>
    <x v="0"/>
    <n v="68"/>
    <n v="752896"/>
    <n v="408000"/>
  </r>
  <r>
    <x v="12"/>
    <x v="1"/>
    <x v="12"/>
    <x v="6"/>
    <x v="0"/>
    <x v="0"/>
    <n v="99"/>
    <n v="1117512"/>
    <n v="594000"/>
  </r>
  <r>
    <x v="13"/>
    <x v="1"/>
    <x v="13"/>
    <x v="6"/>
    <x v="0"/>
    <x v="0"/>
    <n v="62"/>
    <n v="690246"/>
    <n v="372000"/>
  </r>
  <r>
    <x v="14"/>
    <x v="1"/>
    <x v="14"/>
    <x v="6"/>
    <x v="0"/>
    <x v="0"/>
    <n v="50"/>
    <n v="542000"/>
    <n v="300000"/>
  </r>
  <r>
    <x v="15"/>
    <x v="1"/>
    <x v="15"/>
    <x v="6"/>
    <x v="0"/>
    <x v="0"/>
    <n v="93"/>
    <n v="1102143"/>
    <n v="558000"/>
  </r>
  <r>
    <x v="16"/>
    <x v="1"/>
    <x v="16"/>
    <x v="6"/>
    <x v="0"/>
    <x v="0"/>
    <n v="118"/>
    <n v="1391456"/>
    <n v="708000"/>
  </r>
  <r>
    <x v="17"/>
    <x v="1"/>
    <x v="17"/>
    <x v="6"/>
    <x v="0"/>
    <x v="0"/>
    <n v="111"/>
    <n v="1262403"/>
    <n v="666000"/>
  </r>
  <r>
    <x v="18"/>
    <x v="1"/>
    <x v="18"/>
    <x v="6"/>
    <x v="0"/>
    <x v="0"/>
    <n v="118"/>
    <n v="1154276"/>
    <n v="708000"/>
  </r>
  <r>
    <x v="19"/>
    <x v="1"/>
    <x v="19"/>
    <x v="6"/>
    <x v="0"/>
    <x v="0"/>
    <n v="99"/>
    <n v="1035342"/>
    <n v="594000"/>
  </r>
  <r>
    <x v="20"/>
    <x v="1"/>
    <x v="20"/>
    <x v="6"/>
    <x v="0"/>
    <x v="0"/>
    <n v="105"/>
    <n v="1138830"/>
    <n v="630000"/>
  </r>
  <r>
    <x v="21"/>
    <x v="1"/>
    <x v="21"/>
    <x v="6"/>
    <x v="0"/>
    <x v="0"/>
    <n v="87"/>
    <n v="960306"/>
    <n v="522000"/>
  </r>
  <r>
    <x v="22"/>
    <x v="1"/>
    <x v="22"/>
    <x v="6"/>
    <x v="0"/>
    <x v="0"/>
    <n v="62"/>
    <n v="683054"/>
    <n v="372000"/>
  </r>
  <r>
    <x v="23"/>
    <x v="1"/>
    <x v="23"/>
    <x v="6"/>
    <x v="0"/>
    <x v="0"/>
    <n v="74"/>
    <n v="804528"/>
    <n v="444000"/>
  </r>
  <r>
    <x v="0"/>
    <x v="0"/>
    <x v="0"/>
    <x v="6"/>
    <x v="0"/>
    <x v="1"/>
    <n v="83"/>
    <n v="1058748"/>
    <n v="587640"/>
  </r>
  <r>
    <x v="1"/>
    <x v="0"/>
    <x v="1"/>
    <x v="6"/>
    <x v="0"/>
    <x v="1"/>
    <n v="52"/>
    <n v="699556"/>
    <n v="368160"/>
  </r>
  <r>
    <x v="2"/>
    <x v="0"/>
    <x v="2"/>
    <x v="6"/>
    <x v="0"/>
    <x v="1"/>
    <n v="42"/>
    <n v="547974"/>
    <n v="297360"/>
  </r>
  <r>
    <x v="3"/>
    <x v="0"/>
    <x v="3"/>
    <x v="6"/>
    <x v="0"/>
    <x v="1"/>
    <n v="77"/>
    <n v="1110109"/>
    <n v="545160"/>
  </r>
  <r>
    <x v="4"/>
    <x v="0"/>
    <x v="4"/>
    <x v="6"/>
    <x v="0"/>
    <x v="1"/>
    <n v="98"/>
    <n v="1376214"/>
    <n v="693840"/>
  </r>
  <r>
    <x v="5"/>
    <x v="0"/>
    <x v="5"/>
    <x v="6"/>
    <x v="0"/>
    <x v="1"/>
    <n v="93"/>
    <n v="1261173"/>
    <n v="658440"/>
  </r>
  <r>
    <x v="6"/>
    <x v="0"/>
    <x v="6"/>
    <x v="6"/>
    <x v="0"/>
    <x v="1"/>
    <n v="98"/>
    <n v="1183448"/>
    <n v="693840"/>
  </r>
  <r>
    <x v="7"/>
    <x v="0"/>
    <x v="7"/>
    <x v="6"/>
    <x v="0"/>
    <x v="1"/>
    <n v="83"/>
    <n v="1037583"/>
    <n v="587640"/>
  </r>
  <r>
    <x v="8"/>
    <x v="0"/>
    <x v="8"/>
    <x v="6"/>
    <x v="0"/>
    <x v="1"/>
    <n v="88"/>
    <n v="1110208"/>
    <n v="623040"/>
  </r>
  <r>
    <x v="9"/>
    <x v="0"/>
    <x v="9"/>
    <x v="6"/>
    <x v="0"/>
    <x v="1"/>
    <n v="72"/>
    <n v="957096"/>
    <n v="509760"/>
  </r>
  <r>
    <x v="10"/>
    <x v="0"/>
    <x v="10"/>
    <x v="6"/>
    <x v="0"/>
    <x v="1"/>
    <n v="52"/>
    <n v="658632"/>
    <n v="368160"/>
  </r>
  <r>
    <x v="11"/>
    <x v="0"/>
    <x v="11"/>
    <x v="6"/>
    <x v="0"/>
    <x v="1"/>
    <n v="62"/>
    <n v="769358"/>
    <n v="438960"/>
  </r>
  <r>
    <x v="12"/>
    <x v="1"/>
    <x v="12"/>
    <x v="6"/>
    <x v="0"/>
    <x v="1"/>
    <n v="91"/>
    <n v="1182272"/>
    <n v="644280"/>
  </r>
  <r>
    <x v="13"/>
    <x v="1"/>
    <x v="13"/>
    <x v="6"/>
    <x v="0"/>
    <x v="1"/>
    <n v="57"/>
    <n v="783009"/>
    <n v="403560"/>
  </r>
  <r>
    <x v="14"/>
    <x v="1"/>
    <x v="14"/>
    <x v="6"/>
    <x v="0"/>
    <x v="1"/>
    <n v="46"/>
    <n v="580658"/>
    <n v="325680"/>
  </r>
  <r>
    <x v="15"/>
    <x v="1"/>
    <x v="15"/>
    <x v="6"/>
    <x v="0"/>
    <x v="1"/>
    <n v="85"/>
    <n v="1209040"/>
    <n v="601800"/>
  </r>
  <r>
    <x v="16"/>
    <x v="1"/>
    <x v="16"/>
    <x v="6"/>
    <x v="0"/>
    <x v="1"/>
    <n v="108"/>
    <n v="1521504"/>
    <n v="764640"/>
  </r>
  <r>
    <x v="17"/>
    <x v="1"/>
    <x v="17"/>
    <x v="6"/>
    <x v="0"/>
    <x v="1"/>
    <n v="102"/>
    <n v="1370880"/>
    <n v="722160"/>
  </r>
  <r>
    <x v="18"/>
    <x v="1"/>
    <x v="18"/>
    <x v="6"/>
    <x v="0"/>
    <x v="1"/>
    <n v="108"/>
    <n v="1247508"/>
    <n v="764640"/>
  </r>
  <r>
    <x v="19"/>
    <x v="1"/>
    <x v="19"/>
    <x v="6"/>
    <x v="0"/>
    <x v="1"/>
    <n v="91"/>
    <n v="1179269"/>
    <n v="644280"/>
  </r>
  <r>
    <x v="20"/>
    <x v="1"/>
    <x v="20"/>
    <x v="6"/>
    <x v="0"/>
    <x v="1"/>
    <n v="96"/>
    <n v="1272288"/>
    <n v="679680"/>
  </r>
  <r>
    <x v="21"/>
    <x v="1"/>
    <x v="21"/>
    <x v="6"/>
    <x v="0"/>
    <x v="1"/>
    <n v="80"/>
    <n v="1108160"/>
    <n v="566400"/>
  </r>
  <r>
    <x v="22"/>
    <x v="1"/>
    <x v="22"/>
    <x v="6"/>
    <x v="0"/>
    <x v="1"/>
    <n v="57"/>
    <n v="754452"/>
    <n v="403560"/>
  </r>
  <r>
    <x v="23"/>
    <x v="1"/>
    <x v="23"/>
    <x v="6"/>
    <x v="0"/>
    <x v="1"/>
    <n v="68"/>
    <n v="889848"/>
    <n v="481440"/>
  </r>
  <r>
    <x v="0"/>
    <x v="0"/>
    <x v="0"/>
    <x v="6"/>
    <x v="0"/>
    <x v="2"/>
    <n v="83"/>
    <n v="2156921"/>
    <n v="871500"/>
  </r>
  <r>
    <x v="1"/>
    <x v="0"/>
    <x v="1"/>
    <x v="6"/>
    <x v="0"/>
    <x v="2"/>
    <n v="52"/>
    <n v="1360372"/>
    <n v="546000"/>
  </r>
  <r>
    <x v="2"/>
    <x v="0"/>
    <x v="2"/>
    <x v="6"/>
    <x v="0"/>
    <x v="2"/>
    <n v="42"/>
    <n v="1058358"/>
    <n v="441000"/>
  </r>
  <r>
    <x v="3"/>
    <x v="0"/>
    <x v="3"/>
    <x v="6"/>
    <x v="0"/>
    <x v="2"/>
    <n v="77"/>
    <n v="2112341"/>
    <n v="808500"/>
  </r>
  <r>
    <x v="4"/>
    <x v="0"/>
    <x v="4"/>
    <x v="6"/>
    <x v="0"/>
    <x v="2"/>
    <n v="98"/>
    <n v="2667560"/>
    <n v="1029000"/>
  </r>
  <r>
    <x v="5"/>
    <x v="0"/>
    <x v="5"/>
    <x v="6"/>
    <x v="0"/>
    <x v="2"/>
    <n v="93"/>
    <n v="2458827"/>
    <n v="976500"/>
  </r>
  <r>
    <x v="6"/>
    <x v="0"/>
    <x v="6"/>
    <x v="6"/>
    <x v="0"/>
    <x v="2"/>
    <n v="98"/>
    <n v="2488710"/>
    <n v="1029000"/>
  </r>
  <r>
    <x v="7"/>
    <x v="0"/>
    <x v="7"/>
    <x v="6"/>
    <x v="0"/>
    <x v="2"/>
    <n v="83"/>
    <n v="2080561"/>
    <n v="871500"/>
  </r>
  <r>
    <x v="8"/>
    <x v="0"/>
    <x v="8"/>
    <x v="6"/>
    <x v="0"/>
    <x v="2"/>
    <n v="88"/>
    <n v="2315456"/>
    <n v="924000"/>
  </r>
  <r>
    <x v="9"/>
    <x v="0"/>
    <x v="9"/>
    <x v="6"/>
    <x v="0"/>
    <x v="2"/>
    <n v="72"/>
    <n v="1917144"/>
    <n v="756000"/>
  </r>
  <r>
    <x v="10"/>
    <x v="0"/>
    <x v="10"/>
    <x v="6"/>
    <x v="0"/>
    <x v="2"/>
    <n v="52"/>
    <n v="1374048"/>
    <n v="546000"/>
  </r>
  <r>
    <x v="11"/>
    <x v="0"/>
    <x v="11"/>
    <x v="6"/>
    <x v="0"/>
    <x v="2"/>
    <n v="62"/>
    <n v="1580814"/>
    <n v="651000"/>
  </r>
  <r>
    <x v="12"/>
    <x v="1"/>
    <x v="12"/>
    <x v="6"/>
    <x v="0"/>
    <x v="2"/>
    <n v="91"/>
    <n v="2404129"/>
    <n v="955500"/>
  </r>
  <r>
    <x v="13"/>
    <x v="1"/>
    <x v="13"/>
    <x v="6"/>
    <x v="0"/>
    <x v="2"/>
    <n v="57"/>
    <n v="1499898"/>
    <n v="598500"/>
  </r>
  <r>
    <x v="14"/>
    <x v="1"/>
    <x v="14"/>
    <x v="6"/>
    <x v="0"/>
    <x v="2"/>
    <n v="46"/>
    <n v="1175024"/>
    <n v="483000"/>
  </r>
  <r>
    <x v="15"/>
    <x v="1"/>
    <x v="15"/>
    <x v="6"/>
    <x v="0"/>
    <x v="2"/>
    <n v="85"/>
    <n v="2277490"/>
    <n v="892500"/>
  </r>
  <r>
    <x v="16"/>
    <x v="1"/>
    <x v="16"/>
    <x v="6"/>
    <x v="0"/>
    <x v="2"/>
    <n v="108"/>
    <n v="2908440"/>
    <n v="1134000"/>
  </r>
  <r>
    <x v="17"/>
    <x v="1"/>
    <x v="17"/>
    <x v="6"/>
    <x v="0"/>
    <x v="2"/>
    <n v="102"/>
    <n v="2666484"/>
    <n v="1071000"/>
  </r>
  <r>
    <x v="18"/>
    <x v="1"/>
    <x v="18"/>
    <x v="6"/>
    <x v="0"/>
    <x v="2"/>
    <n v="108"/>
    <n v="2614248"/>
    <n v="1134000"/>
  </r>
  <r>
    <x v="19"/>
    <x v="1"/>
    <x v="19"/>
    <x v="6"/>
    <x v="0"/>
    <x v="2"/>
    <n v="91"/>
    <n v="2337517"/>
    <n v="955500"/>
  </r>
  <r>
    <x v="20"/>
    <x v="1"/>
    <x v="20"/>
    <x v="6"/>
    <x v="0"/>
    <x v="2"/>
    <n v="96"/>
    <n v="2498400"/>
    <n v="1008000"/>
  </r>
  <r>
    <x v="21"/>
    <x v="1"/>
    <x v="21"/>
    <x v="6"/>
    <x v="0"/>
    <x v="2"/>
    <n v="80"/>
    <n v="2115840"/>
    <n v="840000"/>
  </r>
  <r>
    <x v="22"/>
    <x v="1"/>
    <x v="22"/>
    <x v="6"/>
    <x v="0"/>
    <x v="2"/>
    <n v="57"/>
    <n v="1493172"/>
    <n v="598500"/>
  </r>
  <r>
    <x v="23"/>
    <x v="1"/>
    <x v="23"/>
    <x v="6"/>
    <x v="0"/>
    <x v="2"/>
    <n v="68"/>
    <n v="1754468"/>
    <n v="714000"/>
  </r>
  <r>
    <x v="0"/>
    <x v="0"/>
    <x v="0"/>
    <x v="6"/>
    <x v="0"/>
    <x v="3"/>
    <n v="89"/>
    <n v="1645432"/>
    <n v="665720"/>
  </r>
  <r>
    <x v="1"/>
    <x v="0"/>
    <x v="1"/>
    <x v="6"/>
    <x v="0"/>
    <x v="3"/>
    <n v="56"/>
    <n v="1062880"/>
    <n v="418880"/>
  </r>
  <r>
    <x v="2"/>
    <x v="0"/>
    <x v="2"/>
    <x v="6"/>
    <x v="0"/>
    <x v="3"/>
    <n v="45"/>
    <n v="773595"/>
    <n v="336600"/>
  </r>
  <r>
    <x v="3"/>
    <x v="0"/>
    <x v="3"/>
    <x v="6"/>
    <x v="0"/>
    <x v="3"/>
    <n v="84"/>
    <n v="1567608"/>
    <n v="628320"/>
  </r>
  <r>
    <x v="4"/>
    <x v="0"/>
    <x v="4"/>
    <x v="6"/>
    <x v="0"/>
    <x v="3"/>
    <n v="106"/>
    <n v="1997676"/>
    <n v="792880"/>
  </r>
  <r>
    <x v="5"/>
    <x v="0"/>
    <x v="5"/>
    <x v="6"/>
    <x v="0"/>
    <x v="3"/>
    <n v="101"/>
    <n v="1842644"/>
    <n v="755480"/>
  </r>
  <r>
    <x v="6"/>
    <x v="0"/>
    <x v="6"/>
    <x v="6"/>
    <x v="0"/>
    <x v="3"/>
    <n v="106"/>
    <n v="1771684"/>
    <n v="792880"/>
  </r>
  <r>
    <x v="7"/>
    <x v="0"/>
    <x v="7"/>
    <x v="6"/>
    <x v="0"/>
    <x v="3"/>
    <n v="89"/>
    <n v="1618109"/>
    <n v="665720"/>
  </r>
  <r>
    <x v="8"/>
    <x v="0"/>
    <x v="8"/>
    <x v="6"/>
    <x v="0"/>
    <x v="3"/>
    <n v="95"/>
    <n v="1714370"/>
    <n v="710600"/>
  </r>
  <r>
    <x v="9"/>
    <x v="0"/>
    <x v="9"/>
    <x v="6"/>
    <x v="0"/>
    <x v="3"/>
    <n v="78"/>
    <n v="1467804"/>
    <n v="583440"/>
  </r>
  <r>
    <x v="10"/>
    <x v="0"/>
    <x v="10"/>
    <x v="6"/>
    <x v="0"/>
    <x v="3"/>
    <n v="56"/>
    <n v="1019536"/>
    <n v="418880"/>
  </r>
  <r>
    <x v="11"/>
    <x v="0"/>
    <x v="11"/>
    <x v="6"/>
    <x v="0"/>
    <x v="3"/>
    <n v="67"/>
    <n v="1199099"/>
    <n v="501160"/>
  </r>
  <r>
    <x v="12"/>
    <x v="1"/>
    <x v="12"/>
    <x v="6"/>
    <x v="0"/>
    <x v="3"/>
    <n v="98"/>
    <n v="1750574"/>
    <n v="733040"/>
  </r>
  <r>
    <x v="13"/>
    <x v="1"/>
    <x v="13"/>
    <x v="6"/>
    <x v="0"/>
    <x v="3"/>
    <n v="62"/>
    <n v="1117302"/>
    <n v="463760"/>
  </r>
  <r>
    <x v="14"/>
    <x v="1"/>
    <x v="14"/>
    <x v="6"/>
    <x v="0"/>
    <x v="3"/>
    <n v="49"/>
    <n v="886900"/>
    <n v="366520"/>
  </r>
  <r>
    <x v="15"/>
    <x v="1"/>
    <x v="15"/>
    <x v="6"/>
    <x v="0"/>
    <x v="3"/>
    <n v="92"/>
    <n v="1683232"/>
    <n v="688160"/>
  </r>
  <r>
    <x v="16"/>
    <x v="1"/>
    <x v="16"/>
    <x v="6"/>
    <x v="0"/>
    <x v="3"/>
    <n v="117"/>
    <n v="2207790"/>
    <n v="875160"/>
  </r>
  <r>
    <x v="17"/>
    <x v="1"/>
    <x v="17"/>
    <x v="6"/>
    <x v="0"/>
    <x v="3"/>
    <n v="111"/>
    <n v="2075922"/>
    <n v="830280"/>
  </r>
  <r>
    <x v="18"/>
    <x v="1"/>
    <x v="18"/>
    <x v="6"/>
    <x v="0"/>
    <x v="3"/>
    <n v="117"/>
    <n v="1968642"/>
    <n v="875160"/>
  </r>
  <r>
    <x v="19"/>
    <x v="1"/>
    <x v="19"/>
    <x v="6"/>
    <x v="0"/>
    <x v="3"/>
    <n v="98"/>
    <n v="1666686"/>
    <n v="733040"/>
  </r>
  <r>
    <x v="20"/>
    <x v="1"/>
    <x v="20"/>
    <x v="6"/>
    <x v="0"/>
    <x v="3"/>
    <n v="104"/>
    <n v="1898312"/>
    <n v="777920"/>
  </r>
  <r>
    <x v="21"/>
    <x v="1"/>
    <x v="21"/>
    <x v="6"/>
    <x v="0"/>
    <x v="3"/>
    <n v="86"/>
    <n v="1628668"/>
    <n v="643280"/>
  </r>
  <r>
    <x v="22"/>
    <x v="1"/>
    <x v="22"/>
    <x v="6"/>
    <x v="0"/>
    <x v="3"/>
    <n v="62"/>
    <n v="1149666"/>
    <n v="463760"/>
  </r>
  <r>
    <x v="23"/>
    <x v="1"/>
    <x v="23"/>
    <x v="6"/>
    <x v="0"/>
    <x v="3"/>
    <n v="74"/>
    <n v="1299588"/>
    <n v="553520"/>
  </r>
  <r>
    <x v="0"/>
    <x v="0"/>
    <x v="0"/>
    <x v="6"/>
    <x v="0"/>
    <x v="4"/>
    <n v="70"/>
    <n v="2166710"/>
    <n v="1176000"/>
  </r>
  <r>
    <x v="1"/>
    <x v="0"/>
    <x v="1"/>
    <x v="6"/>
    <x v="0"/>
    <x v="4"/>
    <n v="44"/>
    <n v="1393084"/>
    <n v="739200"/>
  </r>
  <r>
    <x v="2"/>
    <x v="0"/>
    <x v="2"/>
    <x v="6"/>
    <x v="0"/>
    <x v="4"/>
    <n v="35"/>
    <n v="1078980"/>
    <n v="588000"/>
  </r>
  <r>
    <x v="3"/>
    <x v="0"/>
    <x v="3"/>
    <x v="6"/>
    <x v="0"/>
    <x v="4"/>
    <n v="65"/>
    <n v="2049775"/>
    <n v="1092000"/>
  </r>
  <r>
    <x v="4"/>
    <x v="0"/>
    <x v="4"/>
    <x v="6"/>
    <x v="0"/>
    <x v="4"/>
    <n v="83"/>
    <n v="2643467"/>
    <n v="1394400"/>
  </r>
  <r>
    <x v="5"/>
    <x v="0"/>
    <x v="5"/>
    <x v="6"/>
    <x v="0"/>
    <x v="4"/>
    <n v="78"/>
    <n v="2441634"/>
    <n v="1310400"/>
  </r>
  <r>
    <x v="6"/>
    <x v="0"/>
    <x v="6"/>
    <x v="6"/>
    <x v="0"/>
    <x v="4"/>
    <n v="83"/>
    <n v="2436714"/>
    <n v="1394400"/>
  </r>
  <r>
    <x v="7"/>
    <x v="0"/>
    <x v="7"/>
    <x v="6"/>
    <x v="0"/>
    <x v="4"/>
    <n v="70"/>
    <n v="2165800"/>
    <n v="1176000"/>
  </r>
  <r>
    <x v="8"/>
    <x v="0"/>
    <x v="8"/>
    <x v="6"/>
    <x v="0"/>
    <x v="4"/>
    <n v="74"/>
    <n v="2308800"/>
    <n v="1243200"/>
  </r>
  <r>
    <x v="9"/>
    <x v="0"/>
    <x v="9"/>
    <x v="6"/>
    <x v="0"/>
    <x v="4"/>
    <n v="61"/>
    <n v="1911008"/>
    <n v="1024800"/>
  </r>
  <r>
    <x v="10"/>
    <x v="0"/>
    <x v="10"/>
    <x v="6"/>
    <x v="0"/>
    <x v="4"/>
    <n v="44"/>
    <n v="1361360"/>
    <n v="739200"/>
  </r>
  <r>
    <x v="11"/>
    <x v="0"/>
    <x v="11"/>
    <x v="6"/>
    <x v="0"/>
    <x v="4"/>
    <n v="52"/>
    <n v="1581476"/>
    <n v="873600"/>
  </r>
  <r>
    <x v="12"/>
    <x v="1"/>
    <x v="12"/>
    <x v="6"/>
    <x v="0"/>
    <x v="4"/>
    <n v="77"/>
    <n v="2413026"/>
    <n v="1293600"/>
  </r>
  <r>
    <x v="13"/>
    <x v="1"/>
    <x v="13"/>
    <x v="6"/>
    <x v="0"/>
    <x v="4"/>
    <n v="48"/>
    <n v="1511568"/>
    <n v="806400"/>
  </r>
  <r>
    <x v="14"/>
    <x v="1"/>
    <x v="14"/>
    <x v="6"/>
    <x v="0"/>
    <x v="4"/>
    <n v="39"/>
    <n v="1191489"/>
    <n v="655200"/>
  </r>
  <r>
    <x v="15"/>
    <x v="1"/>
    <x v="15"/>
    <x v="6"/>
    <x v="0"/>
    <x v="4"/>
    <n v="72"/>
    <n v="2313432"/>
    <n v="1209600"/>
  </r>
  <r>
    <x v="16"/>
    <x v="1"/>
    <x v="16"/>
    <x v="6"/>
    <x v="0"/>
    <x v="4"/>
    <n v="91"/>
    <n v="2924376"/>
    <n v="1528800"/>
  </r>
  <r>
    <x v="17"/>
    <x v="1"/>
    <x v="17"/>
    <x v="6"/>
    <x v="0"/>
    <x v="4"/>
    <n v="86"/>
    <n v="2703668"/>
    <n v="1444800"/>
  </r>
  <r>
    <x v="18"/>
    <x v="1"/>
    <x v="18"/>
    <x v="6"/>
    <x v="0"/>
    <x v="4"/>
    <n v="91"/>
    <n v="2768948"/>
    <n v="1528800"/>
  </r>
  <r>
    <x v="19"/>
    <x v="1"/>
    <x v="19"/>
    <x v="6"/>
    <x v="0"/>
    <x v="4"/>
    <n v="77"/>
    <n v="2374064"/>
    <n v="1293600"/>
  </r>
  <r>
    <x v="20"/>
    <x v="1"/>
    <x v="20"/>
    <x v="6"/>
    <x v="0"/>
    <x v="4"/>
    <n v="81"/>
    <n v="2481678"/>
    <n v="1360800"/>
  </r>
  <r>
    <x v="21"/>
    <x v="1"/>
    <x v="21"/>
    <x v="6"/>
    <x v="0"/>
    <x v="4"/>
    <n v="67"/>
    <n v="2109227"/>
    <n v="1125600"/>
  </r>
  <r>
    <x v="22"/>
    <x v="1"/>
    <x v="22"/>
    <x v="6"/>
    <x v="0"/>
    <x v="4"/>
    <n v="48"/>
    <n v="1518960"/>
    <n v="806400"/>
  </r>
  <r>
    <x v="23"/>
    <x v="1"/>
    <x v="23"/>
    <x v="6"/>
    <x v="0"/>
    <x v="4"/>
    <n v="58"/>
    <n v="1810876"/>
    <n v="974400"/>
  </r>
  <r>
    <x v="0"/>
    <x v="0"/>
    <x v="0"/>
    <x v="6"/>
    <x v="0"/>
    <x v="5"/>
    <n v="67"/>
    <n v="1102619"/>
    <n v="412050"/>
  </r>
  <r>
    <x v="1"/>
    <x v="0"/>
    <x v="1"/>
    <x v="6"/>
    <x v="0"/>
    <x v="5"/>
    <n v="42"/>
    <n v="680400"/>
    <n v="258300"/>
  </r>
  <r>
    <x v="2"/>
    <x v="0"/>
    <x v="2"/>
    <x v="6"/>
    <x v="0"/>
    <x v="5"/>
    <n v="34"/>
    <n v="528462"/>
    <n v="209100"/>
  </r>
  <r>
    <x v="3"/>
    <x v="0"/>
    <x v="3"/>
    <x v="6"/>
    <x v="0"/>
    <x v="5"/>
    <n v="62"/>
    <n v="1024674"/>
    <n v="381300"/>
  </r>
  <r>
    <x v="4"/>
    <x v="0"/>
    <x v="4"/>
    <x v="6"/>
    <x v="0"/>
    <x v="5"/>
    <n v="79"/>
    <n v="1350426"/>
    <n v="485850"/>
  </r>
  <r>
    <x v="5"/>
    <x v="0"/>
    <x v="5"/>
    <x v="6"/>
    <x v="0"/>
    <x v="5"/>
    <n v="75"/>
    <n v="1187325"/>
    <n v="461250"/>
  </r>
  <r>
    <x v="6"/>
    <x v="0"/>
    <x v="6"/>
    <x v="6"/>
    <x v="0"/>
    <x v="5"/>
    <n v="79"/>
    <n v="1215494"/>
    <n v="485850"/>
  </r>
  <r>
    <x v="7"/>
    <x v="0"/>
    <x v="7"/>
    <x v="6"/>
    <x v="0"/>
    <x v="5"/>
    <n v="67"/>
    <n v="1042051"/>
    <n v="412050"/>
  </r>
  <r>
    <x v="8"/>
    <x v="0"/>
    <x v="8"/>
    <x v="6"/>
    <x v="0"/>
    <x v="5"/>
    <n v="71"/>
    <n v="1096098"/>
    <n v="436650"/>
  </r>
  <r>
    <x v="9"/>
    <x v="0"/>
    <x v="9"/>
    <x v="6"/>
    <x v="0"/>
    <x v="5"/>
    <n v="58"/>
    <n v="940180"/>
    <n v="356700"/>
  </r>
  <r>
    <x v="10"/>
    <x v="0"/>
    <x v="10"/>
    <x v="6"/>
    <x v="0"/>
    <x v="5"/>
    <n v="42"/>
    <n v="701232"/>
    <n v="258300"/>
  </r>
  <r>
    <x v="11"/>
    <x v="0"/>
    <x v="11"/>
    <x v="6"/>
    <x v="0"/>
    <x v="5"/>
    <n v="50"/>
    <n v="794000"/>
    <n v="307500"/>
  </r>
  <r>
    <x v="12"/>
    <x v="1"/>
    <x v="12"/>
    <x v="6"/>
    <x v="0"/>
    <x v="5"/>
    <n v="73"/>
    <n v="1133325"/>
    <n v="448950"/>
  </r>
  <r>
    <x v="13"/>
    <x v="1"/>
    <x v="13"/>
    <x v="6"/>
    <x v="0"/>
    <x v="5"/>
    <n v="46"/>
    <n v="728824"/>
    <n v="282900"/>
  </r>
  <r>
    <x v="14"/>
    <x v="1"/>
    <x v="14"/>
    <x v="6"/>
    <x v="0"/>
    <x v="5"/>
    <n v="37"/>
    <n v="595737"/>
    <n v="227550"/>
  </r>
  <r>
    <x v="15"/>
    <x v="1"/>
    <x v="15"/>
    <x v="6"/>
    <x v="0"/>
    <x v="5"/>
    <n v="69"/>
    <n v="1192320"/>
    <n v="424350"/>
  </r>
  <r>
    <x v="16"/>
    <x v="1"/>
    <x v="16"/>
    <x v="6"/>
    <x v="0"/>
    <x v="5"/>
    <n v="87"/>
    <n v="1506405"/>
    <n v="535050"/>
  </r>
  <r>
    <x v="17"/>
    <x v="1"/>
    <x v="17"/>
    <x v="6"/>
    <x v="0"/>
    <x v="5"/>
    <n v="82"/>
    <n v="1376698"/>
    <n v="504300"/>
  </r>
  <r>
    <x v="18"/>
    <x v="1"/>
    <x v="18"/>
    <x v="6"/>
    <x v="0"/>
    <x v="5"/>
    <n v="87"/>
    <n v="1258455"/>
    <n v="535050"/>
  </r>
  <r>
    <x v="19"/>
    <x v="1"/>
    <x v="19"/>
    <x v="6"/>
    <x v="0"/>
    <x v="5"/>
    <n v="73"/>
    <n v="1151648"/>
    <n v="448950"/>
  </r>
  <r>
    <x v="20"/>
    <x v="1"/>
    <x v="20"/>
    <x v="6"/>
    <x v="0"/>
    <x v="5"/>
    <n v="78"/>
    <n v="1264926"/>
    <n v="479700"/>
  </r>
  <r>
    <x v="21"/>
    <x v="1"/>
    <x v="21"/>
    <x v="6"/>
    <x v="0"/>
    <x v="5"/>
    <n v="64"/>
    <n v="1039488"/>
    <n v="393600"/>
  </r>
  <r>
    <x v="22"/>
    <x v="1"/>
    <x v="22"/>
    <x v="6"/>
    <x v="0"/>
    <x v="5"/>
    <n v="46"/>
    <n v="742532"/>
    <n v="282900"/>
  </r>
  <r>
    <x v="23"/>
    <x v="1"/>
    <x v="23"/>
    <x v="6"/>
    <x v="0"/>
    <x v="5"/>
    <n v="55"/>
    <n v="879230"/>
    <n v="338250"/>
  </r>
  <r>
    <x v="0"/>
    <x v="0"/>
    <x v="0"/>
    <x v="6"/>
    <x v="0"/>
    <x v="6"/>
    <n v="87"/>
    <n v="1078626"/>
    <n v="382800"/>
  </r>
  <r>
    <x v="1"/>
    <x v="0"/>
    <x v="1"/>
    <x v="6"/>
    <x v="0"/>
    <x v="6"/>
    <n v="55"/>
    <n v="716485"/>
    <n v="242000"/>
  </r>
  <r>
    <x v="2"/>
    <x v="0"/>
    <x v="2"/>
    <x v="6"/>
    <x v="0"/>
    <x v="6"/>
    <n v="44"/>
    <n v="491040"/>
    <n v="193600"/>
  </r>
  <r>
    <x v="3"/>
    <x v="0"/>
    <x v="3"/>
    <x v="6"/>
    <x v="0"/>
    <x v="6"/>
    <n v="82"/>
    <n v="1063540"/>
    <n v="360800"/>
  </r>
  <r>
    <x v="4"/>
    <x v="0"/>
    <x v="4"/>
    <x v="6"/>
    <x v="0"/>
    <x v="6"/>
    <n v="103"/>
    <n v="1318194"/>
    <n v="453200"/>
  </r>
  <r>
    <x v="5"/>
    <x v="0"/>
    <x v="5"/>
    <x v="6"/>
    <x v="0"/>
    <x v="6"/>
    <n v="98"/>
    <n v="1223922"/>
    <n v="431200"/>
  </r>
  <r>
    <x v="6"/>
    <x v="0"/>
    <x v="6"/>
    <x v="6"/>
    <x v="0"/>
    <x v="6"/>
    <n v="103"/>
    <n v="1096229"/>
    <n v="453200"/>
  </r>
  <r>
    <x v="7"/>
    <x v="0"/>
    <x v="7"/>
    <x v="6"/>
    <x v="0"/>
    <x v="6"/>
    <n v="87"/>
    <n v="1039737"/>
    <n v="382800"/>
  </r>
  <r>
    <x v="8"/>
    <x v="0"/>
    <x v="8"/>
    <x v="6"/>
    <x v="0"/>
    <x v="6"/>
    <n v="93"/>
    <n v="1065129"/>
    <n v="409200"/>
  </r>
  <r>
    <x v="9"/>
    <x v="0"/>
    <x v="9"/>
    <x v="6"/>
    <x v="0"/>
    <x v="6"/>
    <n v="76"/>
    <n v="903412"/>
    <n v="334400"/>
  </r>
  <r>
    <x v="10"/>
    <x v="0"/>
    <x v="10"/>
    <x v="6"/>
    <x v="0"/>
    <x v="6"/>
    <n v="55"/>
    <n v="672265"/>
    <n v="242000"/>
  </r>
  <r>
    <x v="11"/>
    <x v="0"/>
    <x v="11"/>
    <x v="6"/>
    <x v="0"/>
    <x v="6"/>
    <n v="65"/>
    <n v="789750"/>
    <n v="286000"/>
  </r>
  <r>
    <x v="12"/>
    <x v="1"/>
    <x v="12"/>
    <x v="6"/>
    <x v="0"/>
    <x v="6"/>
    <n v="96"/>
    <n v="1223136"/>
    <n v="422400"/>
  </r>
  <r>
    <x v="13"/>
    <x v="1"/>
    <x v="13"/>
    <x v="6"/>
    <x v="0"/>
    <x v="6"/>
    <n v="60"/>
    <n v="759540"/>
    <n v="264000"/>
  </r>
  <r>
    <x v="14"/>
    <x v="1"/>
    <x v="14"/>
    <x v="6"/>
    <x v="0"/>
    <x v="6"/>
    <n v="48"/>
    <n v="561936"/>
    <n v="211200"/>
  </r>
  <r>
    <x v="15"/>
    <x v="1"/>
    <x v="15"/>
    <x v="6"/>
    <x v="0"/>
    <x v="6"/>
    <n v="90"/>
    <n v="1163430"/>
    <n v="396000"/>
  </r>
  <r>
    <x v="16"/>
    <x v="1"/>
    <x v="16"/>
    <x v="6"/>
    <x v="0"/>
    <x v="6"/>
    <n v="114"/>
    <n v="1453842"/>
    <n v="501600"/>
  </r>
  <r>
    <x v="17"/>
    <x v="1"/>
    <x v="17"/>
    <x v="6"/>
    <x v="0"/>
    <x v="6"/>
    <n v="108"/>
    <n v="1261548"/>
    <n v="475200"/>
  </r>
  <r>
    <x v="18"/>
    <x v="1"/>
    <x v="18"/>
    <x v="6"/>
    <x v="0"/>
    <x v="6"/>
    <n v="114"/>
    <n v="1173516"/>
    <n v="501600"/>
  </r>
  <r>
    <x v="19"/>
    <x v="1"/>
    <x v="19"/>
    <x v="6"/>
    <x v="0"/>
    <x v="6"/>
    <n v="96"/>
    <n v="1117824"/>
    <n v="422400"/>
  </r>
  <r>
    <x v="20"/>
    <x v="1"/>
    <x v="20"/>
    <x v="6"/>
    <x v="0"/>
    <x v="6"/>
    <n v="102"/>
    <n v="1208598"/>
    <n v="448800"/>
  </r>
  <r>
    <x v="21"/>
    <x v="1"/>
    <x v="21"/>
    <x v="6"/>
    <x v="0"/>
    <x v="6"/>
    <n v="84"/>
    <n v="1047144"/>
    <n v="369600"/>
  </r>
  <r>
    <x v="22"/>
    <x v="1"/>
    <x v="22"/>
    <x v="6"/>
    <x v="0"/>
    <x v="6"/>
    <n v="60"/>
    <n v="711420"/>
    <n v="264000"/>
  </r>
  <r>
    <x v="23"/>
    <x v="1"/>
    <x v="23"/>
    <x v="6"/>
    <x v="0"/>
    <x v="6"/>
    <n v="72"/>
    <n v="859680"/>
    <n v="316800"/>
  </r>
  <r>
    <x v="0"/>
    <x v="0"/>
    <x v="0"/>
    <x v="6"/>
    <x v="1"/>
    <x v="7"/>
    <n v="44"/>
    <n v="190476"/>
    <n v="79772"/>
  </r>
  <r>
    <x v="1"/>
    <x v="0"/>
    <x v="1"/>
    <x v="6"/>
    <x v="1"/>
    <x v="7"/>
    <n v="28"/>
    <n v="132048"/>
    <n v="50764"/>
  </r>
  <r>
    <x v="2"/>
    <x v="0"/>
    <x v="2"/>
    <x v="6"/>
    <x v="1"/>
    <x v="7"/>
    <n v="22"/>
    <n v="95634"/>
    <n v="39886"/>
  </r>
  <r>
    <x v="3"/>
    <x v="0"/>
    <x v="3"/>
    <x v="6"/>
    <x v="1"/>
    <x v="7"/>
    <n v="41"/>
    <n v="235012"/>
    <n v="74333"/>
  </r>
  <r>
    <x v="4"/>
    <x v="0"/>
    <x v="4"/>
    <x v="6"/>
    <x v="1"/>
    <x v="7"/>
    <n v="52"/>
    <n v="290524"/>
    <n v="94276"/>
  </r>
  <r>
    <x v="5"/>
    <x v="0"/>
    <x v="5"/>
    <x v="6"/>
    <x v="1"/>
    <x v="7"/>
    <n v="50"/>
    <n v="235350"/>
    <n v="90650"/>
  </r>
  <r>
    <x v="6"/>
    <x v="0"/>
    <x v="6"/>
    <x v="6"/>
    <x v="1"/>
    <x v="7"/>
    <n v="52"/>
    <n v="153868"/>
    <n v="94276"/>
  </r>
  <r>
    <x v="7"/>
    <x v="0"/>
    <x v="7"/>
    <x v="6"/>
    <x v="1"/>
    <x v="7"/>
    <n v="44"/>
    <n v="195668"/>
    <n v="79772"/>
  </r>
  <r>
    <x v="8"/>
    <x v="0"/>
    <x v="8"/>
    <x v="6"/>
    <x v="1"/>
    <x v="7"/>
    <n v="47"/>
    <n v="195426"/>
    <n v="85211"/>
  </r>
  <r>
    <x v="9"/>
    <x v="0"/>
    <x v="9"/>
    <x v="6"/>
    <x v="1"/>
    <x v="7"/>
    <n v="39"/>
    <n v="189657"/>
    <n v="70707"/>
  </r>
  <r>
    <x v="10"/>
    <x v="0"/>
    <x v="10"/>
    <x v="6"/>
    <x v="1"/>
    <x v="7"/>
    <n v="28"/>
    <n v="139944"/>
    <n v="50764"/>
  </r>
  <r>
    <x v="11"/>
    <x v="0"/>
    <x v="11"/>
    <x v="6"/>
    <x v="1"/>
    <x v="7"/>
    <n v="33"/>
    <n v="136158"/>
    <n v="59829"/>
  </r>
  <r>
    <x v="12"/>
    <x v="1"/>
    <x v="12"/>
    <x v="6"/>
    <x v="1"/>
    <x v="7"/>
    <n v="49"/>
    <n v="245784"/>
    <n v="88837"/>
  </r>
  <r>
    <x v="13"/>
    <x v="1"/>
    <x v="13"/>
    <x v="6"/>
    <x v="1"/>
    <x v="7"/>
    <n v="31"/>
    <n v="151342"/>
    <n v="56203"/>
  </r>
  <r>
    <x v="14"/>
    <x v="1"/>
    <x v="14"/>
    <x v="6"/>
    <x v="1"/>
    <x v="7"/>
    <n v="25"/>
    <n v="120675"/>
    <n v="45325"/>
  </r>
  <r>
    <x v="15"/>
    <x v="1"/>
    <x v="15"/>
    <x v="6"/>
    <x v="1"/>
    <x v="7"/>
    <n v="46"/>
    <n v="238004"/>
    <n v="83398"/>
  </r>
  <r>
    <x v="16"/>
    <x v="1"/>
    <x v="16"/>
    <x v="6"/>
    <x v="1"/>
    <x v="7"/>
    <n v="58"/>
    <n v="318014"/>
    <n v="105154"/>
  </r>
  <r>
    <x v="17"/>
    <x v="1"/>
    <x v="17"/>
    <x v="6"/>
    <x v="1"/>
    <x v="7"/>
    <n v="55"/>
    <n v="280445"/>
    <n v="99715"/>
  </r>
  <r>
    <x v="18"/>
    <x v="1"/>
    <x v="18"/>
    <x v="6"/>
    <x v="1"/>
    <x v="7"/>
    <n v="58"/>
    <n v="176668"/>
    <n v="105154"/>
  </r>
  <r>
    <x v="19"/>
    <x v="1"/>
    <x v="19"/>
    <x v="6"/>
    <x v="1"/>
    <x v="7"/>
    <n v="49"/>
    <n v="215012"/>
    <n v="88837"/>
  </r>
  <r>
    <x v="20"/>
    <x v="1"/>
    <x v="20"/>
    <x v="6"/>
    <x v="1"/>
    <x v="7"/>
    <n v="52"/>
    <n v="229788"/>
    <n v="94276"/>
  </r>
  <r>
    <x v="21"/>
    <x v="1"/>
    <x v="21"/>
    <x v="6"/>
    <x v="1"/>
    <x v="7"/>
    <n v="43"/>
    <n v="210141"/>
    <n v="77959"/>
  </r>
  <r>
    <x v="22"/>
    <x v="1"/>
    <x v="22"/>
    <x v="6"/>
    <x v="1"/>
    <x v="7"/>
    <n v="31"/>
    <n v="162440"/>
    <n v="56203"/>
  </r>
  <r>
    <x v="23"/>
    <x v="1"/>
    <x v="23"/>
    <x v="6"/>
    <x v="1"/>
    <x v="7"/>
    <n v="37"/>
    <n v="161468"/>
    <n v="67081"/>
  </r>
  <r>
    <x v="0"/>
    <x v="0"/>
    <x v="0"/>
    <x v="6"/>
    <x v="1"/>
    <x v="8"/>
    <n v="35"/>
    <n v="141400"/>
    <n v="40250"/>
  </r>
  <r>
    <x v="1"/>
    <x v="0"/>
    <x v="1"/>
    <x v="6"/>
    <x v="1"/>
    <x v="8"/>
    <n v="22"/>
    <n v="95062"/>
    <n v="25300"/>
  </r>
  <r>
    <x v="2"/>
    <x v="0"/>
    <x v="2"/>
    <x v="6"/>
    <x v="1"/>
    <x v="8"/>
    <n v="18"/>
    <n v="68400"/>
    <n v="20700"/>
  </r>
  <r>
    <x v="3"/>
    <x v="0"/>
    <x v="3"/>
    <x v="6"/>
    <x v="1"/>
    <x v="8"/>
    <n v="33"/>
    <n v="144606"/>
    <n v="37950"/>
  </r>
  <r>
    <x v="4"/>
    <x v="0"/>
    <x v="4"/>
    <x v="6"/>
    <x v="1"/>
    <x v="8"/>
    <n v="41"/>
    <n v="195283"/>
    <n v="47150"/>
  </r>
  <r>
    <x v="5"/>
    <x v="0"/>
    <x v="5"/>
    <x v="6"/>
    <x v="1"/>
    <x v="8"/>
    <n v="39"/>
    <n v="154635"/>
    <n v="44850"/>
  </r>
  <r>
    <x v="6"/>
    <x v="0"/>
    <x v="6"/>
    <x v="6"/>
    <x v="1"/>
    <x v="8"/>
    <n v="41"/>
    <n v="81918"/>
    <n v="47150"/>
  </r>
  <r>
    <x v="7"/>
    <x v="0"/>
    <x v="7"/>
    <x v="6"/>
    <x v="1"/>
    <x v="8"/>
    <n v="35"/>
    <n v="114870"/>
    <n v="40250"/>
  </r>
  <r>
    <x v="8"/>
    <x v="0"/>
    <x v="8"/>
    <x v="6"/>
    <x v="1"/>
    <x v="8"/>
    <n v="37"/>
    <n v="131091"/>
    <n v="42550"/>
  </r>
  <r>
    <x v="9"/>
    <x v="0"/>
    <x v="9"/>
    <x v="6"/>
    <x v="1"/>
    <x v="8"/>
    <n v="30"/>
    <n v="122700"/>
    <n v="34500"/>
  </r>
  <r>
    <x v="10"/>
    <x v="0"/>
    <x v="10"/>
    <x v="6"/>
    <x v="1"/>
    <x v="8"/>
    <n v="22"/>
    <n v="76450"/>
    <n v="25300"/>
  </r>
  <r>
    <x v="11"/>
    <x v="0"/>
    <x v="11"/>
    <x v="6"/>
    <x v="1"/>
    <x v="8"/>
    <n v="26"/>
    <n v="99970"/>
    <n v="29900"/>
  </r>
  <r>
    <x v="12"/>
    <x v="1"/>
    <x v="12"/>
    <x v="6"/>
    <x v="1"/>
    <x v="8"/>
    <n v="38"/>
    <n v="121220"/>
    <n v="43700"/>
  </r>
  <r>
    <x v="13"/>
    <x v="1"/>
    <x v="13"/>
    <x v="6"/>
    <x v="1"/>
    <x v="8"/>
    <n v="24"/>
    <n v="85920"/>
    <n v="27600"/>
  </r>
  <r>
    <x v="14"/>
    <x v="1"/>
    <x v="14"/>
    <x v="6"/>
    <x v="1"/>
    <x v="8"/>
    <n v="19"/>
    <n v="49989"/>
    <n v="21850"/>
  </r>
  <r>
    <x v="15"/>
    <x v="1"/>
    <x v="15"/>
    <x v="6"/>
    <x v="1"/>
    <x v="8"/>
    <n v="36"/>
    <n v="137484"/>
    <n v="41400"/>
  </r>
  <r>
    <x v="16"/>
    <x v="1"/>
    <x v="16"/>
    <x v="6"/>
    <x v="1"/>
    <x v="8"/>
    <n v="45"/>
    <n v="222435"/>
    <n v="51750"/>
  </r>
  <r>
    <x v="17"/>
    <x v="1"/>
    <x v="17"/>
    <x v="6"/>
    <x v="1"/>
    <x v="8"/>
    <n v="43"/>
    <n v="174279"/>
    <n v="49450"/>
  </r>
  <r>
    <x v="18"/>
    <x v="1"/>
    <x v="18"/>
    <x v="6"/>
    <x v="1"/>
    <x v="8"/>
    <n v="45"/>
    <n v="113445"/>
    <n v="51750"/>
  </r>
  <r>
    <x v="19"/>
    <x v="1"/>
    <x v="19"/>
    <x v="6"/>
    <x v="1"/>
    <x v="8"/>
    <n v="38"/>
    <n v="106362"/>
    <n v="43700"/>
  </r>
  <r>
    <x v="20"/>
    <x v="1"/>
    <x v="20"/>
    <x v="6"/>
    <x v="1"/>
    <x v="8"/>
    <n v="40"/>
    <n v="155840"/>
    <n v="46000"/>
  </r>
  <r>
    <x v="21"/>
    <x v="1"/>
    <x v="21"/>
    <x v="6"/>
    <x v="1"/>
    <x v="8"/>
    <n v="33"/>
    <n v="127578"/>
    <n v="37950"/>
  </r>
  <r>
    <x v="22"/>
    <x v="1"/>
    <x v="22"/>
    <x v="6"/>
    <x v="1"/>
    <x v="8"/>
    <n v="24"/>
    <n v="85152"/>
    <n v="27600"/>
  </r>
  <r>
    <x v="23"/>
    <x v="1"/>
    <x v="23"/>
    <x v="6"/>
    <x v="1"/>
    <x v="8"/>
    <n v="29"/>
    <n v="99296"/>
    <n v="33350"/>
  </r>
  <r>
    <x v="0"/>
    <x v="0"/>
    <x v="0"/>
    <x v="6"/>
    <x v="1"/>
    <x v="9"/>
    <n v="45"/>
    <n v="178875"/>
    <n v="60030"/>
  </r>
  <r>
    <x v="1"/>
    <x v="0"/>
    <x v="1"/>
    <x v="6"/>
    <x v="1"/>
    <x v="9"/>
    <n v="28"/>
    <n v="110544"/>
    <n v="37352"/>
  </r>
  <r>
    <x v="2"/>
    <x v="0"/>
    <x v="2"/>
    <x v="6"/>
    <x v="1"/>
    <x v="9"/>
    <n v="23"/>
    <n v="93886"/>
    <n v="30682"/>
  </r>
  <r>
    <x v="3"/>
    <x v="0"/>
    <x v="3"/>
    <x v="6"/>
    <x v="1"/>
    <x v="9"/>
    <n v="42"/>
    <n v="173250"/>
    <n v="56028"/>
  </r>
  <r>
    <x v="4"/>
    <x v="0"/>
    <x v="4"/>
    <x v="6"/>
    <x v="1"/>
    <x v="9"/>
    <n v="53"/>
    <n v="240779"/>
    <n v="70702"/>
  </r>
  <r>
    <x v="5"/>
    <x v="0"/>
    <x v="5"/>
    <x v="6"/>
    <x v="1"/>
    <x v="9"/>
    <n v="50"/>
    <n v="234050"/>
    <n v="66700"/>
  </r>
  <r>
    <x v="6"/>
    <x v="0"/>
    <x v="6"/>
    <x v="6"/>
    <x v="1"/>
    <x v="9"/>
    <n v="53"/>
    <n v="114268"/>
    <n v="70702"/>
  </r>
  <r>
    <x v="7"/>
    <x v="0"/>
    <x v="7"/>
    <x v="6"/>
    <x v="1"/>
    <x v="9"/>
    <n v="45"/>
    <n v="144225"/>
    <n v="60030"/>
  </r>
  <r>
    <x v="8"/>
    <x v="0"/>
    <x v="8"/>
    <x v="6"/>
    <x v="1"/>
    <x v="9"/>
    <n v="47"/>
    <n v="204732"/>
    <n v="62698"/>
  </r>
  <r>
    <x v="9"/>
    <x v="0"/>
    <x v="9"/>
    <x v="6"/>
    <x v="1"/>
    <x v="9"/>
    <n v="39"/>
    <n v="149565"/>
    <n v="52026"/>
  </r>
  <r>
    <x v="10"/>
    <x v="0"/>
    <x v="10"/>
    <x v="6"/>
    <x v="1"/>
    <x v="9"/>
    <n v="28"/>
    <n v="137144"/>
    <n v="37352"/>
  </r>
  <r>
    <x v="11"/>
    <x v="0"/>
    <x v="11"/>
    <x v="6"/>
    <x v="1"/>
    <x v="9"/>
    <n v="34"/>
    <n v="146506"/>
    <n v="45356"/>
  </r>
  <r>
    <x v="12"/>
    <x v="1"/>
    <x v="12"/>
    <x v="6"/>
    <x v="1"/>
    <x v="9"/>
    <n v="49"/>
    <n v="186592"/>
    <n v="65366"/>
  </r>
  <r>
    <x v="13"/>
    <x v="1"/>
    <x v="13"/>
    <x v="6"/>
    <x v="1"/>
    <x v="9"/>
    <n v="31"/>
    <n v="146909"/>
    <n v="41354"/>
  </r>
  <r>
    <x v="14"/>
    <x v="1"/>
    <x v="14"/>
    <x v="6"/>
    <x v="1"/>
    <x v="9"/>
    <n v="25"/>
    <n v="92350"/>
    <n v="33350"/>
  </r>
  <r>
    <x v="15"/>
    <x v="1"/>
    <x v="15"/>
    <x v="6"/>
    <x v="1"/>
    <x v="9"/>
    <n v="46"/>
    <n v="229678"/>
    <n v="61364"/>
  </r>
  <r>
    <x v="16"/>
    <x v="1"/>
    <x v="16"/>
    <x v="6"/>
    <x v="1"/>
    <x v="9"/>
    <n v="58"/>
    <n v="261174"/>
    <n v="77372"/>
  </r>
  <r>
    <x v="17"/>
    <x v="1"/>
    <x v="17"/>
    <x v="6"/>
    <x v="1"/>
    <x v="9"/>
    <n v="55"/>
    <n v="227040"/>
    <n v="73370"/>
  </r>
  <r>
    <x v="18"/>
    <x v="1"/>
    <x v="18"/>
    <x v="6"/>
    <x v="1"/>
    <x v="9"/>
    <n v="58"/>
    <n v="130906"/>
    <n v="77372"/>
  </r>
  <r>
    <x v="19"/>
    <x v="1"/>
    <x v="19"/>
    <x v="6"/>
    <x v="1"/>
    <x v="9"/>
    <n v="49"/>
    <n v="195853"/>
    <n v="65366"/>
  </r>
  <r>
    <x v="20"/>
    <x v="1"/>
    <x v="20"/>
    <x v="6"/>
    <x v="1"/>
    <x v="9"/>
    <n v="52"/>
    <n v="180908"/>
    <n v="69368"/>
  </r>
  <r>
    <x v="21"/>
    <x v="1"/>
    <x v="21"/>
    <x v="6"/>
    <x v="1"/>
    <x v="9"/>
    <n v="43"/>
    <n v="177332"/>
    <n v="57362"/>
  </r>
  <r>
    <x v="22"/>
    <x v="1"/>
    <x v="22"/>
    <x v="6"/>
    <x v="1"/>
    <x v="9"/>
    <n v="31"/>
    <n v="130603"/>
    <n v="41354"/>
  </r>
  <r>
    <x v="23"/>
    <x v="1"/>
    <x v="23"/>
    <x v="6"/>
    <x v="1"/>
    <x v="9"/>
    <n v="37"/>
    <n v="117179"/>
    <n v="49358"/>
  </r>
  <r>
    <x v="0"/>
    <x v="0"/>
    <x v="0"/>
    <x v="6"/>
    <x v="1"/>
    <x v="10"/>
    <n v="37"/>
    <n v="185444"/>
    <n v="74592"/>
  </r>
  <r>
    <x v="1"/>
    <x v="0"/>
    <x v="1"/>
    <x v="6"/>
    <x v="1"/>
    <x v="10"/>
    <n v="23"/>
    <n v="129697"/>
    <n v="46368"/>
  </r>
  <r>
    <x v="2"/>
    <x v="0"/>
    <x v="2"/>
    <x v="6"/>
    <x v="1"/>
    <x v="10"/>
    <n v="19"/>
    <n v="92682"/>
    <n v="38304"/>
  </r>
  <r>
    <x v="3"/>
    <x v="0"/>
    <x v="3"/>
    <x v="6"/>
    <x v="1"/>
    <x v="10"/>
    <n v="35"/>
    <n v="208215"/>
    <n v="70560"/>
  </r>
  <r>
    <x v="4"/>
    <x v="0"/>
    <x v="4"/>
    <x v="6"/>
    <x v="1"/>
    <x v="10"/>
    <n v="44"/>
    <n v="266992"/>
    <n v="88704"/>
  </r>
  <r>
    <x v="5"/>
    <x v="0"/>
    <x v="5"/>
    <x v="6"/>
    <x v="1"/>
    <x v="10"/>
    <n v="42"/>
    <n v="219366"/>
    <n v="84672"/>
  </r>
  <r>
    <x v="6"/>
    <x v="0"/>
    <x v="6"/>
    <x v="6"/>
    <x v="1"/>
    <x v="10"/>
    <n v="44"/>
    <n v="170808"/>
    <n v="88704"/>
  </r>
  <r>
    <x v="7"/>
    <x v="0"/>
    <x v="7"/>
    <x v="6"/>
    <x v="1"/>
    <x v="10"/>
    <n v="37"/>
    <n v="206201"/>
    <n v="74592"/>
  </r>
  <r>
    <x v="8"/>
    <x v="0"/>
    <x v="8"/>
    <x v="6"/>
    <x v="1"/>
    <x v="10"/>
    <n v="39"/>
    <n v="203697"/>
    <n v="78624"/>
  </r>
  <r>
    <x v="9"/>
    <x v="0"/>
    <x v="9"/>
    <x v="6"/>
    <x v="1"/>
    <x v="10"/>
    <n v="32"/>
    <n v="167968"/>
    <n v="64512"/>
  </r>
  <r>
    <x v="10"/>
    <x v="0"/>
    <x v="10"/>
    <x v="6"/>
    <x v="1"/>
    <x v="10"/>
    <n v="23"/>
    <n v="129766"/>
    <n v="46368"/>
  </r>
  <r>
    <x v="11"/>
    <x v="0"/>
    <x v="11"/>
    <x v="6"/>
    <x v="1"/>
    <x v="10"/>
    <n v="28"/>
    <n v="136108"/>
    <n v="56448"/>
  </r>
  <r>
    <x v="12"/>
    <x v="1"/>
    <x v="12"/>
    <x v="6"/>
    <x v="1"/>
    <x v="10"/>
    <n v="41"/>
    <n v="220170"/>
    <n v="82656"/>
  </r>
  <r>
    <x v="13"/>
    <x v="1"/>
    <x v="13"/>
    <x v="6"/>
    <x v="1"/>
    <x v="10"/>
    <n v="26"/>
    <n v="136448"/>
    <n v="52416"/>
  </r>
  <r>
    <x v="14"/>
    <x v="1"/>
    <x v="14"/>
    <x v="6"/>
    <x v="1"/>
    <x v="10"/>
    <n v="21"/>
    <n v="100527"/>
    <n v="42336"/>
  </r>
  <r>
    <x v="15"/>
    <x v="1"/>
    <x v="15"/>
    <x v="6"/>
    <x v="1"/>
    <x v="10"/>
    <n v="38"/>
    <n v="239058"/>
    <n v="76608"/>
  </r>
  <r>
    <x v="16"/>
    <x v="1"/>
    <x v="16"/>
    <x v="6"/>
    <x v="1"/>
    <x v="10"/>
    <n v="48"/>
    <n v="272496"/>
    <n v="96768"/>
  </r>
  <r>
    <x v="17"/>
    <x v="1"/>
    <x v="17"/>
    <x v="6"/>
    <x v="1"/>
    <x v="10"/>
    <n v="46"/>
    <n v="258382"/>
    <n v="92736"/>
  </r>
  <r>
    <x v="18"/>
    <x v="1"/>
    <x v="18"/>
    <x v="6"/>
    <x v="1"/>
    <x v="10"/>
    <n v="48"/>
    <n v="210432"/>
    <n v="96768"/>
  </r>
  <r>
    <x v="19"/>
    <x v="1"/>
    <x v="19"/>
    <x v="6"/>
    <x v="1"/>
    <x v="10"/>
    <n v="41"/>
    <n v="188764"/>
    <n v="82656"/>
  </r>
  <r>
    <x v="20"/>
    <x v="1"/>
    <x v="20"/>
    <x v="6"/>
    <x v="1"/>
    <x v="10"/>
    <n v="43"/>
    <n v="221579"/>
    <n v="86688"/>
  </r>
  <r>
    <x v="21"/>
    <x v="1"/>
    <x v="21"/>
    <x v="6"/>
    <x v="1"/>
    <x v="10"/>
    <n v="36"/>
    <n v="219312"/>
    <n v="72576"/>
  </r>
  <r>
    <x v="22"/>
    <x v="1"/>
    <x v="22"/>
    <x v="6"/>
    <x v="1"/>
    <x v="10"/>
    <n v="26"/>
    <n v="150566"/>
    <n v="52416"/>
  </r>
  <r>
    <x v="23"/>
    <x v="1"/>
    <x v="23"/>
    <x v="6"/>
    <x v="1"/>
    <x v="10"/>
    <n v="31"/>
    <n v="163463"/>
    <n v="62496"/>
  </r>
  <r>
    <x v="0"/>
    <x v="0"/>
    <x v="0"/>
    <x v="6"/>
    <x v="1"/>
    <x v="11"/>
    <n v="34"/>
    <n v="95506"/>
    <n v="31790.000000000004"/>
  </r>
  <r>
    <x v="1"/>
    <x v="0"/>
    <x v="1"/>
    <x v="6"/>
    <x v="1"/>
    <x v="11"/>
    <n v="21"/>
    <n v="77280"/>
    <n v="19635.000000000004"/>
  </r>
  <r>
    <x v="2"/>
    <x v="0"/>
    <x v="2"/>
    <x v="6"/>
    <x v="1"/>
    <x v="11"/>
    <n v="17"/>
    <n v="35326"/>
    <n v="15895.000000000002"/>
  </r>
  <r>
    <x v="3"/>
    <x v="0"/>
    <x v="3"/>
    <x v="6"/>
    <x v="1"/>
    <x v="11"/>
    <n v="31"/>
    <n v="90272"/>
    <n v="28985.000000000004"/>
  </r>
  <r>
    <x v="4"/>
    <x v="0"/>
    <x v="4"/>
    <x v="6"/>
    <x v="1"/>
    <x v="11"/>
    <n v="40"/>
    <n v="163640"/>
    <n v="37400.000000000007"/>
  </r>
  <r>
    <x v="5"/>
    <x v="0"/>
    <x v="5"/>
    <x v="6"/>
    <x v="1"/>
    <x v="11"/>
    <n v="38"/>
    <n v="120384"/>
    <n v="35530.000000000007"/>
  </r>
  <r>
    <x v="6"/>
    <x v="0"/>
    <x v="6"/>
    <x v="6"/>
    <x v="1"/>
    <x v="11"/>
    <n v="40"/>
    <n v="78560"/>
    <n v="37400.000000000007"/>
  </r>
  <r>
    <x v="7"/>
    <x v="0"/>
    <x v="7"/>
    <x v="6"/>
    <x v="1"/>
    <x v="11"/>
    <n v="34"/>
    <n v="90644"/>
    <n v="31790.000000000004"/>
  </r>
  <r>
    <x v="8"/>
    <x v="0"/>
    <x v="8"/>
    <x v="6"/>
    <x v="1"/>
    <x v="11"/>
    <n v="36"/>
    <n v="90216"/>
    <n v="33660.000000000007"/>
  </r>
  <r>
    <x v="9"/>
    <x v="0"/>
    <x v="9"/>
    <x v="6"/>
    <x v="1"/>
    <x v="11"/>
    <n v="29"/>
    <n v="93873"/>
    <n v="27115.000000000004"/>
  </r>
  <r>
    <x v="10"/>
    <x v="0"/>
    <x v="10"/>
    <x v="6"/>
    <x v="1"/>
    <x v="11"/>
    <n v="21"/>
    <n v="55839"/>
    <n v="19635.000000000004"/>
  </r>
  <r>
    <x v="11"/>
    <x v="0"/>
    <x v="11"/>
    <x v="6"/>
    <x v="1"/>
    <x v="11"/>
    <n v="25"/>
    <n v="54025"/>
    <n v="23375.000000000004"/>
  </r>
  <r>
    <x v="12"/>
    <x v="1"/>
    <x v="12"/>
    <x v="6"/>
    <x v="1"/>
    <x v="11"/>
    <n v="37"/>
    <n v="111666"/>
    <n v="34595.000000000007"/>
  </r>
  <r>
    <x v="13"/>
    <x v="1"/>
    <x v="13"/>
    <x v="6"/>
    <x v="1"/>
    <x v="11"/>
    <n v="23"/>
    <n v="61410"/>
    <n v="21505.000000000004"/>
  </r>
  <r>
    <x v="14"/>
    <x v="1"/>
    <x v="14"/>
    <x v="6"/>
    <x v="1"/>
    <x v="11"/>
    <n v="19"/>
    <n v="51205"/>
    <n v="17765.000000000004"/>
  </r>
  <r>
    <x v="15"/>
    <x v="1"/>
    <x v="15"/>
    <x v="6"/>
    <x v="1"/>
    <x v="11"/>
    <n v="35"/>
    <n v="112000"/>
    <n v="32725.000000000004"/>
  </r>
  <r>
    <x v="16"/>
    <x v="1"/>
    <x v="16"/>
    <x v="6"/>
    <x v="1"/>
    <x v="11"/>
    <n v="44"/>
    <n v="150348"/>
    <n v="41140.000000000007"/>
  </r>
  <r>
    <x v="17"/>
    <x v="1"/>
    <x v="17"/>
    <x v="6"/>
    <x v="1"/>
    <x v="11"/>
    <n v="41"/>
    <n v="122262"/>
    <n v="38335.000000000007"/>
  </r>
  <r>
    <x v="18"/>
    <x v="1"/>
    <x v="18"/>
    <x v="6"/>
    <x v="1"/>
    <x v="11"/>
    <n v="44"/>
    <n v="59312"/>
    <n v="41140.000000000007"/>
  </r>
  <r>
    <x v="19"/>
    <x v="1"/>
    <x v="19"/>
    <x v="6"/>
    <x v="1"/>
    <x v="11"/>
    <n v="37"/>
    <n v="89836"/>
    <n v="34595.000000000007"/>
  </r>
  <r>
    <x v="20"/>
    <x v="1"/>
    <x v="20"/>
    <x v="6"/>
    <x v="1"/>
    <x v="11"/>
    <n v="39"/>
    <n v="103935"/>
    <n v="36465.000000000007"/>
  </r>
  <r>
    <x v="21"/>
    <x v="1"/>
    <x v="21"/>
    <x v="6"/>
    <x v="1"/>
    <x v="11"/>
    <n v="32"/>
    <n v="93152"/>
    <n v="29920.000000000004"/>
  </r>
  <r>
    <x v="22"/>
    <x v="1"/>
    <x v="22"/>
    <x v="6"/>
    <x v="1"/>
    <x v="11"/>
    <n v="23"/>
    <n v="66148"/>
    <n v="21505.000000000004"/>
  </r>
  <r>
    <x v="23"/>
    <x v="1"/>
    <x v="23"/>
    <x v="6"/>
    <x v="1"/>
    <x v="11"/>
    <n v="28"/>
    <n v="75348"/>
    <n v="26180.000000000004"/>
  </r>
  <r>
    <x v="0"/>
    <x v="0"/>
    <x v="0"/>
    <x v="6"/>
    <x v="1"/>
    <x v="12"/>
    <n v="41"/>
    <n v="193520"/>
    <n v="81016"/>
  </r>
  <r>
    <x v="1"/>
    <x v="0"/>
    <x v="1"/>
    <x v="6"/>
    <x v="1"/>
    <x v="12"/>
    <n v="26"/>
    <n v="130546"/>
    <n v="51376"/>
  </r>
  <r>
    <x v="2"/>
    <x v="0"/>
    <x v="2"/>
    <x v="6"/>
    <x v="1"/>
    <x v="12"/>
    <n v="21"/>
    <n v="84315"/>
    <n v="41496"/>
  </r>
  <r>
    <x v="3"/>
    <x v="0"/>
    <x v="3"/>
    <x v="6"/>
    <x v="1"/>
    <x v="12"/>
    <n v="39"/>
    <n v="226512"/>
    <n v="77064"/>
  </r>
  <r>
    <x v="4"/>
    <x v="0"/>
    <x v="4"/>
    <x v="6"/>
    <x v="1"/>
    <x v="12"/>
    <n v="49"/>
    <n v="298214"/>
    <n v="96824"/>
  </r>
  <r>
    <x v="5"/>
    <x v="0"/>
    <x v="5"/>
    <x v="6"/>
    <x v="1"/>
    <x v="12"/>
    <n v="46"/>
    <n v="256450"/>
    <n v="90896"/>
  </r>
  <r>
    <x v="6"/>
    <x v="0"/>
    <x v="6"/>
    <x v="6"/>
    <x v="1"/>
    <x v="12"/>
    <n v="49"/>
    <n v="163905"/>
    <n v="96824"/>
  </r>
  <r>
    <x v="7"/>
    <x v="0"/>
    <x v="7"/>
    <x v="6"/>
    <x v="1"/>
    <x v="12"/>
    <n v="41"/>
    <n v="164533"/>
    <n v="81016"/>
  </r>
  <r>
    <x v="8"/>
    <x v="0"/>
    <x v="8"/>
    <x v="6"/>
    <x v="1"/>
    <x v="12"/>
    <n v="44"/>
    <n v="189332"/>
    <n v="86944"/>
  </r>
  <r>
    <x v="9"/>
    <x v="0"/>
    <x v="9"/>
    <x v="6"/>
    <x v="1"/>
    <x v="12"/>
    <n v="36"/>
    <n v="185472"/>
    <n v="71136"/>
  </r>
  <r>
    <x v="10"/>
    <x v="0"/>
    <x v="10"/>
    <x v="6"/>
    <x v="1"/>
    <x v="12"/>
    <n v="26"/>
    <n v="138320"/>
    <n v="51376"/>
  </r>
  <r>
    <x v="11"/>
    <x v="0"/>
    <x v="11"/>
    <x v="6"/>
    <x v="1"/>
    <x v="12"/>
    <n v="31"/>
    <n v="135904"/>
    <n v="61256"/>
  </r>
  <r>
    <x v="12"/>
    <x v="1"/>
    <x v="12"/>
    <x v="6"/>
    <x v="1"/>
    <x v="12"/>
    <n v="45"/>
    <n v="207450"/>
    <n v="88920"/>
  </r>
  <r>
    <x v="13"/>
    <x v="1"/>
    <x v="13"/>
    <x v="6"/>
    <x v="1"/>
    <x v="12"/>
    <n v="28"/>
    <n v="133000"/>
    <n v="55328"/>
  </r>
  <r>
    <x v="14"/>
    <x v="1"/>
    <x v="14"/>
    <x v="6"/>
    <x v="1"/>
    <x v="12"/>
    <n v="23"/>
    <n v="104742"/>
    <n v="45448"/>
  </r>
  <r>
    <x v="15"/>
    <x v="1"/>
    <x v="15"/>
    <x v="6"/>
    <x v="1"/>
    <x v="12"/>
    <n v="42"/>
    <n v="257082"/>
    <n v="82992"/>
  </r>
  <r>
    <x v="16"/>
    <x v="1"/>
    <x v="16"/>
    <x v="6"/>
    <x v="1"/>
    <x v="12"/>
    <n v="54"/>
    <n v="327672"/>
    <n v="106704"/>
  </r>
  <r>
    <x v="17"/>
    <x v="1"/>
    <x v="17"/>
    <x v="6"/>
    <x v="1"/>
    <x v="12"/>
    <n v="51"/>
    <n v="239853"/>
    <n v="100776"/>
  </r>
  <r>
    <x v="18"/>
    <x v="1"/>
    <x v="18"/>
    <x v="6"/>
    <x v="1"/>
    <x v="12"/>
    <n v="54"/>
    <n v="196236"/>
    <n v="106704"/>
  </r>
  <r>
    <x v="19"/>
    <x v="1"/>
    <x v="19"/>
    <x v="6"/>
    <x v="1"/>
    <x v="12"/>
    <n v="45"/>
    <n v="224325"/>
    <n v="88920"/>
  </r>
  <r>
    <x v="20"/>
    <x v="1"/>
    <x v="20"/>
    <x v="6"/>
    <x v="1"/>
    <x v="12"/>
    <n v="48"/>
    <n v="229776"/>
    <n v="94848"/>
  </r>
  <r>
    <x v="21"/>
    <x v="1"/>
    <x v="21"/>
    <x v="6"/>
    <x v="1"/>
    <x v="12"/>
    <n v="40"/>
    <n v="203360"/>
    <n v="79040"/>
  </r>
  <r>
    <x v="22"/>
    <x v="1"/>
    <x v="22"/>
    <x v="6"/>
    <x v="1"/>
    <x v="12"/>
    <n v="28"/>
    <n v="155876"/>
    <n v="55328"/>
  </r>
  <r>
    <x v="23"/>
    <x v="1"/>
    <x v="23"/>
    <x v="6"/>
    <x v="1"/>
    <x v="12"/>
    <n v="34"/>
    <n v="146540"/>
    <n v="67184"/>
  </r>
  <r>
    <x v="0"/>
    <x v="0"/>
    <x v="0"/>
    <x v="6"/>
    <x v="1"/>
    <x v="13"/>
    <n v="37"/>
    <n v="234654"/>
    <n v="66600"/>
  </r>
  <r>
    <x v="1"/>
    <x v="0"/>
    <x v="1"/>
    <x v="6"/>
    <x v="1"/>
    <x v="13"/>
    <n v="23"/>
    <n v="136896"/>
    <n v="41400"/>
  </r>
  <r>
    <x v="2"/>
    <x v="0"/>
    <x v="2"/>
    <x v="6"/>
    <x v="1"/>
    <x v="13"/>
    <n v="19"/>
    <n v="108110"/>
    <n v="34200"/>
  </r>
  <r>
    <x v="3"/>
    <x v="0"/>
    <x v="3"/>
    <x v="6"/>
    <x v="1"/>
    <x v="13"/>
    <n v="35"/>
    <n v="211575"/>
    <n v="63000"/>
  </r>
  <r>
    <x v="4"/>
    <x v="0"/>
    <x v="4"/>
    <x v="6"/>
    <x v="1"/>
    <x v="13"/>
    <n v="44"/>
    <n v="277288"/>
    <n v="79200"/>
  </r>
  <r>
    <x v="5"/>
    <x v="0"/>
    <x v="5"/>
    <x v="6"/>
    <x v="1"/>
    <x v="13"/>
    <n v="42"/>
    <n v="243978"/>
    <n v="75600"/>
  </r>
  <r>
    <x v="6"/>
    <x v="0"/>
    <x v="6"/>
    <x v="6"/>
    <x v="1"/>
    <x v="13"/>
    <n v="44"/>
    <n v="164076"/>
    <n v="79200"/>
  </r>
  <r>
    <x v="7"/>
    <x v="0"/>
    <x v="7"/>
    <x v="6"/>
    <x v="1"/>
    <x v="13"/>
    <n v="37"/>
    <n v="210604"/>
    <n v="66600"/>
  </r>
  <r>
    <x v="8"/>
    <x v="0"/>
    <x v="8"/>
    <x v="6"/>
    <x v="1"/>
    <x v="13"/>
    <n v="39"/>
    <n v="213486"/>
    <n v="70200"/>
  </r>
  <r>
    <x v="9"/>
    <x v="0"/>
    <x v="9"/>
    <x v="6"/>
    <x v="1"/>
    <x v="13"/>
    <n v="32"/>
    <n v="194144"/>
    <n v="57600"/>
  </r>
  <r>
    <x v="10"/>
    <x v="0"/>
    <x v="10"/>
    <x v="6"/>
    <x v="1"/>
    <x v="13"/>
    <n v="23"/>
    <n v="140806"/>
    <n v="41400"/>
  </r>
  <r>
    <x v="11"/>
    <x v="0"/>
    <x v="11"/>
    <x v="6"/>
    <x v="1"/>
    <x v="13"/>
    <n v="28"/>
    <n v="156968"/>
    <n v="50400"/>
  </r>
  <r>
    <x v="12"/>
    <x v="1"/>
    <x v="12"/>
    <x v="6"/>
    <x v="1"/>
    <x v="13"/>
    <n v="41"/>
    <n v="224516"/>
    <n v="73800"/>
  </r>
  <r>
    <x v="13"/>
    <x v="1"/>
    <x v="13"/>
    <x v="6"/>
    <x v="1"/>
    <x v="13"/>
    <n v="26"/>
    <n v="165516"/>
    <n v="46800"/>
  </r>
  <r>
    <x v="14"/>
    <x v="1"/>
    <x v="14"/>
    <x v="6"/>
    <x v="1"/>
    <x v="13"/>
    <n v="21"/>
    <n v="101640"/>
    <n v="37800"/>
  </r>
  <r>
    <x v="15"/>
    <x v="1"/>
    <x v="15"/>
    <x v="6"/>
    <x v="1"/>
    <x v="13"/>
    <n v="38"/>
    <n v="244644"/>
    <n v="68400"/>
  </r>
  <r>
    <x v="16"/>
    <x v="1"/>
    <x v="16"/>
    <x v="6"/>
    <x v="1"/>
    <x v="13"/>
    <n v="48"/>
    <n v="307248"/>
    <n v="86400"/>
  </r>
  <r>
    <x v="17"/>
    <x v="1"/>
    <x v="17"/>
    <x v="6"/>
    <x v="1"/>
    <x v="13"/>
    <n v="46"/>
    <n v="280784"/>
    <n v="82800"/>
  </r>
  <r>
    <x v="18"/>
    <x v="1"/>
    <x v="18"/>
    <x v="6"/>
    <x v="1"/>
    <x v="13"/>
    <n v="48"/>
    <n v="225456"/>
    <n v="86400"/>
  </r>
  <r>
    <x v="19"/>
    <x v="1"/>
    <x v="19"/>
    <x v="6"/>
    <x v="1"/>
    <x v="13"/>
    <n v="41"/>
    <n v="211970"/>
    <n v="73800"/>
  </r>
  <r>
    <x v="20"/>
    <x v="1"/>
    <x v="20"/>
    <x v="6"/>
    <x v="1"/>
    <x v="13"/>
    <n v="43"/>
    <n v="229706"/>
    <n v="77400"/>
  </r>
  <r>
    <x v="21"/>
    <x v="1"/>
    <x v="21"/>
    <x v="6"/>
    <x v="1"/>
    <x v="13"/>
    <n v="36"/>
    <n v="222588"/>
    <n v="64800"/>
  </r>
  <r>
    <x v="22"/>
    <x v="1"/>
    <x v="22"/>
    <x v="6"/>
    <x v="1"/>
    <x v="13"/>
    <n v="26"/>
    <n v="144716"/>
    <n v="46800"/>
  </r>
  <r>
    <x v="23"/>
    <x v="1"/>
    <x v="23"/>
    <x v="6"/>
    <x v="1"/>
    <x v="13"/>
    <n v="31"/>
    <n v="152148"/>
    <n v="55800"/>
  </r>
  <r>
    <x v="0"/>
    <x v="0"/>
    <x v="0"/>
    <x v="6"/>
    <x v="2"/>
    <x v="14"/>
    <n v="25"/>
    <n v="914725"/>
    <n v="516250"/>
  </r>
  <r>
    <x v="1"/>
    <x v="0"/>
    <x v="1"/>
    <x v="6"/>
    <x v="2"/>
    <x v="14"/>
    <n v="16"/>
    <n v="584208"/>
    <n v="330400"/>
  </r>
  <r>
    <x v="2"/>
    <x v="0"/>
    <x v="2"/>
    <x v="6"/>
    <x v="2"/>
    <x v="14"/>
    <n v="13"/>
    <n v="467012"/>
    <n v="268450"/>
  </r>
  <r>
    <x v="3"/>
    <x v="0"/>
    <x v="3"/>
    <x v="6"/>
    <x v="2"/>
    <x v="14"/>
    <n v="23"/>
    <n v="857946"/>
    <n v="474950"/>
  </r>
  <r>
    <x v="4"/>
    <x v="0"/>
    <x v="4"/>
    <x v="6"/>
    <x v="2"/>
    <x v="14"/>
    <n v="29"/>
    <n v="1089298"/>
    <n v="598850"/>
  </r>
  <r>
    <x v="5"/>
    <x v="0"/>
    <x v="5"/>
    <x v="6"/>
    <x v="2"/>
    <x v="14"/>
    <n v="28"/>
    <n v="1018724"/>
    <n v="578200"/>
  </r>
  <r>
    <x v="6"/>
    <x v="0"/>
    <x v="6"/>
    <x v="6"/>
    <x v="2"/>
    <x v="14"/>
    <n v="29"/>
    <n v="1003893"/>
    <n v="598850"/>
  </r>
  <r>
    <x v="7"/>
    <x v="0"/>
    <x v="7"/>
    <x v="6"/>
    <x v="2"/>
    <x v="14"/>
    <n v="25"/>
    <n v="897450"/>
    <n v="516250"/>
  </r>
  <r>
    <x v="8"/>
    <x v="0"/>
    <x v="8"/>
    <x v="6"/>
    <x v="2"/>
    <x v="14"/>
    <n v="26"/>
    <n v="921076"/>
    <n v="536900"/>
  </r>
  <r>
    <x v="9"/>
    <x v="0"/>
    <x v="9"/>
    <x v="6"/>
    <x v="2"/>
    <x v="14"/>
    <n v="22"/>
    <n v="814132"/>
    <n v="454300"/>
  </r>
  <r>
    <x v="10"/>
    <x v="0"/>
    <x v="10"/>
    <x v="6"/>
    <x v="2"/>
    <x v="14"/>
    <n v="16"/>
    <n v="577600"/>
    <n v="330400"/>
  </r>
  <r>
    <x v="11"/>
    <x v="0"/>
    <x v="11"/>
    <x v="6"/>
    <x v="2"/>
    <x v="14"/>
    <n v="19"/>
    <n v="677407"/>
    <n v="392350"/>
  </r>
  <r>
    <x v="12"/>
    <x v="1"/>
    <x v="12"/>
    <x v="6"/>
    <x v="2"/>
    <x v="14"/>
    <n v="27"/>
    <n v="997299"/>
    <n v="557550"/>
  </r>
  <r>
    <x v="13"/>
    <x v="1"/>
    <x v="13"/>
    <x v="6"/>
    <x v="2"/>
    <x v="14"/>
    <n v="17"/>
    <n v="627368"/>
    <n v="351050"/>
  </r>
  <r>
    <x v="14"/>
    <x v="1"/>
    <x v="14"/>
    <x v="6"/>
    <x v="2"/>
    <x v="14"/>
    <n v="14"/>
    <n v="497924"/>
    <n v="289100"/>
  </r>
  <r>
    <x v="15"/>
    <x v="1"/>
    <x v="15"/>
    <x v="6"/>
    <x v="2"/>
    <x v="14"/>
    <n v="26"/>
    <n v="949780"/>
    <n v="536900"/>
  </r>
  <r>
    <x v="16"/>
    <x v="1"/>
    <x v="16"/>
    <x v="6"/>
    <x v="2"/>
    <x v="14"/>
    <n v="32"/>
    <n v="1167872"/>
    <n v="660800"/>
  </r>
  <r>
    <x v="17"/>
    <x v="1"/>
    <x v="17"/>
    <x v="6"/>
    <x v="2"/>
    <x v="14"/>
    <n v="31"/>
    <n v="1141885"/>
    <n v="640150"/>
  </r>
  <r>
    <x v="18"/>
    <x v="1"/>
    <x v="18"/>
    <x v="6"/>
    <x v="2"/>
    <x v="14"/>
    <n v="32"/>
    <n v="1102592"/>
    <n v="660800"/>
  </r>
  <r>
    <x v="19"/>
    <x v="1"/>
    <x v="19"/>
    <x v="6"/>
    <x v="2"/>
    <x v="14"/>
    <n v="27"/>
    <n v="974970"/>
    <n v="557550"/>
  </r>
  <r>
    <x v="20"/>
    <x v="1"/>
    <x v="20"/>
    <x v="6"/>
    <x v="2"/>
    <x v="14"/>
    <n v="29"/>
    <n v="1038809"/>
    <n v="598850"/>
  </r>
  <r>
    <x v="21"/>
    <x v="1"/>
    <x v="21"/>
    <x v="6"/>
    <x v="2"/>
    <x v="14"/>
    <n v="24"/>
    <n v="881904"/>
    <n v="495600"/>
  </r>
  <r>
    <x v="22"/>
    <x v="1"/>
    <x v="22"/>
    <x v="6"/>
    <x v="2"/>
    <x v="14"/>
    <n v="17"/>
    <n v="607869"/>
    <n v="351050"/>
  </r>
  <r>
    <x v="23"/>
    <x v="1"/>
    <x v="23"/>
    <x v="6"/>
    <x v="2"/>
    <x v="14"/>
    <n v="21"/>
    <n v="743988"/>
    <n v="433650"/>
  </r>
  <r>
    <x v="0"/>
    <x v="0"/>
    <x v="0"/>
    <x v="6"/>
    <x v="2"/>
    <x v="15"/>
    <n v="20"/>
    <n v="657460"/>
    <n v="313600"/>
  </r>
  <r>
    <x v="1"/>
    <x v="0"/>
    <x v="1"/>
    <x v="6"/>
    <x v="2"/>
    <x v="15"/>
    <n v="13"/>
    <n v="433277"/>
    <n v="203840"/>
  </r>
  <r>
    <x v="2"/>
    <x v="0"/>
    <x v="2"/>
    <x v="6"/>
    <x v="2"/>
    <x v="15"/>
    <n v="10"/>
    <n v="329800"/>
    <n v="156800"/>
  </r>
  <r>
    <x v="3"/>
    <x v="0"/>
    <x v="3"/>
    <x v="6"/>
    <x v="2"/>
    <x v="15"/>
    <n v="19"/>
    <n v="643606"/>
    <n v="297920"/>
  </r>
  <r>
    <x v="4"/>
    <x v="0"/>
    <x v="4"/>
    <x v="6"/>
    <x v="2"/>
    <x v="15"/>
    <n v="24"/>
    <n v="818352"/>
    <n v="376320"/>
  </r>
  <r>
    <x v="5"/>
    <x v="0"/>
    <x v="5"/>
    <x v="6"/>
    <x v="2"/>
    <x v="15"/>
    <n v="23"/>
    <n v="769488"/>
    <n v="360640"/>
  </r>
  <r>
    <x v="6"/>
    <x v="0"/>
    <x v="6"/>
    <x v="6"/>
    <x v="2"/>
    <x v="15"/>
    <n v="24"/>
    <n v="768480"/>
    <n v="376320"/>
  </r>
  <r>
    <x v="7"/>
    <x v="0"/>
    <x v="7"/>
    <x v="6"/>
    <x v="2"/>
    <x v="15"/>
    <n v="20"/>
    <n v="658340"/>
    <n v="313600"/>
  </r>
  <r>
    <x v="8"/>
    <x v="0"/>
    <x v="8"/>
    <x v="6"/>
    <x v="2"/>
    <x v="15"/>
    <n v="21"/>
    <n v="691782"/>
    <n v="329280"/>
  </r>
  <r>
    <x v="9"/>
    <x v="0"/>
    <x v="9"/>
    <x v="6"/>
    <x v="2"/>
    <x v="15"/>
    <n v="18"/>
    <n v="605232"/>
    <n v="282240"/>
  </r>
  <r>
    <x v="10"/>
    <x v="0"/>
    <x v="10"/>
    <x v="6"/>
    <x v="2"/>
    <x v="15"/>
    <n v="13"/>
    <n v="435994"/>
    <n v="203840"/>
  </r>
  <r>
    <x v="11"/>
    <x v="0"/>
    <x v="11"/>
    <x v="6"/>
    <x v="2"/>
    <x v="15"/>
    <n v="15"/>
    <n v="501255"/>
    <n v="235200"/>
  </r>
  <r>
    <x v="12"/>
    <x v="1"/>
    <x v="12"/>
    <x v="6"/>
    <x v="2"/>
    <x v="15"/>
    <n v="22"/>
    <n v="721622"/>
    <n v="344960"/>
  </r>
  <r>
    <x v="13"/>
    <x v="1"/>
    <x v="13"/>
    <x v="6"/>
    <x v="2"/>
    <x v="15"/>
    <n v="14"/>
    <n v="476770"/>
    <n v="219520"/>
  </r>
  <r>
    <x v="14"/>
    <x v="1"/>
    <x v="14"/>
    <x v="6"/>
    <x v="2"/>
    <x v="15"/>
    <n v="11"/>
    <n v="364661"/>
    <n v="172480"/>
  </r>
  <r>
    <x v="15"/>
    <x v="1"/>
    <x v="15"/>
    <x v="6"/>
    <x v="2"/>
    <x v="15"/>
    <n v="21"/>
    <n v="709884"/>
    <n v="329280"/>
  </r>
  <r>
    <x v="16"/>
    <x v="1"/>
    <x v="16"/>
    <x v="6"/>
    <x v="2"/>
    <x v="15"/>
    <n v="26"/>
    <n v="871988"/>
    <n v="407680"/>
  </r>
  <r>
    <x v="17"/>
    <x v="1"/>
    <x v="17"/>
    <x v="6"/>
    <x v="2"/>
    <x v="15"/>
    <n v="25"/>
    <n v="834825"/>
    <n v="392000"/>
  </r>
  <r>
    <x v="18"/>
    <x v="1"/>
    <x v="18"/>
    <x v="6"/>
    <x v="2"/>
    <x v="15"/>
    <n v="26"/>
    <n v="813280"/>
    <n v="407680"/>
  </r>
  <r>
    <x v="19"/>
    <x v="1"/>
    <x v="19"/>
    <x v="6"/>
    <x v="2"/>
    <x v="15"/>
    <n v="22"/>
    <n v="714230"/>
    <n v="344960"/>
  </r>
  <r>
    <x v="20"/>
    <x v="1"/>
    <x v="20"/>
    <x v="6"/>
    <x v="2"/>
    <x v="15"/>
    <n v="23"/>
    <n v="752169"/>
    <n v="360640"/>
  </r>
  <r>
    <x v="21"/>
    <x v="1"/>
    <x v="21"/>
    <x v="6"/>
    <x v="2"/>
    <x v="15"/>
    <n v="19"/>
    <n v="632624"/>
    <n v="297920"/>
  </r>
  <r>
    <x v="22"/>
    <x v="1"/>
    <x v="22"/>
    <x v="6"/>
    <x v="2"/>
    <x v="15"/>
    <n v="14"/>
    <n v="464716"/>
    <n v="219520"/>
  </r>
  <r>
    <x v="23"/>
    <x v="1"/>
    <x v="23"/>
    <x v="6"/>
    <x v="2"/>
    <x v="15"/>
    <n v="17"/>
    <n v="561204"/>
    <n v="266560"/>
  </r>
  <r>
    <x v="0"/>
    <x v="0"/>
    <x v="0"/>
    <x v="6"/>
    <x v="2"/>
    <x v="16"/>
    <n v="22"/>
    <n v="948134"/>
    <n v="397320"/>
  </r>
  <r>
    <x v="1"/>
    <x v="0"/>
    <x v="1"/>
    <x v="6"/>
    <x v="2"/>
    <x v="16"/>
    <n v="14"/>
    <n v="605542"/>
    <n v="252840"/>
  </r>
  <r>
    <x v="2"/>
    <x v="0"/>
    <x v="2"/>
    <x v="6"/>
    <x v="2"/>
    <x v="16"/>
    <n v="11"/>
    <n v="471284"/>
    <n v="198660"/>
  </r>
  <r>
    <x v="3"/>
    <x v="0"/>
    <x v="3"/>
    <x v="6"/>
    <x v="2"/>
    <x v="16"/>
    <n v="21"/>
    <n v="908292"/>
    <n v="379260"/>
  </r>
  <r>
    <x v="4"/>
    <x v="0"/>
    <x v="4"/>
    <x v="6"/>
    <x v="2"/>
    <x v="16"/>
    <n v="26"/>
    <n v="1152762"/>
    <n v="469560"/>
  </r>
  <r>
    <x v="5"/>
    <x v="0"/>
    <x v="5"/>
    <x v="6"/>
    <x v="2"/>
    <x v="16"/>
    <n v="25"/>
    <n v="1091175"/>
    <n v="451500"/>
  </r>
  <r>
    <x v="6"/>
    <x v="0"/>
    <x v="6"/>
    <x v="6"/>
    <x v="2"/>
    <x v="16"/>
    <n v="26"/>
    <n v="1092130"/>
    <n v="469560"/>
  </r>
  <r>
    <x v="7"/>
    <x v="0"/>
    <x v="7"/>
    <x v="6"/>
    <x v="2"/>
    <x v="16"/>
    <n v="22"/>
    <n v="947584"/>
    <n v="397320"/>
  </r>
  <r>
    <x v="8"/>
    <x v="0"/>
    <x v="8"/>
    <x v="6"/>
    <x v="2"/>
    <x v="16"/>
    <n v="24"/>
    <n v="1038432"/>
    <n v="433440"/>
  </r>
  <r>
    <x v="9"/>
    <x v="0"/>
    <x v="9"/>
    <x v="6"/>
    <x v="2"/>
    <x v="16"/>
    <n v="20"/>
    <n v="879320"/>
    <n v="361200"/>
  </r>
  <r>
    <x v="10"/>
    <x v="0"/>
    <x v="10"/>
    <x v="6"/>
    <x v="2"/>
    <x v="16"/>
    <n v="14"/>
    <n v="608874"/>
    <n v="252840"/>
  </r>
  <r>
    <x v="11"/>
    <x v="0"/>
    <x v="11"/>
    <x v="6"/>
    <x v="2"/>
    <x v="16"/>
    <n v="17"/>
    <n v="733703"/>
    <n v="307020"/>
  </r>
  <r>
    <x v="12"/>
    <x v="1"/>
    <x v="12"/>
    <x v="6"/>
    <x v="2"/>
    <x v="16"/>
    <n v="25"/>
    <n v="1081150"/>
    <n v="451500"/>
  </r>
  <r>
    <x v="13"/>
    <x v="1"/>
    <x v="13"/>
    <x v="6"/>
    <x v="2"/>
    <x v="16"/>
    <n v="16"/>
    <n v="702544"/>
    <n v="288960"/>
  </r>
  <r>
    <x v="14"/>
    <x v="1"/>
    <x v="14"/>
    <x v="6"/>
    <x v="2"/>
    <x v="16"/>
    <n v="13"/>
    <n v="563199"/>
    <n v="234780"/>
  </r>
  <r>
    <x v="15"/>
    <x v="1"/>
    <x v="15"/>
    <x v="6"/>
    <x v="2"/>
    <x v="16"/>
    <n v="23"/>
    <n v="1003950"/>
    <n v="415380"/>
  </r>
  <r>
    <x v="16"/>
    <x v="1"/>
    <x v="16"/>
    <x v="6"/>
    <x v="2"/>
    <x v="16"/>
    <n v="29"/>
    <n v="1276493"/>
    <n v="523740"/>
  </r>
  <r>
    <x v="17"/>
    <x v="1"/>
    <x v="17"/>
    <x v="6"/>
    <x v="2"/>
    <x v="16"/>
    <n v="28"/>
    <n v="1198092"/>
    <n v="505680"/>
  </r>
  <r>
    <x v="18"/>
    <x v="1"/>
    <x v="18"/>
    <x v="6"/>
    <x v="2"/>
    <x v="16"/>
    <n v="29"/>
    <n v="1213244"/>
    <n v="523740"/>
  </r>
  <r>
    <x v="19"/>
    <x v="1"/>
    <x v="19"/>
    <x v="6"/>
    <x v="2"/>
    <x v="16"/>
    <n v="25"/>
    <n v="1065250"/>
    <n v="451500"/>
  </r>
  <r>
    <x v="20"/>
    <x v="1"/>
    <x v="20"/>
    <x v="6"/>
    <x v="2"/>
    <x v="16"/>
    <n v="26"/>
    <n v="1112410"/>
    <n v="469560"/>
  </r>
  <r>
    <x v="21"/>
    <x v="1"/>
    <x v="21"/>
    <x v="6"/>
    <x v="2"/>
    <x v="16"/>
    <n v="22"/>
    <n v="948508"/>
    <n v="397320"/>
  </r>
  <r>
    <x v="22"/>
    <x v="1"/>
    <x v="22"/>
    <x v="6"/>
    <x v="2"/>
    <x v="16"/>
    <n v="16"/>
    <n v="686208"/>
    <n v="288960"/>
  </r>
  <r>
    <x v="23"/>
    <x v="1"/>
    <x v="23"/>
    <x v="6"/>
    <x v="2"/>
    <x v="16"/>
    <n v="19"/>
    <n v="807139"/>
    <n v="343140"/>
  </r>
  <r>
    <x v="0"/>
    <x v="0"/>
    <x v="0"/>
    <x v="6"/>
    <x v="2"/>
    <x v="17"/>
    <n v="20"/>
    <n v="579980"/>
    <n v="224000"/>
  </r>
  <r>
    <x v="1"/>
    <x v="0"/>
    <x v="1"/>
    <x v="6"/>
    <x v="2"/>
    <x v="17"/>
    <n v="13"/>
    <n v="388167"/>
    <n v="145600"/>
  </r>
  <r>
    <x v="2"/>
    <x v="0"/>
    <x v="2"/>
    <x v="6"/>
    <x v="2"/>
    <x v="17"/>
    <n v="10"/>
    <n v="286560"/>
    <n v="112000"/>
  </r>
  <r>
    <x v="3"/>
    <x v="0"/>
    <x v="3"/>
    <x v="6"/>
    <x v="2"/>
    <x v="17"/>
    <n v="19"/>
    <n v="565307"/>
    <n v="212800"/>
  </r>
  <r>
    <x v="4"/>
    <x v="0"/>
    <x v="4"/>
    <x v="6"/>
    <x v="2"/>
    <x v="17"/>
    <n v="24"/>
    <n v="733872"/>
    <n v="268800"/>
  </r>
  <r>
    <x v="5"/>
    <x v="0"/>
    <x v="5"/>
    <x v="6"/>
    <x v="2"/>
    <x v="17"/>
    <n v="23"/>
    <n v="672888"/>
    <n v="257600"/>
  </r>
  <r>
    <x v="6"/>
    <x v="0"/>
    <x v="6"/>
    <x v="6"/>
    <x v="2"/>
    <x v="17"/>
    <n v="24"/>
    <n v="668952"/>
    <n v="268800"/>
  </r>
  <r>
    <x v="7"/>
    <x v="0"/>
    <x v="7"/>
    <x v="6"/>
    <x v="2"/>
    <x v="17"/>
    <n v="20"/>
    <n v="577640"/>
    <n v="224000"/>
  </r>
  <r>
    <x v="8"/>
    <x v="0"/>
    <x v="8"/>
    <x v="6"/>
    <x v="2"/>
    <x v="17"/>
    <n v="22"/>
    <n v="641014"/>
    <n v="246400"/>
  </r>
  <r>
    <x v="9"/>
    <x v="0"/>
    <x v="9"/>
    <x v="6"/>
    <x v="2"/>
    <x v="17"/>
    <n v="18"/>
    <n v="529074"/>
    <n v="201600"/>
  </r>
  <r>
    <x v="10"/>
    <x v="0"/>
    <x v="10"/>
    <x v="6"/>
    <x v="2"/>
    <x v="17"/>
    <n v="13"/>
    <n v="378976"/>
    <n v="145600"/>
  </r>
  <r>
    <x v="11"/>
    <x v="0"/>
    <x v="11"/>
    <x v="6"/>
    <x v="2"/>
    <x v="17"/>
    <n v="15"/>
    <n v="437640"/>
    <n v="168000"/>
  </r>
  <r>
    <x v="12"/>
    <x v="1"/>
    <x v="12"/>
    <x v="6"/>
    <x v="2"/>
    <x v="17"/>
    <n v="22"/>
    <n v="634634"/>
    <n v="246400"/>
  </r>
  <r>
    <x v="13"/>
    <x v="1"/>
    <x v="13"/>
    <x v="6"/>
    <x v="2"/>
    <x v="17"/>
    <n v="14"/>
    <n v="411922"/>
    <n v="156800"/>
  </r>
  <r>
    <x v="14"/>
    <x v="1"/>
    <x v="14"/>
    <x v="6"/>
    <x v="2"/>
    <x v="17"/>
    <n v="11"/>
    <n v="321596"/>
    <n v="123200"/>
  </r>
  <r>
    <x v="15"/>
    <x v="1"/>
    <x v="15"/>
    <x v="6"/>
    <x v="2"/>
    <x v="17"/>
    <n v="21"/>
    <n v="620403"/>
    <n v="235200"/>
  </r>
  <r>
    <x v="16"/>
    <x v="1"/>
    <x v="16"/>
    <x v="6"/>
    <x v="2"/>
    <x v="17"/>
    <n v="26"/>
    <n v="778128"/>
    <n v="291200"/>
  </r>
  <r>
    <x v="17"/>
    <x v="1"/>
    <x v="17"/>
    <x v="6"/>
    <x v="2"/>
    <x v="17"/>
    <n v="25"/>
    <n v="741425"/>
    <n v="280000"/>
  </r>
  <r>
    <x v="18"/>
    <x v="1"/>
    <x v="18"/>
    <x v="6"/>
    <x v="2"/>
    <x v="17"/>
    <n v="26"/>
    <n v="735696"/>
    <n v="291200"/>
  </r>
  <r>
    <x v="19"/>
    <x v="1"/>
    <x v="19"/>
    <x v="6"/>
    <x v="2"/>
    <x v="17"/>
    <n v="22"/>
    <n v="623084"/>
    <n v="246400"/>
  </r>
  <r>
    <x v="20"/>
    <x v="1"/>
    <x v="20"/>
    <x v="6"/>
    <x v="2"/>
    <x v="17"/>
    <n v="24"/>
    <n v="697320"/>
    <n v="268800"/>
  </r>
  <r>
    <x v="21"/>
    <x v="1"/>
    <x v="21"/>
    <x v="6"/>
    <x v="2"/>
    <x v="17"/>
    <n v="20"/>
    <n v="597680"/>
    <n v="224000"/>
  </r>
  <r>
    <x v="22"/>
    <x v="1"/>
    <x v="22"/>
    <x v="6"/>
    <x v="2"/>
    <x v="17"/>
    <n v="14"/>
    <n v="408100"/>
    <n v="156800"/>
  </r>
  <r>
    <x v="23"/>
    <x v="1"/>
    <x v="23"/>
    <x v="6"/>
    <x v="2"/>
    <x v="17"/>
    <n v="17"/>
    <n v="485061"/>
    <n v="190400"/>
  </r>
  <r>
    <x v="0"/>
    <x v="0"/>
    <x v="0"/>
    <x v="6"/>
    <x v="2"/>
    <x v="18"/>
    <n v="26"/>
    <n v="1217268"/>
    <n v="655200.00000000012"/>
  </r>
  <r>
    <x v="1"/>
    <x v="0"/>
    <x v="1"/>
    <x v="6"/>
    <x v="2"/>
    <x v="18"/>
    <n v="16"/>
    <n v="747280"/>
    <n v="403200.00000000006"/>
  </r>
  <r>
    <x v="2"/>
    <x v="0"/>
    <x v="2"/>
    <x v="6"/>
    <x v="2"/>
    <x v="18"/>
    <n v="13"/>
    <n v="587106"/>
    <n v="327600.00000000006"/>
  </r>
  <r>
    <x v="3"/>
    <x v="0"/>
    <x v="3"/>
    <x v="6"/>
    <x v="2"/>
    <x v="18"/>
    <n v="24"/>
    <n v="1119240"/>
    <n v="604800.00000000012"/>
  </r>
  <r>
    <x v="4"/>
    <x v="0"/>
    <x v="4"/>
    <x v="6"/>
    <x v="2"/>
    <x v="18"/>
    <n v="30"/>
    <n v="1417830"/>
    <n v="756000.00000000012"/>
  </r>
  <r>
    <x v="5"/>
    <x v="0"/>
    <x v="5"/>
    <x v="6"/>
    <x v="2"/>
    <x v="18"/>
    <n v="29"/>
    <n v="1362043"/>
    <n v="730800.00000000012"/>
  </r>
  <r>
    <x v="6"/>
    <x v="0"/>
    <x v="6"/>
    <x v="6"/>
    <x v="2"/>
    <x v="18"/>
    <n v="30"/>
    <n v="1339230"/>
    <n v="756000.00000000012"/>
  </r>
  <r>
    <x v="7"/>
    <x v="0"/>
    <x v="7"/>
    <x v="6"/>
    <x v="2"/>
    <x v="18"/>
    <n v="26"/>
    <n v="1182350"/>
    <n v="655200.00000000012"/>
  </r>
  <r>
    <x v="8"/>
    <x v="0"/>
    <x v="8"/>
    <x v="6"/>
    <x v="2"/>
    <x v="18"/>
    <n v="27"/>
    <n v="1232901"/>
    <n v="680400.00000000012"/>
  </r>
  <r>
    <x v="9"/>
    <x v="0"/>
    <x v="9"/>
    <x v="6"/>
    <x v="2"/>
    <x v="18"/>
    <n v="22"/>
    <n v="1017038"/>
    <n v="554400.00000000012"/>
  </r>
  <r>
    <x v="10"/>
    <x v="0"/>
    <x v="10"/>
    <x v="6"/>
    <x v="2"/>
    <x v="18"/>
    <n v="16"/>
    <n v="739648"/>
    <n v="403200.00000000006"/>
  </r>
  <r>
    <x v="11"/>
    <x v="0"/>
    <x v="11"/>
    <x v="6"/>
    <x v="2"/>
    <x v="18"/>
    <n v="19"/>
    <n v="867920"/>
    <n v="478800.00000000006"/>
  </r>
  <r>
    <x v="12"/>
    <x v="1"/>
    <x v="12"/>
    <x v="6"/>
    <x v="2"/>
    <x v="18"/>
    <n v="28"/>
    <n v="1311772"/>
    <n v="705600.00000000012"/>
  </r>
  <r>
    <x v="13"/>
    <x v="1"/>
    <x v="13"/>
    <x v="6"/>
    <x v="2"/>
    <x v="18"/>
    <n v="18"/>
    <n v="840618"/>
    <n v="453600.00000000006"/>
  </r>
  <r>
    <x v="14"/>
    <x v="1"/>
    <x v="14"/>
    <x v="6"/>
    <x v="2"/>
    <x v="18"/>
    <n v="14"/>
    <n v="639324"/>
    <n v="352800.00000000006"/>
  </r>
  <r>
    <x v="15"/>
    <x v="1"/>
    <x v="15"/>
    <x v="6"/>
    <x v="2"/>
    <x v="18"/>
    <n v="26"/>
    <n v="1212588"/>
    <n v="655200.00000000012"/>
  </r>
  <r>
    <x v="16"/>
    <x v="1"/>
    <x v="16"/>
    <x v="6"/>
    <x v="2"/>
    <x v="18"/>
    <n v="33"/>
    <n v="1563078"/>
    <n v="831600.00000000012"/>
  </r>
  <r>
    <x v="17"/>
    <x v="1"/>
    <x v="17"/>
    <x v="6"/>
    <x v="2"/>
    <x v="18"/>
    <n v="32"/>
    <n v="1485536"/>
    <n v="806400.00000000012"/>
  </r>
  <r>
    <x v="18"/>
    <x v="1"/>
    <x v="18"/>
    <x v="6"/>
    <x v="2"/>
    <x v="18"/>
    <n v="33"/>
    <n v="1479060"/>
    <n v="831600.00000000012"/>
  </r>
  <r>
    <x v="19"/>
    <x v="1"/>
    <x v="19"/>
    <x v="6"/>
    <x v="2"/>
    <x v="18"/>
    <n v="28"/>
    <n v="1277332"/>
    <n v="705600.00000000012"/>
  </r>
  <r>
    <x v="20"/>
    <x v="1"/>
    <x v="20"/>
    <x v="6"/>
    <x v="2"/>
    <x v="18"/>
    <n v="30"/>
    <n v="1366050"/>
    <n v="756000.00000000012"/>
  </r>
  <r>
    <x v="21"/>
    <x v="1"/>
    <x v="21"/>
    <x v="6"/>
    <x v="2"/>
    <x v="18"/>
    <n v="25"/>
    <n v="1145125"/>
    <n v="630000.00000000012"/>
  </r>
  <r>
    <x v="22"/>
    <x v="1"/>
    <x v="22"/>
    <x v="6"/>
    <x v="2"/>
    <x v="18"/>
    <n v="18"/>
    <n v="826902"/>
    <n v="453600.00000000006"/>
  </r>
  <r>
    <x v="23"/>
    <x v="1"/>
    <x v="23"/>
    <x v="6"/>
    <x v="2"/>
    <x v="18"/>
    <n v="21"/>
    <n v="959973"/>
    <n v="529200.00000000012"/>
  </r>
  <r>
    <x v="0"/>
    <x v="0"/>
    <x v="0"/>
    <x v="6"/>
    <x v="2"/>
    <x v="19"/>
    <n v="26"/>
    <n v="472628"/>
    <n v="247520"/>
  </r>
  <r>
    <x v="1"/>
    <x v="0"/>
    <x v="1"/>
    <x v="6"/>
    <x v="2"/>
    <x v="19"/>
    <n v="16"/>
    <n v="294192"/>
    <n v="152320"/>
  </r>
  <r>
    <x v="2"/>
    <x v="0"/>
    <x v="2"/>
    <x v="6"/>
    <x v="2"/>
    <x v="19"/>
    <n v="13"/>
    <n v="234663"/>
    <n v="123760"/>
  </r>
  <r>
    <x v="3"/>
    <x v="0"/>
    <x v="3"/>
    <x v="6"/>
    <x v="2"/>
    <x v="19"/>
    <n v="24"/>
    <n v="451872"/>
    <n v="228480"/>
  </r>
  <r>
    <x v="4"/>
    <x v="0"/>
    <x v="4"/>
    <x v="6"/>
    <x v="2"/>
    <x v="19"/>
    <n v="30"/>
    <n v="575160"/>
    <n v="285600"/>
  </r>
  <r>
    <x v="5"/>
    <x v="0"/>
    <x v="5"/>
    <x v="6"/>
    <x v="2"/>
    <x v="19"/>
    <n v="29"/>
    <n v="522464"/>
    <n v="276080"/>
  </r>
  <r>
    <x v="6"/>
    <x v="0"/>
    <x v="6"/>
    <x v="6"/>
    <x v="2"/>
    <x v="19"/>
    <n v="30"/>
    <n v="513300"/>
    <n v="285600"/>
  </r>
  <r>
    <x v="7"/>
    <x v="0"/>
    <x v="7"/>
    <x v="6"/>
    <x v="2"/>
    <x v="19"/>
    <n v="26"/>
    <n v="449306"/>
    <n v="247520"/>
  </r>
  <r>
    <x v="8"/>
    <x v="0"/>
    <x v="8"/>
    <x v="6"/>
    <x v="2"/>
    <x v="19"/>
    <n v="27"/>
    <n v="488079"/>
    <n v="257040"/>
  </r>
  <r>
    <x v="9"/>
    <x v="0"/>
    <x v="9"/>
    <x v="6"/>
    <x v="2"/>
    <x v="19"/>
    <n v="22"/>
    <n v="415118"/>
    <n v="209440"/>
  </r>
  <r>
    <x v="10"/>
    <x v="0"/>
    <x v="10"/>
    <x v="6"/>
    <x v="2"/>
    <x v="19"/>
    <n v="16"/>
    <n v="294016"/>
    <n v="152320"/>
  </r>
  <r>
    <x v="11"/>
    <x v="0"/>
    <x v="11"/>
    <x v="6"/>
    <x v="2"/>
    <x v="19"/>
    <n v="19"/>
    <n v="344641"/>
    <n v="180880"/>
  </r>
  <r>
    <x v="12"/>
    <x v="1"/>
    <x v="12"/>
    <x v="6"/>
    <x v="2"/>
    <x v="19"/>
    <n v="28"/>
    <n v="505932"/>
    <n v="266560"/>
  </r>
  <r>
    <x v="13"/>
    <x v="1"/>
    <x v="13"/>
    <x v="6"/>
    <x v="2"/>
    <x v="19"/>
    <n v="18"/>
    <n v="337824"/>
    <n v="171360"/>
  </r>
  <r>
    <x v="14"/>
    <x v="1"/>
    <x v="14"/>
    <x v="6"/>
    <x v="2"/>
    <x v="19"/>
    <n v="14"/>
    <n v="252728"/>
    <n v="133280"/>
  </r>
  <r>
    <x v="15"/>
    <x v="1"/>
    <x v="15"/>
    <x v="6"/>
    <x v="2"/>
    <x v="19"/>
    <n v="26"/>
    <n v="494910"/>
    <n v="247520"/>
  </r>
  <r>
    <x v="16"/>
    <x v="1"/>
    <x v="16"/>
    <x v="6"/>
    <x v="2"/>
    <x v="19"/>
    <n v="33"/>
    <n v="634755"/>
    <n v="314160"/>
  </r>
  <r>
    <x v="17"/>
    <x v="1"/>
    <x v="17"/>
    <x v="6"/>
    <x v="2"/>
    <x v="19"/>
    <n v="32"/>
    <n v="582080"/>
    <n v="304640"/>
  </r>
  <r>
    <x v="18"/>
    <x v="1"/>
    <x v="18"/>
    <x v="6"/>
    <x v="2"/>
    <x v="19"/>
    <n v="33"/>
    <n v="550176"/>
    <n v="314160"/>
  </r>
  <r>
    <x v="19"/>
    <x v="1"/>
    <x v="19"/>
    <x v="6"/>
    <x v="2"/>
    <x v="19"/>
    <n v="28"/>
    <n v="504756"/>
    <n v="266560"/>
  </r>
  <r>
    <x v="20"/>
    <x v="1"/>
    <x v="20"/>
    <x v="6"/>
    <x v="2"/>
    <x v="19"/>
    <n v="30"/>
    <n v="541020"/>
    <n v="285600"/>
  </r>
  <r>
    <x v="21"/>
    <x v="1"/>
    <x v="21"/>
    <x v="6"/>
    <x v="2"/>
    <x v="19"/>
    <n v="25"/>
    <n v="461375"/>
    <n v="238000"/>
  </r>
  <r>
    <x v="22"/>
    <x v="1"/>
    <x v="22"/>
    <x v="6"/>
    <x v="2"/>
    <x v="19"/>
    <n v="18"/>
    <n v="333648"/>
    <n v="171360"/>
  </r>
  <r>
    <x v="23"/>
    <x v="1"/>
    <x v="23"/>
    <x v="6"/>
    <x v="2"/>
    <x v="19"/>
    <n v="21"/>
    <n v="360360"/>
    <n v="199920"/>
  </r>
  <r>
    <x v="0"/>
    <x v="0"/>
    <x v="0"/>
    <x v="6"/>
    <x v="2"/>
    <x v="20"/>
    <n v="21"/>
    <n v="854826"/>
    <n v="343980"/>
  </r>
  <r>
    <x v="1"/>
    <x v="0"/>
    <x v="1"/>
    <x v="6"/>
    <x v="2"/>
    <x v="20"/>
    <n v="13"/>
    <n v="525759"/>
    <n v="212940"/>
  </r>
  <r>
    <x v="2"/>
    <x v="0"/>
    <x v="2"/>
    <x v="6"/>
    <x v="2"/>
    <x v="20"/>
    <n v="11"/>
    <n v="438823"/>
    <n v="180180"/>
  </r>
  <r>
    <x v="3"/>
    <x v="0"/>
    <x v="3"/>
    <x v="6"/>
    <x v="2"/>
    <x v="20"/>
    <n v="19"/>
    <n v="760646"/>
    <n v="311220"/>
  </r>
  <r>
    <x v="4"/>
    <x v="0"/>
    <x v="4"/>
    <x v="6"/>
    <x v="2"/>
    <x v="20"/>
    <n v="24"/>
    <n v="975624"/>
    <n v="393120"/>
  </r>
  <r>
    <x v="5"/>
    <x v="0"/>
    <x v="5"/>
    <x v="6"/>
    <x v="2"/>
    <x v="20"/>
    <n v="23"/>
    <n v="939573"/>
    <n v="376740"/>
  </r>
  <r>
    <x v="6"/>
    <x v="0"/>
    <x v="6"/>
    <x v="6"/>
    <x v="2"/>
    <x v="20"/>
    <n v="24"/>
    <n v="921456"/>
    <n v="393120"/>
  </r>
  <r>
    <x v="7"/>
    <x v="0"/>
    <x v="7"/>
    <x v="6"/>
    <x v="2"/>
    <x v="20"/>
    <n v="21"/>
    <n v="838509"/>
    <n v="343980"/>
  </r>
  <r>
    <x v="8"/>
    <x v="0"/>
    <x v="8"/>
    <x v="6"/>
    <x v="2"/>
    <x v="20"/>
    <n v="22"/>
    <n v="880176"/>
    <n v="360360"/>
  </r>
  <r>
    <x v="9"/>
    <x v="0"/>
    <x v="9"/>
    <x v="6"/>
    <x v="2"/>
    <x v="20"/>
    <n v="18"/>
    <n v="730476"/>
    <n v="294840"/>
  </r>
  <r>
    <x v="10"/>
    <x v="0"/>
    <x v="10"/>
    <x v="6"/>
    <x v="2"/>
    <x v="20"/>
    <n v="13"/>
    <n v="520884"/>
    <n v="212940"/>
  </r>
  <r>
    <x v="11"/>
    <x v="0"/>
    <x v="11"/>
    <x v="6"/>
    <x v="2"/>
    <x v="20"/>
    <n v="16"/>
    <n v="626336"/>
    <n v="262080"/>
  </r>
  <r>
    <x v="12"/>
    <x v="1"/>
    <x v="12"/>
    <x v="6"/>
    <x v="2"/>
    <x v="20"/>
    <n v="23"/>
    <n v="923611"/>
    <n v="376740"/>
  </r>
  <r>
    <x v="13"/>
    <x v="1"/>
    <x v="13"/>
    <x v="6"/>
    <x v="2"/>
    <x v="20"/>
    <n v="14"/>
    <n v="564606"/>
    <n v="229320"/>
  </r>
  <r>
    <x v="14"/>
    <x v="1"/>
    <x v="14"/>
    <x v="6"/>
    <x v="2"/>
    <x v="20"/>
    <n v="12"/>
    <n v="479352"/>
    <n v="196560"/>
  </r>
  <r>
    <x v="15"/>
    <x v="1"/>
    <x v="15"/>
    <x v="6"/>
    <x v="2"/>
    <x v="20"/>
    <n v="21"/>
    <n v="859719"/>
    <n v="343980"/>
  </r>
  <r>
    <x v="16"/>
    <x v="1"/>
    <x v="16"/>
    <x v="6"/>
    <x v="2"/>
    <x v="20"/>
    <n v="27"/>
    <n v="1110429"/>
    <n v="442260"/>
  </r>
  <r>
    <x v="17"/>
    <x v="1"/>
    <x v="17"/>
    <x v="6"/>
    <x v="2"/>
    <x v="20"/>
    <n v="25"/>
    <n v="1014950"/>
    <n v="409500"/>
  </r>
  <r>
    <x v="18"/>
    <x v="1"/>
    <x v="18"/>
    <x v="6"/>
    <x v="2"/>
    <x v="20"/>
    <n v="27"/>
    <n v="1055754"/>
    <n v="442260"/>
  </r>
  <r>
    <x v="19"/>
    <x v="1"/>
    <x v="19"/>
    <x v="6"/>
    <x v="2"/>
    <x v="20"/>
    <n v="23"/>
    <n v="910570"/>
    <n v="376740"/>
  </r>
  <r>
    <x v="20"/>
    <x v="1"/>
    <x v="20"/>
    <x v="6"/>
    <x v="2"/>
    <x v="20"/>
    <n v="24"/>
    <n v="950856"/>
    <n v="393120"/>
  </r>
  <r>
    <x v="21"/>
    <x v="1"/>
    <x v="21"/>
    <x v="6"/>
    <x v="2"/>
    <x v="20"/>
    <n v="20"/>
    <n v="804120"/>
    <n v="327600"/>
  </r>
  <r>
    <x v="22"/>
    <x v="1"/>
    <x v="22"/>
    <x v="6"/>
    <x v="2"/>
    <x v="20"/>
    <n v="14"/>
    <n v="570346"/>
    <n v="229320"/>
  </r>
  <r>
    <x v="23"/>
    <x v="1"/>
    <x v="23"/>
    <x v="6"/>
    <x v="2"/>
    <x v="20"/>
    <n v="17"/>
    <n v="673693"/>
    <n v="278460"/>
  </r>
  <r>
    <x v="0"/>
    <x v="0"/>
    <x v="0"/>
    <x v="6"/>
    <x v="3"/>
    <x v="21"/>
    <n v="63"/>
    <n v="394569"/>
    <n v="144900"/>
  </r>
  <r>
    <x v="1"/>
    <x v="0"/>
    <x v="1"/>
    <x v="6"/>
    <x v="3"/>
    <x v="21"/>
    <n v="40"/>
    <n v="247400"/>
    <n v="92000"/>
  </r>
  <r>
    <x v="2"/>
    <x v="0"/>
    <x v="2"/>
    <x v="6"/>
    <x v="3"/>
    <x v="21"/>
    <n v="32"/>
    <n v="188960"/>
    <n v="73600"/>
  </r>
  <r>
    <x v="3"/>
    <x v="0"/>
    <x v="3"/>
    <x v="6"/>
    <x v="3"/>
    <x v="21"/>
    <n v="59"/>
    <n v="411997"/>
    <n v="135700"/>
  </r>
  <r>
    <x v="4"/>
    <x v="0"/>
    <x v="4"/>
    <x v="6"/>
    <x v="3"/>
    <x v="21"/>
    <n v="75"/>
    <n v="490275"/>
    <n v="172500"/>
  </r>
  <r>
    <x v="5"/>
    <x v="0"/>
    <x v="5"/>
    <x v="6"/>
    <x v="3"/>
    <x v="21"/>
    <n v="71"/>
    <n v="457666"/>
    <n v="163300"/>
  </r>
  <r>
    <x v="6"/>
    <x v="0"/>
    <x v="6"/>
    <x v="6"/>
    <x v="3"/>
    <x v="21"/>
    <n v="75"/>
    <n v="384450"/>
    <n v="172500"/>
  </r>
  <r>
    <x v="7"/>
    <x v="0"/>
    <x v="7"/>
    <x v="6"/>
    <x v="3"/>
    <x v="21"/>
    <n v="63"/>
    <n v="356139"/>
    <n v="144900"/>
  </r>
  <r>
    <x v="8"/>
    <x v="0"/>
    <x v="8"/>
    <x v="6"/>
    <x v="3"/>
    <x v="21"/>
    <n v="67"/>
    <n v="375870"/>
    <n v="154100"/>
  </r>
  <r>
    <x v="9"/>
    <x v="0"/>
    <x v="9"/>
    <x v="6"/>
    <x v="3"/>
    <x v="21"/>
    <n v="55"/>
    <n v="330385"/>
    <n v="126500"/>
  </r>
  <r>
    <x v="10"/>
    <x v="0"/>
    <x v="10"/>
    <x v="6"/>
    <x v="3"/>
    <x v="21"/>
    <n v="40"/>
    <n v="269400"/>
    <n v="92000"/>
  </r>
  <r>
    <x v="11"/>
    <x v="0"/>
    <x v="11"/>
    <x v="6"/>
    <x v="3"/>
    <x v="21"/>
    <n v="47"/>
    <n v="286136"/>
    <n v="108100"/>
  </r>
  <r>
    <x v="12"/>
    <x v="1"/>
    <x v="12"/>
    <x v="6"/>
    <x v="3"/>
    <x v="21"/>
    <n v="69"/>
    <n v="411930"/>
    <n v="158700"/>
  </r>
  <r>
    <x v="13"/>
    <x v="1"/>
    <x v="13"/>
    <x v="6"/>
    <x v="3"/>
    <x v="21"/>
    <n v="44"/>
    <n v="293920"/>
    <n v="101200"/>
  </r>
  <r>
    <x v="14"/>
    <x v="1"/>
    <x v="14"/>
    <x v="6"/>
    <x v="3"/>
    <x v="21"/>
    <n v="35"/>
    <n v="187705"/>
    <n v="80500"/>
  </r>
  <r>
    <x v="15"/>
    <x v="1"/>
    <x v="15"/>
    <x v="6"/>
    <x v="3"/>
    <x v="21"/>
    <n v="65"/>
    <n v="446940"/>
    <n v="149500"/>
  </r>
  <r>
    <x v="16"/>
    <x v="1"/>
    <x v="16"/>
    <x v="6"/>
    <x v="3"/>
    <x v="21"/>
    <n v="82"/>
    <n v="572688"/>
    <n v="188600"/>
  </r>
  <r>
    <x v="17"/>
    <x v="1"/>
    <x v="17"/>
    <x v="6"/>
    <x v="3"/>
    <x v="21"/>
    <n v="78"/>
    <n v="465348"/>
    <n v="179400"/>
  </r>
  <r>
    <x v="18"/>
    <x v="1"/>
    <x v="18"/>
    <x v="6"/>
    <x v="3"/>
    <x v="21"/>
    <n v="82"/>
    <n v="372034"/>
    <n v="188600"/>
  </r>
  <r>
    <x v="19"/>
    <x v="1"/>
    <x v="19"/>
    <x v="6"/>
    <x v="3"/>
    <x v="21"/>
    <n v="69"/>
    <n v="393576"/>
    <n v="158700"/>
  </r>
  <r>
    <x v="20"/>
    <x v="1"/>
    <x v="20"/>
    <x v="6"/>
    <x v="3"/>
    <x v="21"/>
    <n v="74"/>
    <n v="421652"/>
    <n v="170200"/>
  </r>
  <r>
    <x v="21"/>
    <x v="1"/>
    <x v="21"/>
    <x v="6"/>
    <x v="3"/>
    <x v="21"/>
    <n v="61"/>
    <n v="360022"/>
    <n v="140300"/>
  </r>
  <r>
    <x v="22"/>
    <x v="1"/>
    <x v="22"/>
    <x v="6"/>
    <x v="3"/>
    <x v="21"/>
    <n v="44"/>
    <n v="252164"/>
    <n v="101200"/>
  </r>
  <r>
    <x v="23"/>
    <x v="1"/>
    <x v="23"/>
    <x v="6"/>
    <x v="3"/>
    <x v="21"/>
    <n v="52"/>
    <n v="275548"/>
    <n v="119600"/>
  </r>
  <r>
    <x v="0"/>
    <x v="0"/>
    <x v="0"/>
    <x v="6"/>
    <x v="3"/>
    <x v="22"/>
    <n v="56"/>
    <n v="560672"/>
    <n v="226800"/>
  </r>
  <r>
    <x v="1"/>
    <x v="0"/>
    <x v="1"/>
    <x v="6"/>
    <x v="3"/>
    <x v="22"/>
    <n v="35"/>
    <n v="368375"/>
    <n v="141750"/>
  </r>
  <r>
    <x v="2"/>
    <x v="0"/>
    <x v="2"/>
    <x v="6"/>
    <x v="3"/>
    <x v="22"/>
    <n v="28"/>
    <n v="263004"/>
    <n v="113400"/>
  </r>
  <r>
    <x v="3"/>
    <x v="0"/>
    <x v="3"/>
    <x v="6"/>
    <x v="3"/>
    <x v="22"/>
    <n v="52"/>
    <n v="544908"/>
    <n v="210600"/>
  </r>
  <r>
    <x v="4"/>
    <x v="0"/>
    <x v="4"/>
    <x v="6"/>
    <x v="3"/>
    <x v="22"/>
    <n v="66"/>
    <n v="696234"/>
    <n v="267300"/>
  </r>
  <r>
    <x v="5"/>
    <x v="0"/>
    <x v="5"/>
    <x v="6"/>
    <x v="3"/>
    <x v="22"/>
    <n v="63"/>
    <n v="648963"/>
    <n v="255150"/>
  </r>
  <r>
    <x v="6"/>
    <x v="0"/>
    <x v="6"/>
    <x v="6"/>
    <x v="3"/>
    <x v="22"/>
    <n v="66"/>
    <n v="616704"/>
    <n v="267300"/>
  </r>
  <r>
    <x v="7"/>
    <x v="0"/>
    <x v="7"/>
    <x v="6"/>
    <x v="3"/>
    <x v="22"/>
    <n v="56"/>
    <n v="550200"/>
    <n v="226800"/>
  </r>
  <r>
    <x v="8"/>
    <x v="0"/>
    <x v="8"/>
    <x v="6"/>
    <x v="3"/>
    <x v="22"/>
    <n v="59"/>
    <n v="568170"/>
    <n v="238950"/>
  </r>
  <r>
    <x v="9"/>
    <x v="0"/>
    <x v="9"/>
    <x v="6"/>
    <x v="3"/>
    <x v="22"/>
    <n v="49"/>
    <n v="505043"/>
    <n v="198450"/>
  </r>
  <r>
    <x v="10"/>
    <x v="0"/>
    <x v="10"/>
    <x v="6"/>
    <x v="3"/>
    <x v="22"/>
    <n v="35"/>
    <n v="371000"/>
    <n v="141750"/>
  </r>
  <r>
    <x v="11"/>
    <x v="0"/>
    <x v="11"/>
    <x v="6"/>
    <x v="3"/>
    <x v="22"/>
    <n v="42"/>
    <n v="422898"/>
    <n v="170100"/>
  </r>
  <r>
    <x v="12"/>
    <x v="1"/>
    <x v="12"/>
    <x v="6"/>
    <x v="3"/>
    <x v="22"/>
    <n v="61"/>
    <n v="652334"/>
    <n v="247050"/>
  </r>
  <r>
    <x v="13"/>
    <x v="1"/>
    <x v="13"/>
    <x v="6"/>
    <x v="3"/>
    <x v="22"/>
    <n v="39"/>
    <n v="401778"/>
    <n v="157950"/>
  </r>
  <r>
    <x v="14"/>
    <x v="1"/>
    <x v="14"/>
    <x v="6"/>
    <x v="3"/>
    <x v="22"/>
    <n v="31"/>
    <n v="309752"/>
    <n v="125550"/>
  </r>
  <r>
    <x v="15"/>
    <x v="1"/>
    <x v="15"/>
    <x v="6"/>
    <x v="3"/>
    <x v="22"/>
    <n v="58"/>
    <n v="619614"/>
    <n v="234900"/>
  </r>
  <r>
    <x v="16"/>
    <x v="1"/>
    <x v="16"/>
    <x v="6"/>
    <x v="3"/>
    <x v="22"/>
    <n v="73"/>
    <n v="789568"/>
    <n v="295650"/>
  </r>
  <r>
    <x v="17"/>
    <x v="1"/>
    <x v="17"/>
    <x v="6"/>
    <x v="3"/>
    <x v="22"/>
    <n v="69"/>
    <n v="684204"/>
    <n v="279450"/>
  </r>
  <r>
    <x v="18"/>
    <x v="1"/>
    <x v="18"/>
    <x v="6"/>
    <x v="3"/>
    <x v="22"/>
    <n v="73"/>
    <n v="602980"/>
    <n v="295650"/>
  </r>
  <r>
    <x v="19"/>
    <x v="1"/>
    <x v="19"/>
    <x v="6"/>
    <x v="3"/>
    <x v="22"/>
    <n v="61"/>
    <n v="590907"/>
    <n v="247050"/>
  </r>
  <r>
    <x v="20"/>
    <x v="1"/>
    <x v="20"/>
    <x v="6"/>
    <x v="3"/>
    <x v="22"/>
    <n v="65"/>
    <n v="658645"/>
    <n v="263250"/>
  </r>
  <r>
    <x v="21"/>
    <x v="1"/>
    <x v="21"/>
    <x v="6"/>
    <x v="3"/>
    <x v="22"/>
    <n v="54"/>
    <n v="581040"/>
    <n v="218700"/>
  </r>
  <r>
    <x v="22"/>
    <x v="1"/>
    <x v="22"/>
    <x v="6"/>
    <x v="3"/>
    <x v="22"/>
    <n v="39"/>
    <n v="416286"/>
    <n v="157950"/>
  </r>
  <r>
    <x v="23"/>
    <x v="1"/>
    <x v="23"/>
    <x v="6"/>
    <x v="3"/>
    <x v="22"/>
    <n v="46"/>
    <n v="445878"/>
    <n v="186300"/>
  </r>
  <r>
    <x v="0"/>
    <x v="0"/>
    <x v="0"/>
    <x v="6"/>
    <x v="3"/>
    <x v="23"/>
    <n v="63"/>
    <n v="534177"/>
    <n v="251369.99999999997"/>
  </r>
  <r>
    <x v="1"/>
    <x v="0"/>
    <x v="1"/>
    <x v="6"/>
    <x v="3"/>
    <x v="23"/>
    <n v="40"/>
    <n v="327600"/>
    <n v="159599.99999999997"/>
  </r>
  <r>
    <x v="2"/>
    <x v="0"/>
    <x v="2"/>
    <x v="6"/>
    <x v="3"/>
    <x v="23"/>
    <n v="32"/>
    <n v="249440"/>
    <n v="127679.99999999999"/>
  </r>
  <r>
    <x v="3"/>
    <x v="0"/>
    <x v="3"/>
    <x v="6"/>
    <x v="3"/>
    <x v="23"/>
    <n v="59"/>
    <n v="548346"/>
    <n v="235409.99999999997"/>
  </r>
  <r>
    <x v="4"/>
    <x v="0"/>
    <x v="4"/>
    <x v="6"/>
    <x v="3"/>
    <x v="23"/>
    <n v="75"/>
    <n v="721575"/>
    <n v="299249.99999999994"/>
  </r>
  <r>
    <x v="5"/>
    <x v="0"/>
    <x v="5"/>
    <x v="6"/>
    <x v="3"/>
    <x v="23"/>
    <n v="71"/>
    <n v="572047"/>
    <n v="283289.99999999994"/>
  </r>
  <r>
    <x v="6"/>
    <x v="0"/>
    <x v="6"/>
    <x v="6"/>
    <x v="3"/>
    <x v="23"/>
    <n v="75"/>
    <n v="503550"/>
    <n v="299249.99999999994"/>
  </r>
  <r>
    <x v="7"/>
    <x v="0"/>
    <x v="7"/>
    <x v="6"/>
    <x v="3"/>
    <x v="23"/>
    <n v="63"/>
    <n v="462609"/>
    <n v="251369.99999999997"/>
  </r>
  <r>
    <x v="8"/>
    <x v="0"/>
    <x v="8"/>
    <x v="6"/>
    <x v="3"/>
    <x v="23"/>
    <n v="67"/>
    <n v="542566"/>
    <n v="267329.99999999994"/>
  </r>
  <r>
    <x v="9"/>
    <x v="0"/>
    <x v="9"/>
    <x v="6"/>
    <x v="3"/>
    <x v="23"/>
    <n v="55"/>
    <n v="468710"/>
    <n v="219449.99999999997"/>
  </r>
  <r>
    <x v="10"/>
    <x v="0"/>
    <x v="10"/>
    <x v="6"/>
    <x v="3"/>
    <x v="23"/>
    <n v="40"/>
    <n v="318560"/>
    <n v="159599.99999999997"/>
  </r>
  <r>
    <x v="11"/>
    <x v="0"/>
    <x v="11"/>
    <x v="6"/>
    <x v="3"/>
    <x v="23"/>
    <n v="47"/>
    <n v="361759"/>
    <n v="187529.99999999997"/>
  </r>
  <r>
    <x v="12"/>
    <x v="1"/>
    <x v="12"/>
    <x v="6"/>
    <x v="3"/>
    <x v="23"/>
    <n v="69"/>
    <n v="581463"/>
    <n v="275309.99999999994"/>
  </r>
  <r>
    <x v="13"/>
    <x v="1"/>
    <x v="13"/>
    <x v="6"/>
    <x v="3"/>
    <x v="23"/>
    <n v="44"/>
    <n v="355300"/>
    <n v="175559.99999999997"/>
  </r>
  <r>
    <x v="14"/>
    <x v="1"/>
    <x v="14"/>
    <x v="6"/>
    <x v="3"/>
    <x v="23"/>
    <n v="35"/>
    <n v="273140"/>
    <n v="139649.99999999997"/>
  </r>
  <r>
    <x v="15"/>
    <x v="1"/>
    <x v="15"/>
    <x v="6"/>
    <x v="3"/>
    <x v="23"/>
    <n v="65"/>
    <n v="570570"/>
    <n v="259349.99999999997"/>
  </r>
  <r>
    <x v="16"/>
    <x v="1"/>
    <x v="16"/>
    <x v="6"/>
    <x v="3"/>
    <x v="23"/>
    <n v="82"/>
    <n v="750792"/>
    <n v="327179.99999999994"/>
  </r>
  <r>
    <x v="17"/>
    <x v="1"/>
    <x v="17"/>
    <x v="6"/>
    <x v="3"/>
    <x v="23"/>
    <n v="78"/>
    <n v="664404"/>
    <n v="311219.99999999994"/>
  </r>
  <r>
    <x v="18"/>
    <x v="1"/>
    <x v="18"/>
    <x v="6"/>
    <x v="3"/>
    <x v="23"/>
    <n v="82"/>
    <n v="524390"/>
    <n v="327179.99999999994"/>
  </r>
  <r>
    <x v="19"/>
    <x v="1"/>
    <x v="19"/>
    <x v="6"/>
    <x v="3"/>
    <x v="23"/>
    <n v="69"/>
    <n v="551862"/>
    <n v="275309.99999999994"/>
  </r>
  <r>
    <x v="20"/>
    <x v="1"/>
    <x v="20"/>
    <x v="6"/>
    <x v="3"/>
    <x v="23"/>
    <n v="74"/>
    <n v="618862"/>
    <n v="295259.99999999994"/>
  </r>
  <r>
    <x v="21"/>
    <x v="1"/>
    <x v="21"/>
    <x v="6"/>
    <x v="3"/>
    <x v="23"/>
    <n v="61"/>
    <n v="546621"/>
    <n v="243389.99999999997"/>
  </r>
  <r>
    <x v="22"/>
    <x v="1"/>
    <x v="22"/>
    <x v="6"/>
    <x v="3"/>
    <x v="23"/>
    <n v="44"/>
    <n v="355256"/>
    <n v="175559.99999999997"/>
  </r>
  <r>
    <x v="23"/>
    <x v="1"/>
    <x v="23"/>
    <x v="6"/>
    <x v="3"/>
    <x v="23"/>
    <n v="52"/>
    <n v="406588"/>
    <n v="207479.99999999997"/>
  </r>
  <r>
    <x v="0"/>
    <x v="0"/>
    <x v="0"/>
    <x v="6"/>
    <x v="3"/>
    <x v="24"/>
    <n v="55"/>
    <n v="544830"/>
    <n v="229075"/>
  </r>
  <r>
    <x v="1"/>
    <x v="0"/>
    <x v="1"/>
    <x v="6"/>
    <x v="3"/>
    <x v="24"/>
    <n v="35"/>
    <n v="344050"/>
    <n v="145775"/>
  </r>
  <r>
    <x v="2"/>
    <x v="0"/>
    <x v="2"/>
    <x v="6"/>
    <x v="3"/>
    <x v="24"/>
    <n v="28"/>
    <n v="268240"/>
    <n v="116620"/>
  </r>
  <r>
    <x v="3"/>
    <x v="0"/>
    <x v="3"/>
    <x v="6"/>
    <x v="3"/>
    <x v="24"/>
    <n v="52"/>
    <n v="537732"/>
    <n v="216580"/>
  </r>
  <r>
    <x v="4"/>
    <x v="0"/>
    <x v="4"/>
    <x v="6"/>
    <x v="3"/>
    <x v="24"/>
    <n v="65"/>
    <n v="664625"/>
    <n v="270725"/>
  </r>
  <r>
    <x v="5"/>
    <x v="0"/>
    <x v="5"/>
    <x v="6"/>
    <x v="3"/>
    <x v="24"/>
    <n v="62"/>
    <n v="628618"/>
    <n v="258230"/>
  </r>
  <r>
    <x v="6"/>
    <x v="0"/>
    <x v="6"/>
    <x v="6"/>
    <x v="3"/>
    <x v="24"/>
    <n v="65"/>
    <n v="537680"/>
    <n v="270725"/>
  </r>
  <r>
    <x v="7"/>
    <x v="0"/>
    <x v="7"/>
    <x v="6"/>
    <x v="3"/>
    <x v="24"/>
    <n v="55"/>
    <n v="502260"/>
    <n v="229075"/>
  </r>
  <r>
    <x v="8"/>
    <x v="0"/>
    <x v="8"/>
    <x v="6"/>
    <x v="3"/>
    <x v="24"/>
    <n v="59"/>
    <n v="542151"/>
    <n v="245735"/>
  </r>
  <r>
    <x v="9"/>
    <x v="0"/>
    <x v="9"/>
    <x v="6"/>
    <x v="3"/>
    <x v="24"/>
    <n v="48"/>
    <n v="463056"/>
    <n v="199920"/>
  </r>
  <r>
    <x v="10"/>
    <x v="0"/>
    <x v="10"/>
    <x v="6"/>
    <x v="3"/>
    <x v="24"/>
    <n v="35"/>
    <n v="349265"/>
    <n v="145775"/>
  </r>
  <r>
    <x v="11"/>
    <x v="0"/>
    <x v="11"/>
    <x v="6"/>
    <x v="3"/>
    <x v="24"/>
    <n v="42"/>
    <n v="392154"/>
    <n v="174930"/>
  </r>
  <r>
    <x v="12"/>
    <x v="1"/>
    <x v="12"/>
    <x v="6"/>
    <x v="3"/>
    <x v="24"/>
    <n v="61"/>
    <n v="579134"/>
    <n v="254065"/>
  </r>
  <r>
    <x v="13"/>
    <x v="1"/>
    <x v="13"/>
    <x v="6"/>
    <x v="3"/>
    <x v="24"/>
    <n v="38"/>
    <n v="388018"/>
    <n v="158270"/>
  </r>
  <r>
    <x v="14"/>
    <x v="1"/>
    <x v="14"/>
    <x v="6"/>
    <x v="3"/>
    <x v="24"/>
    <n v="31"/>
    <n v="293384"/>
    <n v="129115"/>
  </r>
  <r>
    <x v="15"/>
    <x v="1"/>
    <x v="15"/>
    <x v="6"/>
    <x v="3"/>
    <x v="24"/>
    <n v="57"/>
    <n v="571995"/>
    <n v="237405"/>
  </r>
  <r>
    <x v="16"/>
    <x v="1"/>
    <x v="16"/>
    <x v="6"/>
    <x v="3"/>
    <x v="24"/>
    <n v="72"/>
    <n v="727200"/>
    <n v="299880"/>
  </r>
  <r>
    <x v="17"/>
    <x v="1"/>
    <x v="17"/>
    <x v="6"/>
    <x v="3"/>
    <x v="24"/>
    <n v="68"/>
    <n v="682108"/>
    <n v="283220"/>
  </r>
  <r>
    <x v="18"/>
    <x v="1"/>
    <x v="18"/>
    <x v="6"/>
    <x v="3"/>
    <x v="24"/>
    <n v="72"/>
    <n v="560088"/>
    <n v="299880"/>
  </r>
  <r>
    <x v="19"/>
    <x v="1"/>
    <x v="19"/>
    <x v="6"/>
    <x v="3"/>
    <x v="24"/>
    <n v="61"/>
    <n v="575474"/>
    <n v="254065"/>
  </r>
  <r>
    <x v="20"/>
    <x v="1"/>
    <x v="20"/>
    <x v="6"/>
    <x v="3"/>
    <x v="24"/>
    <n v="64"/>
    <n v="606976"/>
    <n v="266560"/>
  </r>
  <r>
    <x v="21"/>
    <x v="1"/>
    <x v="21"/>
    <x v="6"/>
    <x v="3"/>
    <x v="24"/>
    <n v="53"/>
    <n v="508111"/>
    <n v="220745"/>
  </r>
  <r>
    <x v="22"/>
    <x v="1"/>
    <x v="22"/>
    <x v="6"/>
    <x v="3"/>
    <x v="24"/>
    <n v="38"/>
    <n v="358112"/>
    <n v="158270"/>
  </r>
  <r>
    <x v="23"/>
    <x v="1"/>
    <x v="23"/>
    <x v="6"/>
    <x v="3"/>
    <x v="24"/>
    <n v="46"/>
    <n v="416392"/>
    <n v="191590"/>
  </r>
  <r>
    <x v="0"/>
    <x v="0"/>
    <x v="0"/>
    <x v="6"/>
    <x v="3"/>
    <x v="25"/>
    <n v="55"/>
    <n v="426745"/>
    <n v="168300"/>
  </r>
  <r>
    <x v="1"/>
    <x v="0"/>
    <x v="1"/>
    <x v="6"/>
    <x v="3"/>
    <x v="25"/>
    <n v="35"/>
    <n v="258195"/>
    <n v="107100"/>
  </r>
  <r>
    <x v="2"/>
    <x v="0"/>
    <x v="2"/>
    <x v="6"/>
    <x v="3"/>
    <x v="25"/>
    <n v="28"/>
    <n v="183372"/>
    <n v="85680"/>
  </r>
  <r>
    <x v="3"/>
    <x v="0"/>
    <x v="3"/>
    <x v="6"/>
    <x v="3"/>
    <x v="25"/>
    <n v="52"/>
    <n v="418808"/>
    <n v="159120"/>
  </r>
  <r>
    <x v="4"/>
    <x v="0"/>
    <x v="4"/>
    <x v="6"/>
    <x v="3"/>
    <x v="25"/>
    <n v="65"/>
    <n v="530725"/>
    <n v="198900"/>
  </r>
  <r>
    <x v="5"/>
    <x v="0"/>
    <x v="5"/>
    <x v="6"/>
    <x v="3"/>
    <x v="25"/>
    <n v="62"/>
    <n v="461528"/>
    <n v="189720"/>
  </r>
  <r>
    <x v="6"/>
    <x v="0"/>
    <x v="6"/>
    <x v="6"/>
    <x v="3"/>
    <x v="25"/>
    <n v="65"/>
    <n v="384605"/>
    <n v="198900"/>
  </r>
  <r>
    <x v="7"/>
    <x v="0"/>
    <x v="7"/>
    <x v="6"/>
    <x v="3"/>
    <x v="25"/>
    <n v="55"/>
    <n v="361460"/>
    <n v="168300"/>
  </r>
  <r>
    <x v="8"/>
    <x v="0"/>
    <x v="8"/>
    <x v="6"/>
    <x v="3"/>
    <x v="25"/>
    <n v="59"/>
    <n v="380609"/>
    <n v="180540"/>
  </r>
  <r>
    <x v="9"/>
    <x v="0"/>
    <x v="9"/>
    <x v="6"/>
    <x v="3"/>
    <x v="25"/>
    <n v="48"/>
    <n v="367584"/>
    <n v="146880"/>
  </r>
  <r>
    <x v="10"/>
    <x v="0"/>
    <x v="10"/>
    <x v="6"/>
    <x v="3"/>
    <x v="25"/>
    <n v="35"/>
    <n v="247555"/>
    <n v="107100"/>
  </r>
  <r>
    <x v="11"/>
    <x v="0"/>
    <x v="11"/>
    <x v="6"/>
    <x v="3"/>
    <x v="25"/>
    <n v="42"/>
    <n v="299586"/>
    <n v="128520"/>
  </r>
  <r>
    <x v="12"/>
    <x v="1"/>
    <x v="12"/>
    <x v="6"/>
    <x v="3"/>
    <x v="25"/>
    <n v="61"/>
    <n v="449082"/>
    <n v="186660"/>
  </r>
  <r>
    <x v="13"/>
    <x v="1"/>
    <x v="13"/>
    <x v="6"/>
    <x v="3"/>
    <x v="25"/>
    <n v="38"/>
    <n v="277552"/>
    <n v="116280"/>
  </r>
  <r>
    <x v="14"/>
    <x v="1"/>
    <x v="14"/>
    <x v="6"/>
    <x v="3"/>
    <x v="25"/>
    <n v="31"/>
    <n v="194556"/>
    <n v="94860"/>
  </r>
  <r>
    <x v="15"/>
    <x v="1"/>
    <x v="15"/>
    <x v="6"/>
    <x v="3"/>
    <x v="25"/>
    <n v="57"/>
    <n v="456171"/>
    <n v="174420"/>
  </r>
  <r>
    <x v="16"/>
    <x v="1"/>
    <x v="16"/>
    <x v="6"/>
    <x v="3"/>
    <x v="25"/>
    <n v="72"/>
    <n v="534024"/>
    <n v="220320"/>
  </r>
  <r>
    <x v="17"/>
    <x v="1"/>
    <x v="17"/>
    <x v="6"/>
    <x v="3"/>
    <x v="25"/>
    <n v="68"/>
    <n v="469200"/>
    <n v="208080"/>
  </r>
  <r>
    <x v="18"/>
    <x v="1"/>
    <x v="18"/>
    <x v="6"/>
    <x v="3"/>
    <x v="25"/>
    <n v="72"/>
    <n v="391896"/>
    <n v="220320"/>
  </r>
  <r>
    <x v="19"/>
    <x v="1"/>
    <x v="19"/>
    <x v="6"/>
    <x v="3"/>
    <x v="25"/>
    <n v="61"/>
    <n v="409005"/>
    <n v="186660"/>
  </r>
  <r>
    <x v="20"/>
    <x v="1"/>
    <x v="20"/>
    <x v="6"/>
    <x v="3"/>
    <x v="25"/>
    <n v="64"/>
    <n v="434176"/>
    <n v="195840"/>
  </r>
  <r>
    <x v="21"/>
    <x v="1"/>
    <x v="21"/>
    <x v="6"/>
    <x v="3"/>
    <x v="25"/>
    <n v="53"/>
    <n v="368456"/>
    <n v="162180"/>
  </r>
  <r>
    <x v="22"/>
    <x v="1"/>
    <x v="22"/>
    <x v="6"/>
    <x v="3"/>
    <x v="25"/>
    <n v="38"/>
    <n v="275652"/>
    <n v="116280"/>
  </r>
  <r>
    <x v="23"/>
    <x v="1"/>
    <x v="23"/>
    <x v="6"/>
    <x v="3"/>
    <x v="25"/>
    <n v="46"/>
    <n v="305256"/>
    <n v="140760"/>
  </r>
  <r>
    <x v="0"/>
    <x v="0"/>
    <x v="0"/>
    <x v="6"/>
    <x v="3"/>
    <x v="26"/>
    <n v="58"/>
    <n v="510748"/>
    <n v="200448"/>
  </r>
  <r>
    <x v="1"/>
    <x v="0"/>
    <x v="1"/>
    <x v="6"/>
    <x v="3"/>
    <x v="26"/>
    <n v="36"/>
    <n v="291528"/>
    <n v="124416"/>
  </r>
  <r>
    <x v="2"/>
    <x v="0"/>
    <x v="2"/>
    <x v="6"/>
    <x v="3"/>
    <x v="26"/>
    <n v="29"/>
    <n v="246210"/>
    <n v="100224"/>
  </r>
  <r>
    <x v="3"/>
    <x v="0"/>
    <x v="3"/>
    <x v="6"/>
    <x v="3"/>
    <x v="26"/>
    <n v="54"/>
    <n v="487080"/>
    <n v="186624"/>
  </r>
  <r>
    <x v="4"/>
    <x v="0"/>
    <x v="4"/>
    <x v="6"/>
    <x v="3"/>
    <x v="26"/>
    <n v="68"/>
    <n v="656472"/>
    <n v="235008"/>
  </r>
  <r>
    <x v="5"/>
    <x v="0"/>
    <x v="5"/>
    <x v="6"/>
    <x v="3"/>
    <x v="26"/>
    <n v="65"/>
    <n v="542360"/>
    <n v="224640"/>
  </r>
  <r>
    <x v="6"/>
    <x v="0"/>
    <x v="6"/>
    <x v="6"/>
    <x v="3"/>
    <x v="26"/>
    <n v="68"/>
    <n v="462468"/>
    <n v="235008"/>
  </r>
  <r>
    <x v="7"/>
    <x v="0"/>
    <x v="7"/>
    <x v="6"/>
    <x v="3"/>
    <x v="26"/>
    <n v="58"/>
    <n v="477398"/>
    <n v="200448"/>
  </r>
  <r>
    <x v="8"/>
    <x v="0"/>
    <x v="8"/>
    <x v="6"/>
    <x v="3"/>
    <x v="26"/>
    <n v="61"/>
    <n v="463234"/>
    <n v="210816"/>
  </r>
  <r>
    <x v="9"/>
    <x v="0"/>
    <x v="9"/>
    <x v="6"/>
    <x v="3"/>
    <x v="26"/>
    <n v="51"/>
    <n v="454665"/>
    <n v="176256"/>
  </r>
  <r>
    <x v="10"/>
    <x v="0"/>
    <x v="10"/>
    <x v="6"/>
    <x v="3"/>
    <x v="26"/>
    <n v="36"/>
    <n v="292428"/>
    <n v="124416"/>
  </r>
  <r>
    <x v="11"/>
    <x v="0"/>
    <x v="11"/>
    <x v="6"/>
    <x v="3"/>
    <x v="26"/>
    <n v="43"/>
    <n v="333637"/>
    <n v="148608"/>
  </r>
  <r>
    <x v="12"/>
    <x v="1"/>
    <x v="12"/>
    <x v="6"/>
    <x v="3"/>
    <x v="26"/>
    <n v="63"/>
    <n v="529893"/>
    <n v="217728"/>
  </r>
  <r>
    <x v="13"/>
    <x v="1"/>
    <x v="13"/>
    <x v="6"/>
    <x v="3"/>
    <x v="26"/>
    <n v="40"/>
    <n v="357520"/>
    <n v="138240"/>
  </r>
  <r>
    <x v="14"/>
    <x v="1"/>
    <x v="14"/>
    <x v="6"/>
    <x v="3"/>
    <x v="26"/>
    <n v="32"/>
    <n v="242944"/>
    <n v="110592"/>
  </r>
  <r>
    <x v="15"/>
    <x v="1"/>
    <x v="15"/>
    <x v="6"/>
    <x v="3"/>
    <x v="26"/>
    <n v="59"/>
    <n v="550824"/>
    <n v="203904"/>
  </r>
  <r>
    <x v="16"/>
    <x v="1"/>
    <x v="16"/>
    <x v="6"/>
    <x v="3"/>
    <x v="26"/>
    <n v="75"/>
    <n v="714900"/>
    <n v="259200"/>
  </r>
  <r>
    <x v="17"/>
    <x v="1"/>
    <x v="17"/>
    <x v="6"/>
    <x v="3"/>
    <x v="26"/>
    <n v="71"/>
    <n v="604068"/>
    <n v="245376"/>
  </r>
  <r>
    <x v="18"/>
    <x v="1"/>
    <x v="18"/>
    <x v="6"/>
    <x v="3"/>
    <x v="26"/>
    <n v="75"/>
    <n v="531900"/>
    <n v="259200"/>
  </r>
  <r>
    <x v="19"/>
    <x v="1"/>
    <x v="19"/>
    <x v="6"/>
    <x v="3"/>
    <x v="26"/>
    <n v="63"/>
    <n v="505071"/>
    <n v="217728"/>
  </r>
  <r>
    <x v="20"/>
    <x v="1"/>
    <x v="20"/>
    <x v="6"/>
    <x v="3"/>
    <x v="26"/>
    <n v="67"/>
    <n v="577942"/>
    <n v="231552"/>
  </r>
  <r>
    <x v="21"/>
    <x v="1"/>
    <x v="21"/>
    <x v="6"/>
    <x v="3"/>
    <x v="26"/>
    <n v="56"/>
    <n v="465192"/>
    <n v="193536"/>
  </r>
  <r>
    <x v="22"/>
    <x v="1"/>
    <x v="22"/>
    <x v="6"/>
    <x v="3"/>
    <x v="26"/>
    <n v="40"/>
    <n v="347640"/>
    <n v="138240"/>
  </r>
  <r>
    <x v="23"/>
    <x v="1"/>
    <x v="23"/>
    <x v="6"/>
    <x v="3"/>
    <x v="26"/>
    <n v="48"/>
    <n v="411264"/>
    <n v="165888"/>
  </r>
  <r>
    <x v="0"/>
    <x v="0"/>
    <x v="0"/>
    <x v="6"/>
    <x v="3"/>
    <x v="27"/>
    <n v="59"/>
    <n v="637908"/>
    <n v="306033"/>
  </r>
  <r>
    <x v="1"/>
    <x v="0"/>
    <x v="1"/>
    <x v="6"/>
    <x v="3"/>
    <x v="27"/>
    <n v="37"/>
    <n v="416805"/>
    <n v="191919"/>
  </r>
  <r>
    <x v="2"/>
    <x v="0"/>
    <x v="2"/>
    <x v="6"/>
    <x v="3"/>
    <x v="27"/>
    <n v="30"/>
    <n v="287130"/>
    <n v="155610"/>
  </r>
  <r>
    <x v="3"/>
    <x v="0"/>
    <x v="3"/>
    <x v="6"/>
    <x v="3"/>
    <x v="27"/>
    <n v="56"/>
    <n v="610680"/>
    <n v="290472"/>
  </r>
  <r>
    <x v="4"/>
    <x v="0"/>
    <x v="4"/>
    <x v="6"/>
    <x v="3"/>
    <x v="27"/>
    <n v="71"/>
    <n v="806702"/>
    <n v="368277"/>
  </r>
  <r>
    <x v="5"/>
    <x v="0"/>
    <x v="5"/>
    <x v="6"/>
    <x v="3"/>
    <x v="27"/>
    <n v="67"/>
    <n v="694924"/>
    <n v="347529"/>
  </r>
  <r>
    <x v="6"/>
    <x v="0"/>
    <x v="6"/>
    <x v="6"/>
    <x v="3"/>
    <x v="27"/>
    <n v="71"/>
    <n v="628279"/>
    <n v="368277"/>
  </r>
  <r>
    <x v="7"/>
    <x v="0"/>
    <x v="7"/>
    <x v="6"/>
    <x v="3"/>
    <x v="27"/>
    <n v="59"/>
    <n v="584041"/>
    <n v="306033"/>
  </r>
  <r>
    <x v="8"/>
    <x v="0"/>
    <x v="8"/>
    <x v="6"/>
    <x v="3"/>
    <x v="27"/>
    <n v="63"/>
    <n v="626409"/>
    <n v="326781"/>
  </r>
  <r>
    <x v="9"/>
    <x v="0"/>
    <x v="9"/>
    <x v="6"/>
    <x v="3"/>
    <x v="27"/>
    <n v="52"/>
    <n v="540540"/>
    <n v="269724"/>
  </r>
  <r>
    <x v="10"/>
    <x v="0"/>
    <x v="10"/>
    <x v="6"/>
    <x v="3"/>
    <x v="27"/>
    <n v="37"/>
    <n v="364339"/>
    <n v="191919"/>
  </r>
  <r>
    <x v="11"/>
    <x v="0"/>
    <x v="11"/>
    <x v="6"/>
    <x v="3"/>
    <x v="27"/>
    <n v="45"/>
    <n v="442530"/>
    <n v="233415"/>
  </r>
  <r>
    <x v="12"/>
    <x v="1"/>
    <x v="12"/>
    <x v="6"/>
    <x v="3"/>
    <x v="27"/>
    <n v="65"/>
    <n v="679380"/>
    <n v="337155"/>
  </r>
  <r>
    <x v="13"/>
    <x v="1"/>
    <x v="13"/>
    <x v="6"/>
    <x v="3"/>
    <x v="27"/>
    <n v="41"/>
    <n v="418610"/>
    <n v="212667"/>
  </r>
  <r>
    <x v="14"/>
    <x v="1"/>
    <x v="14"/>
    <x v="6"/>
    <x v="3"/>
    <x v="27"/>
    <n v="33"/>
    <n v="324390"/>
    <n v="171171"/>
  </r>
  <r>
    <x v="15"/>
    <x v="1"/>
    <x v="15"/>
    <x v="6"/>
    <x v="3"/>
    <x v="27"/>
    <n v="61"/>
    <n v="670573"/>
    <n v="316407"/>
  </r>
  <r>
    <x v="16"/>
    <x v="1"/>
    <x v="16"/>
    <x v="6"/>
    <x v="3"/>
    <x v="27"/>
    <n v="78"/>
    <n v="841776"/>
    <n v="404586"/>
  </r>
  <r>
    <x v="17"/>
    <x v="1"/>
    <x v="17"/>
    <x v="6"/>
    <x v="3"/>
    <x v="27"/>
    <n v="73"/>
    <n v="804533"/>
    <n v="378651"/>
  </r>
  <r>
    <x v="18"/>
    <x v="1"/>
    <x v="18"/>
    <x v="6"/>
    <x v="3"/>
    <x v="27"/>
    <n v="78"/>
    <n v="742326"/>
    <n v="404586"/>
  </r>
  <r>
    <x v="19"/>
    <x v="1"/>
    <x v="19"/>
    <x v="6"/>
    <x v="3"/>
    <x v="27"/>
    <n v="65"/>
    <n v="623090"/>
    <n v="337155"/>
  </r>
  <r>
    <x v="20"/>
    <x v="1"/>
    <x v="20"/>
    <x v="6"/>
    <x v="3"/>
    <x v="27"/>
    <n v="69"/>
    <n v="714909"/>
    <n v="357903"/>
  </r>
  <r>
    <x v="21"/>
    <x v="1"/>
    <x v="21"/>
    <x v="6"/>
    <x v="3"/>
    <x v="27"/>
    <n v="57"/>
    <n v="621642"/>
    <n v="295659"/>
  </r>
  <r>
    <x v="22"/>
    <x v="1"/>
    <x v="22"/>
    <x v="6"/>
    <x v="3"/>
    <x v="27"/>
    <n v="41"/>
    <n v="416642"/>
    <n v="212667"/>
  </r>
  <r>
    <x v="23"/>
    <x v="1"/>
    <x v="23"/>
    <x v="6"/>
    <x v="3"/>
    <x v="27"/>
    <n v="49"/>
    <n v="480592"/>
    <n v="254163"/>
  </r>
  <r>
    <x v="0"/>
    <x v="0"/>
    <x v="0"/>
    <x v="6"/>
    <x v="4"/>
    <x v="28"/>
    <n v="64"/>
    <n v="839872"/>
    <n v="384000"/>
  </r>
  <r>
    <x v="1"/>
    <x v="0"/>
    <x v="1"/>
    <x v="6"/>
    <x v="4"/>
    <x v="28"/>
    <n v="40"/>
    <n v="524320"/>
    <n v="240000"/>
  </r>
  <r>
    <x v="2"/>
    <x v="0"/>
    <x v="2"/>
    <x v="6"/>
    <x v="4"/>
    <x v="28"/>
    <n v="32"/>
    <n v="413120"/>
    <n v="192000"/>
  </r>
  <r>
    <x v="3"/>
    <x v="0"/>
    <x v="3"/>
    <x v="6"/>
    <x v="4"/>
    <x v="28"/>
    <n v="60"/>
    <n v="831180"/>
    <n v="360000"/>
  </r>
  <r>
    <x v="4"/>
    <x v="0"/>
    <x v="4"/>
    <x v="6"/>
    <x v="4"/>
    <x v="28"/>
    <n v="76"/>
    <n v="1104660"/>
    <n v="456000"/>
  </r>
  <r>
    <x v="5"/>
    <x v="0"/>
    <x v="5"/>
    <x v="6"/>
    <x v="4"/>
    <x v="28"/>
    <n v="72"/>
    <n v="939168"/>
    <n v="432000"/>
  </r>
  <r>
    <x v="6"/>
    <x v="0"/>
    <x v="6"/>
    <x v="6"/>
    <x v="4"/>
    <x v="28"/>
    <n v="76"/>
    <n v="872556"/>
    <n v="456000"/>
  </r>
  <r>
    <x v="7"/>
    <x v="0"/>
    <x v="7"/>
    <x v="6"/>
    <x v="4"/>
    <x v="28"/>
    <n v="64"/>
    <n v="835840"/>
    <n v="384000"/>
  </r>
  <r>
    <x v="8"/>
    <x v="0"/>
    <x v="8"/>
    <x v="6"/>
    <x v="4"/>
    <x v="28"/>
    <n v="68"/>
    <n v="857684"/>
    <n v="408000"/>
  </r>
  <r>
    <x v="9"/>
    <x v="0"/>
    <x v="9"/>
    <x v="6"/>
    <x v="4"/>
    <x v="28"/>
    <n v="56"/>
    <n v="757848"/>
    <n v="336000"/>
  </r>
  <r>
    <x v="10"/>
    <x v="0"/>
    <x v="10"/>
    <x v="6"/>
    <x v="4"/>
    <x v="28"/>
    <n v="40"/>
    <n v="518600"/>
    <n v="240000"/>
  </r>
  <r>
    <x v="11"/>
    <x v="0"/>
    <x v="11"/>
    <x v="6"/>
    <x v="4"/>
    <x v="28"/>
    <n v="48"/>
    <n v="611856"/>
    <n v="288000"/>
  </r>
  <r>
    <x v="12"/>
    <x v="1"/>
    <x v="12"/>
    <x v="6"/>
    <x v="4"/>
    <x v="28"/>
    <n v="70"/>
    <n v="935130"/>
    <n v="420000"/>
  </r>
  <r>
    <x v="13"/>
    <x v="1"/>
    <x v="13"/>
    <x v="6"/>
    <x v="4"/>
    <x v="28"/>
    <n v="44"/>
    <n v="600204"/>
    <n v="264000"/>
  </r>
  <r>
    <x v="14"/>
    <x v="1"/>
    <x v="14"/>
    <x v="6"/>
    <x v="4"/>
    <x v="28"/>
    <n v="35"/>
    <n v="438795"/>
    <n v="210000"/>
  </r>
  <r>
    <x v="15"/>
    <x v="1"/>
    <x v="15"/>
    <x v="6"/>
    <x v="4"/>
    <x v="28"/>
    <n v="66"/>
    <n v="931524"/>
    <n v="396000"/>
  </r>
  <r>
    <x v="16"/>
    <x v="1"/>
    <x v="16"/>
    <x v="6"/>
    <x v="4"/>
    <x v="28"/>
    <n v="83"/>
    <n v="1115935"/>
    <n v="498000"/>
  </r>
  <r>
    <x v="17"/>
    <x v="1"/>
    <x v="17"/>
    <x v="6"/>
    <x v="4"/>
    <x v="28"/>
    <n v="79"/>
    <n v="1074795"/>
    <n v="474000"/>
  </r>
  <r>
    <x v="18"/>
    <x v="1"/>
    <x v="18"/>
    <x v="6"/>
    <x v="4"/>
    <x v="28"/>
    <n v="83"/>
    <n v="951927"/>
    <n v="498000"/>
  </r>
  <r>
    <x v="19"/>
    <x v="1"/>
    <x v="19"/>
    <x v="6"/>
    <x v="4"/>
    <x v="28"/>
    <n v="70"/>
    <n v="868210"/>
    <n v="420000"/>
  </r>
  <r>
    <x v="20"/>
    <x v="1"/>
    <x v="20"/>
    <x v="6"/>
    <x v="4"/>
    <x v="28"/>
    <n v="74"/>
    <n v="919080"/>
    <n v="444000"/>
  </r>
  <r>
    <x v="21"/>
    <x v="1"/>
    <x v="21"/>
    <x v="6"/>
    <x v="4"/>
    <x v="28"/>
    <n v="61"/>
    <n v="807884"/>
    <n v="366000"/>
  </r>
  <r>
    <x v="22"/>
    <x v="1"/>
    <x v="22"/>
    <x v="6"/>
    <x v="4"/>
    <x v="28"/>
    <n v="44"/>
    <n v="573804"/>
    <n v="264000"/>
  </r>
  <r>
    <x v="23"/>
    <x v="1"/>
    <x v="23"/>
    <x v="6"/>
    <x v="4"/>
    <x v="28"/>
    <n v="53"/>
    <n v="689371"/>
    <n v="318000"/>
  </r>
  <r>
    <x v="0"/>
    <x v="0"/>
    <x v="0"/>
    <x v="6"/>
    <x v="4"/>
    <x v="29"/>
    <n v="46"/>
    <n v="500158"/>
    <n v="244260"/>
  </r>
  <r>
    <x v="1"/>
    <x v="0"/>
    <x v="1"/>
    <x v="6"/>
    <x v="4"/>
    <x v="29"/>
    <n v="29"/>
    <n v="310242"/>
    <n v="153990"/>
  </r>
  <r>
    <x v="2"/>
    <x v="0"/>
    <x v="2"/>
    <x v="6"/>
    <x v="4"/>
    <x v="29"/>
    <n v="23"/>
    <n v="225009"/>
    <n v="122130"/>
  </r>
  <r>
    <x v="3"/>
    <x v="0"/>
    <x v="3"/>
    <x v="6"/>
    <x v="4"/>
    <x v="29"/>
    <n v="43"/>
    <n v="470205"/>
    <n v="228330"/>
  </r>
  <r>
    <x v="4"/>
    <x v="0"/>
    <x v="4"/>
    <x v="6"/>
    <x v="4"/>
    <x v="29"/>
    <n v="55"/>
    <n v="585640"/>
    <n v="292050"/>
  </r>
  <r>
    <x v="5"/>
    <x v="0"/>
    <x v="5"/>
    <x v="6"/>
    <x v="4"/>
    <x v="29"/>
    <n v="52"/>
    <n v="521820"/>
    <n v="276120"/>
  </r>
  <r>
    <x v="6"/>
    <x v="0"/>
    <x v="6"/>
    <x v="6"/>
    <x v="4"/>
    <x v="29"/>
    <n v="55"/>
    <n v="468875"/>
    <n v="292050"/>
  </r>
  <r>
    <x v="7"/>
    <x v="0"/>
    <x v="7"/>
    <x v="6"/>
    <x v="4"/>
    <x v="29"/>
    <n v="46"/>
    <n v="472420"/>
    <n v="244260"/>
  </r>
  <r>
    <x v="8"/>
    <x v="0"/>
    <x v="8"/>
    <x v="6"/>
    <x v="4"/>
    <x v="29"/>
    <n v="49"/>
    <n v="479024"/>
    <n v="260190"/>
  </r>
  <r>
    <x v="9"/>
    <x v="0"/>
    <x v="9"/>
    <x v="6"/>
    <x v="4"/>
    <x v="29"/>
    <n v="41"/>
    <n v="407540"/>
    <n v="217710"/>
  </r>
  <r>
    <x v="10"/>
    <x v="0"/>
    <x v="10"/>
    <x v="6"/>
    <x v="4"/>
    <x v="29"/>
    <n v="29"/>
    <n v="302963"/>
    <n v="153990"/>
  </r>
  <r>
    <x v="11"/>
    <x v="0"/>
    <x v="11"/>
    <x v="6"/>
    <x v="4"/>
    <x v="29"/>
    <n v="35"/>
    <n v="332360"/>
    <n v="185850"/>
  </r>
  <r>
    <x v="12"/>
    <x v="1"/>
    <x v="12"/>
    <x v="6"/>
    <x v="4"/>
    <x v="29"/>
    <n v="51"/>
    <n v="545598"/>
    <n v="270810"/>
  </r>
  <r>
    <x v="13"/>
    <x v="1"/>
    <x v="13"/>
    <x v="6"/>
    <x v="4"/>
    <x v="29"/>
    <n v="32"/>
    <n v="337952"/>
    <n v="169920"/>
  </r>
  <r>
    <x v="14"/>
    <x v="1"/>
    <x v="14"/>
    <x v="6"/>
    <x v="4"/>
    <x v="29"/>
    <n v="26"/>
    <n v="255190"/>
    <n v="138060"/>
  </r>
  <r>
    <x v="15"/>
    <x v="1"/>
    <x v="15"/>
    <x v="6"/>
    <x v="4"/>
    <x v="29"/>
    <n v="48"/>
    <n v="509904"/>
    <n v="254880"/>
  </r>
  <r>
    <x v="16"/>
    <x v="1"/>
    <x v="16"/>
    <x v="6"/>
    <x v="4"/>
    <x v="29"/>
    <n v="60"/>
    <n v="654540"/>
    <n v="318600"/>
  </r>
  <r>
    <x v="17"/>
    <x v="1"/>
    <x v="17"/>
    <x v="6"/>
    <x v="4"/>
    <x v="29"/>
    <n v="57"/>
    <n v="599868"/>
    <n v="302670"/>
  </r>
  <r>
    <x v="18"/>
    <x v="1"/>
    <x v="18"/>
    <x v="6"/>
    <x v="4"/>
    <x v="29"/>
    <n v="60"/>
    <n v="500040"/>
    <n v="318600"/>
  </r>
  <r>
    <x v="19"/>
    <x v="1"/>
    <x v="19"/>
    <x v="6"/>
    <x v="4"/>
    <x v="29"/>
    <n v="51"/>
    <n v="494496"/>
    <n v="270810"/>
  </r>
  <r>
    <x v="20"/>
    <x v="1"/>
    <x v="20"/>
    <x v="6"/>
    <x v="4"/>
    <x v="29"/>
    <n v="54"/>
    <n v="529200"/>
    <n v="286740"/>
  </r>
  <r>
    <x v="21"/>
    <x v="1"/>
    <x v="21"/>
    <x v="6"/>
    <x v="4"/>
    <x v="29"/>
    <n v="45"/>
    <n v="472860"/>
    <n v="238950"/>
  </r>
  <r>
    <x v="22"/>
    <x v="1"/>
    <x v="22"/>
    <x v="6"/>
    <x v="4"/>
    <x v="29"/>
    <n v="32"/>
    <n v="334016"/>
    <n v="169920"/>
  </r>
  <r>
    <x v="23"/>
    <x v="1"/>
    <x v="23"/>
    <x v="6"/>
    <x v="4"/>
    <x v="29"/>
    <n v="38"/>
    <n v="388398"/>
    <n v="201780"/>
  </r>
  <r>
    <x v="0"/>
    <x v="0"/>
    <x v="0"/>
    <x v="6"/>
    <x v="4"/>
    <x v="30"/>
    <n v="44"/>
    <n v="358732"/>
    <n v="141680"/>
  </r>
  <r>
    <x v="1"/>
    <x v="0"/>
    <x v="1"/>
    <x v="6"/>
    <x v="4"/>
    <x v="30"/>
    <n v="28"/>
    <n v="231280"/>
    <n v="90160"/>
  </r>
  <r>
    <x v="2"/>
    <x v="0"/>
    <x v="2"/>
    <x v="6"/>
    <x v="4"/>
    <x v="30"/>
    <n v="22"/>
    <n v="168278"/>
    <n v="70840"/>
  </r>
  <r>
    <x v="3"/>
    <x v="0"/>
    <x v="3"/>
    <x v="6"/>
    <x v="4"/>
    <x v="30"/>
    <n v="41"/>
    <n v="355552"/>
    <n v="132020"/>
  </r>
  <r>
    <x v="4"/>
    <x v="0"/>
    <x v="4"/>
    <x v="6"/>
    <x v="4"/>
    <x v="30"/>
    <n v="52"/>
    <n v="455780"/>
    <n v="167440"/>
  </r>
  <r>
    <x v="5"/>
    <x v="0"/>
    <x v="5"/>
    <x v="6"/>
    <x v="4"/>
    <x v="30"/>
    <n v="50"/>
    <n v="428300"/>
    <n v="161000"/>
  </r>
  <r>
    <x v="6"/>
    <x v="0"/>
    <x v="6"/>
    <x v="6"/>
    <x v="4"/>
    <x v="30"/>
    <n v="52"/>
    <n v="333736"/>
    <n v="167440"/>
  </r>
  <r>
    <x v="7"/>
    <x v="0"/>
    <x v="7"/>
    <x v="6"/>
    <x v="4"/>
    <x v="30"/>
    <n v="44"/>
    <n v="351648"/>
    <n v="141680"/>
  </r>
  <r>
    <x v="8"/>
    <x v="0"/>
    <x v="8"/>
    <x v="6"/>
    <x v="4"/>
    <x v="30"/>
    <n v="47"/>
    <n v="364955"/>
    <n v="151340"/>
  </r>
  <r>
    <x v="9"/>
    <x v="0"/>
    <x v="9"/>
    <x v="6"/>
    <x v="4"/>
    <x v="30"/>
    <n v="39"/>
    <n v="338676"/>
    <n v="125580"/>
  </r>
  <r>
    <x v="10"/>
    <x v="0"/>
    <x v="10"/>
    <x v="6"/>
    <x v="4"/>
    <x v="30"/>
    <n v="28"/>
    <n v="223860"/>
    <n v="90160"/>
  </r>
  <r>
    <x v="11"/>
    <x v="0"/>
    <x v="11"/>
    <x v="6"/>
    <x v="4"/>
    <x v="30"/>
    <n v="33"/>
    <n v="256542"/>
    <n v="106260"/>
  </r>
  <r>
    <x v="12"/>
    <x v="1"/>
    <x v="12"/>
    <x v="6"/>
    <x v="4"/>
    <x v="30"/>
    <n v="48"/>
    <n v="399168"/>
    <n v="154560"/>
  </r>
  <r>
    <x v="13"/>
    <x v="1"/>
    <x v="13"/>
    <x v="6"/>
    <x v="4"/>
    <x v="30"/>
    <n v="30"/>
    <n v="268950"/>
    <n v="96600"/>
  </r>
  <r>
    <x v="14"/>
    <x v="1"/>
    <x v="14"/>
    <x v="6"/>
    <x v="4"/>
    <x v="30"/>
    <n v="24"/>
    <n v="194952"/>
    <n v="77280"/>
  </r>
  <r>
    <x v="15"/>
    <x v="1"/>
    <x v="15"/>
    <x v="6"/>
    <x v="4"/>
    <x v="30"/>
    <n v="45"/>
    <n v="380115"/>
    <n v="144900"/>
  </r>
  <r>
    <x v="16"/>
    <x v="1"/>
    <x v="16"/>
    <x v="6"/>
    <x v="4"/>
    <x v="30"/>
    <n v="57"/>
    <n v="496242"/>
    <n v="183540"/>
  </r>
  <r>
    <x v="17"/>
    <x v="1"/>
    <x v="17"/>
    <x v="6"/>
    <x v="4"/>
    <x v="30"/>
    <n v="54"/>
    <n v="466020"/>
    <n v="173880"/>
  </r>
  <r>
    <x v="18"/>
    <x v="1"/>
    <x v="18"/>
    <x v="6"/>
    <x v="4"/>
    <x v="30"/>
    <n v="57"/>
    <n v="386859"/>
    <n v="183540"/>
  </r>
  <r>
    <x v="19"/>
    <x v="1"/>
    <x v="19"/>
    <x v="6"/>
    <x v="4"/>
    <x v="30"/>
    <n v="48"/>
    <n v="366336"/>
    <n v="154560"/>
  </r>
  <r>
    <x v="20"/>
    <x v="1"/>
    <x v="20"/>
    <x v="6"/>
    <x v="4"/>
    <x v="30"/>
    <n v="51"/>
    <n v="390915"/>
    <n v="164220"/>
  </r>
  <r>
    <x v="21"/>
    <x v="1"/>
    <x v="21"/>
    <x v="6"/>
    <x v="4"/>
    <x v="30"/>
    <n v="42"/>
    <n v="344232"/>
    <n v="135240"/>
  </r>
  <r>
    <x v="22"/>
    <x v="1"/>
    <x v="22"/>
    <x v="6"/>
    <x v="4"/>
    <x v="30"/>
    <n v="30"/>
    <n v="238860"/>
    <n v="96600"/>
  </r>
  <r>
    <x v="23"/>
    <x v="1"/>
    <x v="23"/>
    <x v="6"/>
    <x v="4"/>
    <x v="30"/>
    <n v="36"/>
    <n v="284400"/>
    <n v="115920"/>
  </r>
  <r>
    <x v="0"/>
    <x v="0"/>
    <x v="0"/>
    <x v="6"/>
    <x v="4"/>
    <x v="31"/>
    <n v="55"/>
    <n v="418330"/>
    <n v="182325"/>
  </r>
  <r>
    <x v="1"/>
    <x v="0"/>
    <x v="1"/>
    <x v="6"/>
    <x v="4"/>
    <x v="31"/>
    <n v="34"/>
    <n v="287504"/>
    <n v="112710"/>
  </r>
  <r>
    <x v="2"/>
    <x v="0"/>
    <x v="2"/>
    <x v="6"/>
    <x v="4"/>
    <x v="31"/>
    <n v="28"/>
    <n v="212128"/>
    <n v="92820"/>
  </r>
  <r>
    <x v="3"/>
    <x v="0"/>
    <x v="3"/>
    <x v="6"/>
    <x v="4"/>
    <x v="31"/>
    <n v="51"/>
    <n v="424677"/>
    <n v="169065"/>
  </r>
  <r>
    <x v="4"/>
    <x v="0"/>
    <x v="4"/>
    <x v="6"/>
    <x v="4"/>
    <x v="31"/>
    <n v="65"/>
    <n v="535080"/>
    <n v="215475"/>
  </r>
  <r>
    <x v="5"/>
    <x v="0"/>
    <x v="5"/>
    <x v="6"/>
    <x v="4"/>
    <x v="31"/>
    <n v="62"/>
    <n v="512492"/>
    <n v="205530"/>
  </r>
  <r>
    <x v="6"/>
    <x v="0"/>
    <x v="6"/>
    <x v="6"/>
    <x v="4"/>
    <x v="31"/>
    <n v="65"/>
    <n v="404300"/>
    <n v="215475"/>
  </r>
  <r>
    <x v="7"/>
    <x v="0"/>
    <x v="7"/>
    <x v="6"/>
    <x v="4"/>
    <x v="31"/>
    <n v="55"/>
    <n v="408155"/>
    <n v="182325"/>
  </r>
  <r>
    <x v="8"/>
    <x v="0"/>
    <x v="8"/>
    <x v="6"/>
    <x v="4"/>
    <x v="31"/>
    <n v="58"/>
    <n v="447180"/>
    <n v="192270"/>
  </r>
  <r>
    <x v="9"/>
    <x v="0"/>
    <x v="9"/>
    <x v="6"/>
    <x v="4"/>
    <x v="31"/>
    <n v="48"/>
    <n v="386736"/>
    <n v="159120"/>
  </r>
  <r>
    <x v="10"/>
    <x v="0"/>
    <x v="10"/>
    <x v="6"/>
    <x v="4"/>
    <x v="31"/>
    <n v="34"/>
    <n v="270028"/>
    <n v="112710"/>
  </r>
  <r>
    <x v="11"/>
    <x v="0"/>
    <x v="11"/>
    <x v="6"/>
    <x v="4"/>
    <x v="31"/>
    <n v="41"/>
    <n v="280153"/>
    <n v="135915"/>
  </r>
  <r>
    <x v="12"/>
    <x v="1"/>
    <x v="12"/>
    <x v="6"/>
    <x v="4"/>
    <x v="31"/>
    <n v="60"/>
    <n v="473520"/>
    <n v="198900"/>
  </r>
  <r>
    <x v="13"/>
    <x v="1"/>
    <x v="13"/>
    <x v="6"/>
    <x v="4"/>
    <x v="31"/>
    <n v="38"/>
    <n v="310954"/>
    <n v="125970"/>
  </r>
  <r>
    <x v="14"/>
    <x v="1"/>
    <x v="14"/>
    <x v="6"/>
    <x v="4"/>
    <x v="31"/>
    <n v="30"/>
    <n v="224040"/>
    <n v="99450"/>
  </r>
  <r>
    <x v="15"/>
    <x v="1"/>
    <x v="15"/>
    <x v="6"/>
    <x v="4"/>
    <x v="31"/>
    <n v="56"/>
    <n v="421680"/>
    <n v="185640"/>
  </r>
  <r>
    <x v="16"/>
    <x v="1"/>
    <x v="16"/>
    <x v="6"/>
    <x v="4"/>
    <x v="31"/>
    <n v="71"/>
    <n v="578082"/>
    <n v="235365"/>
  </r>
  <r>
    <x v="17"/>
    <x v="1"/>
    <x v="17"/>
    <x v="6"/>
    <x v="4"/>
    <x v="31"/>
    <n v="68"/>
    <n v="505648"/>
    <n v="225420"/>
  </r>
  <r>
    <x v="18"/>
    <x v="1"/>
    <x v="18"/>
    <x v="6"/>
    <x v="4"/>
    <x v="31"/>
    <n v="71"/>
    <n v="420888"/>
    <n v="235365"/>
  </r>
  <r>
    <x v="19"/>
    <x v="1"/>
    <x v="19"/>
    <x v="6"/>
    <x v="4"/>
    <x v="31"/>
    <n v="60"/>
    <n v="432540"/>
    <n v="198900"/>
  </r>
  <r>
    <x v="20"/>
    <x v="1"/>
    <x v="20"/>
    <x v="6"/>
    <x v="4"/>
    <x v="31"/>
    <n v="64"/>
    <n v="461440"/>
    <n v="212160"/>
  </r>
  <r>
    <x v="21"/>
    <x v="1"/>
    <x v="21"/>
    <x v="6"/>
    <x v="4"/>
    <x v="31"/>
    <n v="53"/>
    <n v="420767"/>
    <n v="175695"/>
  </r>
  <r>
    <x v="22"/>
    <x v="1"/>
    <x v="22"/>
    <x v="6"/>
    <x v="4"/>
    <x v="31"/>
    <n v="38"/>
    <n v="311372"/>
    <n v="125970"/>
  </r>
  <r>
    <x v="23"/>
    <x v="1"/>
    <x v="23"/>
    <x v="6"/>
    <x v="4"/>
    <x v="31"/>
    <n v="45"/>
    <n v="306180"/>
    <n v="149175"/>
  </r>
  <r>
    <x v="0"/>
    <x v="0"/>
    <x v="0"/>
    <x v="6"/>
    <x v="4"/>
    <x v="32"/>
    <n v="60"/>
    <n v="672720"/>
    <n v="282000"/>
  </r>
  <r>
    <x v="1"/>
    <x v="0"/>
    <x v="1"/>
    <x v="6"/>
    <x v="4"/>
    <x v="32"/>
    <n v="38"/>
    <n v="441142"/>
    <n v="178600"/>
  </r>
  <r>
    <x v="2"/>
    <x v="0"/>
    <x v="2"/>
    <x v="6"/>
    <x v="4"/>
    <x v="32"/>
    <n v="30"/>
    <n v="316230"/>
    <n v="141000"/>
  </r>
  <r>
    <x v="3"/>
    <x v="0"/>
    <x v="3"/>
    <x v="6"/>
    <x v="4"/>
    <x v="32"/>
    <n v="56"/>
    <n v="674968"/>
    <n v="263200"/>
  </r>
  <r>
    <x v="4"/>
    <x v="0"/>
    <x v="4"/>
    <x v="6"/>
    <x v="4"/>
    <x v="32"/>
    <n v="71"/>
    <n v="870886"/>
    <n v="333700"/>
  </r>
  <r>
    <x v="5"/>
    <x v="0"/>
    <x v="5"/>
    <x v="6"/>
    <x v="4"/>
    <x v="32"/>
    <n v="68"/>
    <n v="813824"/>
    <n v="319600"/>
  </r>
  <r>
    <x v="6"/>
    <x v="0"/>
    <x v="6"/>
    <x v="6"/>
    <x v="4"/>
    <x v="32"/>
    <n v="71"/>
    <n v="707231"/>
    <n v="333700"/>
  </r>
  <r>
    <x v="7"/>
    <x v="0"/>
    <x v="7"/>
    <x v="6"/>
    <x v="4"/>
    <x v="32"/>
    <n v="60"/>
    <n v="622440"/>
    <n v="282000"/>
  </r>
  <r>
    <x v="8"/>
    <x v="0"/>
    <x v="8"/>
    <x v="6"/>
    <x v="4"/>
    <x v="32"/>
    <n v="64"/>
    <n v="678592"/>
    <n v="300800"/>
  </r>
  <r>
    <x v="9"/>
    <x v="0"/>
    <x v="9"/>
    <x v="6"/>
    <x v="4"/>
    <x v="32"/>
    <n v="53"/>
    <n v="607380"/>
    <n v="249100"/>
  </r>
  <r>
    <x v="10"/>
    <x v="0"/>
    <x v="10"/>
    <x v="6"/>
    <x v="4"/>
    <x v="32"/>
    <n v="38"/>
    <n v="429590"/>
    <n v="178600"/>
  </r>
  <r>
    <x v="11"/>
    <x v="0"/>
    <x v="11"/>
    <x v="6"/>
    <x v="4"/>
    <x v="32"/>
    <n v="45"/>
    <n v="457200"/>
    <n v="211500"/>
  </r>
  <r>
    <x v="12"/>
    <x v="1"/>
    <x v="12"/>
    <x v="6"/>
    <x v="4"/>
    <x v="32"/>
    <n v="66"/>
    <n v="761574"/>
    <n v="310200"/>
  </r>
  <r>
    <x v="13"/>
    <x v="1"/>
    <x v="13"/>
    <x v="6"/>
    <x v="4"/>
    <x v="32"/>
    <n v="41"/>
    <n v="497945"/>
    <n v="192700"/>
  </r>
  <r>
    <x v="14"/>
    <x v="1"/>
    <x v="14"/>
    <x v="6"/>
    <x v="4"/>
    <x v="32"/>
    <n v="33"/>
    <n v="342474"/>
    <n v="155100"/>
  </r>
  <r>
    <x v="15"/>
    <x v="1"/>
    <x v="15"/>
    <x v="6"/>
    <x v="4"/>
    <x v="32"/>
    <n v="62"/>
    <n v="727694"/>
    <n v="291400"/>
  </r>
  <r>
    <x v="16"/>
    <x v="1"/>
    <x v="16"/>
    <x v="6"/>
    <x v="4"/>
    <x v="32"/>
    <n v="78"/>
    <n v="959556"/>
    <n v="366600"/>
  </r>
  <r>
    <x v="17"/>
    <x v="1"/>
    <x v="17"/>
    <x v="6"/>
    <x v="4"/>
    <x v="32"/>
    <n v="74"/>
    <n v="797350"/>
    <n v="347800"/>
  </r>
  <r>
    <x v="18"/>
    <x v="1"/>
    <x v="18"/>
    <x v="6"/>
    <x v="4"/>
    <x v="32"/>
    <n v="78"/>
    <n v="762996"/>
    <n v="366600"/>
  </r>
  <r>
    <x v="19"/>
    <x v="1"/>
    <x v="19"/>
    <x v="6"/>
    <x v="4"/>
    <x v="32"/>
    <n v="66"/>
    <n v="726726"/>
    <n v="310200"/>
  </r>
  <r>
    <x v="20"/>
    <x v="1"/>
    <x v="20"/>
    <x v="6"/>
    <x v="4"/>
    <x v="32"/>
    <n v="70"/>
    <n v="753060"/>
    <n v="329000"/>
  </r>
  <r>
    <x v="21"/>
    <x v="1"/>
    <x v="21"/>
    <x v="6"/>
    <x v="4"/>
    <x v="32"/>
    <n v="58"/>
    <n v="644844"/>
    <n v="272600"/>
  </r>
  <r>
    <x v="22"/>
    <x v="1"/>
    <x v="22"/>
    <x v="6"/>
    <x v="4"/>
    <x v="32"/>
    <n v="41"/>
    <n v="462521"/>
    <n v="192700"/>
  </r>
  <r>
    <x v="23"/>
    <x v="1"/>
    <x v="23"/>
    <x v="6"/>
    <x v="4"/>
    <x v="32"/>
    <n v="50"/>
    <n v="549350"/>
    <n v="235000"/>
  </r>
  <r>
    <x v="0"/>
    <x v="0"/>
    <x v="0"/>
    <x v="6"/>
    <x v="4"/>
    <x v="33"/>
    <n v="63"/>
    <n v="617841"/>
    <n v="338247"/>
  </r>
  <r>
    <x v="1"/>
    <x v="0"/>
    <x v="1"/>
    <x v="6"/>
    <x v="4"/>
    <x v="33"/>
    <n v="40"/>
    <n v="441120"/>
    <n v="214760"/>
  </r>
  <r>
    <x v="2"/>
    <x v="0"/>
    <x v="2"/>
    <x v="6"/>
    <x v="4"/>
    <x v="33"/>
    <n v="32"/>
    <n v="331296"/>
    <n v="171808"/>
  </r>
  <r>
    <x v="3"/>
    <x v="0"/>
    <x v="3"/>
    <x v="6"/>
    <x v="4"/>
    <x v="33"/>
    <n v="59"/>
    <n v="660918"/>
    <n v="316771"/>
  </r>
  <r>
    <x v="4"/>
    <x v="0"/>
    <x v="4"/>
    <x v="6"/>
    <x v="4"/>
    <x v="33"/>
    <n v="75"/>
    <n v="805875"/>
    <n v="402675"/>
  </r>
  <r>
    <x v="5"/>
    <x v="0"/>
    <x v="5"/>
    <x v="6"/>
    <x v="4"/>
    <x v="33"/>
    <n v="71"/>
    <n v="728957"/>
    <n v="381199"/>
  </r>
  <r>
    <x v="6"/>
    <x v="0"/>
    <x v="6"/>
    <x v="6"/>
    <x v="4"/>
    <x v="33"/>
    <n v="75"/>
    <n v="660225"/>
    <n v="402675"/>
  </r>
  <r>
    <x v="7"/>
    <x v="0"/>
    <x v="7"/>
    <x v="6"/>
    <x v="4"/>
    <x v="33"/>
    <n v="63"/>
    <n v="585018"/>
    <n v="338247"/>
  </r>
  <r>
    <x v="8"/>
    <x v="0"/>
    <x v="8"/>
    <x v="6"/>
    <x v="4"/>
    <x v="33"/>
    <n v="67"/>
    <n v="635428"/>
    <n v="359723"/>
  </r>
  <r>
    <x v="9"/>
    <x v="0"/>
    <x v="9"/>
    <x v="6"/>
    <x v="4"/>
    <x v="33"/>
    <n v="55"/>
    <n v="593175"/>
    <n v="295295"/>
  </r>
  <r>
    <x v="10"/>
    <x v="0"/>
    <x v="10"/>
    <x v="6"/>
    <x v="4"/>
    <x v="33"/>
    <n v="40"/>
    <n v="425240"/>
    <n v="214760"/>
  </r>
  <r>
    <x v="11"/>
    <x v="0"/>
    <x v="11"/>
    <x v="6"/>
    <x v="4"/>
    <x v="33"/>
    <n v="48"/>
    <n v="495984"/>
    <n v="257712"/>
  </r>
  <r>
    <x v="12"/>
    <x v="1"/>
    <x v="12"/>
    <x v="6"/>
    <x v="4"/>
    <x v="33"/>
    <n v="70"/>
    <n v="770630"/>
    <n v="375830"/>
  </r>
  <r>
    <x v="13"/>
    <x v="1"/>
    <x v="13"/>
    <x v="6"/>
    <x v="4"/>
    <x v="33"/>
    <n v="44"/>
    <n v="470008"/>
    <n v="236236"/>
  </r>
  <r>
    <x v="14"/>
    <x v="1"/>
    <x v="14"/>
    <x v="6"/>
    <x v="4"/>
    <x v="33"/>
    <n v="35"/>
    <n v="331730"/>
    <n v="187915"/>
  </r>
  <r>
    <x v="15"/>
    <x v="1"/>
    <x v="15"/>
    <x v="6"/>
    <x v="4"/>
    <x v="33"/>
    <n v="65"/>
    <n v="706160"/>
    <n v="348985"/>
  </r>
  <r>
    <x v="16"/>
    <x v="1"/>
    <x v="16"/>
    <x v="6"/>
    <x v="4"/>
    <x v="33"/>
    <n v="83"/>
    <n v="930015"/>
    <n v="445627"/>
  </r>
  <r>
    <x v="17"/>
    <x v="1"/>
    <x v="17"/>
    <x v="6"/>
    <x v="4"/>
    <x v="33"/>
    <n v="78"/>
    <n v="833664"/>
    <n v="418782"/>
  </r>
  <r>
    <x v="18"/>
    <x v="1"/>
    <x v="18"/>
    <x v="6"/>
    <x v="4"/>
    <x v="33"/>
    <n v="83"/>
    <n v="751233"/>
    <n v="445627"/>
  </r>
  <r>
    <x v="19"/>
    <x v="1"/>
    <x v="19"/>
    <x v="6"/>
    <x v="4"/>
    <x v="33"/>
    <n v="70"/>
    <n v="673890"/>
    <n v="375830"/>
  </r>
  <r>
    <x v="20"/>
    <x v="1"/>
    <x v="20"/>
    <x v="6"/>
    <x v="4"/>
    <x v="33"/>
    <n v="74"/>
    <n v="744366"/>
    <n v="397306"/>
  </r>
  <r>
    <x v="21"/>
    <x v="1"/>
    <x v="21"/>
    <x v="6"/>
    <x v="4"/>
    <x v="33"/>
    <n v="61"/>
    <n v="664900"/>
    <n v="327509"/>
  </r>
  <r>
    <x v="22"/>
    <x v="1"/>
    <x v="22"/>
    <x v="6"/>
    <x v="4"/>
    <x v="33"/>
    <n v="44"/>
    <n v="451264"/>
    <n v="236236"/>
  </r>
  <r>
    <x v="23"/>
    <x v="1"/>
    <x v="23"/>
    <x v="6"/>
    <x v="4"/>
    <x v="33"/>
    <n v="52"/>
    <n v="501384"/>
    <n v="279188"/>
  </r>
  <r>
    <x v="0"/>
    <x v="0"/>
    <x v="0"/>
    <x v="6"/>
    <x v="4"/>
    <x v="34"/>
    <n v="45"/>
    <n v="545265"/>
    <n v="247500"/>
  </r>
  <r>
    <x v="1"/>
    <x v="0"/>
    <x v="1"/>
    <x v="6"/>
    <x v="4"/>
    <x v="34"/>
    <n v="28"/>
    <n v="337960"/>
    <n v="154000"/>
  </r>
  <r>
    <x v="2"/>
    <x v="0"/>
    <x v="2"/>
    <x v="6"/>
    <x v="4"/>
    <x v="34"/>
    <n v="23"/>
    <n v="273976"/>
    <n v="126500"/>
  </r>
  <r>
    <x v="3"/>
    <x v="0"/>
    <x v="3"/>
    <x v="6"/>
    <x v="4"/>
    <x v="34"/>
    <n v="42"/>
    <n v="527646"/>
    <n v="231000"/>
  </r>
  <r>
    <x v="4"/>
    <x v="0"/>
    <x v="4"/>
    <x v="6"/>
    <x v="4"/>
    <x v="34"/>
    <n v="54"/>
    <n v="720198"/>
    <n v="297000"/>
  </r>
  <r>
    <x v="5"/>
    <x v="0"/>
    <x v="5"/>
    <x v="6"/>
    <x v="4"/>
    <x v="34"/>
    <n v="51"/>
    <n v="648975"/>
    <n v="280500"/>
  </r>
  <r>
    <x v="6"/>
    <x v="0"/>
    <x v="6"/>
    <x v="6"/>
    <x v="4"/>
    <x v="34"/>
    <n v="54"/>
    <n v="597456"/>
    <n v="297000"/>
  </r>
  <r>
    <x v="7"/>
    <x v="0"/>
    <x v="7"/>
    <x v="6"/>
    <x v="4"/>
    <x v="34"/>
    <n v="45"/>
    <n v="507645"/>
    <n v="247500"/>
  </r>
  <r>
    <x v="8"/>
    <x v="0"/>
    <x v="8"/>
    <x v="6"/>
    <x v="4"/>
    <x v="34"/>
    <n v="48"/>
    <n v="588048"/>
    <n v="264000"/>
  </r>
  <r>
    <x v="9"/>
    <x v="0"/>
    <x v="9"/>
    <x v="6"/>
    <x v="4"/>
    <x v="34"/>
    <n v="40"/>
    <n v="519360"/>
    <n v="220000"/>
  </r>
  <r>
    <x v="10"/>
    <x v="0"/>
    <x v="10"/>
    <x v="6"/>
    <x v="4"/>
    <x v="34"/>
    <n v="28"/>
    <n v="360024"/>
    <n v="154000"/>
  </r>
  <r>
    <x v="11"/>
    <x v="0"/>
    <x v="11"/>
    <x v="6"/>
    <x v="4"/>
    <x v="34"/>
    <n v="34"/>
    <n v="419084"/>
    <n v="187000"/>
  </r>
  <r>
    <x v="12"/>
    <x v="1"/>
    <x v="12"/>
    <x v="6"/>
    <x v="4"/>
    <x v="34"/>
    <n v="50"/>
    <n v="603350"/>
    <n v="275000"/>
  </r>
  <r>
    <x v="13"/>
    <x v="1"/>
    <x v="13"/>
    <x v="6"/>
    <x v="4"/>
    <x v="34"/>
    <n v="31"/>
    <n v="378200"/>
    <n v="170500"/>
  </r>
  <r>
    <x v="14"/>
    <x v="1"/>
    <x v="14"/>
    <x v="6"/>
    <x v="4"/>
    <x v="34"/>
    <n v="25"/>
    <n v="305625"/>
    <n v="137500"/>
  </r>
  <r>
    <x v="15"/>
    <x v="1"/>
    <x v="15"/>
    <x v="6"/>
    <x v="4"/>
    <x v="34"/>
    <n v="47"/>
    <n v="588017"/>
    <n v="258500"/>
  </r>
  <r>
    <x v="16"/>
    <x v="1"/>
    <x v="16"/>
    <x v="6"/>
    <x v="4"/>
    <x v="34"/>
    <n v="59"/>
    <n v="744285"/>
    <n v="324500"/>
  </r>
  <r>
    <x v="17"/>
    <x v="1"/>
    <x v="17"/>
    <x v="6"/>
    <x v="4"/>
    <x v="34"/>
    <n v="56"/>
    <n v="666232"/>
    <n v="308000"/>
  </r>
  <r>
    <x v="18"/>
    <x v="1"/>
    <x v="18"/>
    <x v="6"/>
    <x v="4"/>
    <x v="34"/>
    <n v="59"/>
    <n v="611122"/>
    <n v="324500"/>
  </r>
  <r>
    <x v="19"/>
    <x v="1"/>
    <x v="19"/>
    <x v="6"/>
    <x v="4"/>
    <x v="34"/>
    <n v="50"/>
    <n v="603850"/>
    <n v="275000"/>
  </r>
  <r>
    <x v="20"/>
    <x v="1"/>
    <x v="20"/>
    <x v="6"/>
    <x v="4"/>
    <x v="34"/>
    <n v="53"/>
    <n v="617185"/>
    <n v="291500"/>
  </r>
  <r>
    <x v="21"/>
    <x v="1"/>
    <x v="21"/>
    <x v="6"/>
    <x v="4"/>
    <x v="34"/>
    <n v="44"/>
    <n v="532444"/>
    <n v="242000"/>
  </r>
  <r>
    <x v="22"/>
    <x v="1"/>
    <x v="22"/>
    <x v="6"/>
    <x v="4"/>
    <x v="34"/>
    <n v="31"/>
    <n v="371473"/>
    <n v="170500"/>
  </r>
  <r>
    <x v="23"/>
    <x v="1"/>
    <x v="23"/>
    <x v="6"/>
    <x v="4"/>
    <x v="34"/>
    <n v="37"/>
    <n v="416435"/>
    <n v="203500"/>
  </r>
  <r>
    <x v="0"/>
    <x v="0"/>
    <x v="0"/>
    <x v="6"/>
    <x v="5"/>
    <x v="35"/>
    <n v="14"/>
    <n v="54264"/>
    <n v="21168"/>
  </r>
  <r>
    <x v="1"/>
    <x v="0"/>
    <x v="1"/>
    <x v="6"/>
    <x v="5"/>
    <x v="35"/>
    <n v="9"/>
    <n v="40338"/>
    <n v="13608"/>
  </r>
  <r>
    <x v="2"/>
    <x v="0"/>
    <x v="2"/>
    <x v="6"/>
    <x v="5"/>
    <x v="35"/>
    <n v="7"/>
    <n v="22022"/>
    <n v="10584"/>
  </r>
  <r>
    <x v="3"/>
    <x v="0"/>
    <x v="3"/>
    <x v="6"/>
    <x v="5"/>
    <x v="35"/>
    <n v="13"/>
    <n v="58370"/>
    <n v="19656"/>
  </r>
  <r>
    <x v="4"/>
    <x v="0"/>
    <x v="4"/>
    <x v="6"/>
    <x v="5"/>
    <x v="35"/>
    <n v="17"/>
    <n v="75616"/>
    <n v="25704"/>
  </r>
  <r>
    <x v="5"/>
    <x v="0"/>
    <x v="5"/>
    <x v="6"/>
    <x v="5"/>
    <x v="35"/>
    <n v="16"/>
    <n v="70096"/>
    <n v="24192"/>
  </r>
  <r>
    <x v="6"/>
    <x v="0"/>
    <x v="6"/>
    <x v="6"/>
    <x v="5"/>
    <x v="35"/>
    <n v="17"/>
    <n v="43911"/>
    <n v="25704"/>
  </r>
  <r>
    <x v="7"/>
    <x v="0"/>
    <x v="7"/>
    <x v="6"/>
    <x v="5"/>
    <x v="35"/>
    <n v="14"/>
    <n v="57596"/>
    <n v="21168"/>
  </r>
  <r>
    <x v="8"/>
    <x v="0"/>
    <x v="8"/>
    <x v="6"/>
    <x v="5"/>
    <x v="35"/>
    <n v="15"/>
    <n v="58275"/>
    <n v="22680"/>
  </r>
  <r>
    <x v="9"/>
    <x v="0"/>
    <x v="9"/>
    <x v="6"/>
    <x v="5"/>
    <x v="35"/>
    <n v="12"/>
    <n v="50700"/>
    <n v="18144"/>
  </r>
  <r>
    <x v="10"/>
    <x v="0"/>
    <x v="10"/>
    <x v="6"/>
    <x v="5"/>
    <x v="35"/>
    <n v="9"/>
    <n v="35604"/>
    <n v="13608"/>
  </r>
  <r>
    <x v="11"/>
    <x v="0"/>
    <x v="11"/>
    <x v="6"/>
    <x v="5"/>
    <x v="35"/>
    <n v="11"/>
    <n v="36113"/>
    <n v="16632"/>
  </r>
  <r>
    <x v="12"/>
    <x v="1"/>
    <x v="12"/>
    <x v="6"/>
    <x v="5"/>
    <x v="35"/>
    <n v="16"/>
    <n v="65600"/>
    <n v="24192"/>
  </r>
  <r>
    <x v="13"/>
    <x v="1"/>
    <x v="13"/>
    <x v="6"/>
    <x v="5"/>
    <x v="35"/>
    <n v="10"/>
    <n v="42500"/>
    <n v="15120"/>
  </r>
  <r>
    <x v="14"/>
    <x v="1"/>
    <x v="14"/>
    <x v="6"/>
    <x v="5"/>
    <x v="35"/>
    <n v="8"/>
    <n v="24816"/>
    <n v="12096"/>
  </r>
  <r>
    <x v="15"/>
    <x v="1"/>
    <x v="15"/>
    <x v="6"/>
    <x v="5"/>
    <x v="35"/>
    <n v="15"/>
    <n v="71565"/>
    <n v="22680"/>
  </r>
  <r>
    <x v="16"/>
    <x v="1"/>
    <x v="16"/>
    <x v="6"/>
    <x v="5"/>
    <x v="35"/>
    <n v="18"/>
    <n v="84132"/>
    <n v="27216"/>
  </r>
  <r>
    <x v="17"/>
    <x v="1"/>
    <x v="17"/>
    <x v="6"/>
    <x v="5"/>
    <x v="35"/>
    <n v="17"/>
    <n v="70482"/>
    <n v="25704"/>
  </r>
  <r>
    <x v="18"/>
    <x v="1"/>
    <x v="18"/>
    <x v="6"/>
    <x v="5"/>
    <x v="35"/>
    <n v="18"/>
    <n v="55458"/>
    <n v="27216"/>
  </r>
  <r>
    <x v="19"/>
    <x v="1"/>
    <x v="19"/>
    <x v="6"/>
    <x v="5"/>
    <x v="35"/>
    <n v="16"/>
    <n v="61872"/>
    <n v="24192"/>
  </r>
  <r>
    <x v="20"/>
    <x v="1"/>
    <x v="20"/>
    <x v="6"/>
    <x v="5"/>
    <x v="35"/>
    <n v="16"/>
    <n v="67184"/>
    <n v="24192"/>
  </r>
  <r>
    <x v="21"/>
    <x v="1"/>
    <x v="21"/>
    <x v="6"/>
    <x v="5"/>
    <x v="35"/>
    <n v="14"/>
    <n v="59598"/>
    <n v="21168"/>
  </r>
  <r>
    <x v="22"/>
    <x v="1"/>
    <x v="22"/>
    <x v="6"/>
    <x v="5"/>
    <x v="35"/>
    <n v="10"/>
    <n v="38270"/>
    <n v="15120"/>
  </r>
  <r>
    <x v="23"/>
    <x v="1"/>
    <x v="23"/>
    <x v="6"/>
    <x v="5"/>
    <x v="35"/>
    <n v="12"/>
    <n v="46968"/>
    <n v="18144"/>
  </r>
  <r>
    <x v="0"/>
    <x v="0"/>
    <x v="0"/>
    <x v="6"/>
    <x v="5"/>
    <x v="36"/>
    <n v="17"/>
    <n v="48756"/>
    <n v="13294"/>
  </r>
  <r>
    <x v="1"/>
    <x v="0"/>
    <x v="1"/>
    <x v="6"/>
    <x v="5"/>
    <x v="36"/>
    <n v="11"/>
    <n v="39127"/>
    <n v="8602"/>
  </r>
  <r>
    <x v="2"/>
    <x v="0"/>
    <x v="2"/>
    <x v="6"/>
    <x v="5"/>
    <x v="36"/>
    <n v="9"/>
    <n v="16695"/>
    <n v="7038"/>
  </r>
  <r>
    <x v="3"/>
    <x v="0"/>
    <x v="3"/>
    <x v="6"/>
    <x v="5"/>
    <x v="36"/>
    <n v="16"/>
    <n v="61312"/>
    <n v="12512"/>
  </r>
  <r>
    <x v="4"/>
    <x v="0"/>
    <x v="4"/>
    <x v="6"/>
    <x v="5"/>
    <x v="36"/>
    <n v="21"/>
    <n v="73836"/>
    <n v="16422"/>
  </r>
  <r>
    <x v="5"/>
    <x v="0"/>
    <x v="5"/>
    <x v="6"/>
    <x v="5"/>
    <x v="36"/>
    <n v="19"/>
    <n v="58615"/>
    <n v="14858"/>
  </r>
  <r>
    <x v="6"/>
    <x v="0"/>
    <x v="6"/>
    <x v="6"/>
    <x v="5"/>
    <x v="36"/>
    <n v="21"/>
    <n v="37485"/>
    <n v="16422"/>
  </r>
  <r>
    <x v="7"/>
    <x v="0"/>
    <x v="7"/>
    <x v="6"/>
    <x v="5"/>
    <x v="36"/>
    <n v="17"/>
    <n v="42789"/>
    <n v="13294"/>
  </r>
  <r>
    <x v="8"/>
    <x v="0"/>
    <x v="8"/>
    <x v="6"/>
    <x v="5"/>
    <x v="36"/>
    <n v="18"/>
    <n v="43380"/>
    <n v="14076"/>
  </r>
  <r>
    <x v="9"/>
    <x v="0"/>
    <x v="9"/>
    <x v="6"/>
    <x v="5"/>
    <x v="36"/>
    <n v="15"/>
    <n v="48915"/>
    <n v="11730"/>
  </r>
  <r>
    <x v="10"/>
    <x v="0"/>
    <x v="10"/>
    <x v="6"/>
    <x v="5"/>
    <x v="36"/>
    <n v="11"/>
    <n v="30305"/>
    <n v="8602"/>
  </r>
  <r>
    <x v="11"/>
    <x v="0"/>
    <x v="11"/>
    <x v="6"/>
    <x v="5"/>
    <x v="36"/>
    <n v="13"/>
    <n v="26455"/>
    <n v="10166"/>
  </r>
  <r>
    <x v="12"/>
    <x v="1"/>
    <x v="12"/>
    <x v="6"/>
    <x v="5"/>
    <x v="36"/>
    <n v="19"/>
    <n v="62206"/>
    <n v="14858"/>
  </r>
  <r>
    <x v="13"/>
    <x v="1"/>
    <x v="13"/>
    <x v="6"/>
    <x v="5"/>
    <x v="36"/>
    <n v="12"/>
    <n v="35784"/>
    <n v="9384"/>
  </r>
  <r>
    <x v="14"/>
    <x v="1"/>
    <x v="14"/>
    <x v="6"/>
    <x v="5"/>
    <x v="36"/>
    <n v="10"/>
    <n v="23380"/>
    <n v="7820"/>
  </r>
  <r>
    <x v="15"/>
    <x v="1"/>
    <x v="15"/>
    <x v="6"/>
    <x v="5"/>
    <x v="36"/>
    <n v="18"/>
    <n v="57636"/>
    <n v="14076"/>
  </r>
  <r>
    <x v="16"/>
    <x v="1"/>
    <x v="16"/>
    <x v="6"/>
    <x v="5"/>
    <x v="36"/>
    <n v="23"/>
    <n v="90413"/>
    <n v="17986"/>
  </r>
  <r>
    <x v="17"/>
    <x v="1"/>
    <x v="17"/>
    <x v="6"/>
    <x v="5"/>
    <x v="36"/>
    <n v="21"/>
    <n v="74004"/>
    <n v="16422"/>
  </r>
  <r>
    <x v="18"/>
    <x v="1"/>
    <x v="18"/>
    <x v="6"/>
    <x v="5"/>
    <x v="36"/>
    <n v="23"/>
    <n v="29394"/>
    <n v="17986"/>
  </r>
  <r>
    <x v="19"/>
    <x v="1"/>
    <x v="19"/>
    <x v="6"/>
    <x v="5"/>
    <x v="36"/>
    <n v="19"/>
    <n v="42674"/>
    <n v="14858"/>
  </r>
  <r>
    <x v="20"/>
    <x v="1"/>
    <x v="20"/>
    <x v="6"/>
    <x v="5"/>
    <x v="36"/>
    <n v="20"/>
    <n v="54920"/>
    <n v="15640"/>
  </r>
  <r>
    <x v="21"/>
    <x v="1"/>
    <x v="21"/>
    <x v="6"/>
    <x v="5"/>
    <x v="36"/>
    <n v="17"/>
    <n v="53006"/>
    <n v="13294"/>
  </r>
  <r>
    <x v="22"/>
    <x v="1"/>
    <x v="22"/>
    <x v="6"/>
    <x v="5"/>
    <x v="36"/>
    <n v="12"/>
    <n v="32316"/>
    <n v="9384"/>
  </r>
  <r>
    <x v="23"/>
    <x v="1"/>
    <x v="23"/>
    <x v="6"/>
    <x v="5"/>
    <x v="36"/>
    <n v="14"/>
    <n v="36764"/>
    <n v="10948"/>
  </r>
  <r>
    <x v="0"/>
    <x v="0"/>
    <x v="0"/>
    <x v="6"/>
    <x v="5"/>
    <x v="37"/>
    <n v="16"/>
    <n v="79344"/>
    <n v="28000"/>
  </r>
  <r>
    <x v="1"/>
    <x v="0"/>
    <x v="1"/>
    <x v="6"/>
    <x v="5"/>
    <x v="37"/>
    <n v="10"/>
    <n v="50940"/>
    <n v="17500"/>
  </r>
  <r>
    <x v="2"/>
    <x v="0"/>
    <x v="2"/>
    <x v="6"/>
    <x v="5"/>
    <x v="37"/>
    <n v="8"/>
    <n v="31792"/>
    <n v="14000"/>
  </r>
  <r>
    <x v="3"/>
    <x v="0"/>
    <x v="3"/>
    <x v="6"/>
    <x v="5"/>
    <x v="37"/>
    <n v="15"/>
    <n v="84300"/>
    <n v="26250"/>
  </r>
  <r>
    <x v="4"/>
    <x v="0"/>
    <x v="4"/>
    <x v="6"/>
    <x v="5"/>
    <x v="37"/>
    <n v="19"/>
    <n v="92929"/>
    <n v="33250"/>
  </r>
  <r>
    <x v="5"/>
    <x v="0"/>
    <x v="5"/>
    <x v="6"/>
    <x v="5"/>
    <x v="37"/>
    <n v="18"/>
    <n v="88740"/>
    <n v="31500"/>
  </r>
  <r>
    <x v="6"/>
    <x v="0"/>
    <x v="6"/>
    <x v="6"/>
    <x v="5"/>
    <x v="37"/>
    <n v="19"/>
    <n v="54758"/>
    <n v="33250"/>
  </r>
  <r>
    <x v="7"/>
    <x v="0"/>
    <x v="7"/>
    <x v="6"/>
    <x v="5"/>
    <x v="37"/>
    <n v="16"/>
    <n v="65872"/>
    <n v="28000"/>
  </r>
  <r>
    <x v="8"/>
    <x v="0"/>
    <x v="8"/>
    <x v="6"/>
    <x v="5"/>
    <x v="37"/>
    <n v="17"/>
    <n v="74783"/>
    <n v="29750"/>
  </r>
  <r>
    <x v="9"/>
    <x v="0"/>
    <x v="9"/>
    <x v="6"/>
    <x v="5"/>
    <x v="37"/>
    <n v="14"/>
    <n v="64456"/>
    <n v="24500"/>
  </r>
  <r>
    <x v="10"/>
    <x v="0"/>
    <x v="10"/>
    <x v="6"/>
    <x v="5"/>
    <x v="37"/>
    <n v="10"/>
    <n v="47760"/>
    <n v="17500"/>
  </r>
  <r>
    <x v="11"/>
    <x v="0"/>
    <x v="11"/>
    <x v="6"/>
    <x v="5"/>
    <x v="37"/>
    <n v="12"/>
    <n v="51444"/>
    <n v="21000"/>
  </r>
  <r>
    <x v="12"/>
    <x v="1"/>
    <x v="12"/>
    <x v="6"/>
    <x v="5"/>
    <x v="37"/>
    <n v="17"/>
    <n v="74222"/>
    <n v="29750"/>
  </r>
  <r>
    <x v="13"/>
    <x v="1"/>
    <x v="13"/>
    <x v="6"/>
    <x v="5"/>
    <x v="37"/>
    <n v="11"/>
    <n v="51975"/>
    <n v="19250"/>
  </r>
  <r>
    <x v="14"/>
    <x v="1"/>
    <x v="14"/>
    <x v="6"/>
    <x v="5"/>
    <x v="37"/>
    <n v="9"/>
    <n v="40680"/>
    <n v="15750"/>
  </r>
  <r>
    <x v="15"/>
    <x v="1"/>
    <x v="15"/>
    <x v="6"/>
    <x v="5"/>
    <x v="37"/>
    <n v="16"/>
    <n v="82640"/>
    <n v="28000"/>
  </r>
  <r>
    <x v="16"/>
    <x v="1"/>
    <x v="16"/>
    <x v="6"/>
    <x v="5"/>
    <x v="37"/>
    <n v="20"/>
    <n v="99840"/>
    <n v="35000"/>
  </r>
  <r>
    <x v="17"/>
    <x v="1"/>
    <x v="17"/>
    <x v="6"/>
    <x v="5"/>
    <x v="37"/>
    <n v="19"/>
    <n v="90554"/>
    <n v="33250"/>
  </r>
  <r>
    <x v="18"/>
    <x v="1"/>
    <x v="18"/>
    <x v="6"/>
    <x v="5"/>
    <x v="37"/>
    <n v="20"/>
    <n v="68080"/>
    <n v="35000"/>
  </r>
  <r>
    <x v="19"/>
    <x v="1"/>
    <x v="19"/>
    <x v="6"/>
    <x v="5"/>
    <x v="37"/>
    <n v="17"/>
    <n v="61710"/>
    <n v="29750"/>
  </r>
  <r>
    <x v="20"/>
    <x v="1"/>
    <x v="20"/>
    <x v="6"/>
    <x v="5"/>
    <x v="37"/>
    <n v="18"/>
    <n v="89982"/>
    <n v="31500"/>
  </r>
  <r>
    <x v="21"/>
    <x v="1"/>
    <x v="21"/>
    <x v="6"/>
    <x v="5"/>
    <x v="37"/>
    <n v="15"/>
    <n v="74685"/>
    <n v="26250"/>
  </r>
  <r>
    <x v="22"/>
    <x v="1"/>
    <x v="22"/>
    <x v="6"/>
    <x v="5"/>
    <x v="37"/>
    <n v="11"/>
    <n v="56584"/>
    <n v="19250"/>
  </r>
  <r>
    <x v="23"/>
    <x v="1"/>
    <x v="23"/>
    <x v="6"/>
    <x v="5"/>
    <x v="37"/>
    <n v="13"/>
    <n v="53573"/>
    <n v="22750"/>
  </r>
  <r>
    <x v="0"/>
    <x v="0"/>
    <x v="0"/>
    <x v="6"/>
    <x v="5"/>
    <x v="38"/>
    <n v="14"/>
    <n v="81396"/>
    <n v="35280"/>
  </r>
  <r>
    <x v="1"/>
    <x v="0"/>
    <x v="1"/>
    <x v="6"/>
    <x v="5"/>
    <x v="38"/>
    <n v="9"/>
    <n v="55251"/>
    <n v="22680"/>
  </r>
  <r>
    <x v="2"/>
    <x v="0"/>
    <x v="2"/>
    <x v="6"/>
    <x v="5"/>
    <x v="38"/>
    <n v="7"/>
    <n v="37135"/>
    <n v="17640"/>
  </r>
  <r>
    <x v="3"/>
    <x v="0"/>
    <x v="3"/>
    <x v="6"/>
    <x v="5"/>
    <x v="38"/>
    <n v="13"/>
    <n v="81042"/>
    <n v="32760"/>
  </r>
  <r>
    <x v="4"/>
    <x v="0"/>
    <x v="4"/>
    <x v="6"/>
    <x v="5"/>
    <x v="38"/>
    <n v="17"/>
    <n v="104329"/>
    <n v="42840"/>
  </r>
  <r>
    <x v="5"/>
    <x v="0"/>
    <x v="5"/>
    <x v="6"/>
    <x v="5"/>
    <x v="38"/>
    <n v="16"/>
    <n v="90192"/>
    <n v="40320"/>
  </r>
  <r>
    <x v="6"/>
    <x v="0"/>
    <x v="6"/>
    <x v="6"/>
    <x v="5"/>
    <x v="38"/>
    <n v="17"/>
    <n v="76041"/>
    <n v="42840"/>
  </r>
  <r>
    <x v="7"/>
    <x v="0"/>
    <x v="7"/>
    <x v="6"/>
    <x v="5"/>
    <x v="38"/>
    <n v="14"/>
    <n v="73150"/>
    <n v="35280"/>
  </r>
  <r>
    <x v="8"/>
    <x v="0"/>
    <x v="8"/>
    <x v="6"/>
    <x v="5"/>
    <x v="38"/>
    <n v="15"/>
    <n v="69645"/>
    <n v="37800"/>
  </r>
  <r>
    <x v="9"/>
    <x v="0"/>
    <x v="9"/>
    <x v="6"/>
    <x v="5"/>
    <x v="38"/>
    <n v="12"/>
    <n v="69444"/>
    <n v="30240"/>
  </r>
  <r>
    <x v="10"/>
    <x v="0"/>
    <x v="10"/>
    <x v="6"/>
    <x v="5"/>
    <x v="38"/>
    <n v="9"/>
    <n v="44235"/>
    <n v="22680"/>
  </r>
  <r>
    <x v="11"/>
    <x v="0"/>
    <x v="11"/>
    <x v="6"/>
    <x v="5"/>
    <x v="38"/>
    <n v="11"/>
    <n v="52228"/>
    <n v="27720"/>
  </r>
  <r>
    <x v="12"/>
    <x v="1"/>
    <x v="12"/>
    <x v="6"/>
    <x v="5"/>
    <x v="38"/>
    <n v="16"/>
    <n v="81216"/>
    <n v="40320"/>
  </r>
  <r>
    <x v="13"/>
    <x v="1"/>
    <x v="13"/>
    <x v="6"/>
    <x v="5"/>
    <x v="38"/>
    <n v="10"/>
    <n v="58090"/>
    <n v="25200"/>
  </r>
  <r>
    <x v="14"/>
    <x v="1"/>
    <x v="14"/>
    <x v="6"/>
    <x v="5"/>
    <x v="38"/>
    <n v="8"/>
    <n v="35400"/>
    <n v="20160"/>
  </r>
  <r>
    <x v="15"/>
    <x v="1"/>
    <x v="15"/>
    <x v="6"/>
    <x v="5"/>
    <x v="38"/>
    <n v="15"/>
    <n v="84180"/>
    <n v="37800"/>
  </r>
  <r>
    <x v="16"/>
    <x v="1"/>
    <x v="16"/>
    <x v="6"/>
    <x v="5"/>
    <x v="38"/>
    <n v="18"/>
    <n v="114102"/>
    <n v="45360"/>
  </r>
  <r>
    <x v="17"/>
    <x v="1"/>
    <x v="17"/>
    <x v="6"/>
    <x v="5"/>
    <x v="38"/>
    <n v="17"/>
    <n v="99552"/>
    <n v="42840"/>
  </r>
  <r>
    <x v="18"/>
    <x v="1"/>
    <x v="18"/>
    <x v="6"/>
    <x v="5"/>
    <x v="38"/>
    <n v="18"/>
    <n v="63414"/>
    <n v="45360"/>
  </r>
  <r>
    <x v="19"/>
    <x v="1"/>
    <x v="19"/>
    <x v="6"/>
    <x v="5"/>
    <x v="38"/>
    <n v="16"/>
    <n v="83872"/>
    <n v="40320"/>
  </r>
  <r>
    <x v="20"/>
    <x v="1"/>
    <x v="20"/>
    <x v="6"/>
    <x v="5"/>
    <x v="38"/>
    <n v="16"/>
    <n v="78512"/>
    <n v="40320"/>
  </r>
  <r>
    <x v="21"/>
    <x v="1"/>
    <x v="21"/>
    <x v="6"/>
    <x v="5"/>
    <x v="38"/>
    <n v="14"/>
    <n v="72618"/>
    <n v="35280"/>
  </r>
  <r>
    <x v="22"/>
    <x v="1"/>
    <x v="22"/>
    <x v="6"/>
    <x v="5"/>
    <x v="38"/>
    <n v="10"/>
    <n v="56610"/>
    <n v="25200"/>
  </r>
  <r>
    <x v="23"/>
    <x v="1"/>
    <x v="23"/>
    <x v="6"/>
    <x v="5"/>
    <x v="38"/>
    <n v="12"/>
    <n v="66240"/>
    <n v="30240"/>
  </r>
  <r>
    <x v="0"/>
    <x v="0"/>
    <x v="0"/>
    <x v="6"/>
    <x v="5"/>
    <x v="39"/>
    <n v="18"/>
    <n v="56178"/>
    <n v="16632"/>
  </r>
  <r>
    <x v="1"/>
    <x v="0"/>
    <x v="1"/>
    <x v="6"/>
    <x v="5"/>
    <x v="39"/>
    <n v="11"/>
    <n v="34419"/>
    <n v="10164"/>
  </r>
  <r>
    <x v="2"/>
    <x v="0"/>
    <x v="2"/>
    <x v="6"/>
    <x v="5"/>
    <x v="39"/>
    <n v="9"/>
    <n v="25641"/>
    <n v="8316"/>
  </r>
  <r>
    <x v="3"/>
    <x v="0"/>
    <x v="3"/>
    <x v="6"/>
    <x v="5"/>
    <x v="39"/>
    <n v="17"/>
    <n v="61132"/>
    <n v="15708"/>
  </r>
  <r>
    <x v="4"/>
    <x v="0"/>
    <x v="4"/>
    <x v="6"/>
    <x v="5"/>
    <x v="39"/>
    <n v="21"/>
    <n v="86688"/>
    <n v="19404"/>
  </r>
  <r>
    <x v="5"/>
    <x v="0"/>
    <x v="5"/>
    <x v="6"/>
    <x v="5"/>
    <x v="39"/>
    <n v="20"/>
    <n v="78580"/>
    <n v="18480"/>
  </r>
  <r>
    <x v="6"/>
    <x v="0"/>
    <x v="6"/>
    <x v="6"/>
    <x v="5"/>
    <x v="39"/>
    <n v="21"/>
    <n v="43113"/>
    <n v="19404"/>
  </r>
  <r>
    <x v="7"/>
    <x v="0"/>
    <x v="7"/>
    <x v="6"/>
    <x v="5"/>
    <x v="39"/>
    <n v="18"/>
    <n v="56898"/>
    <n v="16632"/>
  </r>
  <r>
    <x v="8"/>
    <x v="0"/>
    <x v="8"/>
    <x v="6"/>
    <x v="5"/>
    <x v="39"/>
    <n v="19"/>
    <n v="56335"/>
    <n v="17556"/>
  </r>
  <r>
    <x v="9"/>
    <x v="0"/>
    <x v="9"/>
    <x v="6"/>
    <x v="5"/>
    <x v="39"/>
    <n v="16"/>
    <n v="52080"/>
    <n v="14784"/>
  </r>
  <r>
    <x v="10"/>
    <x v="0"/>
    <x v="10"/>
    <x v="6"/>
    <x v="5"/>
    <x v="39"/>
    <n v="11"/>
    <n v="38269"/>
    <n v="10164"/>
  </r>
  <r>
    <x v="11"/>
    <x v="0"/>
    <x v="11"/>
    <x v="6"/>
    <x v="5"/>
    <x v="39"/>
    <n v="14"/>
    <n v="44338"/>
    <n v="12936"/>
  </r>
  <r>
    <x v="12"/>
    <x v="1"/>
    <x v="12"/>
    <x v="6"/>
    <x v="5"/>
    <x v="39"/>
    <n v="20"/>
    <n v="59840"/>
    <n v="18480"/>
  </r>
  <r>
    <x v="13"/>
    <x v="1"/>
    <x v="13"/>
    <x v="6"/>
    <x v="5"/>
    <x v="39"/>
    <n v="13"/>
    <n v="50882"/>
    <n v="12012"/>
  </r>
  <r>
    <x v="14"/>
    <x v="1"/>
    <x v="14"/>
    <x v="6"/>
    <x v="5"/>
    <x v="39"/>
    <n v="10"/>
    <n v="35770"/>
    <n v="9240"/>
  </r>
  <r>
    <x v="15"/>
    <x v="1"/>
    <x v="15"/>
    <x v="6"/>
    <x v="5"/>
    <x v="39"/>
    <n v="19"/>
    <n v="74727"/>
    <n v="17556"/>
  </r>
  <r>
    <x v="16"/>
    <x v="1"/>
    <x v="16"/>
    <x v="6"/>
    <x v="5"/>
    <x v="39"/>
    <n v="23"/>
    <n v="107916"/>
    <n v="21252"/>
  </r>
  <r>
    <x v="17"/>
    <x v="1"/>
    <x v="17"/>
    <x v="6"/>
    <x v="5"/>
    <x v="39"/>
    <n v="22"/>
    <n v="78628"/>
    <n v="20328"/>
  </r>
  <r>
    <x v="18"/>
    <x v="1"/>
    <x v="18"/>
    <x v="6"/>
    <x v="5"/>
    <x v="39"/>
    <n v="23"/>
    <n v="34339"/>
    <n v="21252"/>
  </r>
  <r>
    <x v="19"/>
    <x v="1"/>
    <x v="19"/>
    <x v="6"/>
    <x v="5"/>
    <x v="39"/>
    <n v="20"/>
    <n v="59660"/>
    <n v="18480"/>
  </r>
  <r>
    <x v="20"/>
    <x v="1"/>
    <x v="20"/>
    <x v="6"/>
    <x v="5"/>
    <x v="39"/>
    <n v="21"/>
    <n v="65037"/>
    <n v="19404"/>
  </r>
  <r>
    <x v="21"/>
    <x v="1"/>
    <x v="21"/>
    <x v="6"/>
    <x v="5"/>
    <x v="39"/>
    <n v="17"/>
    <n v="60520"/>
    <n v="15708"/>
  </r>
  <r>
    <x v="22"/>
    <x v="1"/>
    <x v="22"/>
    <x v="6"/>
    <x v="5"/>
    <x v="39"/>
    <n v="13"/>
    <n v="50960"/>
    <n v="12012"/>
  </r>
  <r>
    <x v="23"/>
    <x v="1"/>
    <x v="23"/>
    <x v="6"/>
    <x v="5"/>
    <x v="39"/>
    <n v="15"/>
    <n v="46050"/>
    <n v="13860"/>
  </r>
  <r>
    <x v="0"/>
    <x v="0"/>
    <x v="0"/>
    <x v="6"/>
    <x v="5"/>
    <x v="40"/>
    <n v="14"/>
    <n v="60284"/>
    <n v="15288"/>
  </r>
  <r>
    <x v="1"/>
    <x v="0"/>
    <x v="1"/>
    <x v="6"/>
    <x v="5"/>
    <x v="40"/>
    <n v="9"/>
    <n v="40779"/>
    <n v="9828"/>
  </r>
  <r>
    <x v="2"/>
    <x v="0"/>
    <x v="2"/>
    <x v="6"/>
    <x v="5"/>
    <x v="40"/>
    <n v="7"/>
    <n v="23758"/>
    <n v="7644"/>
  </r>
  <r>
    <x v="3"/>
    <x v="0"/>
    <x v="3"/>
    <x v="6"/>
    <x v="5"/>
    <x v="40"/>
    <n v="14"/>
    <n v="56392"/>
    <n v="15288"/>
  </r>
  <r>
    <x v="4"/>
    <x v="0"/>
    <x v="4"/>
    <x v="6"/>
    <x v="5"/>
    <x v="40"/>
    <n v="17"/>
    <n v="84269"/>
    <n v="18564"/>
  </r>
  <r>
    <x v="5"/>
    <x v="0"/>
    <x v="5"/>
    <x v="6"/>
    <x v="5"/>
    <x v="40"/>
    <n v="16"/>
    <n v="64208"/>
    <n v="17472"/>
  </r>
  <r>
    <x v="6"/>
    <x v="0"/>
    <x v="6"/>
    <x v="6"/>
    <x v="5"/>
    <x v="40"/>
    <n v="17"/>
    <n v="47770"/>
    <n v="18564"/>
  </r>
  <r>
    <x v="7"/>
    <x v="0"/>
    <x v="7"/>
    <x v="6"/>
    <x v="5"/>
    <x v="40"/>
    <n v="14"/>
    <n v="43694"/>
    <n v="15288"/>
  </r>
  <r>
    <x v="8"/>
    <x v="0"/>
    <x v="8"/>
    <x v="6"/>
    <x v="5"/>
    <x v="40"/>
    <n v="15"/>
    <n v="60720"/>
    <n v="16380"/>
  </r>
  <r>
    <x v="9"/>
    <x v="0"/>
    <x v="9"/>
    <x v="6"/>
    <x v="5"/>
    <x v="40"/>
    <n v="13"/>
    <n v="44265"/>
    <n v="14196"/>
  </r>
  <r>
    <x v="10"/>
    <x v="0"/>
    <x v="10"/>
    <x v="6"/>
    <x v="5"/>
    <x v="40"/>
    <n v="9"/>
    <n v="38322"/>
    <n v="9828"/>
  </r>
  <r>
    <x v="11"/>
    <x v="0"/>
    <x v="11"/>
    <x v="6"/>
    <x v="5"/>
    <x v="40"/>
    <n v="11"/>
    <n v="39303"/>
    <n v="12012"/>
  </r>
  <r>
    <x v="12"/>
    <x v="1"/>
    <x v="12"/>
    <x v="6"/>
    <x v="5"/>
    <x v="40"/>
    <n v="16"/>
    <n v="67840"/>
    <n v="17472"/>
  </r>
  <r>
    <x v="13"/>
    <x v="1"/>
    <x v="13"/>
    <x v="6"/>
    <x v="5"/>
    <x v="40"/>
    <n v="10"/>
    <n v="36040"/>
    <n v="10920"/>
  </r>
  <r>
    <x v="14"/>
    <x v="1"/>
    <x v="14"/>
    <x v="6"/>
    <x v="5"/>
    <x v="40"/>
    <n v="8"/>
    <n v="28296"/>
    <n v="8736"/>
  </r>
  <r>
    <x v="15"/>
    <x v="1"/>
    <x v="15"/>
    <x v="6"/>
    <x v="5"/>
    <x v="40"/>
    <n v="15"/>
    <n v="63990"/>
    <n v="16380"/>
  </r>
  <r>
    <x v="16"/>
    <x v="1"/>
    <x v="16"/>
    <x v="6"/>
    <x v="5"/>
    <x v="40"/>
    <n v="19"/>
    <n v="83866"/>
    <n v="20748"/>
  </r>
  <r>
    <x v="17"/>
    <x v="1"/>
    <x v="17"/>
    <x v="6"/>
    <x v="5"/>
    <x v="40"/>
    <n v="18"/>
    <n v="80388"/>
    <n v="19656"/>
  </r>
  <r>
    <x v="18"/>
    <x v="1"/>
    <x v="18"/>
    <x v="6"/>
    <x v="5"/>
    <x v="40"/>
    <n v="19"/>
    <n v="51718"/>
    <n v="20748"/>
  </r>
  <r>
    <x v="19"/>
    <x v="1"/>
    <x v="19"/>
    <x v="6"/>
    <x v="5"/>
    <x v="40"/>
    <n v="16"/>
    <n v="53920"/>
    <n v="17472"/>
  </r>
  <r>
    <x v="20"/>
    <x v="1"/>
    <x v="20"/>
    <x v="6"/>
    <x v="5"/>
    <x v="40"/>
    <n v="17"/>
    <n v="62628"/>
    <n v="18564"/>
  </r>
  <r>
    <x v="21"/>
    <x v="1"/>
    <x v="21"/>
    <x v="6"/>
    <x v="5"/>
    <x v="40"/>
    <n v="14"/>
    <n v="50456"/>
    <n v="15288"/>
  </r>
  <r>
    <x v="22"/>
    <x v="1"/>
    <x v="22"/>
    <x v="6"/>
    <x v="5"/>
    <x v="40"/>
    <n v="10"/>
    <n v="40170"/>
    <n v="10920"/>
  </r>
  <r>
    <x v="23"/>
    <x v="1"/>
    <x v="23"/>
    <x v="6"/>
    <x v="5"/>
    <x v="40"/>
    <n v="12"/>
    <n v="46236"/>
    <n v="13104"/>
  </r>
  <r>
    <x v="0"/>
    <x v="0"/>
    <x v="0"/>
    <x v="6"/>
    <x v="5"/>
    <x v="41"/>
    <n v="18"/>
    <n v="53712"/>
    <n v="15732"/>
  </r>
  <r>
    <x v="1"/>
    <x v="0"/>
    <x v="1"/>
    <x v="6"/>
    <x v="5"/>
    <x v="41"/>
    <n v="12"/>
    <n v="35820"/>
    <n v="10488"/>
  </r>
  <r>
    <x v="2"/>
    <x v="0"/>
    <x v="2"/>
    <x v="6"/>
    <x v="5"/>
    <x v="41"/>
    <n v="9"/>
    <n v="24840"/>
    <n v="7866"/>
  </r>
  <r>
    <x v="3"/>
    <x v="0"/>
    <x v="3"/>
    <x v="6"/>
    <x v="5"/>
    <x v="41"/>
    <n v="17"/>
    <n v="71604"/>
    <n v="14858"/>
  </r>
  <r>
    <x v="4"/>
    <x v="0"/>
    <x v="4"/>
    <x v="6"/>
    <x v="5"/>
    <x v="41"/>
    <n v="22"/>
    <n v="91080"/>
    <n v="19228"/>
  </r>
  <r>
    <x v="5"/>
    <x v="0"/>
    <x v="5"/>
    <x v="6"/>
    <x v="5"/>
    <x v="41"/>
    <n v="21"/>
    <n v="54999"/>
    <n v="18354"/>
  </r>
  <r>
    <x v="6"/>
    <x v="0"/>
    <x v="6"/>
    <x v="6"/>
    <x v="5"/>
    <x v="41"/>
    <n v="22"/>
    <n v="41140"/>
    <n v="19228"/>
  </r>
  <r>
    <x v="7"/>
    <x v="0"/>
    <x v="7"/>
    <x v="6"/>
    <x v="5"/>
    <x v="41"/>
    <n v="18"/>
    <n v="48348"/>
    <n v="15732"/>
  </r>
  <r>
    <x v="8"/>
    <x v="0"/>
    <x v="8"/>
    <x v="6"/>
    <x v="5"/>
    <x v="41"/>
    <n v="20"/>
    <n v="61540"/>
    <n v="17480"/>
  </r>
  <r>
    <x v="9"/>
    <x v="0"/>
    <x v="9"/>
    <x v="6"/>
    <x v="5"/>
    <x v="41"/>
    <n v="16"/>
    <n v="57344"/>
    <n v="13984"/>
  </r>
  <r>
    <x v="10"/>
    <x v="0"/>
    <x v="10"/>
    <x v="6"/>
    <x v="5"/>
    <x v="41"/>
    <n v="12"/>
    <n v="43308"/>
    <n v="10488"/>
  </r>
  <r>
    <x v="11"/>
    <x v="0"/>
    <x v="11"/>
    <x v="6"/>
    <x v="5"/>
    <x v="41"/>
    <n v="14"/>
    <n v="44772"/>
    <n v="12236"/>
  </r>
  <r>
    <x v="12"/>
    <x v="1"/>
    <x v="12"/>
    <x v="6"/>
    <x v="5"/>
    <x v="41"/>
    <n v="20"/>
    <n v="68180"/>
    <n v="17480"/>
  </r>
  <r>
    <x v="13"/>
    <x v="1"/>
    <x v="13"/>
    <x v="6"/>
    <x v="5"/>
    <x v="41"/>
    <n v="13"/>
    <n v="44330"/>
    <n v="11362"/>
  </r>
  <r>
    <x v="14"/>
    <x v="1"/>
    <x v="14"/>
    <x v="6"/>
    <x v="5"/>
    <x v="41"/>
    <n v="10"/>
    <n v="25050"/>
    <n v="8740"/>
  </r>
  <r>
    <x v="15"/>
    <x v="1"/>
    <x v="15"/>
    <x v="6"/>
    <x v="5"/>
    <x v="41"/>
    <n v="19"/>
    <n v="80294"/>
    <n v="16606"/>
  </r>
  <r>
    <x v="16"/>
    <x v="1"/>
    <x v="16"/>
    <x v="6"/>
    <x v="5"/>
    <x v="41"/>
    <n v="24"/>
    <n v="86688"/>
    <n v="20976"/>
  </r>
  <r>
    <x v="17"/>
    <x v="1"/>
    <x v="17"/>
    <x v="6"/>
    <x v="5"/>
    <x v="41"/>
    <n v="23"/>
    <n v="74336"/>
    <n v="20102"/>
  </r>
  <r>
    <x v="18"/>
    <x v="1"/>
    <x v="18"/>
    <x v="6"/>
    <x v="5"/>
    <x v="41"/>
    <n v="24"/>
    <n v="40320"/>
    <n v="20976"/>
  </r>
  <r>
    <x v="19"/>
    <x v="1"/>
    <x v="19"/>
    <x v="6"/>
    <x v="5"/>
    <x v="41"/>
    <n v="20"/>
    <n v="50760"/>
    <n v="17480"/>
  </r>
  <r>
    <x v="20"/>
    <x v="1"/>
    <x v="20"/>
    <x v="6"/>
    <x v="5"/>
    <x v="41"/>
    <n v="21"/>
    <n v="49476"/>
    <n v="18354"/>
  </r>
  <r>
    <x v="21"/>
    <x v="1"/>
    <x v="21"/>
    <x v="6"/>
    <x v="5"/>
    <x v="41"/>
    <n v="18"/>
    <n v="61182"/>
    <n v="15732"/>
  </r>
  <r>
    <x v="22"/>
    <x v="1"/>
    <x v="22"/>
    <x v="6"/>
    <x v="5"/>
    <x v="41"/>
    <n v="13"/>
    <n v="42588"/>
    <n v="11362"/>
  </r>
  <r>
    <x v="23"/>
    <x v="1"/>
    <x v="23"/>
    <x v="6"/>
    <x v="5"/>
    <x v="41"/>
    <n v="15"/>
    <n v="33480"/>
    <n v="13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AB35-6663-4E6A-88FF-B08D3A6C51B0}" name="Продажи по городам" cacheId="0" applyNumberFormats="0" applyBorderFormats="0" applyFontFormats="0" applyPatternFormats="0" applyAlignmentFormats="0" applyWidthHeightFormats="1" dataCaption="Значения" updatedVersion="7" minRefreshableVersion="3" showDrill="0" rowGrandTotals="0" colGrandTotals="0" itemPrintTitles="1" createdVersion="7" indent="0" compact="0" compactData="0" multipleFieldFilters="0">
  <location ref="G4:J28" firstHeaderRow="0" firstDataRow="1" firstDataCol="1"/>
  <pivotFields count="11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h="1" x="3"/>
        <item x="0"/>
        <item x="1"/>
        <item x="2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2"/>
        <item x="1"/>
        <item x="0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3">
    <i>
      <x/>
    </i>
    <i i="1">
      <x v="1"/>
    </i>
    <i i="2">
      <x v="2"/>
    </i>
  </colItems>
  <dataFields count="3">
    <dataField name="_Продажи" fld="7" baseField="3" baseItem="3" numFmtId="3"/>
    <dataField name="_Себестоимость" fld="8" baseField="0" baseItem="0" numFmtId="3"/>
    <dataField name="_Количество" fld="6" baseField="0" baseItem="0" numFmtId="3"/>
  </dataFields>
  <formats count="17">
    <format dxfId="69">
      <pivotArea type="all" dataOnly="0" outline="0" fieldPosition="0"/>
    </format>
    <format dxfId="68">
      <pivotArea field="1" type="button" dataOnly="0" labelOnly="1" outline="0"/>
    </format>
    <format dxfId="67">
      <pivotArea field="2" type="button" dataOnly="0" labelOnly="1" outline="0" axis="axisRow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field="1" type="button" dataOnly="0" labelOnly="1" outline="0"/>
    </format>
    <format dxfId="64">
      <pivotArea field="2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/>
    </format>
    <format dxfId="59">
      <pivotArea field="2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/>
    </format>
    <format dxfId="54">
      <pivotArea field="2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A3417-72C4-4A05-A9D9-56017B100C7A}" name="Продажи всего" cacheId="0" applyNumberFormats="0" applyBorderFormats="0" applyFontFormats="0" applyPatternFormats="0" applyAlignmentFormats="0" applyWidthHeightFormats="1" dataCaption="Значения" updatedVersion="7" minRefreshableVersion="3" showDrill="0" rowGrandTotals="0" colGrandTotals="0" itemPrintTitles="1" createdVersion="7" indent="0" compact="0" compactData="0" multipleFieldFilters="0">
  <location ref="D4:E28" firstHeaderRow="1" firstDataRow="1" firstDataCol="1"/>
  <pivotFields count="11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_Продажи" fld="7" baseField="3" baseItem="3" numFmtId="3"/>
  </dataFields>
  <formats count="17">
    <format dxfId="86">
      <pivotArea type="all" dataOnly="0" outline="0" fieldPosition="0"/>
    </format>
    <format dxfId="85">
      <pivotArea field="1" type="button" dataOnly="0" labelOnly="1" outline="0"/>
    </format>
    <format dxfId="84">
      <pivotArea field="2" type="button" dataOnly="0" labelOnly="1" outline="0" axis="axisRow" fieldPosition="0"/>
    </format>
    <format dxfId="83">
      <pivotArea dataOnly="0" labelOnly="1" outline="0" axis="axisValues" fieldPosition="0"/>
    </format>
    <format dxfId="82">
      <pivotArea field="1" type="button" dataOnly="0" labelOnly="1" outline="0"/>
    </format>
    <format dxfId="81">
      <pivotArea field="2" type="button" dataOnly="0" labelOnly="1" outline="0" axis="axisRow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/>
    </format>
    <format dxfId="76">
      <pivotArea field="2" type="button" dataOnly="0" labelOnly="1" outline="0" axis="axisRow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/>
    </format>
    <format dxfId="71">
      <pivotArea field="2" type="button" dataOnly="0" labelOnly="1" outline="0" axis="axisRow" fieldPosition="0"/>
    </format>
    <format dxfId="70">
      <pivotArea dataOnly="0" labelOnly="1" outline="0" axis="axisValues" fieldPosition="0"/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419F8-ABDF-405F-9DD4-0697FF5F1E67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5" rowHeaderCaption="год">
  <location ref="B4:B6" firstHeaderRow="1" firstDataRow="1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h="1" sd="0" x="0"/>
        <item h="1" x="1"/>
        <item x="2"/>
        <item h="1" sd="0" x="3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formats count="11">
    <format dxfId="97">
      <pivotArea field="10" type="button" dataOnly="0" labelOnly="1" outline="0"/>
    </format>
    <format dxfId="96">
      <pivotArea type="all" dataOnly="0" outline="0" fieldPosition="0"/>
    </format>
    <format dxfId="95">
      <pivotArea field="10" type="button" dataOnly="0" labelOnly="1" outline="0"/>
    </format>
    <format dxfId="94">
      <pivotArea field="10" type="button" dataOnly="0" labelOnly="1" outline="0"/>
    </format>
    <format dxfId="93">
      <pivotArea field="1" type="button" dataOnly="0" labelOnly="1" outline="0" axis="axisRow" fieldPosition="0"/>
    </format>
    <format dxfId="92">
      <pivotArea type="all" dataOnly="0" outline="0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1">
            <x v="1"/>
          </reference>
        </references>
      </pivotArea>
    </format>
    <format dxfId="89">
      <pivotArea type="all" dataOnly="0" outline="0" fieldPosition="0"/>
    </format>
    <format dxfId="88">
      <pivotArea field="1" type="button" dataOnly="0" labelOnly="1" outline="0" axis="axisRow" fieldPosition="0"/>
    </format>
    <format dxfId="87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79440-AFC9-4910-B253-C226363A00D5}" name="Продажи всего" cacheId="0" applyNumberFormats="0" applyBorderFormats="0" applyFontFormats="0" applyPatternFormats="0" applyAlignmentFormats="0" applyWidthHeightFormats="1" dataCaption="Значения" updatedVersion="7" minRefreshableVersion="3" showDrill="0" rowGrandTotals="0" colGrandTotals="0" itemPrintTitles="1" createdVersion="7" indent="0" compact="0" compactData="0" multipleFieldFilters="0">
  <location ref="B4:F148" firstHeaderRow="0" firstDataRow="1" firstDataCol="2"/>
  <pivotFields count="11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1"/>
        <item x="0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2">
        <item x="20"/>
        <item x="14"/>
        <item x="18"/>
        <item x="17"/>
        <item x="16"/>
        <item x="15"/>
        <item x="19"/>
        <item x="13"/>
        <item x="7"/>
        <item x="11"/>
        <item x="10"/>
        <item x="9"/>
        <item x="8"/>
        <item x="12"/>
        <item x="27"/>
        <item x="21"/>
        <item x="25"/>
        <item x="24"/>
        <item x="23"/>
        <item x="22"/>
        <item x="26"/>
        <item x="6"/>
        <item x="0"/>
        <item x="4"/>
        <item x="3"/>
        <item x="2"/>
        <item x="1"/>
        <item x="5"/>
        <item x="34"/>
        <item x="28"/>
        <item x="32"/>
        <item x="31"/>
        <item x="30"/>
        <item x="29"/>
        <item x="33"/>
        <item x="41"/>
        <item x="35"/>
        <item x="39"/>
        <item x="38"/>
        <item x="37"/>
        <item x="36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4"/>
  </rowFields>
  <rowItems count="144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>
      <x v="7"/>
      <x/>
    </i>
    <i r="1">
      <x v="1"/>
    </i>
    <i r="1">
      <x v="2"/>
    </i>
    <i r="1">
      <x v="3"/>
    </i>
    <i r="1">
      <x v="4"/>
    </i>
    <i r="1">
      <x v="5"/>
    </i>
    <i>
      <x v="8"/>
      <x/>
    </i>
    <i r="1">
      <x v="1"/>
    </i>
    <i r="1">
      <x v="2"/>
    </i>
    <i r="1">
      <x v="3"/>
    </i>
    <i r="1">
      <x v="4"/>
    </i>
    <i r="1">
      <x v="5"/>
    </i>
    <i>
      <x v="9"/>
      <x/>
    </i>
    <i r="1">
      <x v="1"/>
    </i>
    <i r="1">
      <x v="2"/>
    </i>
    <i r="1">
      <x v="3"/>
    </i>
    <i r="1">
      <x v="4"/>
    </i>
    <i r="1">
      <x v="5"/>
    </i>
    <i>
      <x v="10"/>
      <x/>
    </i>
    <i r="1">
      <x v="1"/>
    </i>
    <i r="1">
      <x v="2"/>
    </i>
    <i r="1">
      <x v="3"/>
    </i>
    <i r="1">
      <x v="4"/>
    </i>
    <i r="1">
      <x v="5"/>
    </i>
    <i>
      <x v="11"/>
      <x/>
    </i>
    <i r="1">
      <x v="1"/>
    </i>
    <i r="1">
      <x v="2"/>
    </i>
    <i r="1">
      <x v="3"/>
    </i>
    <i r="1">
      <x v="4"/>
    </i>
    <i r="1">
      <x v="5"/>
    </i>
    <i>
      <x v="12"/>
      <x/>
    </i>
    <i r="1">
      <x v="1"/>
    </i>
    <i r="1">
      <x v="2"/>
    </i>
    <i r="1">
      <x v="3"/>
    </i>
    <i r="1">
      <x v="4"/>
    </i>
    <i r="1">
      <x v="5"/>
    </i>
    <i>
      <x v="13"/>
      <x/>
    </i>
    <i r="1">
      <x v="1"/>
    </i>
    <i r="1">
      <x v="2"/>
    </i>
    <i r="1">
      <x v="3"/>
    </i>
    <i r="1">
      <x v="4"/>
    </i>
    <i r="1">
      <x v="5"/>
    </i>
    <i>
      <x v="14"/>
      <x/>
    </i>
    <i r="1">
      <x v="1"/>
    </i>
    <i r="1">
      <x v="2"/>
    </i>
    <i r="1">
      <x v="3"/>
    </i>
    <i r="1">
      <x v="4"/>
    </i>
    <i r="1">
      <x v="5"/>
    </i>
    <i>
      <x v="15"/>
      <x/>
    </i>
    <i r="1">
      <x v="1"/>
    </i>
    <i r="1">
      <x v="2"/>
    </i>
    <i r="1">
      <x v="3"/>
    </i>
    <i r="1">
      <x v="4"/>
    </i>
    <i r="1">
      <x v="5"/>
    </i>
    <i>
      <x v="16"/>
      <x/>
    </i>
    <i r="1">
      <x v="1"/>
    </i>
    <i r="1">
      <x v="2"/>
    </i>
    <i r="1">
      <x v="3"/>
    </i>
    <i r="1">
      <x v="4"/>
    </i>
    <i r="1">
      <x v="5"/>
    </i>
    <i>
      <x v="17"/>
      <x/>
    </i>
    <i r="1">
      <x v="1"/>
    </i>
    <i r="1">
      <x v="2"/>
    </i>
    <i r="1">
      <x v="3"/>
    </i>
    <i r="1">
      <x v="4"/>
    </i>
    <i r="1">
      <x v="5"/>
    </i>
    <i>
      <x v="18"/>
      <x/>
    </i>
    <i r="1">
      <x v="1"/>
    </i>
    <i r="1">
      <x v="2"/>
    </i>
    <i r="1">
      <x v="3"/>
    </i>
    <i r="1">
      <x v="4"/>
    </i>
    <i r="1">
      <x v="5"/>
    </i>
    <i>
      <x v="19"/>
      <x/>
    </i>
    <i r="1">
      <x v="1"/>
    </i>
    <i r="1">
      <x v="2"/>
    </i>
    <i r="1">
      <x v="3"/>
    </i>
    <i r="1">
      <x v="4"/>
    </i>
    <i r="1">
      <x v="5"/>
    </i>
    <i>
      <x v="20"/>
      <x/>
    </i>
    <i r="1">
      <x v="1"/>
    </i>
    <i r="1">
      <x v="2"/>
    </i>
    <i r="1">
      <x v="3"/>
    </i>
    <i r="1">
      <x v="4"/>
    </i>
    <i r="1">
      <x v="5"/>
    </i>
    <i>
      <x v="21"/>
      <x/>
    </i>
    <i r="1">
      <x v="1"/>
    </i>
    <i r="1">
      <x v="2"/>
    </i>
    <i r="1">
      <x v="3"/>
    </i>
    <i r="1">
      <x v="4"/>
    </i>
    <i r="1">
      <x v="5"/>
    </i>
    <i>
      <x v="22"/>
      <x/>
    </i>
    <i r="1">
      <x v="1"/>
    </i>
    <i r="1">
      <x v="2"/>
    </i>
    <i r="1">
      <x v="3"/>
    </i>
    <i r="1">
      <x v="4"/>
    </i>
    <i r="1">
      <x v="5"/>
    </i>
    <i>
      <x v="23"/>
      <x/>
    </i>
    <i r="1"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_Продажи" fld="7" baseField="3" baseItem="3" numFmtId="3"/>
    <dataField name="_Себестоимость" fld="8" baseField="0" baseItem="0" numFmtId="3"/>
    <dataField name="_Количество" fld="6" baseField="0" baseItem="0" numFmtId="3"/>
  </dataFields>
  <formats count="19">
    <format dxfId="33">
      <pivotArea type="all" dataOnly="0" outline="0" fieldPosition="0"/>
    </format>
    <format dxfId="32">
      <pivotArea field="1" type="button" dataOnly="0" labelOnly="1" outline="0"/>
    </format>
    <format dxfId="31">
      <pivotArea field="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field="1" type="button" dataOnly="0" labelOnly="1" outline="0"/>
    </format>
    <format dxfId="28">
      <pivotArea field="2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/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/>
    </format>
    <format dxfId="18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field="5" type="button" dataOnly="0" labelOnly="1" outline="0"/>
    </format>
    <format dxfId="15">
      <pivotArea field="4" type="button" dataOnly="0" labelOnly="1" outline="0" axis="axisRow" fieldPosition="1"/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BACD8-C6DA-455B-9BEC-DAF960F0DA05}" name="Продажи по городам" cacheId="0" applyNumberFormats="0" applyBorderFormats="0" applyFontFormats="0" applyPatternFormats="0" applyAlignmentFormats="0" applyWidthHeightFormats="1" dataCaption="Значения" updatedVersion="7" minRefreshableVersion="3" showDrill="0" rowGrandTotals="0" colGrandTotals="0" itemPrintTitles="1" createdVersion="7" indent="0" compact="0" compactData="0" multipleFieldFilters="0">
  <location ref="H4:L148" firstHeaderRow="0" firstDataRow="1" firstDataCol="2"/>
  <pivotFields count="11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h="1" x="3"/>
        <item x="0"/>
        <item x="1"/>
        <item x="2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1"/>
        <item x="0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2">
        <item x="20"/>
        <item x="14"/>
        <item x="18"/>
        <item x="17"/>
        <item x="16"/>
        <item x="15"/>
        <item x="19"/>
        <item x="13"/>
        <item x="7"/>
        <item x="11"/>
        <item x="10"/>
        <item x="9"/>
        <item x="8"/>
        <item x="12"/>
        <item x="27"/>
        <item x="21"/>
        <item x="25"/>
        <item x="24"/>
        <item x="23"/>
        <item x="22"/>
        <item x="26"/>
        <item x="6"/>
        <item x="0"/>
        <item x="4"/>
        <item x="3"/>
        <item x="2"/>
        <item x="1"/>
        <item x="5"/>
        <item x="34"/>
        <item x="28"/>
        <item x="32"/>
        <item x="31"/>
        <item x="30"/>
        <item x="29"/>
        <item x="33"/>
        <item x="41"/>
        <item x="35"/>
        <item x="39"/>
        <item x="38"/>
        <item x="37"/>
        <item x="36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4"/>
  </rowFields>
  <rowItems count="144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>
      <x v="7"/>
      <x/>
    </i>
    <i r="1">
      <x v="1"/>
    </i>
    <i r="1">
      <x v="2"/>
    </i>
    <i r="1">
      <x v="3"/>
    </i>
    <i r="1">
      <x v="4"/>
    </i>
    <i r="1">
      <x v="5"/>
    </i>
    <i>
      <x v="8"/>
      <x/>
    </i>
    <i r="1">
      <x v="1"/>
    </i>
    <i r="1">
      <x v="2"/>
    </i>
    <i r="1">
      <x v="3"/>
    </i>
    <i r="1">
      <x v="4"/>
    </i>
    <i r="1">
      <x v="5"/>
    </i>
    <i>
      <x v="9"/>
      <x/>
    </i>
    <i r="1">
      <x v="1"/>
    </i>
    <i r="1">
      <x v="2"/>
    </i>
    <i r="1">
      <x v="3"/>
    </i>
    <i r="1">
      <x v="4"/>
    </i>
    <i r="1">
      <x v="5"/>
    </i>
    <i>
      <x v="10"/>
      <x/>
    </i>
    <i r="1">
      <x v="1"/>
    </i>
    <i r="1">
      <x v="2"/>
    </i>
    <i r="1">
      <x v="3"/>
    </i>
    <i r="1">
      <x v="4"/>
    </i>
    <i r="1">
      <x v="5"/>
    </i>
    <i>
      <x v="11"/>
      <x/>
    </i>
    <i r="1">
      <x v="1"/>
    </i>
    <i r="1">
      <x v="2"/>
    </i>
    <i r="1">
      <x v="3"/>
    </i>
    <i r="1">
      <x v="4"/>
    </i>
    <i r="1">
      <x v="5"/>
    </i>
    <i>
      <x v="12"/>
      <x/>
    </i>
    <i r="1">
      <x v="1"/>
    </i>
    <i r="1">
      <x v="2"/>
    </i>
    <i r="1">
      <x v="3"/>
    </i>
    <i r="1">
      <x v="4"/>
    </i>
    <i r="1">
      <x v="5"/>
    </i>
    <i>
      <x v="13"/>
      <x/>
    </i>
    <i r="1">
      <x v="1"/>
    </i>
    <i r="1">
      <x v="2"/>
    </i>
    <i r="1">
      <x v="3"/>
    </i>
    <i r="1">
      <x v="4"/>
    </i>
    <i r="1">
      <x v="5"/>
    </i>
    <i>
      <x v="14"/>
      <x/>
    </i>
    <i r="1">
      <x v="1"/>
    </i>
    <i r="1">
      <x v="2"/>
    </i>
    <i r="1">
      <x v="3"/>
    </i>
    <i r="1">
      <x v="4"/>
    </i>
    <i r="1">
      <x v="5"/>
    </i>
    <i>
      <x v="15"/>
      <x/>
    </i>
    <i r="1">
      <x v="1"/>
    </i>
    <i r="1">
      <x v="2"/>
    </i>
    <i r="1">
      <x v="3"/>
    </i>
    <i r="1">
      <x v="4"/>
    </i>
    <i r="1">
      <x v="5"/>
    </i>
    <i>
      <x v="16"/>
      <x/>
    </i>
    <i r="1">
      <x v="1"/>
    </i>
    <i r="1">
      <x v="2"/>
    </i>
    <i r="1">
      <x v="3"/>
    </i>
    <i r="1">
      <x v="4"/>
    </i>
    <i r="1">
      <x v="5"/>
    </i>
    <i>
      <x v="17"/>
      <x/>
    </i>
    <i r="1">
      <x v="1"/>
    </i>
    <i r="1">
      <x v="2"/>
    </i>
    <i r="1">
      <x v="3"/>
    </i>
    <i r="1">
      <x v="4"/>
    </i>
    <i r="1">
      <x v="5"/>
    </i>
    <i>
      <x v="18"/>
      <x/>
    </i>
    <i r="1">
      <x v="1"/>
    </i>
    <i r="1">
      <x v="2"/>
    </i>
    <i r="1">
      <x v="3"/>
    </i>
    <i r="1">
      <x v="4"/>
    </i>
    <i r="1">
      <x v="5"/>
    </i>
    <i>
      <x v="19"/>
      <x/>
    </i>
    <i r="1">
      <x v="1"/>
    </i>
    <i r="1">
      <x v="2"/>
    </i>
    <i r="1">
      <x v="3"/>
    </i>
    <i r="1">
      <x v="4"/>
    </i>
    <i r="1">
      <x v="5"/>
    </i>
    <i>
      <x v="20"/>
      <x/>
    </i>
    <i r="1">
      <x v="1"/>
    </i>
    <i r="1">
      <x v="2"/>
    </i>
    <i r="1">
      <x v="3"/>
    </i>
    <i r="1">
      <x v="4"/>
    </i>
    <i r="1">
      <x v="5"/>
    </i>
    <i>
      <x v="21"/>
      <x/>
    </i>
    <i r="1">
      <x v="1"/>
    </i>
    <i r="1">
      <x v="2"/>
    </i>
    <i r="1">
      <x v="3"/>
    </i>
    <i r="1">
      <x v="4"/>
    </i>
    <i r="1">
      <x v="5"/>
    </i>
    <i>
      <x v="22"/>
      <x/>
    </i>
    <i r="1">
      <x v="1"/>
    </i>
    <i r="1">
      <x v="2"/>
    </i>
    <i r="1">
      <x v="3"/>
    </i>
    <i r="1">
      <x v="4"/>
    </i>
    <i r="1">
      <x v="5"/>
    </i>
    <i>
      <x v="23"/>
      <x/>
    </i>
    <i r="1"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_Продажи" fld="7" baseField="3" baseItem="3" numFmtId="3"/>
    <dataField name="_Себестоимость" fld="8" baseField="0" baseItem="0" numFmtId="3"/>
    <dataField name="_Количество" fld="6" baseField="0" baseItem="0" numFmtId="3"/>
  </dataFields>
  <formats count="19">
    <format dxfId="52">
      <pivotArea type="all" dataOnly="0" outline="0" fieldPosition="0"/>
    </format>
    <format dxfId="51">
      <pivotArea field="1" type="button" dataOnly="0" labelOnly="1" outline="0"/>
    </format>
    <format dxfId="50">
      <pivotArea field="2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field="1" type="button" dataOnly="0" labelOnly="1" outline="0"/>
    </format>
    <format dxfId="47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/>
    </format>
    <format dxfId="42">
      <pivotArea field="2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/>
    </format>
    <format dxfId="37">
      <pivotArea field="2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field="5" type="button" dataOnly="0" labelOnly="1" outline="0"/>
    </format>
    <format dxfId="34">
      <pivotArea field="4" type="button" dataOnly="0" labelOnly="1" outline="0" axis="axisRow" fieldPosition="1"/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чка" xr10:uid="{FC69DB6D-8A1C-4819-AECC-90A98C0FC52C}" sourceName="точка">
  <pivotTables>
    <pivotTable tabId="10" name="Продажи по городам"/>
    <pivotTable tabId="12" name="Продажи по городам"/>
  </pivotTables>
  <data>
    <tabular pivotCacheId="120414815">
      <items count="7">
        <i x="3"/>
        <i x="0" s="1"/>
        <i x="1" s="1"/>
        <i x="2" s="1"/>
        <i x="4"/>
        <i x="5"/>
        <i x="6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ренд" xr10:uid="{6D392E73-8370-4E40-A6D2-521683E07DE4}" sourceName="бренд">
  <pivotTables>
    <pivotTable tabId="12" name="Продажи всего"/>
    <pivotTable tabId="10" name="Продажи по городам"/>
    <pivotTable tabId="12" name="Продажи по городам"/>
  </pivotTables>
  <data>
    <tabular pivotCacheId="120414815">
      <items count="6">
        <i x="2" s="1"/>
        <i x="1" s="1"/>
        <i x="0" s="1"/>
        <i x="3" s="1"/>
        <i x="4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ариант" xr10:uid="{2BC96F3D-AA33-4526-BBBE-66A2BFBAED09}" sourceName="вариант">
  <extLst>
    <x:ext xmlns:x15="http://schemas.microsoft.com/office/spreadsheetml/2010/11/main" uri="{2F2917AC-EB37-4324-AD4E-5DD8C200BD13}">
      <x15:tableSlicerCache tableId="3" column="2" customListSort="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очка" xr10:uid="{062AF2BC-3951-4CD4-9FFF-BD9F5F6B822B}" cache="Срез_точка" caption="точки" style="FinalyticsPRO" rowHeight="234950"/>
  <slicer name="бренд" xr10:uid="{DAFD79AD-31CC-4739-AA38-3C8FE7FBF5BE}" cache="Срез_бренд" caption="бренд" columnCount="2" style="FinalyticsPR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ариант" xr10:uid="{F987D7BE-0D7A-48C1-A907-73E02B22C5C9}" cache="Срез_вариант" caption="вариант" showCaption="0" style="FinalyticsPR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D0119A-E95E-4098-8384-9861F01F6EBF}" name="dataset" displayName="dataset" ref="B2:J7058" totalsRowShown="0">
  <autoFilter ref="B2:J7058" xr:uid="{9FD0119A-E95E-4098-8384-9861F01F6EBF}"/>
  <tableColumns count="9">
    <tableColumn id="1" xr3:uid="{BC469F33-0BE1-4CBF-828B-66C532334E6A}" name="Дата" dataDxfId="106"/>
    <tableColumn id="17" xr3:uid="{7DA8BB2A-EEE5-4041-AC19-79F19B5FFB0D}" name="Год" dataDxfId="105">
      <calculatedColumnFormula>YEAR(B3)</calculatedColumnFormula>
    </tableColumn>
    <tableColumn id="19" xr3:uid="{C3E0D652-9B79-4988-B791-D38FF12510C5}" name="Год-мес" dataDxfId="104">
      <calculatedColumnFormula>VALUE(TEXT(B3,"ГГГГММ"))</calculatedColumnFormula>
    </tableColumn>
    <tableColumn id="4" xr3:uid="{B1168E79-9150-440A-99A2-605F15C7C19D}" name="точка" dataDxfId="103"/>
    <tableColumn id="15" xr3:uid="{ABD0ED67-6DBF-47CC-9608-27C8ECEF6D01}" name="бренд" dataDxfId="102"/>
    <tableColumn id="6" xr3:uid="{D0A3DE25-DA5F-4586-AB00-517FDC14E67C}" name="товар" dataDxfId="101"/>
    <tableColumn id="10" xr3:uid="{0CE3C8DA-BAAC-48D6-A8F3-7D0D3C557390}" name="Количество" dataDxfId="100"/>
    <tableColumn id="11" xr3:uid="{6C65D906-CAE2-47EE-A620-6E30AE767813}" name="Продажи" dataDxfId="99"/>
    <tableColumn id="12" xr3:uid="{70B93640-E457-412A-BB27-AD474DD710F7}" name="Себестоимость" dataDxfId="9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4BE962-7714-4B17-A2D6-4AACACEE2B35}" name="Вариант" displayName="Вариант" ref="B7:C10" totalsRowCount="1" headerRowDxfId="14" dataDxfId="13" totalsRowDxfId="12">
  <autoFilter ref="B7:C9" xr:uid="{834BE962-7714-4B17-A2D6-4AACACEE2B35}">
    <filterColumn colId="1">
      <filters>
        <filter val="Текущий vs месяц пр. год"/>
      </filters>
    </filterColumn>
  </autoFilter>
  <tableColumns count="2">
    <tableColumn id="1" xr3:uid="{73DE5860-9887-4E06-A21B-50E20BDDDA59}" name="№" totalsRowFunction="sum" dataDxfId="11" totalsRowDxfId="10"/>
    <tableColumn id="2" xr3:uid="{4669F332-1323-48C4-BD34-11C30FB330C7}" name="вариант" dataDxfId="9" totalsRow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ublic.tableau.com/app/profile/ludovic.tavernier/viz/RETAIL-POS-PointofSalesDashboard-Redesign/Cockpit-POS-Redesig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hyperlink" Target="finalytics.pro/inform/spillarrayexcel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https://finalytics.pro/inform/spillarrayexcel/" TargetMode="External"/><Relationship Id="rId1" Type="http://schemas.openxmlformats.org/officeDocument/2006/relationships/hyperlink" Target="https://finalytics.pro/inform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Relationship Id="rId9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7188-CEDD-4034-9F38-E7F37F1CBBBB}">
  <dimension ref="B2:M10"/>
  <sheetViews>
    <sheetView showGridLines="0" tabSelected="1" workbookViewId="0">
      <selection activeCell="O8" sqref="O8"/>
    </sheetView>
  </sheetViews>
  <sheetFormatPr defaultRowHeight="14.4" x14ac:dyDescent="0.3"/>
  <cols>
    <col min="1" max="1" width="2.6640625" customWidth="1"/>
  </cols>
  <sheetData>
    <row r="2" spans="2:13" ht="19.8" customHeight="1" x14ac:dyDescent="0.3">
      <c r="B2" s="113" t="s">
        <v>118</v>
      </c>
    </row>
    <row r="3" spans="2:13" ht="14.4" customHeight="1" x14ac:dyDescent="0.3">
      <c r="B3" s="109" t="s">
        <v>126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</row>
    <row r="4" spans="2:13" x14ac:dyDescent="0.3"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</row>
    <row r="5" spans="2:13" x14ac:dyDescent="0.3"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</row>
    <row r="7" spans="2:13" x14ac:dyDescent="0.3">
      <c r="B7" t="s">
        <v>121</v>
      </c>
    </row>
    <row r="8" spans="2:13" x14ac:dyDescent="0.3">
      <c r="B8" s="108" t="s">
        <v>119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</row>
    <row r="9" spans="2:13" x14ac:dyDescent="0.3"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</row>
    <row r="10" spans="2:13" x14ac:dyDescent="0.3">
      <c r="B10" s="90"/>
    </row>
  </sheetData>
  <mergeCells count="2">
    <mergeCell ref="B8:M8"/>
    <mergeCell ref="B3:M5"/>
  </mergeCells>
  <hyperlinks>
    <hyperlink ref="B8" r:id="rId1" xr:uid="{4EDF4C03-800C-4CC3-B230-FE873F436BF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3135-28EB-491F-A404-FBE0D88C361F}">
  <dimension ref="B2:AB39"/>
  <sheetViews>
    <sheetView showGridLines="0" zoomScaleNormal="100" workbookViewId="0">
      <selection activeCell="K38" sqref="K38"/>
    </sheetView>
  </sheetViews>
  <sheetFormatPr defaultColWidth="9.109375" defaultRowHeight="13.8" x14ac:dyDescent="0.25"/>
  <cols>
    <col min="1" max="1" width="2.33203125" style="11" customWidth="1"/>
    <col min="2" max="2" width="2.109375" style="11" customWidth="1"/>
    <col min="3" max="4" width="6.33203125" style="11" customWidth="1"/>
    <col min="5" max="5" width="7" style="11" customWidth="1"/>
    <col min="6" max="6" width="8.109375" style="11" customWidth="1"/>
    <col min="7" max="7" width="4" style="11" customWidth="1"/>
    <col min="8" max="8" width="2" style="11" customWidth="1"/>
    <col min="9" max="9" width="1.109375" style="11" customWidth="1"/>
    <col min="10" max="10" width="11.44140625" style="11" customWidth="1"/>
    <col min="11" max="11" width="8.44140625" style="11" customWidth="1"/>
    <col min="12" max="12" width="9.33203125" style="11" customWidth="1"/>
    <col min="13" max="13" width="3" style="11" customWidth="1"/>
    <col min="14" max="14" width="11.44140625" style="11" customWidth="1"/>
    <col min="15" max="15" width="8.44140625" style="11" customWidth="1"/>
    <col min="16" max="16" width="9.33203125" style="11" customWidth="1"/>
    <col min="17" max="17" width="2.33203125" style="11" customWidth="1"/>
    <col min="18" max="19" width="2" style="11" customWidth="1"/>
    <col min="20" max="20" width="11.44140625" style="11" customWidth="1"/>
    <col min="21" max="21" width="8.44140625" style="11" customWidth="1"/>
    <col min="22" max="22" width="9.33203125" style="11" customWidth="1"/>
    <col min="23" max="23" width="3" style="11" customWidth="1"/>
    <col min="24" max="24" width="11.44140625" style="11" customWidth="1"/>
    <col min="25" max="25" width="8.44140625" style="11" customWidth="1"/>
    <col min="26" max="26" width="9.33203125" style="11" customWidth="1"/>
    <col min="27" max="27" width="4" style="11" customWidth="1"/>
    <col min="28" max="28" width="2.6640625" style="11" customWidth="1"/>
    <col min="29" max="32" width="9.109375" style="11"/>
    <col min="33" max="33" width="7.6640625" style="11" customWidth="1"/>
    <col min="34" max="16384" width="9.109375" style="11"/>
  </cols>
  <sheetData>
    <row r="2" spans="2:28" ht="28.95" customHeight="1" x14ac:dyDescent="0.4">
      <c r="B2" s="10"/>
      <c r="C2" s="110" t="s">
        <v>81</v>
      </c>
      <c r="D2" s="110"/>
      <c r="E2" s="110"/>
      <c r="F2" s="111"/>
      <c r="G2" s="73"/>
      <c r="H2" s="74" t="s">
        <v>60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98" t="s">
        <v>124</v>
      </c>
      <c r="Z2" s="73"/>
      <c r="AA2" s="75"/>
    </row>
    <row r="3" spans="2:28" ht="18" customHeight="1" x14ac:dyDescent="0.25">
      <c r="B3" s="12"/>
      <c r="C3" s="76" t="s">
        <v>94</v>
      </c>
      <c r="D3" s="13"/>
      <c r="E3" s="13"/>
      <c r="F3" s="14"/>
      <c r="G3" s="18"/>
      <c r="H3" s="77" t="str">
        <f>ПодзаголовокОтчета</f>
        <v>Дек-2022 сравнивается с дек-2021</v>
      </c>
      <c r="I3" s="78"/>
      <c r="J3" s="78"/>
      <c r="K3" s="78"/>
      <c r="L3" s="7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79"/>
      <c r="AB3" s="92"/>
    </row>
    <row r="4" spans="2:28" ht="12" customHeight="1" x14ac:dyDescent="0.25">
      <c r="B4" s="12"/>
      <c r="C4" s="13"/>
      <c r="D4" s="13"/>
      <c r="E4" s="13"/>
      <c r="F4" s="14"/>
      <c r="G4" s="18"/>
      <c r="H4" s="78"/>
      <c r="I4" s="78"/>
      <c r="J4" s="78"/>
      <c r="K4" s="78"/>
      <c r="L4" s="78"/>
      <c r="M4" s="80"/>
      <c r="N4" s="18"/>
      <c r="O4" s="18"/>
      <c r="P4" s="18"/>
      <c r="Q4" s="18"/>
      <c r="R4" s="81"/>
      <c r="S4" s="80"/>
      <c r="T4" s="18"/>
      <c r="U4" s="18"/>
      <c r="V4" s="18"/>
      <c r="W4" s="80"/>
      <c r="X4" s="18"/>
      <c r="Y4" s="18"/>
      <c r="Z4" s="18"/>
      <c r="AA4" s="79"/>
      <c r="AB4" s="93"/>
    </row>
    <row r="5" spans="2:28" x14ac:dyDescent="0.25">
      <c r="B5" s="15"/>
      <c r="C5" s="16"/>
      <c r="D5" s="16"/>
      <c r="E5" s="16"/>
      <c r="F5" s="17"/>
      <c r="G5" s="18"/>
      <c r="H5" s="10"/>
      <c r="I5" s="84"/>
      <c r="J5" s="84"/>
      <c r="K5" s="84"/>
      <c r="L5" s="84"/>
      <c r="M5" s="84"/>
      <c r="N5" s="84"/>
      <c r="O5" s="84"/>
      <c r="P5" s="85"/>
      <c r="Q5" s="18"/>
      <c r="R5" s="10"/>
      <c r="S5" s="84"/>
      <c r="T5" s="84"/>
      <c r="U5" s="84"/>
      <c r="V5" s="84"/>
      <c r="W5" s="84"/>
      <c r="X5" s="84"/>
      <c r="Y5" s="84"/>
      <c r="Z5" s="85"/>
      <c r="AA5" s="79"/>
    </row>
    <row r="6" spans="2:28" ht="15" x14ac:dyDescent="0.25">
      <c r="B6" s="19"/>
      <c r="C6" s="20"/>
      <c r="D6" s="20"/>
      <c r="E6" s="20"/>
      <c r="F6" s="21"/>
      <c r="G6" s="18"/>
      <c r="H6" s="12"/>
      <c r="I6" s="25" t="s">
        <v>60</v>
      </c>
      <c r="J6" s="13"/>
      <c r="K6" s="13"/>
      <c r="L6" s="13"/>
      <c r="M6" s="13"/>
      <c r="N6" s="13"/>
      <c r="O6" s="13"/>
      <c r="P6" s="14"/>
      <c r="Q6" s="18"/>
      <c r="R6" s="12"/>
      <c r="S6" s="25" t="s">
        <v>82</v>
      </c>
      <c r="T6" s="13"/>
      <c r="U6" s="13"/>
      <c r="V6" s="13"/>
      <c r="W6" s="13"/>
      <c r="X6" s="13"/>
      <c r="Y6" s="13"/>
      <c r="Z6" s="14"/>
      <c r="AA6" s="79"/>
    </row>
    <row r="7" spans="2:28" x14ac:dyDescent="0.25">
      <c r="B7" s="19"/>
      <c r="C7" s="20"/>
      <c r="D7" s="20"/>
      <c r="E7" s="20"/>
      <c r="F7" s="21"/>
      <c r="G7" s="18"/>
      <c r="H7" s="12"/>
      <c r="I7" s="13"/>
      <c r="J7" s="13"/>
      <c r="K7" s="13"/>
      <c r="L7" s="13"/>
      <c r="M7" s="13"/>
      <c r="N7" s="13"/>
      <c r="O7" s="13"/>
      <c r="P7" s="14"/>
      <c r="Q7" s="18"/>
      <c r="R7" s="12"/>
      <c r="S7" s="13"/>
      <c r="T7" s="13"/>
      <c r="U7" s="13"/>
      <c r="V7" s="13"/>
      <c r="W7" s="13"/>
      <c r="X7" s="13"/>
      <c r="Y7" s="13"/>
      <c r="Z7" s="14"/>
      <c r="AA7" s="79"/>
    </row>
    <row r="8" spans="2:28" x14ac:dyDescent="0.25">
      <c r="B8" s="19"/>
      <c r="C8" s="20"/>
      <c r="D8" s="20"/>
      <c r="E8" s="20"/>
      <c r="F8" s="21"/>
      <c r="G8" s="18"/>
      <c r="H8" s="12"/>
      <c r="I8" s="13"/>
      <c r="J8" s="26" t="s">
        <v>79</v>
      </c>
      <c r="K8" s="13"/>
      <c r="L8" s="13"/>
      <c r="M8" s="13"/>
      <c r="N8" s="26" t="s">
        <v>120</v>
      </c>
      <c r="O8" s="13"/>
      <c r="P8" s="14"/>
      <c r="Q8" s="18"/>
      <c r="R8" s="12"/>
      <c r="S8" s="13"/>
      <c r="T8" s="26" t="s">
        <v>1</v>
      </c>
      <c r="U8" s="13"/>
      <c r="V8" s="13"/>
      <c r="W8" s="13"/>
      <c r="X8" s="26" t="s">
        <v>80</v>
      </c>
      <c r="Y8" s="13"/>
      <c r="Z8" s="14"/>
      <c r="AA8" s="79"/>
    </row>
    <row r="9" spans="2:28" x14ac:dyDescent="0.25">
      <c r="B9" s="19"/>
      <c r="C9" s="20"/>
      <c r="D9" s="20"/>
      <c r="E9" s="20"/>
      <c r="F9" s="21"/>
      <c r="G9" s="18"/>
      <c r="H9" s="12"/>
      <c r="I9" s="13"/>
      <c r="J9" s="27" t="str">
        <f>ПодзаголовокДиаграммы</f>
        <v>Дек-2022</v>
      </c>
      <c r="K9" s="13"/>
      <c r="L9" s="13"/>
      <c r="M9" s="13"/>
      <c r="N9" s="27" t="str">
        <f>ПодзаголовокДиаграммы</f>
        <v>Дек-2022</v>
      </c>
      <c r="O9" s="13"/>
      <c r="P9" s="14"/>
      <c r="Q9" s="18"/>
      <c r="R9" s="12"/>
      <c r="S9" s="13"/>
      <c r="T9" s="27" t="str">
        <f>ПодзаголовокДиаграммы</f>
        <v>Дек-2022</v>
      </c>
      <c r="U9" s="13"/>
      <c r="V9" s="13"/>
      <c r="W9" s="13"/>
      <c r="X9" s="27" t="str">
        <f>ПодзаголовокДиаграммы</f>
        <v>Дек-2022</v>
      </c>
      <c r="Y9" s="13"/>
      <c r="Z9" s="14"/>
      <c r="AA9" s="79"/>
    </row>
    <row r="10" spans="2:28" x14ac:dyDescent="0.25">
      <c r="B10" s="19"/>
      <c r="C10" s="20"/>
      <c r="D10" s="20"/>
      <c r="E10" s="20"/>
      <c r="F10" s="21"/>
      <c r="G10" s="18"/>
      <c r="H10" s="12"/>
      <c r="I10" s="13"/>
      <c r="J10" s="27"/>
      <c r="K10" s="13"/>
      <c r="L10" s="13"/>
      <c r="M10" s="13"/>
      <c r="N10" s="27"/>
      <c r="O10" s="13"/>
      <c r="P10" s="14"/>
      <c r="Q10" s="18"/>
      <c r="R10" s="12"/>
      <c r="S10" s="13"/>
      <c r="T10" s="27"/>
      <c r="U10" s="13"/>
      <c r="V10" s="13"/>
      <c r="W10" s="13"/>
      <c r="X10" s="27"/>
      <c r="Y10" s="13"/>
      <c r="Z10" s="14"/>
      <c r="AA10" s="79"/>
    </row>
    <row r="11" spans="2:28" x14ac:dyDescent="0.25">
      <c r="B11" s="19"/>
      <c r="C11" s="20"/>
      <c r="D11" s="20"/>
      <c r="E11" s="20"/>
      <c r="F11" s="21"/>
      <c r="G11" s="18"/>
      <c r="H11" s="12"/>
      <c r="I11" s="13"/>
      <c r="J11" s="13"/>
      <c r="K11" s="13"/>
      <c r="L11" s="13"/>
      <c r="M11" s="13"/>
      <c r="N11" s="13"/>
      <c r="O11" s="13"/>
      <c r="P11" s="14"/>
      <c r="Q11" s="18"/>
      <c r="R11" s="12"/>
      <c r="S11" s="13"/>
      <c r="T11" s="13"/>
      <c r="U11" s="13"/>
      <c r="V11" s="13"/>
      <c r="W11" s="13"/>
      <c r="X11" s="13"/>
      <c r="Y11" s="13"/>
      <c r="Z11" s="14"/>
      <c r="AA11" s="79"/>
    </row>
    <row r="12" spans="2:28" x14ac:dyDescent="0.25">
      <c r="B12" s="19"/>
      <c r="C12" s="20"/>
      <c r="D12" s="20"/>
      <c r="E12" s="20"/>
      <c r="F12" s="21"/>
      <c r="G12" s="18"/>
      <c r="H12" s="12"/>
      <c r="I12" s="13"/>
      <c r="J12" s="13"/>
      <c r="K12" s="13"/>
      <c r="L12" s="13"/>
      <c r="M12" s="13"/>
      <c r="N12" s="13"/>
      <c r="O12" s="13"/>
      <c r="P12" s="14"/>
      <c r="Q12" s="18"/>
      <c r="R12" s="12"/>
      <c r="S12" s="13"/>
      <c r="T12" s="13"/>
      <c r="U12" s="13"/>
      <c r="V12" s="13"/>
      <c r="W12" s="13"/>
      <c r="X12" s="13"/>
      <c r="Y12" s="13"/>
      <c r="Z12" s="14"/>
      <c r="AA12" s="79"/>
    </row>
    <row r="13" spans="2:28" x14ac:dyDescent="0.25">
      <c r="B13" s="19"/>
      <c r="C13" s="20"/>
      <c r="D13" s="20"/>
      <c r="E13" s="20"/>
      <c r="F13" s="21"/>
      <c r="G13" s="18"/>
      <c r="H13" s="12"/>
      <c r="I13" s="13"/>
      <c r="J13" s="112">
        <f>Динамика!Q24</f>
        <v>9.6676707977335477E-2</v>
      </c>
      <c r="K13" s="112"/>
      <c r="L13" s="28"/>
      <c r="M13" s="28"/>
      <c r="N13" s="112">
        <f>Динамика!S24</f>
        <v>9.3051477497711921E-2</v>
      </c>
      <c r="O13" s="112"/>
      <c r="P13" s="86"/>
      <c r="Q13" s="29"/>
      <c r="R13" s="87"/>
      <c r="S13" s="28"/>
      <c r="T13" s="112">
        <f>Динамика!U24</f>
        <v>0.10097137014314929</v>
      </c>
      <c r="U13" s="112"/>
      <c r="V13" s="28"/>
      <c r="W13" s="28"/>
      <c r="X13" s="112">
        <f>Динамика!W24</f>
        <v>-7.1935500415488624E-3</v>
      </c>
      <c r="Y13" s="112"/>
      <c r="Z13" s="88"/>
      <c r="AA13" s="79"/>
    </row>
    <row r="14" spans="2:28" x14ac:dyDescent="0.25">
      <c r="B14" s="19"/>
      <c r="C14" s="20"/>
      <c r="D14" s="20"/>
      <c r="E14" s="20"/>
      <c r="F14" s="21"/>
      <c r="G14" s="18"/>
      <c r="H14" s="12"/>
      <c r="I14" s="13"/>
      <c r="J14" s="13"/>
      <c r="K14" s="13"/>
      <c r="L14" s="13"/>
      <c r="M14" s="13"/>
      <c r="N14" s="13"/>
      <c r="O14" s="13"/>
      <c r="P14" s="14"/>
      <c r="Q14" s="18"/>
      <c r="R14" s="12"/>
      <c r="S14" s="13"/>
      <c r="T14" s="13"/>
      <c r="U14" s="13"/>
      <c r="V14" s="13"/>
      <c r="W14" s="13"/>
      <c r="X14" s="13"/>
      <c r="Y14" s="13"/>
      <c r="Z14" s="14"/>
      <c r="AA14" s="79"/>
    </row>
    <row r="15" spans="2:28" x14ac:dyDescent="0.25">
      <c r="B15" s="19"/>
      <c r="C15" s="20"/>
      <c r="D15" s="20"/>
      <c r="E15" s="20"/>
      <c r="F15" s="21"/>
      <c r="G15" s="18"/>
      <c r="H15" s="12"/>
      <c r="I15" s="13"/>
      <c r="J15" s="13"/>
      <c r="K15" s="13"/>
      <c r="L15" s="13"/>
      <c r="M15" s="13"/>
      <c r="N15" s="13"/>
      <c r="O15" s="13"/>
      <c r="P15" s="14"/>
      <c r="Q15" s="18"/>
      <c r="R15" s="12"/>
      <c r="S15" s="13"/>
      <c r="T15" s="13"/>
      <c r="U15" s="13"/>
      <c r="V15" s="13"/>
      <c r="W15" s="13"/>
      <c r="X15" s="13"/>
      <c r="Y15" s="13"/>
      <c r="Z15" s="14"/>
      <c r="AA15" s="79"/>
    </row>
    <row r="16" spans="2:28" x14ac:dyDescent="0.25">
      <c r="B16" s="19"/>
      <c r="C16" s="20"/>
      <c r="D16" s="20"/>
      <c r="E16" s="20"/>
      <c r="F16" s="21"/>
      <c r="G16" s="18"/>
      <c r="H16" s="12"/>
      <c r="I16" s="13"/>
      <c r="J16" s="13"/>
      <c r="K16" s="13"/>
      <c r="L16" s="13"/>
      <c r="M16" s="13"/>
      <c r="N16" s="13"/>
      <c r="O16" s="13"/>
      <c r="P16" s="14"/>
      <c r="Q16" s="18"/>
      <c r="R16" s="12"/>
      <c r="S16" s="13"/>
      <c r="T16" s="13"/>
      <c r="U16" s="13"/>
      <c r="V16" s="13"/>
      <c r="W16" s="13"/>
      <c r="X16" s="13"/>
      <c r="Y16" s="13"/>
      <c r="Z16" s="14"/>
      <c r="AA16" s="79"/>
    </row>
    <row r="17" spans="2:27" x14ac:dyDescent="0.25">
      <c r="B17" s="19"/>
      <c r="C17" s="20"/>
      <c r="D17" s="20"/>
      <c r="E17" s="20"/>
      <c r="F17" s="21"/>
      <c r="G17" s="18"/>
      <c r="H17" s="12"/>
      <c r="I17" s="13"/>
      <c r="J17" s="13"/>
      <c r="K17" s="13"/>
      <c r="L17" s="13"/>
      <c r="M17" s="13"/>
      <c r="N17" s="13"/>
      <c r="O17" s="13"/>
      <c r="P17" s="14"/>
      <c r="Q17" s="18"/>
      <c r="R17" s="12"/>
      <c r="S17" s="13"/>
      <c r="T17" s="13"/>
      <c r="U17" s="13"/>
      <c r="V17" s="13"/>
      <c r="W17" s="13"/>
      <c r="X17" s="13"/>
      <c r="Y17" s="13"/>
      <c r="Z17" s="14"/>
      <c r="AA17" s="79"/>
    </row>
    <row r="18" spans="2:27" x14ac:dyDescent="0.25">
      <c r="B18" s="19"/>
      <c r="C18" s="20"/>
      <c r="D18" s="20"/>
      <c r="E18" s="20"/>
      <c r="F18" s="21"/>
      <c r="G18" s="18"/>
      <c r="H18" s="12"/>
      <c r="I18" s="13"/>
      <c r="J18" s="13"/>
      <c r="K18" s="13"/>
      <c r="L18" s="13"/>
      <c r="M18" s="13"/>
      <c r="N18" s="13"/>
      <c r="O18" s="13"/>
      <c r="P18" s="14"/>
      <c r="Q18" s="18"/>
      <c r="R18" s="12"/>
      <c r="S18" s="13"/>
      <c r="T18" s="13"/>
      <c r="U18" s="13"/>
      <c r="V18" s="13"/>
      <c r="W18" s="13"/>
      <c r="X18" s="13"/>
      <c r="Y18" s="13"/>
      <c r="Z18" s="14"/>
      <c r="AA18" s="79"/>
    </row>
    <row r="19" spans="2:27" x14ac:dyDescent="0.25">
      <c r="B19" s="19"/>
      <c r="C19" s="20"/>
      <c r="D19" s="20"/>
      <c r="E19" s="20"/>
      <c r="F19" s="21"/>
      <c r="G19" s="18"/>
      <c r="H19" s="12"/>
      <c r="I19" s="13"/>
      <c r="J19" s="13"/>
      <c r="K19" s="13"/>
      <c r="L19" s="13"/>
      <c r="M19" s="13"/>
      <c r="N19" s="13"/>
      <c r="O19" s="13"/>
      <c r="P19" s="14"/>
      <c r="Q19" s="18"/>
      <c r="R19" s="12"/>
      <c r="S19" s="13"/>
      <c r="T19" s="13"/>
      <c r="U19" s="13"/>
      <c r="V19" s="13"/>
      <c r="W19" s="13"/>
      <c r="X19" s="13"/>
      <c r="Y19" s="13"/>
      <c r="Z19" s="14"/>
      <c r="AA19" s="79"/>
    </row>
    <row r="20" spans="2:27" x14ac:dyDescent="0.25">
      <c r="B20" s="19"/>
      <c r="C20" s="20"/>
      <c r="D20" s="20"/>
      <c r="E20" s="20"/>
      <c r="F20" s="21"/>
      <c r="G20" s="18"/>
      <c r="H20" s="12"/>
      <c r="I20" s="13"/>
      <c r="J20" s="13"/>
      <c r="K20" s="13"/>
      <c r="L20" s="13"/>
      <c r="M20" s="13"/>
      <c r="N20" s="13"/>
      <c r="O20" s="13"/>
      <c r="P20" s="14"/>
      <c r="Q20" s="18"/>
      <c r="R20" s="12"/>
      <c r="S20" s="13"/>
      <c r="T20" s="13"/>
      <c r="U20" s="13"/>
      <c r="V20" s="13"/>
      <c r="W20" s="13"/>
      <c r="X20" s="13"/>
      <c r="Y20" s="13"/>
      <c r="Z20" s="14"/>
      <c r="AA20" s="79"/>
    </row>
    <row r="21" spans="2:27" ht="15" x14ac:dyDescent="0.25">
      <c r="B21" s="19"/>
      <c r="C21" s="20"/>
      <c r="D21" s="20"/>
      <c r="E21" s="20"/>
      <c r="F21" s="21"/>
      <c r="G21" s="18"/>
      <c r="H21" s="12"/>
      <c r="I21" s="25"/>
      <c r="J21" s="26" t="s">
        <v>112</v>
      </c>
      <c r="K21" s="13"/>
      <c r="L21" s="13"/>
      <c r="M21" s="13"/>
      <c r="N21" s="13"/>
      <c r="O21" s="13"/>
      <c r="P21" s="14"/>
      <c r="Q21" s="18"/>
      <c r="R21" s="12"/>
      <c r="S21" s="25"/>
      <c r="T21" s="26" t="s">
        <v>112</v>
      </c>
      <c r="U21" s="13"/>
      <c r="V21" s="13"/>
      <c r="W21" s="13"/>
      <c r="X21" s="13"/>
      <c r="Y21" s="13"/>
      <c r="Z21" s="14"/>
      <c r="AA21" s="79"/>
    </row>
    <row r="22" spans="2:27" x14ac:dyDescent="0.25">
      <c r="B22" s="19"/>
      <c r="C22" s="20"/>
      <c r="D22" s="20"/>
      <c r="E22" s="20"/>
      <c r="F22" s="21"/>
      <c r="G22" s="18"/>
      <c r="H22" s="12"/>
      <c r="I22" s="13"/>
      <c r="J22" s="13"/>
      <c r="K22" s="13"/>
      <c r="L22" s="13"/>
      <c r="M22" s="13"/>
      <c r="N22" s="13"/>
      <c r="O22" s="13"/>
      <c r="P22" s="14"/>
      <c r="Q22" s="18"/>
      <c r="R22" s="12"/>
      <c r="S22" s="13"/>
      <c r="T22" s="13"/>
      <c r="U22" s="13"/>
      <c r="V22" s="13"/>
      <c r="W22" s="13"/>
      <c r="X22" s="13"/>
      <c r="Y22" s="13"/>
      <c r="Z22" s="14"/>
      <c r="AA22" s="79"/>
    </row>
    <row r="23" spans="2:27" x14ac:dyDescent="0.25">
      <c r="B23" s="19"/>
      <c r="C23" s="20"/>
      <c r="D23" s="20"/>
      <c r="E23" s="20"/>
      <c r="F23" s="21"/>
      <c r="G23" s="18"/>
      <c r="H23" s="12"/>
      <c r="I23" s="13"/>
      <c r="J23" s="13"/>
      <c r="K23" s="13"/>
      <c r="L23" s="13"/>
      <c r="M23" s="13"/>
      <c r="N23" s="13"/>
      <c r="O23" s="13"/>
      <c r="P23" s="14"/>
      <c r="Q23" s="18"/>
      <c r="R23" s="12"/>
      <c r="S23" s="13"/>
      <c r="T23" s="13"/>
      <c r="U23" s="13"/>
      <c r="V23" s="13"/>
      <c r="W23" s="13"/>
      <c r="X23" s="13"/>
      <c r="Y23" s="13"/>
      <c r="Z23" s="14"/>
      <c r="AA23" s="79"/>
    </row>
    <row r="24" spans="2:27" x14ac:dyDescent="0.25">
      <c r="B24" s="19"/>
      <c r="C24" s="20"/>
      <c r="D24" s="20"/>
      <c r="E24" s="20"/>
      <c r="F24" s="21"/>
      <c r="G24" s="18"/>
      <c r="H24" s="12"/>
      <c r="I24" s="13"/>
      <c r="J24" s="13"/>
      <c r="K24" s="13"/>
      <c r="L24" s="13"/>
      <c r="M24" s="13"/>
      <c r="N24" s="13"/>
      <c r="O24" s="13"/>
      <c r="P24" s="14"/>
      <c r="Q24" s="18"/>
      <c r="R24" s="12"/>
      <c r="S24" s="13"/>
      <c r="T24" s="13"/>
      <c r="U24" s="13"/>
      <c r="V24" s="13"/>
      <c r="W24" s="13"/>
      <c r="X24" s="13"/>
      <c r="Y24" s="13"/>
      <c r="Z24" s="14"/>
      <c r="AA24" s="79"/>
    </row>
    <row r="25" spans="2:27" x14ac:dyDescent="0.25">
      <c r="B25" s="19"/>
      <c r="C25" s="20"/>
      <c r="D25" s="20"/>
      <c r="E25" s="20"/>
      <c r="F25" s="21"/>
      <c r="G25" s="18"/>
      <c r="H25" s="12"/>
      <c r="I25" s="13"/>
      <c r="J25" s="13"/>
      <c r="K25" s="13"/>
      <c r="L25" s="13"/>
      <c r="M25" s="13"/>
      <c r="N25" s="13"/>
      <c r="O25" s="13"/>
      <c r="P25" s="14"/>
      <c r="Q25" s="18"/>
      <c r="R25" s="12"/>
      <c r="S25" s="13"/>
      <c r="T25" s="13"/>
      <c r="U25" s="13"/>
      <c r="V25" s="13"/>
      <c r="W25" s="13"/>
      <c r="X25" s="13"/>
      <c r="Y25" s="13"/>
      <c r="Z25" s="14"/>
      <c r="AA25" s="79"/>
    </row>
    <row r="26" spans="2:27" x14ac:dyDescent="0.25">
      <c r="B26" s="19"/>
      <c r="C26" s="20"/>
      <c r="D26" s="20"/>
      <c r="E26" s="20"/>
      <c r="F26" s="21"/>
      <c r="G26" s="18"/>
      <c r="H26" s="12"/>
      <c r="I26" s="13"/>
      <c r="J26" s="13"/>
      <c r="K26" s="13"/>
      <c r="L26" s="13"/>
      <c r="M26" s="13"/>
      <c r="N26" s="13"/>
      <c r="O26" s="13"/>
      <c r="P26" s="14"/>
      <c r="Q26" s="18"/>
      <c r="R26" s="12"/>
      <c r="S26" s="13"/>
      <c r="T26" s="13"/>
      <c r="U26" s="13"/>
      <c r="V26" s="13"/>
      <c r="W26" s="13"/>
      <c r="X26" s="13"/>
      <c r="Y26" s="13"/>
      <c r="Z26" s="14"/>
      <c r="AA26" s="79"/>
    </row>
    <row r="27" spans="2:27" x14ac:dyDescent="0.25">
      <c r="B27" s="19"/>
      <c r="C27" s="20"/>
      <c r="D27" s="20"/>
      <c r="E27" s="20"/>
      <c r="F27" s="21"/>
      <c r="G27" s="18"/>
      <c r="H27" s="12"/>
      <c r="I27" s="13"/>
      <c r="J27" s="13"/>
      <c r="K27" s="13"/>
      <c r="L27" s="13"/>
      <c r="M27" s="13"/>
      <c r="N27" s="13"/>
      <c r="O27" s="13"/>
      <c r="P27" s="14"/>
      <c r="Q27" s="18"/>
      <c r="R27" s="12"/>
      <c r="S27" s="13"/>
      <c r="T27" s="13"/>
      <c r="U27" s="13"/>
      <c r="V27" s="13"/>
      <c r="W27" s="13"/>
      <c r="X27" s="13"/>
      <c r="Y27" s="13"/>
      <c r="Z27" s="14"/>
      <c r="AA27" s="79"/>
    </row>
    <row r="28" spans="2:27" x14ac:dyDescent="0.25">
      <c r="B28" s="19"/>
      <c r="C28" s="20"/>
      <c r="D28" s="20"/>
      <c r="E28" s="20"/>
      <c r="F28" s="21"/>
      <c r="G28" s="18"/>
      <c r="H28" s="12"/>
      <c r="I28" s="13"/>
      <c r="J28" s="13"/>
      <c r="K28" s="13"/>
      <c r="L28" s="13"/>
      <c r="M28" s="13"/>
      <c r="N28" s="13"/>
      <c r="O28" s="13"/>
      <c r="P28" s="14"/>
      <c r="Q28" s="18"/>
      <c r="R28" s="12"/>
      <c r="S28" s="13"/>
      <c r="T28" s="13"/>
      <c r="U28" s="13"/>
      <c r="V28" s="13"/>
      <c r="W28" s="13"/>
      <c r="X28" s="13"/>
      <c r="Y28" s="13"/>
      <c r="Z28" s="14"/>
      <c r="AA28" s="79"/>
    </row>
    <row r="29" spans="2:27" x14ac:dyDescent="0.25">
      <c r="B29" s="19"/>
      <c r="C29" s="20"/>
      <c r="D29" s="20"/>
      <c r="E29" s="20"/>
      <c r="F29" s="21"/>
      <c r="G29" s="18"/>
      <c r="H29" s="12"/>
      <c r="I29" s="13"/>
      <c r="J29" s="13"/>
      <c r="K29" s="13"/>
      <c r="L29" s="13"/>
      <c r="M29" s="13"/>
      <c r="N29" s="13"/>
      <c r="O29" s="13"/>
      <c r="P29" s="14"/>
      <c r="Q29" s="18"/>
      <c r="R29" s="12"/>
      <c r="S29" s="13"/>
      <c r="T29" s="13"/>
      <c r="U29" s="13"/>
      <c r="V29" s="13"/>
      <c r="W29" s="13"/>
      <c r="X29" s="13"/>
      <c r="Y29" s="13"/>
      <c r="Z29" s="14"/>
      <c r="AA29" s="79"/>
    </row>
    <row r="30" spans="2:27" x14ac:dyDescent="0.25">
      <c r="B30" s="19"/>
      <c r="C30" s="20"/>
      <c r="D30" s="20"/>
      <c r="E30" s="20"/>
      <c r="F30" s="21"/>
      <c r="G30" s="18"/>
      <c r="H30" s="12"/>
      <c r="I30" s="13"/>
      <c r="J30" s="13"/>
      <c r="K30" s="13"/>
      <c r="L30" s="13"/>
      <c r="M30" s="13"/>
      <c r="N30" s="13"/>
      <c r="O30" s="13"/>
      <c r="P30" s="14"/>
      <c r="Q30" s="18"/>
      <c r="R30" s="12"/>
      <c r="S30" s="13"/>
      <c r="T30" s="13"/>
      <c r="U30" s="13"/>
      <c r="V30" s="13"/>
      <c r="W30" s="13"/>
      <c r="X30" s="13"/>
      <c r="Y30" s="13"/>
      <c r="Z30" s="14"/>
      <c r="AA30" s="79"/>
    </row>
    <row r="31" spans="2:27" x14ac:dyDescent="0.25">
      <c r="B31" s="19"/>
      <c r="C31" s="20"/>
      <c r="D31" s="20"/>
      <c r="E31" s="20"/>
      <c r="F31" s="21"/>
      <c r="G31" s="18"/>
      <c r="H31" s="12"/>
      <c r="I31" s="13"/>
      <c r="J31" s="71" t="str" cm="1">
        <f t="array" ref="J31">J8&amp;", "&amp;INDEX(Единицы,Ед)</f>
        <v>Всего продажи, тыс</v>
      </c>
      <c r="K31" s="13"/>
      <c r="L31" s="13"/>
      <c r="M31" s="13"/>
      <c r="N31" s="71" t="str" cm="1">
        <f t="array" ref="N31">N8&amp;", "&amp;INDEX(Единицы,Ед)</f>
        <v>Средние продажи на точку, тыс</v>
      </c>
      <c r="O31" s="13"/>
      <c r="P31" s="14"/>
      <c r="Q31" s="18"/>
      <c r="R31" s="12"/>
      <c r="S31" s="13"/>
      <c r="T31" s="71" t="str">
        <f>T8</f>
        <v>Количество</v>
      </c>
      <c r="U31" s="13"/>
      <c r="V31" s="13"/>
      <c r="W31" s="13"/>
      <c r="X31" s="71" t="str" cm="1">
        <f t="array" ref="X31">X8&amp;", "&amp;INDEX(Единицы,Ед)</f>
        <v>Средняя цена, тыс</v>
      </c>
      <c r="Y31" s="13"/>
      <c r="Z31" s="14"/>
      <c r="AA31" s="79"/>
    </row>
    <row r="32" spans="2:27" x14ac:dyDescent="0.25">
      <c r="B32" s="19"/>
      <c r="C32" s="20"/>
      <c r="D32" s="20"/>
      <c r="E32" s="20"/>
      <c r="F32" s="21"/>
      <c r="G32" s="18"/>
      <c r="H32" s="15"/>
      <c r="I32" s="16"/>
      <c r="J32" s="16"/>
      <c r="K32" s="16"/>
      <c r="L32" s="16"/>
      <c r="M32" s="16"/>
      <c r="N32" s="16"/>
      <c r="O32" s="16"/>
      <c r="P32" s="17"/>
      <c r="Q32" s="18"/>
      <c r="R32" s="15"/>
      <c r="S32" s="16"/>
      <c r="T32" s="16"/>
      <c r="U32" s="16"/>
      <c r="V32" s="16"/>
      <c r="W32" s="16"/>
      <c r="X32" s="16"/>
      <c r="Y32" s="16"/>
      <c r="Z32" s="17"/>
      <c r="AA32" s="79"/>
    </row>
    <row r="33" spans="2:27" x14ac:dyDescent="0.25">
      <c r="B33" s="22"/>
      <c r="C33" s="23"/>
      <c r="D33" s="23"/>
      <c r="E33" s="23"/>
      <c r="F33" s="24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3"/>
    </row>
    <row r="36" spans="2:27" x14ac:dyDescent="0.25">
      <c r="C36" s="117" t="s">
        <v>125</v>
      </c>
    </row>
    <row r="37" spans="2:27" ht="22.8" customHeight="1" x14ac:dyDescent="0.25">
      <c r="C37" s="115" t="s">
        <v>127</v>
      </c>
      <c r="D37" s="92"/>
      <c r="E37" s="92"/>
      <c r="F37" s="92"/>
      <c r="G37" s="92"/>
      <c r="H37" s="92"/>
      <c r="I37" s="92"/>
    </row>
    <row r="38" spans="2:27" ht="14.4" x14ac:dyDescent="0.3">
      <c r="C38" s="116" t="s">
        <v>128</v>
      </c>
      <c r="D38" s="116"/>
      <c r="E38" s="116"/>
      <c r="F38" s="116"/>
      <c r="G38" s="116"/>
      <c r="H38" s="116"/>
      <c r="I38" s="116"/>
      <c r="J38" s="116"/>
    </row>
    <row r="39" spans="2:27" x14ac:dyDescent="0.25">
      <c r="C39" s="114"/>
    </row>
  </sheetData>
  <mergeCells count="6">
    <mergeCell ref="C38:J38"/>
    <mergeCell ref="C2:F2"/>
    <mergeCell ref="X13:Y13"/>
    <mergeCell ref="T13:U13"/>
    <mergeCell ref="N13:O13"/>
    <mergeCell ref="J13:K13"/>
  </mergeCells>
  <conditionalFormatting sqref="J13">
    <cfRule type="iconSet" priority="19">
      <iconSet>
        <cfvo type="percent" val="0"/>
        <cfvo type="num" val="0"/>
        <cfvo type="num" val="0" gte="0"/>
      </iconSet>
    </cfRule>
    <cfRule type="cellIs" dxfId="7" priority="28" operator="greaterThan">
      <formula>0</formula>
    </cfRule>
    <cfRule type="cellIs" dxfId="6" priority="30" operator="lessThan">
      <formula>0</formula>
    </cfRule>
  </conditionalFormatting>
  <conditionalFormatting sqref="N13">
    <cfRule type="iconSet" priority="7">
      <iconSet>
        <cfvo type="percent" val="0"/>
        <cfvo type="num" val="0"/>
        <cfvo type="num" val="0" gte="0"/>
      </iconSet>
    </cfRule>
    <cfRule type="cellIs" dxfId="5" priority="8" operator="greaterThan">
      <formula>0</formula>
    </cfRule>
    <cfRule type="cellIs" dxfId="4" priority="9" operator="lessThan">
      <formula>0</formula>
    </cfRule>
  </conditionalFormatting>
  <conditionalFormatting sqref="T13">
    <cfRule type="iconSet" priority="4">
      <iconSet>
        <cfvo type="percent" val="0"/>
        <cfvo type="num" val="0"/>
        <cfvo type="num" val="0" gte="0"/>
      </iconSet>
    </cfRule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X13">
    <cfRule type="iconSet" priority="1">
      <iconSet>
        <cfvo type="percent" val="0"/>
        <cfvo type="num" val="0"/>
        <cfvo type="num" val="0" gte="0"/>
      </iconSet>
    </cfRule>
    <cfRule type="cellIs" dxfId="1" priority="2" operator="greaterThan">
      <formula>0</formula>
    </cfRule>
    <cfRule type="cellIs" dxfId="0" priority="3" operator="lessThan">
      <formula>0</formula>
    </cfRule>
  </conditionalFormatting>
  <hyperlinks>
    <hyperlink ref="C2" r:id="rId1" display="Больше примеров диаграмм на сайте Finalytics.Pro" xr:uid="{E12AB3F6-27E7-470A-BF10-ED288840A821}"/>
    <hyperlink ref="C38" r:id="rId2" display="https://finalytics.pro/inform/spillarrayexcel/" xr:uid="{3D1EC1FC-5702-471B-87A0-394A62AD40D0}"/>
    <hyperlink ref="C38:J38" r:id="rId3" display="finalytics.pro/inform/spillarrayexcel" xr:uid="{A9F1BDE0-1FAA-430E-A03A-4F6611652369}"/>
  </hyperlinks>
  <pageMargins left="0.7" right="0.7" top="0.75" bottom="0.75" header="0.3" footer="0.3"/>
  <pageSetup paperSize="9" orientation="portrait" r:id="rId4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7" name="Drop Down 2">
              <controlPr defaultSize="0" autoLine="0" autoPict="0">
                <anchor moveWithCells="1">
                  <from>
                    <xdr:col>25</xdr:col>
                    <xdr:colOff>30480</xdr:colOff>
                    <xdr:row>1</xdr:row>
                    <xdr:rowOff>160020</xdr:rowOff>
                  </from>
                  <to>
                    <xdr:col>25</xdr:col>
                    <xdr:colOff>609600</xdr:colOff>
                    <xdr:row>1</xdr:row>
                    <xdr:rowOff>342900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8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000B-0423-4AC6-8162-62A5EEF9955D}">
  <dimension ref="B2:J7058"/>
  <sheetViews>
    <sheetView showGridLines="0" zoomScale="85" zoomScaleNormal="85" workbookViewId="0">
      <selection activeCell="N6" sqref="N6"/>
    </sheetView>
  </sheetViews>
  <sheetFormatPr defaultRowHeight="14.4" x14ac:dyDescent="0.3"/>
  <cols>
    <col min="1" max="1" width="2.33203125" customWidth="1"/>
    <col min="2" max="2" width="9.5546875" style="7" bestFit="1" customWidth="1"/>
    <col min="3" max="3" width="8.5546875" style="3" bestFit="1" customWidth="1"/>
    <col min="4" max="4" width="12.5546875" style="3" bestFit="1" customWidth="1"/>
    <col min="5" max="5" width="14.88671875" style="2" bestFit="1" customWidth="1"/>
    <col min="6" max="6" width="8.6640625" style="5" bestFit="1" customWidth="1"/>
    <col min="7" max="7" width="13.109375" style="2" bestFit="1" customWidth="1"/>
    <col min="8" max="8" width="15.5546875" bestFit="1" customWidth="1"/>
    <col min="9" max="9" width="13.5546875" bestFit="1" customWidth="1"/>
    <col min="10" max="10" width="18.88671875" bestFit="1" customWidth="1"/>
  </cols>
  <sheetData>
    <row r="2" spans="2:10" x14ac:dyDescent="0.3">
      <c r="B2" s="6" t="s">
        <v>0</v>
      </c>
      <c r="C2" s="3" t="s">
        <v>75</v>
      </c>
      <c r="D2" s="3" t="s">
        <v>76</v>
      </c>
      <c r="E2" s="5" t="s">
        <v>57</v>
      </c>
      <c r="F2" s="5" t="s">
        <v>59</v>
      </c>
      <c r="G2" s="2" t="s">
        <v>58</v>
      </c>
      <c r="H2" s="1" t="s">
        <v>1</v>
      </c>
      <c r="I2" s="1" t="s">
        <v>60</v>
      </c>
      <c r="J2" s="2" t="s">
        <v>61</v>
      </c>
    </row>
    <row r="3" spans="2:10" x14ac:dyDescent="0.3">
      <c r="B3" s="7">
        <v>44197</v>
      </c>
      <c r="C3" s="3">
        <f t="shared" ref="C3:C66" si="0">YEAR(B3)</f>
        <v>2021</v>
      </c>
      <c r="D3" s="3">
        <f t="shared" ref="D3:D66" si="1">VALUE(TEXT(B3,"ГГГГММ"))</f>
        <v>202101</v>
      </c>
      <c r="E3" s="5" t="s">
        <v>2</v>
      </c>
      <c r="F3" s="5" t="s">
        <v>56</v>
      </c>
      <c r="G3" s="5" t="s">
        <v>14</v>
      </c>
      <c r="H3">
        <v>95</v>
      </c>
      <c r="I3" s="4">
        <v>1066185</v>
      </c>
      <c r="J3" s="4">
        <v>570000</v>
      </c>
    </row>
    <row r="4" spans="2:10" x14ac:dyDescent="0.3">
      <c r="B4" s="7">
        <v>44228</v>
      </c>
      <c r="C4" s="3">
        <f t="shared" si="0"/>
        <v>2021</v>
      </c>
      <c r="D4" s="3">
        <f t="shared" si="1"/>
        <v>202102</v>
      </c>
      <c r="E4" s="5" t="s">
        <v>2</v>
      </c>
      <c r="F4" s="5" t="s">
        <v>56</v>
      </c>
      <c r="G4" s="5" t="s">
        <v>14</v>
      </c>
      <c r="H4">
        <v>59</v>
      </c>
      <c r="I4" s="4">
        <v>667880</v>
      </c>
      <c r="J4" s="4">
        <v>354000</v>
      </c>
    </row>
    <row r="5" spans="2:10" x14ac:dyDescent="0.3">
      <c r="B5" s="7">
        <v>44256</v>
      </c>
      <c r="C5" s="3">
        <f t="shared" si="0"/>
        <v>2021</v>
      </c>
      <c r="D5" s="3">
        <f t="shared" si="1"/>
        <v>202103</v>
      </c>
      <c r="E5" s="5" t="s">
        <v>2</v>
      </c>
      <c r="F5" s="5" t="s">
        <v>56</v>
      </c>
      <c r="G5" s="5" t="s">
        <v>14</v>
      </c>
      <c r="H5">
        <v>48</v>
      </c>
      <c r="I5" s="4">
        <v>530688</v>
      </c>
      <c r="J5" s="4">
        <v>288000</v>
      </c>
    </row>
    <row r="6" spans="2:10" x14ac:dyDescent="0.3">
      <c r="B6" s="7">
        <v>44287</v>
      </c>
      <c r="C6" s="3">
        <f t="shared" si="0"/>
        <v>2021</v>
      </c>
      <c r="D6" s="3">
        <f t="shared" si="1"/>
        <v>202104</v>
      </c>
      <c r="E6" s="5" t="s">
        <v>2</v>
      </c>
      <c r="F6" s="5" t="s">
        <v>56</v>
      </c>
      <c r="G6" s="5" t="s">
        <v>14</v>
      </c>
      <c r="H6">
        <v>89</v>
      </c>
      <c r="I6" s="4">
        <v>1088826</v>
      </c>
      <c r="J6" s="4">
        <v>534000</v>
      </c>
    </row>
    <row r="7" spans="2:10" x14ac:dyDescent="0.3">
      <c r="B7" s="7">
        <v>44317</v>
      </c>
      <c r="C7" s="3">
        <f t="shared" si="0"/>
        <v>2021</v>
      </c>
      <c r="D7" s="3">
        <f t="shared" si="1"/>
        <v>202105</v>
      </c>
      <c r="E7" s="5" t="s">
        <v>2</v>
      </c>
      <c r="F7" s="5" t="s">
        <v>56</v>
      </c>
      <c r="G7" s="5" t="s">
        <v>14</v>
      </c>
      <c r="H7">
        <v>113</v>
      </c>
      <c r="I7" s="4">
        <v>1314416</v>
      </c>
      <c r="J7" s="4">
        <v>678000</v>
      </c>
    </row>
    <row r="8" spans="2:10" x14ac:dyDescent="0.3">
      <c r="B8" s="7">
        <v>44348</v>
      </c>
      <c r="C8" s="3">
        <f t="shared" si="0"/>
        <v>2021</v>
      </c>
      <c r="D8" s="3">
        <f t="shared" si="1"/>
        <v>202106</v>
      </c>
      <c r="E8" s="5" t="s">
        <v>2</v>
      </c>
      <c r="F8" s="5" t="s">
        <v>56</v>
      </c>
      <c r="G8" s="5" t="s">
        <v>14</v>
      </c>
      <c r="H8">
        <v>107</v>
      </c>
      <c r="I8" s="4">
        <v>1209421</v>
      </c>
      <c r="J8" s="4">
        <v>642000</v>
      </c>
    </row>
    <row r="9" spans="2:10" x14ac:dyDescent="0.3">
      <c r="B9" s="7">
        <v>44378</v>
      </c>
      <c r="C9" s="3">
        <f t="shared" si="0"/>
        <v>2021</v>
      </c>
      <c r="D9" s="3">
        <f t="shared" si="1"/>
        <v>202107</v>
      </c>
      <c r="E9" s="5" t="s">
        <v>2</v>
      </c>
      <c r="F9" s="5" t="s">
        <v>56</v>
      </c>
      <c r="G9" s="5" t="s">
        <v>14</v>
      </c>
      <c r="H9">
        <v>113</v>
      </c>
      <c r="I9" s="4">
        <v>1074630</v>
      </c>
      <c r="J9" s="4">
        <v>678000</v>
      </c>
    </row>
    <row r="10" spans="2:10" x14ac:dyDescent="0.3">
      <c r="B10" s="7">
        <v>44409</v>
      </c>
      <c r="C10" s="3">
        <f t="shared" si="0"/>
        <v>2021</v>
      </c>
      <c r="D10" s="3">
        <f t="shared" si="1"/>
        <v>202108</v>
      </c>
      <c r="E10" s="5" t="s">
        <v>2</v>
      </c>
      <c r="F10" s="5" t="s">
        <v>56</v>
      </c>
      <c r="G10" s="5" t="s">
        <v>14</v>
      </c>
      <c r="H10">
        <v>95</v>
      </c>
      <c r="I10" s="4">
        <v>986385</v>
      </c>
      <c r="J10" s="4">
        <v>570000</v>
      </c>
    </row>
    <row r="11" spans="2:10" x14ac:dyDescent="0.3">
      <c r="B11" s="7">
        <v>44440</v>
      </c>
      <c r="C11" s="3">
        <f t="shared" si="0"/>
        <v>2021</v>
      </c>
      <c r="D11" s="3">
        <f t="shared" si="1"/>
        <v>202109</v>
      </c>
      <c r="E11" s="5" t="s">
        <v>2</v>
      </c>
      <c r="F11" s="5" t="s">
        <v>56</v>
      </c>
      <c r="G11" s="5" t="s">
        <v>14</v>
      </c>
      <c r="H11">
        <v>101</v>
      </c>
      <c r="I11" s="4">
        <v>1091305</v>
      </c>
      <c r="J11" s="4">
        <v>606000</v>
      </c>
    </row>
    <row r="12" spans="2:10" x14ac:dyDescent="0.3">
      <c r="B12" s="7">
        <v>44470</v>
      </c>
      <c r="C12" s="3">
        <f t="shared" si="0"/>
        <v>2021</v>
      </c>
      <c r="D12" s="3">
        <f t="shared" si="1"/>
        <v>202110</v>
      </c>
      <c r="E12" s="5" t="s">
        <v>2</v>
      </c>
      <c r="F12" s="5" t="s">
        <v>56</v>
      </c>
      <c r="G12" s="5" t="s">
        <v>14</v>
      </c>
      <c r="H12">
        <v>83</v>
      </c>
      <c r="I12" s="4">
        <v>933501</v>
      </c>
      <c r="J12" s="4">
        <v>498000</v>
      </c>
    </row>
    <row r="13" spans="2:10" x14ac:dyDescent="0.3">
      <c r="B13" s="7">
        <v>44501</v>
      </c>
      <c r="C13" s="3">
        <f t="shared" si="0"/>
        <v>2021</v>
      </c>
      <c r="D13" s="3">
        <f t="shared" si="1"/>
        <v>202111</v>
      </c>
      <c r="E13" s="5" t="s">
        <v>2</v>
      </c>
      <c r="F13" s="5" t="s">
        <v>56</v>
      </c>
      <c r="G13" s="5" t="s">
        <v>14</v>
      </c>
      <c r="H13">
        <v>59</v>
      </c>
      <c r="I13" s="4">
        <v>645342</v>
      </c>
      <c r="J13" s="4">
        <v>354000</v>
      </c>
    </row>
    <row r="14" spans="2:10" x14ac:dyDescent="0.3">
      <c r="B14" s="7">
        <v>44531</v>
      </c>
      <c r="C14" s="3">
        <f t="shared" si="0"/>
        <v>2021</v>
      </c>
      <c r="D14" s="3">
        <f t="shared" si="1"/>
        <v>202112</v>
      </c>
      <c r="E14" s="5" t="s">
        <v>2</v>
      </c>
      <c r="F14" s="5" t="s">
        <v>56</v>
      </c>
      <c r="G14" s="5" t="s">
        <v>14</v>
      </c>
      <c r="H14">
        <v>71</v>
      </c>
      <c r="I14" s="4">
        <v>756292</v>
      </c>
      <c r="J14" s="4">
        <v>426000</v>
      </c>
    </row>
    <row r="15" spans="2:10" x14ac:dyDescent="0.3">
      <c r="B15" s="7">
        <v>44562</v>
      </c>
      <c r="C15" s="3">
        <f t="shared" si="0"/>
        <v>2022</v>
      </c>
      <c r="D15" s="3">
        <f t="shared" si="1"/>
        <v>202201</v>
      </c>
      <c r="E15" s="5" t="s">
        <v>2</v>
      </c>
      <c r="F15" s="5" t="s">
        <v>56</v>
      </c>
      <c r="G15" s="5" t="s">
        <v>14</v>
      </c>
      <c r="H15">
        <v>104</v>
      </c>
      <c r="I15" s="4">
        <v>1202968</v>
      </c>
      <c r="J15" s="4">
        <v>624000</v>
      </c>
    </row>
    <row r="16" spans="2:10" x14ac:dyDescent="0.3">
      <c r="B16" s="7">
        <v>44593</v>
      </c>
      <c r="C16" s="3">
        <f t="shared" si="0"/>
        <v>2022</v>
      </c>
      <c r="D16" s="3">
        <f t="shared" si="1"/>
        <v>202202</v>
      </c>
      <c r="E16" s="5" t="s">
        <v>2</v>
      </c>
      <c r="F16" s="5" t="s">
        <v>56</v>
      </c>
      <c r="G16" s="5" t="s">
        <v>14</v>
      </c>
      <c r="H16">
        <v>65</v>
      </c>
      <c r="I16" s="4">
        <v>769795</v>
      </c>
      <c r="J16" s="4">
        <v>390000</v>
      </c>
    </row>
    <row r="17" spans="2:10" x14ac:dyDescent="0.3">
      <c r="B17" s="7">
        <v>44621</v>
      </c>
      <c r="C17" s="3">
        <f t="shared" si="0"/>
        <v>2022</v>
      </c>
      <c r="D17" s="3">
        <f t="shared" si="1"/>
        <v>202203</v>
      </c>
      <c r="E17" s="5" t="s">
        <v>2</v>
      </c>
      <c r="F17" s="5" t="s">
        <v>56</v>
      </c>
      <c r="G17" s="5" t="s">
        <v>14</v>
      </c>
      <c r="H17">
        <v>52</v>
      </c>
      <c r="I17" s="4">
        <v>589160</v>
      </c>
      <c r="J17" s="4">
        <v>312000</v>
      </c>
    </row>
    <row r="18" spans="2:10" x14ac:dyDescent="0.3">
      <c r="B18" s="7">
        <v>44652</v>
      </c>
      <c r="C18" s="3">
        <f t="shared" si="0"/>
        <v>2022</v>
      </c>
      <c r="D18" s="3">
        <f t="shared" si="1"/>
        <v>202204</v>
      </c>
      <c r="E18" s="5" t="s">
        <v>2</v>
      </c>
      <c r="F18" s="5" t="s">
        <v>56</v>
      </c>
      <c r="G18" s="5" t="s">
        <v>14</v>
      </c>
      <c r="H18">
        <v>98</v>
      </c>
      <c r="I18" s="4">
        <v>1190602</v>
      </c>
      <c r="J18" s="4">
        <v>588000</v>
      </c>
    </row>
    <row r="19" spans="2:10" x14ac:dyDescent="0.3">
      <c r="B19" s="7">
        <v>44682</v>
      </c>
      <c r="C19" s="3">
        <f t="shared" si="0"/>
        <v>2022</v>
      </c>
      <c r="D19" s="3">
        <f t="shared" si="1"/>
        <v>202205</v>
      </c>
      <c r="E19" s="5" t="s">
        <v>2</v>
      </c>
      <c r="F19" s="5" t="s">
        <v>56</v>
      </c>
      <c r="G19" s="5" t="s">
        <v>14</v>
      </c>
      <c r="H19">
        <v>124</v>
      </c>
      <c r="I19" s="4">
        <v>1464068</v>
      </c>
      <c r="J19" s="4">
        <v>744000</v>
      </c>
    </row>
    <row r="20" spans="2:10" x14ac:dyDescent="0.3">
      <c r="B20" s="7">
        <v>44713</v>
      </c>
      <c r="C20" s="3">
        <f t="shared" si="0"/>
        <v>2022</v>
      </c>
      <c r="D20" s="3">
        <f t="shared" si="1"/>
        <v>202206</v>
      </c>
      <c r="E20" s="5" t="s">
        <v>2</v>
      </c>
      <c r="F20" s="5" t="s">
        <v>56</v>
      </c>
      <c r="G20" s="5" t="s">
        <v>14</v>
      </c>
      <c r="H20">
        <v>117</v>
      </c>
      <c r="I20" s="4">
        <v>1321866</v>
      </c>
      <c r="J20" s="4">
        <v>702000</v>
      </c>
    </row>
    <row r="21" spans="2:10" x14ac:dyDescent="0.3">
      <c r="B21" s="7">
        <v>44743</v>
      </c>
      <c r="C21" s="3">
        <f t="shared" si="0"/>
        <v>2022</v>
      </c>
      <c r="D21" s="3">
        <f t="shared" si="1"/>
        <v>202207</v>
      </c>
      <c r="E21" s="5" t="s">
        <v>2</v>
      </c>
      <c r="F21" s="5" t="s">
        <v>56</v>
      </c>
      <c r="G21" s="5" t="s">
        <v>14</v>
      </c>
      <c r="H21">
        <v>124</v>
      </c>
      <c r="I21" s="4">
        <v>1156796</v>
      </c>
      <c r="J21" s="4">
        <v>744000</v>
      </c>
    </row>
    <row r="22" spans="2:10" x14ac:dyDescent="0.3">
      <c r="B22" s="7">
        <v>44774</v>
      </c>
      <c r="C22" s="3">
        <f t="shared" si="0"/>
        <v>2022</v>
      </c>
      <c r="D22" s="3">
        <f t="shared" si="1"/>
        <v>202208</v>
      </c>
      <c r="E22" s="5" t="s">
        <v>2</v>
      </c>
      <c r="F22" s="5" t="s">
        <v>56</v>
      </c>
      <c r="G22" s="5" t="s">
        <v>14</v>
      </c>
      <c r="H22">
        <v>104</v>
      </c>
      <c r="I22" s="4">
        <v>1094600</v>
      </c>
      <c r="J22" s="4">
        <v>624000</v>
      </c>
    </row>
    <row r="23" spans="2:10" x14ac:dyDescent="0.3">
      <c r="B23" s="7">
        <v>44805</v>
      </c>
      <c r="C23" s="3">
        <f t="shared" si="0"/>
        <v>2022</v>
      </c>
      <c r="D23" s="3">
        <f t="shared" si="1"/>
        <v>202209</v>
      </c>
      <c r="E23" s="5" t="s">
        <v>2</v>
      </c>
      <c r="F23" s="5" t="s">
        <v>56</v>
      </c>
      <c r="G23" s="5" t="s">
        <v>14</v>
      </c>
      <c r="H23">
        <v>111</v>
      </c>
      <c r="I23" s="4">
        <v>1232100</v>
      </c>
      <c r="J23" s="4">
        <v>666000</v>
      </c>
    </row>
    <row r="24" spans="2:10" x14ac:dyDescent="0.3">
      <c r="B24" s="7">
        <v>44835</v>
      </c>
      <c r="C24" s="3">
        <f t="shared" si="0"/>
        <v>2022</v>
      </c>
      <c r="D24" s="3">
        <f t="shared" si="1"/>
        <v>202210</v>
      </c>
      <c r="E24" s="5" t="s">
        <v>2</v>
      </c>
      <c r="F24" s="5" t="s">
        <v>56</v>
      </c>
      <c r="G24" s="5" t="s">
        <v>14</v>
      </c>
      <c r="H24">
        <v>91</v>
      </c>
      <c r="I24" s="4">
        <v>996268</v>
      </c>
      <c r="J24" s="4">
        <v>546000</v>
      </c>
    </row>
    <row r="25" spans="2:10" x14ac:dyDescent="0.3">
      <c r="B25" s="7">
        <v>44866</v>
      </c>
      <c r="C25" s="3">
        <f t="shared" si="0"/>
        <v>2022</v>
      </c>
      <c r="D25" s="3">
        <f t="shared" si="1"/>
        <v>202211</v>
      </c>
      <c r="E25" s="5" t="s">
        <v>2</v>
      </c>
      <c r="F25" s="5" t="s">
        <v>56</v>
      </c>
      <c r="G25" s="5" t="s">
        <v>14</v>
      </c>
      <c r="H25">
        <v>65</v>
      </c>
      <c r="I25" s="4">
        <v>743080</v>
      </c>
      <c r="J25" s="4">
        <v>390000</v>
      </c>
    </row>
    <row r="26" spans="2:10" x14ac:dyDescent="0.3">
      <c r="B26" s="7">
        <v>44896</v>
      </c>
      <c r="C26" s="3">
        <f t="shared" si="0"/>
        <v>2022</v>
      </c>
      <c r="D26" s="3">
        <f t="shared" si="1"/>
        <v>202212</v>
      </c>
      <c r="E26" s="5" t="s">
        <v>2</v>
      </c>
      <c r="F26" s="5" t="s">
        <v>56</v>
      </c>
      <c r="G26" s="5" t="s">
        <v>14</v>
      </c>
      <c r="H26">
        <v>78</v>
      </c>
      <c r="I26" s="4">
        <v>803010</v>
      </c>
      <c r="J26" s="4">
        <v>468000</v>
      </c>
    </row>
    <row r="27" spans="2:10" x14ac:dyDescent="0.3">
      <c r="B27" s="7">
        <v>44197</v>
      </c>
      <c r="C27" s="3">
        <f t="shared" si="0"/>
        <v>2021</v>
      </c>
      <c r="D27" s="3">
        <f t="shared" si="1"/>
        <v>202101</v>
      </c>
      <c r="E27" s="5" t="s">
        <v>2</v>
      </c>
      <c r="F27" s="5" t="s">
        <v>56</v>
      </c>
      <c r="G27" s="5" t="s">
        <v>15</v>
      </c>
      <c r="H27">
        <v>87</v>
      </c>
      <c r="I27" s="4">
        <v>1187463</v>
      </c>
      <c r="J27" s="4">
        <v>615960</v>
      </c>
    </row>
    <row r="28" spans="2:10" x14ac:dyDescent="0.3">
      <c r="B28" s="7">
        <v>44228</v>
      </c>
      <c r="C28" s="3">
        <f t="shared" si="0"/>
        <v>2021</v>
      </c>
      <c r="D28" s="3">
        <f t="shared" si="1"/>
        <v>202102</v>
      </c>
      <c r="E28" s="5" t="s">
        <v>2</v>
      </c>
      <c r="F28" s="5" t="s">
        <v>56</v>
      </c>
      <c r="G28" s="5" t="s">
        <v>15</v>
      </c>
      <c r="H28">
        <v>54</v>
      </c>
      <c r="I28" s="4">
        <v>722304</v>
      </c>
      <c r="J28" s="4">
        <v>382320</v>
      </c>
    </row>
    <row r="29" spans="2:10" x14ac:dyDescent="0.3">
      <c r="B29" s="7">
        <v>44256</v>
      </c>
      <c r="C29" s="3">
        <f t="shared" si="0"/>
        <v>2021</v>
      </c>
      <c r="D29" s="3">
        <f t="shared" si="1"/>
        <v>202103</v>
      </c>
      <c r="E29" s="5" t="s">
        <v>2</v>
      </c>
      <c r="F29" s="5" t="s">
        <v>56</v>
      </c>
      <c r="G29" s="5" t="s">
        <v>15</v>
      </c>
      <c r="H29">
        <v>44</v>
      </c>
      <c r="I29" s="4">
        <v>576092</v>
      </c>
      <c r="J29" s="4">
        <v>311520</v>
      </c>
    </row>
    <row r="30" spans="2:10" x14ac:dyDescent="0.3">
      <c r="B30" s="7">
        <v>44287</v>
      </c>
      <c r="C30" s="3">
        <f t="shared" si="0"/>
        <v>2021</v>
      </c>
      <c r="D30" s="3">
        <f t="shared" si="1"/>
        <v>202104</v>
      </c>
      <c r="E30" s="5" t="s">
        <v>2</v>
      </c>
      <c r="F30" s="5" t="s">
        <v>56</v>
      </c>
      <c r="G30" s="5" t="s">
        <v>15</v>
      </c>
      <c r="H30">
        <v>81</v>
      </c>
      <c r="I30" s="4">
        <v>1167453</v>
      </c>
      <c r="J30" s="4">
        <v>573480</v>
      </c>
    </row>
    <row r="31" spans="2:10" x14ac:dyDescent="0.3">
      <c r="B31" s="7">
        <v>44317</v>
      </c>
      <c r="C31" s="3">
        <f t="shared" si="0"/>
        <v>2021</v>
      </c>
      <c r="D31" s="3">
        <f t="shared" si="1"/>
        <v>202105</v>
      </c>
      <c r="E31" s="5" t="s">
        <v>2</v>
      </c>
      <c r="F31" s="5" t="s">
        <v>56</v>
      </c>
      <c r="G31" s="5" t="s">
        <v>15</v>
      </c>
      <c r="H31">
        <v>103</v>
      </c>
      <c r="I31" s="4">
        <v>1427992</v>
      </c>
      <c r="J31" s="4">
        <v>729240</v>
      </c>
    </row>
    <row r="32" spans="2:10" x14ac:dyDescent="0.3">
      <c r="B32" s="7">
        <v>44348</v>
      </c>
      <c r="C32" s="3">
        <f t="shared" si="0"/>
        <v>2021</v>
      </c>
      <c r="D32" s="3">
        <f t="shared" si="1"/>
        <v>202106</v>
      </c>
      <c r="E32" s="5" t="s">
        <v>2</v>
      </c>
      <c r="F32" s="5" t="s">
        <v>56</v>
      </c>
      <c r="G32" s="5" t="s">
        <v>15</v>
      </c>
      <c r="H32">
        <v>98</v>
      </c>
      <c r="I32" s="4">
        <v>1297912</v>
      </c>
      <c r="J32" s="4">
        <v>693840</v>
      </c>
    </row>
    <row r="33" spans="2:10" x14ac:dyDescent="0.3">
      <c r="B33" s="7">
        <v>44378</v>
      </c>
      <c r="C33" s="3">
        <f t="shared" si="0"/>
        <v>2021</v>
      </c>
      <c r="D33" s="3">
        <f t="shared" si="1"/>
        <v>202107</v>
      </c>
      <c r="E33" s="5" t="s">
        <v>2</v>
      </c>
      <c r="F33" s="5" t="s">
        <v>56</v>
      </c>
      <c r="G33" s="5" t="s">
        <v>15</v>
      </c>
      <c r="H33">
        <v>103</v>
      </c>
      <c r="I33" s="4">
        <v>1210353</v>
      </c>
      <c r="J33" s="4">
        <v>729240</v>
      </c>
    </row>
    <row r="34" spans="2:10" x14ac:dyDescent="0.3">
      <c r="B34" s="7">
        <v>44409</v>
      </c>
      <c r="C34" s="3">
        <f t="shared" si="0"/>
        <v>2021</v>
      </c>
      <c r="D34" s="3">
        <f t="shared" si="1"/>
        <v>202108</v>
      </c>
      <c r="E34" s="5" t="s">
        <v>2</v>
      </c>
      <c r="F34" s="5" t="s">
        <v>56</v>
      </c>
      <c r="G34" s="5" t="s">
        <v>15</v>
      </c>
      <c r="H34">
        <v>87</v>
      </c>
      <c r="I34" s="4">
        <v>1091502</v>
      </c>
      <c r="J34" s="4">
        <v>615960</v>
      </c>
    </row>
    <row r="35" spans="2:10" x14ac:dyDescent="0.3">
      <c r="B35" s="7">
        <v>44440</v>
      </c>
      <c r="C35" s="3">
        <f t="shared" si="0"/>
        <v>2021</v>
      </c>
      <c r="D35" s="3">
        <f t="shared" si="1"/>
        <v>202109</v>
      </c>
      <c r="E35" s="5" t="s">
        <v>2</v>
      </c>
      <c r="F35" s="5" t="s">
        <v>56</v>
      </c>
      <c r="G35" s="5" t="s">
        <v>15</v>
      </c>
      <c r="H35">
        <v>92</v>
      </c>
      <c r="I35" s="4">
        <v>1159476</v>
      </c>
      <c r="J35" s="4">
        <v>651360</v>
      </c>
    </row>
    <row r="36" spans="2:10" x14ac:dyDescent="0.3">
      <c r="B36" s="7">
        <v>44470</v>
      </c>
      <c r="C36" s="3">
        <f t="shared" si="0"/>
        <v>2021</v>
      </c>
      <c r="D36" s="3">
        <f t="shared" si="1"/>
        <v>202110</v>
      </c>
      <c r="E36" s="5" t="s">
        <v>2</v>
      </c>
      <c r="F36" s="5" t="s">
        <v>56</v>
      </c>
      <c r="G36" s="5" t="s">
        <v>15</v>
      </c>
      <c r="H36">
        <v>76</v>
      </c>
      <c r="I36" s="4">
        <v>1035956</v>
      </c>
      <c r="J36" s="4">
        <v>538080</v>
      </c>
    </row>
    <row r="37" spans="2:10" x14ac:dyDescent="0.3">
      <c r="B37" s="7">
        <v>44501</v>
      </c>
      <c r="C37" s="3">
        <f t="shared" si="0"/>
        <v>2021</v>
      </c>
      <c r="D37" s="3">
        <f t="shared" si="1"/>
        <v>202111</v>
      </c>
      <c r="E37" s="5" t="s">
        <v>2</v>
      </c>
      <c r="F37" s="5" t="s">
        <v>56</v>
      </c>
      <c r="G37" s="5" t="s">
        <v>15</v>
      </c>
      <c r="H37">
        <v>54</v>
      </c>
      <c r="I37" s="4">
        <v>737262</v>
      </c>
      <c r="J37" s="4">
        <v>382320</v>
      </c>
    </row>
    <row r="38" spans="2:10" x14ac:dyDescent="0.3">
      <c r="B38" s="7">
        <v>44531</v>
      </c>
      <c r="C38" s="3">
        <f t="shared" si="0"/>
        <v>2021</v>
      </c>
      <c r="D38" s="3">
        <f t="shared" si="1"/>
        <v>202112</v>
      </c>
      <c r="E38" s="5" t="s">
        <v>2</v>
      </c>
      <c r="F38" s="5" t="s">
        <v>56</v>
      </c>
      <c r="G38" s="5" t="s">
        <v>15</v>
      </c>
      <c r="H38">
        <v>65</v>
      </c>
      <c r="I38" s="4">
        <v>824005</v>
      </c>
      <c r="J38" s="4">
        <v>460200</v>
      </c>
    </row>
    <row r="39" spans="2:10" x14ac:dyDescent="0.3">
      <c r="B39" s="7">
        <v>44562</v>
      </c>
      <c r="C39" s="3">
        <f t="shared" si="0"/>
        <v>2022</v>
      </c>
      <c r="D39" s="3">
        <f t="shared" si="1"/>
        <v>202201</v>
      </c>
      <c r="E39" s="5" t="s">
        <v>2</v>
      </c>
      <c r="F39" s="5" t="s">
        <v>56</v>
      </c>
      <c r="G39" s="5" t="s">
        <v>15</v>
      </c>
      <c r="H39">
        <v>96</v>
      </c>
      <c r="I39" s="4">
        <v>1286496</v>
      </c>
      <c r="J39" s="4">
        <v>679680</v>
      </c>
    </row>
    <row r="40" spans="2:10" x14ac:dyDescent="0.3">
      <c r="B40" s="7">
        <v>44593</v>
      </c>
      <c r="C40" s="3">
        <f t="shared" si="0"/>
        <v>2022</v>
      </c>
      <c r="D40" s="3">
        <f t="shared" si="1"/>
        <v>202202</v>
      </c>
      <c r="E40" s="5" t="s">
        <v>2</v>
      </c>
      <c r="F40" s="5" t="s">
        <v>56</v>
      </c>
      <c r="G40" s="5" t="s">
        <v>15</v>
      </c>
      <c r="H40">
        <v>60</v>
      </c>
      <c r="I40" s="4">
        <v>809040</v>
      </c>
      <c r="J40" s="4">
        <v>424800</v>
      </c>
    </row>
    <row r="41" spans="2:10" x14ac:dyDescent="0.3">
      <c r="B41" s="7">
        <v>44621</v>
      </c>
      <c r="C41" s="3">
        <f t="shared" si="0"/>
        <v>2022</v>
      </c>
      <c r="D41" s="3">
        <f t="shared" si="1"/>
        <v>202203</v>
      </c>
      <c r="E41" s="5" t="s">
        <v>2</v>
      </c>
      <c r="F41" s="5" t="s">
        <v>56</v>
      </c>
      <c r="G41" s="5" t="s">
        <v>15</v>
      </c>
      <c r="H41">
        <v>48</v>
      </c>
      <c r="I41" s="4">
        <v>620928</v>
      </c>
      <c r="J41" s="4">
        <v>339840</v>
      </c>
    </row>
    <row r="42" spans="2:10" x14ac:dyDescent="0.3">
      <c r="B42" s="7">
        <v>44652</v>
      </c>
      <c r="C42" s="3">
        <f t="shared" si="0"/>
        <v>2022</v>
      </c>
      <c r="D42" s="3">
        <f t="shared" si="1"/>
        <v>202204</v>
      </c>
      <c r="E42" s="5" t="s">
        <v>2</v>
      </c>
      <c r="F42" s="5" t="s">
        <v>56</v>
      </c>
      <c r="G42" s="5" t="s">
        <v>15</v>
      </c>
      <c r="H42">
        <v>90</v>
      </c>
      <c r="I42" s="4">
        <v>1236510</v>
      </c>
      <c r="J42" s="4">
        <v>637200</v>
      </c>
    </row>
    <row r="43" spans="2:10" x14ac:dyDescent="0.3">
      <c r="B43" s="7">
        <v>44682</v>
      </c>
      <c r="C43" s="3">
        <f t="shared" si="0"/>
        <v>2022</v>
      </c>
      <c r="D43" s="3">
        <f t="shared" si="1"/>
        <v>202205</v>
      </c>
      <c r="E43" s="5" t="s">
        <v>2</v>
      </c>
      <c r="F43" s="5" t="s">
        <v>56</v>
      </c>
      <c r="G43" s="5" t="s">
        <v>15</v>
      </c>
      <c r="H43">
        <v>113</v>
      </c>
      <c r="I43" s="4">
        <v>1638274</v>
      </c>
      <c r="J43" s="4">
        <v>800040</v>
      </c>
    </row>
    <row r="44" spans="2:10" x14ac:dyDescent="0.3">
      <c r="B44" s="7">
        <v>44713</v>
      </c>
      <c r="C44" s="3">
        <f t="shared" si="0"/>
        <v>2022</v>
      </c>
      <c r="D44" s="3">
        <f t="shared" si="1"/>
        <v>202206</v>
      </c>
      <c r="E44" s="5" t="s">
        <v>2</v>
      </c>
      <c r="F44" s="5" t="s">
        <v>56</v>
      </c>
      <c r="G44" s="5" t="s">
        <v>15</v>
      </c>
      <c r="H44">
        <v>107</v>
      </c>
      <c r="I44" s="4">
        <v>1460015</v>
      </c>
      <c r="J44" s="4">
        <v>757560</v>
      </c>
    </row>
    <row r="45" spans="2:10" x14ac:dyDescent="0.3">
      <c r="B45" s="7">
        <v>44743</v>
      </c>
      <c r="C45" s="3">
        <f t="shared" si="0"/>
        <v>2022</v>
      </c>
      <c r="D45" s="3">
        <f t="shared" si="1"/>
        <v>202207</v>
      </c>
      <c r="E45" s="5" t="s">
        <v>2</v>
      </c>
      <c r="F45" s="5" t="s">
        <v>56</v>
      </c>
      <c r="G45" s="5" t="s">
        <v>15</v>
      </c>
      <c r="H45">
        <v>113</v>
      </c>
      <c r="I45" s="4">
        <v>1272267</v>
      </c>
      <c r="J45" s="4">
        <v>800040</v>
      </c>
    </row>
    <row r="46" spans="2:10" x14ac:dyDescent="0.3">
      <c r="B46" s="7">
        <v>44774</v>
      </c>
      <c r="C46" s="3">
        <f t="shared" si="0"/>
        <v>2022</v>
      </c>
      <c r="D46" s="3">
        <f t="shared" si="1"/>
        <v>202208</v>
      </c>
      <c r="E46" s="5" t="s">
        <v>2</v>
      </c>
      <c r="F46" s="5" t="s">
        <v>56</v>
      </c>
      <c r="G46" s="5" t="s">
        <v>15</v>
      </c>
      <c r="H46">
        <v>96</v>
      </c>
      <c r="I46" s="4">
        <v>1219488</v>
      </c>
      <c r="J46" s="4">
        <v>679680</v>
      </c>
    </row>
    <row r="47" spans="2:10" x14ac:dyDescent="0.3">
      <c r="B47" s="7">
        <v>44805</v>
      </c>
      <c r="C47" s="3">
        <f t="shared" si="0"/>
        <v>2022</v>
      </c>
      <c r="D47" s="3">
        <f t="shared" si="1"/>
        <v>202209</v>
      </c>
      <c r="E47" s="5" t="s">
        <v>2</v>
      </c>
      <c r="F47" s="5" t="s">
        <v>56</v>
      </c>
      <c r="G47" s="5" t="s">
        <v>15</v>
      </c>
      <c r="H47">
        <v>101</v>
      </c>
      <c r="I47" s="4">
        <v>1346027</v>
      </c>
      <c r="J47" s="4">
        <v>715080</v>
      </c>
    </row>
    <row r="48" spans="2:10" x14ac:dyDescent="0.3">
      <c r="B48" s="7">
        <v>44835</v>
      </c>
      <c r="C48" s="3">
        <f t="shared" si="0"/>
        <v>2022</v>
      </c>
      <c r="D48" s="3">
        <f t="shared" si="1"/>
        <v>202210</v>
      </c>
      <c r="E48" s="5" t="s">
        <v>2</v>
      </c>
      <c r="F48" s="5" t="s">
        <v>56</v>
      </c>
      <c r="G48" s="5" t="s">
        <v>15</v>
      </c>
      <c r="H48">
        <v>84</v>
      </c>
      <c r="I48" s="4">
        <v>1103004</v>
      </c>
      <c r="J48" s="4">
        <v>594720</v>
      </c>
    </row>
    <row r="49" spans="2:10" x14ac:dyDescent="0.3">
      <c r="B49" s="7">
        <v>44866</v>
      </c>
      <c r="C49" s="3">
        <f t="shared" si="0"/>
        <v>2022</v>
      </c>
      <c r="D49" s="3">
        <f t="shared" si="1"/>
        <v>202211</v>
      </c>
      <c r="E49" s="5" t="s">
        <v>2</v>
      </c>
      <c r="F49" s="5" t="s">
        <v>56</v>
      </c>
      <c r="G49" s="5" t="s">
        <v>15</v>
      </c>
      <c r="H49">
        <v>60</v>
      </c>
      <c r="I49" s="4">
        <v>813420</v>
      </c>
      <c r="J49" s="4">
        <v>424800</v>
      </c>
    </row>
    <row r="50" spans="2:10" x14ac:dyDescent="0.3">
      <c r="B50" s="7">
        <v>44896</v>
      </c>
      <c r="C50" s="3">
        <f t="shared" si="0"/>
        <v>2022</v>
      </c>
      <c r="D50" s="3">
        <f t="shared" si="1"/>
        <v>202212</v>
      </c>
      <c r="E50" s="5" t="s">
        <v>2</v>
      </c>
      <c r="F50" s="5" t="s">
        <v>56</v>
      </c>
      <c r="G50" s="5" t="s">
        <v>15</v>
      </c>
      <c r="H50">
        <v>72</v>
      </c>
      <c r="I50" s="4">
        <v>869760</v>
      </c>
      <c r="J50" s="4">
        <v>509760</v>
      </c>
    </row>
    <row r="51" spans="2:10" x14ac:dyDescent="0.3">
      <c r="B51" s="7">
        <v>44197</v>
      </c>
      <c r="C51" s="3">
        <f t="shared" si="0"/>
        <v>2021</v>
      </c>
      <c r="D51" s="3">
        <f t="shared" si="1"/>
        <v>202101</v>
      </c>
      <c r="E51" s="5" t="s">
        <v>2</v>
      </c>
      <c r="F51" s="5" t="s">
        <v>56</v>
      </c>
      <c r="G51" s="5" t="s">
        <v>16</v>
      </c>
      <c r="H51">
        <v>87</v>
      </c>
      <c r="I51" s="4">
        <v>2274354</v>
      </c>
      <c r="J51" s="4">
        <v>913500</v>
      </c>
    </row>
    <row r="52" spans="2:10" x14ac:dyDescent="0.3">
      <c r="B52" s="7">
        <v>44228</v>
      </c>
      <c r="C52" s="3">
        <f t="shared" si="0"/>
        <v>2021</v>
      </c>
      <c r="D52" s="3">
        <f t="shared" si="1"/>
        <v>202102</v>
      </c>
      <c r="E52" s="5" t="s">
        <v>2</v>
      </c>
      <c r="F52" s="5" t="s">
        <v>56</v>
      </c>
      <c r="G52" s="5" t="s">
        <v>16</v>
      </c>
      <c r="H52">
        <v>54</v>
      </c>
      <c r="I52" s="4">
        <v>1439154</v>
      </c>
      <c r="J52" s="4">
        <v>567000</v>
      </c>
    </row>
    <row r="53" spans="2:10" x14ac:dyDescent="0.3">
      <c r="B53" s="7">
        <v>44256</v>
      </c>
      <c r="C53" s="3">
        <f t="shared" si="0"/>
        <v>2021</v>
      </c>
      <c r="D53" s="3">
        <f t="shared" si="1"/>
        <v>202103</v>
      </c>
      <c r="E53" s="5" t="s">
        <v>2</v>
      </c>
      <c r="F53" s="5" t="s">
        <v>56</v>
      </c>
      <c r="G53" s="5" t="s">
        <v>16</v>
      </c>
      <c r="H53">
        <v>44</v>
      </c>
      <c r="I53" s="4">
        <v>1132208</v>
      </c>
      <c r="J53" s="4">
        <v>462000</v>
      </c>
    </row>
    <row r="54" spans="2:10" x14ac:dyDescent="0.3">
      <c r="B54" s="7">
        <v>44287</v>
      </c>
      <c r="C54" s="3">
        <f t="shared" si="0"/>
        <v>2021</v>
      </c>
      <c r="D54" s="3">
        <f t="shared" si="1"/>
        <v>202104</v>
      </c>
      <c r="E54" s="5" t="s">
        <v>2</v>
      </c>
      <c r="F54" s="5" t="s">
        <v>56</v>
      </c>
      <c r="G54" s="5" t="s">
        <v>16</v>
      </c>
      <c r="H54">
        <v>81</v>
      </c>
      <c r="I54" s="4">
        <v>2126655</v>
      </c>
      <c r="J54" s="4">
        <v>850500</v>
      </c>
    </row>
    <row r="55" spans="2:10" x14ac:dyDescent="0.3">
      <c r="B55" s="7">
        <v>44317</v>
      </c>
      <c r="C55" s="3">
        <f t="shared" si="0"/>
        <v>2021</v>
      </c>
      <c r="D55" s="3">
        <f t="shared" si="1"/>
        <v>202105</v>
      </c>
      <c r="E55" s="5" t="s">
        <v>2</v>
      </c>
      <c r="F55" s="5" t="s">
        <v>56</v>
      </c>
      <c r="G55" s="5" t="s">
        <v>16</v>
      </c>
      <c r="H55">
        <v>103</v>
      </c>
      <c r="I55" s="4">
        <v>2706428</v>
      </c>
      <c r="J55" s="4">
        <v>1081500</v>
      </c>
    </row>
    <row r="56" spans="2:10" x14ac:dyDescent="0.3">
      <c r="B56" s="7">
        <v>44348</v>
      </c>
      <c r="C56" s="3">
        <f t="shared" si="0"/>
        <v>2021</v>
      </c>
      <c r="D56" s="3">
        <f t="shared" si="1"/>
        <v>202106</v>
      </c>
      <c r="E56" s="5" t="s">
        <v>2</v>
      </c>
      <c r="F56" s="5" t="s">
        <v>56</v>
      </c>
      <c r="G56" s="5" t="s">
        <v>16</v>
      </c>
      <c r="H56">
        <v>98</v>
      </c>
      <c r="I56" s="4">
        <v>2572696</v>
      </c>
      <c r="J56" s="4">
        <v>1029000</v>
      </c>
    </row>
    <row r="57" spans="2:10" x14ac:dyDescent="0.3">
      <c r="B57" s="7">
        <v>44378</v>
      </c>
      <c r="C57" s="3">
        <f t="shared" si="0"/>
        <v>2021</v>
      </c>
      <c r="D57" s="3">
        <f t="shared" si="1"/>
        <v>202107</v>
      </c>
      <c r="E57" s="5" t="s">
        <v>2</v>
      </c>
      <c r="F57" s="5" t="s">
        <v>56</v>
      </c>
      <c r="G57" s="5" t="s">
        <v>16</v>
      </c>
      <c r="H57">
        <v>103</v>
      </c>
      <c r="I57" s="4">
        <v>2591995</v>
      </c>
      <c r="J57" s="4">
        <v>1081500</v>
      </c>
    </row>
    <row r="58" spans="2:10" x14ac:dyDescent="0.3">
      <c r="B58" s="7">
        <v>44409</v>
      </c>
      <c r="C58" s="3">
        <f t="shared" si="0"/>
        <v>2021</v>
      </c>
      <c r="D58" s="3">
        <f t="shared" si="1"/>
        <v>202108</v>
      </c>
      <c r="E58" s="5" t="s">
        <v>2</v>
      </c>
      <c r="F58" s="5" t="s">
        <v>56</v>
      </c>
      <c r="G58" s="5" t="s">
        <v>16</v>
      </c>
      <c r="H58">
        <v>87</v>
      </c>
      <c r="I58" s="4">
        <v>2257824</v>
      </c>
      <c r="J58" s="4">
        <v>913500</v>
      </c>
    </row>
    <row r="59" spans="2:10" x14ac:dyDescent="0.3">
      <c r="B59" s="7">
        <v>44440</v>
      </c>
      <c r="C59" s="3">
        <f t="shared" si="0"/>
        <v>2021</v>
      </c>
      <c r="D59" s="3">
        <f t="shared" si="1"/>
        <v>202109</v>
      </c>
      <c r="E59" s="5" t="s">
        <v>2</v>
      </c>
      <c r="F59" s="5" t="s">
        <v>56</v>
      </c>
      <c r="G59" s="5" t="s">
        <v>16</v>
      </c>
      <c r="H59">
        <v>92</v>
      </c>
      <c r="I59" s="4">
        <v>2358512</v>
      </c>
      <c r="J59" s="4">
        <v>966000</v>
      </c>
    </row>
    <row r="60" spans="2:10" x14ac:dyDescent="0.3">
      <c r="B60" s="7">
        <v>44470</v>
      </c>
      <c r="C60" s="3">
        <f t="shared" si="0"/>
        <v>2021</v>
      </c>
      <c r="D60" s="3">
        <f t="shared" si="1"/>
        <v>202110</v>
      </c>
      <c r="E60" s="5" t="s">
        <v>2</v>
      </c>
      <c r="F60" s="5" t="s">
        <v>56</v>
      </c>
      <c r="G60" s="5" t="s">
        <v>16</v>
      </c>
      <c r="H60">
        <v>76</v>
      </c>
      <c r="I60" s="4">
        <v>1990136</v>
      </c>
      <c r="J60" s="4">
        <v>798000</v>
      </c>
    </row>
    <row r="61" spans="2:10" x14ac:dyDescent="0.3">
      <c r="B61" s="7">
        <v>44501</v>
      </c>
      <c r="C61" s="3">
        <f t="shared" si="0"/>
        <v>2021</v>
      </c>
      <c r="D61" s="3">
        <f t="shared" si="1"/>
        <v>202111</v>
      </c>
      <c r="E61" s="5" t="s">
        <v>2</v>
      </c>
      <c r="F61" s="5" t="s">
        <v>56</v>
      </c>
      <c r="G61" s="5" t="s">
        <v>16</v>
      </c>
      <c r="H61">
        <v>54</v>
      </c>
      <c r="I61" s="4">
        <v>1420740</v>
      </c>
      <c r="J61" s="4">
        <v>567000</v>
      </c>
    </row>
    <row r="62" spans="2:10" x14ac:dyDescent="0.3">
      <c r="B62" s="7">
        <v>44531</v>
      </c>
      <c r="C62" s="3">
        <f t="shared" si="0"/>
        <v>2021</v>
      </c>
      <c r="D62" s="3">
        <f t="shared" si="1"/>
        <v>202112</v>
      </c>
      <c r="E62" s="5" t="s">
        <v>2</v>
      </c>
      <c r="F62" s="5" t="s">
        <v>56</v>
      </c>
      <c r="G62" s="5" t="s">
        <v>16</v>
      </c>
      <c r="H62">
        <v>65</v>
      </c>
      <c r="I62" s="4">
        <v>1649505</v>
      </c>
      <c r="J62" s="4">
        <v>682500</v>
      </c>
    </row>
    <row r="63" spans="2:10" x14ac:dyDescent="0.3">
      <c r="B63" s="7">
        <v>44562</v>
      </c>
      <c r="C63" s="3">
        <f t="shared" si="0"/>
        <v>2022</v>
      </c>
      <c r="D63" s="3">
        <f t="shared" si="1"/>
        <v>202201</v>
      </c>
      <c r="E63" s="5" t="s">
        <v>2</v>
      </c>
      <c r="F63" s="5" t="s">
        <v>56</v>
      </c>
      <c r="G63" s="5" t="s">
        <v>16</v>
      </c>
      <c r="H63">
        <v>96</v>
      </c>
      <c r="I63" s="4">
        <v>2513664</v>
      </c>
      <c r="J63" s="4">
        <v>1008000</v>
      </c>
    </row>
    <row r="64" spans="2:10" x14ac:dyDescent="0.3">
      <c r="B64" s="7">
        <v>44593</v>
      </c>
      <c r="C64" s="3">
        <f t="shared" si="0"/>
        <v>2022</v>
      </c>
      <c r="D64" s="3">
        <f t="shared" si="1"/>
        <v>202202</v>
      </c>
      <c r="E64" s="5" t="s">
        <v>2</v>
      </c>
      <c r="F64" s="5" t="s">
        <v>56</v>
      </c>
      <c r="G64" s="5" t="s">
        <v>16</v>
      </c>
      <c r="H64">
        <v>60</v>
      </c>
      <c r="I64" s="4">
        <v>1599480</v>
      </c>
      <c r="J64" s="4">
        <v>630000</v>
      </c>
    </row>
    <row r="65" spans="2:10" x14ac:dyDescent="0.3">
      <c r="B65" s="7">
        <v>44621</v>
      </c>
      <c r="C65" s="3">
        <f t="shared" si="0"/>
        <v>2022</v>
      </c>
      <c r="D65" s="3">
        <f t="shared" si="1"/>
        <v>202203</v>
      </c>
      <c r="E65" s="5" t="s">
        <v>2</v>
      </c>
      <c r="F65" s="5" t="s">
        <v>56</v>
      </c>
      <c r="G65" s="5" t="s">
        <v>16</v>
      </c>
      <c r="H65">
        <v>48</v>
      </c>
      <c r="I65" s="4">
        <v>1233840</v>
      </c>
      <c r="J65" s="4">
        <v>504000</v>
      </c>
    </row>
    <row r="66" spans="2:10" x14ac:dyDescent="0.3">
      <c r="B66" s="7">
        <v>44652</v>
      </c>
      <c r="C66" s="3">
        <f t="shared" si="0"/>
        <v>2022</v>
      </c>
      <c r="D66" s="3">
        <f t="shared" si="1"/>
        <v>202204</v>
      </c>
      <c r="E66" s="5" t="s">
        <v>2</v>
      </c>
      <c r="F66" s="5" t="s">
        <v>56</v>
      </c>
      <c r="G66" s="5" t="s">
        <v>16</v>
      </c>
      <c r="H66">
        <v>90</v>
      </c>
      <c r="I66" s="4">
        <v>2404440</v>
      </c>
      <c r="J66" s="4">
        <v>945000</v>
      </c>
    </row>
    <row r="67" spans="2:10" x14ac:dyDescent="0.3">
      <c r="B67" s="7">
        <v>44682</v>
      </c>
      <c r="C67" s="3">
        <f t="shared" ref="C67:C130" si="2">YEAR(B67)</f>
        <v>2022</v>
      </c>
      <c r="D67" s="3">
        <f t="shared" ref="D67:D130" si="3">VALUE(TEXT(B67,"ГГГГММ"))</f>
        <v>202205</v>
      </c>
      <c r="E67" s="5" t="s">
        <v>2</v>
      </c>
      <c r="F67" s="5" t="s">
        <v>56</v>
      </c>
      <c r="G67" s="5" t="s">
        <v>16</v>
      </c>
      <c r="H67">
        <v>113</v>
      </c>
      <c r="I67" s="4">
        <v>3098347</v>
      </c>
      <c r="J67" s="4">
        <v>1186500</v>
      </c>
    </row>
    <row r="68" spans="2:10" x14ac:dyDescent="0.3">
      <c r="B68" s="7">
        <v>44713</v>
      </c>
      <c r="C68" s="3">
        <f t="shared" si="2"/>
        <v>2022</v>
      </c>
      <c r="D68" s="3">
        <f t="shared" si="3"/>
        <v>202206</v>
      </c>
      <c r="E68" s="5" t="s">
        <v>2</v>
      </c>
      <c r="F68" s="5" t="s">
        <v>56</v>
      </c>
      <c r="G68" s="5" t="s">
        <v>16</v>
      </c>
      <c r="H68">
        <v>107</v>
      </c>
      <c r="I68" s="4">
        <v>2872201</v>
      </c>
      <c r="J68" s="4">
        <v>1123500</v>
      </c>
    </row>
    <row r="69" spans="2:10" x14ac:dyDescent="0.3">
      <c r="B69" s="7">
        <v>44743</v>
      </c>
      <c r="C69" s="3">
        <f t="shared" si="2"/>
        <v>2022</v>
      </c>
      <c r="D69" s="3">
        <f t="shared" si="3"/>
        <v>202207</v>
      </c>
      <c r="E69" s="5" t="s">
        <v>2</v>
      </c>
      <c r="F69" s="5" t="s">
        <v>56</v>
      </c>
      <c r="G69" s="5" t="s">
        <v>16</v>
      </c>
      <c r="H69">
        <v>113</v>
      </c>
      <c r="I69" s="4">
        <v>2780817</v>
      </c>
      <c r="J69" s="4">
        <v>1186500</v>
      </c>
    </row>
    <row r="70" spans="2:10" x14ac:dyDescent="0.3">
      <c r="B70" s="7">
        <v>44774</v>
      </c>
      <c r="C70" s="3">
        <f t="shared" si="2"/>
        <v>2022</v>
      </c>
      <c r="D70" s="3">
        <f t="shared" si="3"/>
        <v>202208</v>
      </c>
      <c r="E70" s="5" t="s">
        <v>2</v>
      </c>
      <c r="F70" s="5" t="s">
        <v>56</v>
      </c>
      <c r="G70" s="5" t="s">
        <v>16</v>
      </c>
      <c r="H70">
        <v>96</v>
      </c>
      <c r="I70" s="4">
        <v>2453952</v>
      </c>
      <c r="J70" s="4">
        <v>1008000</v>
      </c>
    </row>
    <row r="71" spans="2:10" x14ac:dyDescent="0.3">
      <c r="B71" s="7">
        <v>44805</v>
      </c>
      <c r="C71" s="3">
        <f t="shared" si="2"/>
        <v>2022</v>
      </c>
      <c r="D71" s="3">
        <f t="shared" si="3"/>
        <v>202209</v>
      </c>
      <c r="E71" s="5" t="s">
        <v>2</v>
      </c>
      <c r="F71" s="5" t="s">
        <v>56</v>
      </c>
      <c r="G71" s="5" t="s">
        <v>16</v>
      </c>
      <c r="H71">
        <v>101</v>
      </c>
      <c r="I71" s="4">
        <v>2578631</v>
      </c>
      <c r="J71" s="4">
        <v>1060500</v>
      </c>
    </row>
    <row r="72" spans="2:10" x14ac:dyDescent="0.3">
      <c r="B72" s="7">
        <v>44835</v>
      </c>
      <c r="C72" s="3">
        <f t="shared" si="2"/>
        <v>2022</v>
      </c>
      <c r="D72" s="3">
        <f t="shared" si="3"/>
        <v>202210</v>
      </c>
      <c r="E72" s="5" t="s">
        <v>2</v>
      </c>
      <c r="F72" s="5" t="s">
        <v>56</v>
      </c>
      <c r="G72" s="5" t="s">
        <v>16</v>
      </c>
      <c r="H72">
        <v>84</v>
      </c>
      <c r="I72" s="4">
        <v>2220036</v>
      </c>
      <c r="J72" s="4">
        <v>882000</v>
      </c>
    </row>
    <row r="73" spans="2:10" x14ac:dyDescent="0.3">
      <c r="B73" s="7">
        <v>44866</v>
      </c>
      <c r="C73" s="3">
        <f t="shared" si="2"/>
        <v>2022</v>
      </c>
      <c r="D73" s="3">
        <f t="shared" si="3"/>
        <v>202211</v>
      </c>
      <c r="E73" s="5" t="s">
        <v>2</v>
      </c>
      <c r="F73" s="5" t="s">
        <v>56</v>
      </c>
      <c r="G73" s="5" t="s">
        <v>16</v>
      </c>
      <c r="H73">
        <v>60</v>
      </c>
      <c r="I73" s="4">
        <v>1579140</v>
      </c>
      <c r="J73" s="4">
        <v>630000</v>
      </c>
    </row>
    <row r="74" spans="2:10" x14ac:dyDescent="0.3">
      <c r="B74" s="7">
        <v>44896</v>
      </c>
      <c r="C74" s="3">
        <f t="shared" si="2"/>
        <v>2022</v>
      </c>
      <c r="D74" s="3">
        <f t="shared" si="3"/>
        <v>202212</v>
      </c>
      <c r="E74" s="5" t="s">
        <v>2</v>
      </c>
      <c r="F74" s="5" t="s">
        <v>56</v>
      </c>
      <c r="G74" s="5" t="s">
        <v>16</v>
      </c>
      <c r="H74">
        <v>72</v>
      </c>
      <c r="I74" s="4">
        <v>1813104</v>
      </c>
      <c r="J74" s="4">
        <v>756000</v>
      </c>
    </row>
    <row r="75" spans="2:10" x14ac:dyDescent="0.3">
      <c r="B75" s="7">
        <v>44197</v>
      </c>
      <c r="C75" s="3">
        <f t="shared" si="2"/>
        <v>2021</v>
      </c>
      <c r="D75" s="3">
        <f t="shared" si="3"/>
        <v>202101</v>
      </c>
      <c r="E75" s="5" t="s">
        <v>2</v>
      </c>
      <c r="F75" s="5" t="s">
        <v>56</v>
      </c>
      <c r="G75" s="5" t="s">
        <v>17</v>
      </c>
      <c r="H75">
        <v>94</v>
      </c>
      <c r="I75" s="4">
        <v>1706100</v>
      </c>
      <c r="J75" s="4">
        <v>703120</v>
      </c>
    </row>
    <row r="76" spans="2:10" x14ac:dyDescent="0.3">
      <c r="B76" s="7">
        <v>44228</v>
      </c>
      <c r="C76" s="3">
        <f t="shared" si="2"/>
        <v>2021</v>
      </c>
      <c r="D76" s="3">
        <f t="shared" si="3"/>
        <v>202102</v>
      </c>
      <c r="E76" s="5" t="s">
        <v>2</v>
      </c>
      <c r="F76" s="5" t="s">
        <v>56</v>
      </c>
      <c r="G76" s="5" t="s">
        <v>17</v>
      </c>
      <c r="H76">
        <v>59</v>
      </c>
      <c r="I76" s="4">
        <v>1066838</v>
      </c>
      <c r="J76" s="4">
        <v>441320</v>
      </c>
    </row>
    <row r="77" spans="2:10" x14ac:dyDescent="0.3">
      <c r="B77" s="7">
        <v>44256</v>
      </c>
      <c r="C77" s="3">
        <f t="shared" si="2"/>
        <v>2021</v>
      </c>
      <c r="D77" s="3">
        <f t="shared" si="3"/>
        <v>202103</v>
      </c>
      <c r="E77" s="5" t="s">
        <v>2</v>
      </c>
      <c r="F77" s="5" t="s">
        <v>56</v>
      </c>
      <c r="G77" s="5" t="s">
        <v>17</v>
      </c>
      <c r="H77">
        <v>47</v>
      </c>
      <c r="I77" s="4">
        <v>838997</v>
      </c>
      <c r="J77" s="4">
        <v>351560</v>
      </c>
    </row>
    <row r="78" spans="2:10" x14ac:dyDescent="0.3">
      <c r="B78" s="7">
        <v>44287</v>
      </c>
      <c r="C78" s="3">
        <f t="shared" si="2"/>
        <v>2021</v>
      </c>
      <c r="D78" s="3">
        <f t="shared" si="3"/>
        <v>202104</v>
      </c>
      <c r="E78" s="5" t="s">
        <v>2</v>
      </c>
      <c r="F78" s="5" t="s">
        <v>56</v>
      </c>
      <c r="G78" s="5" t="s">
        <v>17</v>
      </c>
      <c r="H78">
        <v>88</v>
      </c>
      <c r="I78" s="4">
        <v>1681768</v>
      </c>
      <c r="J78" s="4">
        <v>658240</v>
      </c>
    </row>
    <row r="79" spans="2:10" x14ac:dyDescent="0.3">
      <c r="B79" s="7">
        <v>44317</v>
      </c>
      <c r="C79" s="3">
        <f t="shared" si="2"/>
        <v>2021</v>
      </c>
      <c r="D79" s="3">
        <f t="shared" si="3"/>
        <v>202105</v>
      </c>
      <c r="E79" s="5" t="s">
        <v>2</v>
      </c>
      <c r="F79" s="5" t="s">
        <v>56</v>
      </c>
      <c r="G79" s="5" t="s">
        <v>17</v>
      </c>
      <c r="H79">
        <v>112</v>
      </c>
      <c r="I79" s="4">
        <v>2118592</v>
      </c>
      <c r="J79" s="4">
        <v>837760</v>
      </c>
    </row>
    <row r="80" spans="2:10" x14ac:dyDescent="0.3">
      <c r="B80" s="7">
        <v>44348</v>
      </c>
      <c r="C80" s="3">
        <f t="shared" si="2"/>
        <v>2021</v>
      </c>
      <c r="D80" s="3">
        <f t="shared" si="3"/>
        <v>202106</v>
      </c>
      <c r="E80" s="5" t="s">
        <v>2</v>
      </c>
      <c r="F80" s="5" t="s">
        <v>56</v>
      </c>
      <c r="G80" s="5" t="s">
        <v>17</v>
      </c>
      <c r="H80">
        <v>106</v>
      </c>
      <c r="I80" s="4">
        <v>1939694</v>
      </c>
      <c r="J80" s="4">
        <v>792880</v>
      </c>
    </row>
    <row r="81" spans="2:10" x14ac:dyDescent="0.3">
      <c r="B81" s="7">
        <v>44378</v>
      </c>
      <c r="C81" s="3">
        <f t="shared" si="2"/>
        <v>2021</v>
      </c>
      <c r="D81" s="3">
        <f t="shared" si="3"/>
        <v>202107</v>
      </c>
      <c r="E81" s="5" t="s">
        <v>2</v>
      </c>
      <c r="F81" s="5" t="s">
        <v>56</v>
      </c>
      <c r="G81" s="5" t="s">
        <v>17</v>
      </c>
      <c r="H81">
        <v>112</v>
      </c>
      <c r="I81" s="4">
        <v>1885072</v>
      </c>
      <c r="J81" s="4">
        <v>837760</v>
      </c>
    </row>
    <row r="82" spans="2:10" x14ac:dyDescent="0.3">
      <c r="B82" s="7">
        <v>44409</v>
      </c>
      <c r="C82" s="3">
        <f t="shared" si="2"/>
        <v>2021</v>
      </c>
      <c r="D82" s="3">
        <f t="shared" si="3"/>
        <v>202108</v>
      </c>
      <c r="E82" s="5" t="s">
        <v>2</v>
      </c>
      <c r="F82" s="5" t="s">
        <v>56</v>
      </c>
      <c r="G82" s="5" t="s">
        <v>17</v>
      </c>
      <c r="H82">
        <v>94</v>
      </c>
      <c r="I82" s="4">
        <v>1713526</v>
      </c>
      <c r="J82" s="4">
        <v>703120</v>
      </c>
    </row>
    <row r="83" spans="2:10" x14ac:dyDescent="0.3">
      <c r="B83" s="7">
        <v>44440</v>
      </c>
      <c r="C83" s="3">
        <f t="shared" si="2"/>
        <v>2021</v>
      </c>
      <c r="D83" s="3">
        <f t="shared" si="3"/>
        <v>202109</v>
      </c>
      <c r="E83" s="5" t="s">
        <v>2</v>
      </c>
      <c r="F83" s="5" t="s">
        <v>56</v>
      </c>
      <c r="G83" s="5" t="s">
        <v>17</v>
      </c>
      <c r="H83">
        <v>100</v>
      </c>
      <c r="I83" s="4">
        <v>1802300</v>
      </c>
      <c r="J83" s="4">
        <v>748000</v>
      </c>
    </row>
    <row r="84" spans="2:10" x14ac:dyDescent="0.3">
      <c r="B84" s="7">
        <v>44470</v>
      </c>
      <c r="C84" s="3">
        <f t="shared" si="2"/>
        <v>2021</v>
      </c>
      <c r="D84" s="3">
        <f t="shared" si="3"/>
        <v>202110</v>
      </c>
      <c r="E84" s="5" t="s">
        <v>2</v>
      </c>
      <c r="F84" s="5" t="s">
        <v>56</v>
      </c>
      <c r="G84" s="5" t="s">
        <v>17</v>
      </c>
      <c r="H84">
        <v>82</v>
      </c>
      <c r="I84" s="4">
        <v>1523724</v>
      </c>
      <c r="J84" s="4">
        <v>613360</v>
      </c>
    </row>
    <row r="85" spans="2:10" x14ac:dyDescent="0.3">
      <c r="B85" s="7">
        <v>44501</v>
      </c>
      <c r="C85" s="3">
        <f t="shared" si="2"/>
        <v>2021</v>
      </c>
      <c r="D85" s="3">
        <f t="shared" si="3"/>
        <v>202111</v>
      </c>
      <c r="E85" s="5" t="s">
        <v>2</v>
      </c>
      <c r="F85" s="5" t="s">
        <v>56</v>
      </c>
      <c r="G85" s="5" t="s">
        <v>17</v>
      </c>
      <c r="H85">
        <v>59</v>
      </c>
      <c r="I85" s="4">
        <v>1050495</v>
      </c>
      <c r="J85" s="4">
        <v>441320</v>
      </c>
    </row>
    <row r="86" spans="2:10" x14ac:dyDescent="0.3">
      <c r="B86" s="7">
        <v>44531</v>
      </c>
      <c r="C86" s="3">
        <f t="shared" si="2"/>
        <v>2021</v>
      </c>
      <c r="D86" s="3">
        <f t="shared" si="3"/>
        <v>202112</v>
      </c>
      <c r="E86" s="5" t="s">
        <v>2</v>
      </c>
      <c r="F86" s="5" t="s">
        <v>56</v>
      </c>
      <c r="G86" s="5" t="s">
        <v>17</v>
      </c>
      <c r="H86">
        <v>71</v>
      </c>
      <c r="I86" s="4">
        <v>1263161</v>
      </c>
      <c r="J86" s="4">
        <v>531080</v>
      </c>
    </row>
    <row r="87" spans="2:10" x14ac:dyDescent="0.3">
      <c r="B87" s="7">
        <v>44562</v>
      </c>
      <c r="C87" s="3">
        <f t="shared" si="2"/>
        <v>2022</v>
      </c>
      <c r="D87" s="3">
        <f t="shared" si="3"/>
        <v>202201</v>
      </c>
      <c r="E87" s="5" t="s">
        <v>2</v>
      </c>
      <c r="F87" s="5" t="s">
        <v>56</v>
      </c>
      <c r="G87" s="5" t="s">
        <v>17</v>
      </c>
      <c r="H87">
        <v>103</v>
      </c>
      <c r="I87" s="4">
        <v>1896333</v>
      </c>
      <c r="J87" s="4">
        <v>770440</v>
      </c>
    </row>
    <row r="88" spans="2:10" x14ac:dyDescent="0.3">
      <c r="B88" s="7">
        <v>44593</v>
      </c>
      <c r="C88" s="3">
        <f t="shared" si="2"/>
        <v>2022</v>
      </c>
      <c r="D88" s="3">
        <f t="shared" si="3"/>
        <v>202202</v>
      </c>
      <c r="E88" s="5" t="s">
        <v>2</v>
      </c>
      <c r="F88" s="5" t="s">
        <v>56</v>
      </c>
      <c r="G88" s="5" t="s">
        <v>17</v>
      </c>
      <c r="H88">
        <v>65</v>
      </c>
      <c r="I88" s="4">
        <v>1197105</v>
      </c>
      <c r="J88" s="4">
        <v>486200</v>
      </c>
    </row>
    <row r="89" spans="2:10" x14ac:dyDescent="0.3">
      <c r="B89" s="7">
        <v>44621</v>
      </c>
      <c r="C89" s="3">
        <f t="shared" si="2"/>
        <v>2022</v>
      </c>
      <c r="D89" s="3">
        <f t="shared" si="3"/>
        <v>202203</v>
      </c>
      <c r="E89" s="5" t="s">
        <v>2</v>
      </c>
      <c r="F89" s="5" t="s">
        <v>56</v>
      </c>
      <c r="G89" s="5" t="s">
        <v>17</v>
      </c>
      <c r="H89">
        <v>52</v>
      </c>
      <c r="I89" s="4">
        <v>931372</v>
      </c>
      <c r="J89" s="4">
        <v>388960</v>
      </c>
    </row>
    <row r="90" spans="2:10" x14ac:dyDescent="0.3">
      <c r="B90" s="7">
        <v>44652</v>
      </c>
      <c r="C90" s="3">
        <f t="shared" si="2"/>
        <v>2022</v>
      </c>
      <c r="D90" s="3">
        <f t="shared" si="3"/>
        <v>202204</v>
      </c>
      <c r="E90" s="5" t="s">
        <v>2</v>
      </c>
      <c r="F90" s="5" t="s">
        <v>56</v>
      </c>
      <c r="G90" s="5" t="s">
        <v>17</v>
      </c>
      <c r="H90">
        <v>97</v>
      </c>
      <c r="I90" s="4">
        <v>1782957</v>
      </c>
      <c r="J90" s="4">
        <v>725560</v>
      </c>
    </row>
    <row r="91" spans="2:10" x14ac:dyDescent="0.3">
      <c r="B91" s="7">
        <v>44682</v>
      </c>
      <c r="C91" s="3">
        <f t="shared" si="2"/>
        <v>2022</v>
      </c>
      <c r="D91" s="3">
        <f t="shared" si="3"/>
        <v>202205</v>
      </c>
      <c r="E91" s="5" t="s">
        <v>2</v>
      </c>
      <c r="F91" s="5" t="s">
        <v>56</v>
      </c>
      <c r="G91" s="5" t="s">
        <v>17</v>
      </c>
      <c r="H91">
        <v>123</v>
      </c>
      <c r="I91" s="4">
        <v>2273778</v>
      </c>
      <c r="J91" s="4">
        <v>920040</v>
      </c>
    </row>
    <row r="92" spans="2:10" x14ac:dyDescent="0.3">
      <c r="B92" s="7">
        <v>44713</v>
      </c>
      <c r="C92" s="3">
        <f t="shared" si="2"/>
        <v>2022</v>
      </c>
      <c r="D92" s="3">
        <f t="shared" si="3"/>
        <v>202206</v>
      </c>
      <c r="E92" s="5" t="s">
        <v>2</v>
      </c>
      <c r="F92" s="5" t="s">
        <v>56</v>
      </c>
      <c r="G92" s="5" t="s">
        <v>17</v>
      </c>
      <c r="H92">
        <v>116</v>
      </c>
      <c r="I92" s="4">
        <v>2199244</v>
      </c>
      <c r="J92" s="4">
        <v>867680</v>
      </c>
    </row>
    <row r="93" spans="2:10" x14ac:dyDescent="0.3">
      <c r="B93" s="7">
        <v>44743</v>
      </c>
      <c r="C93" s="3">
        <f t="shared" si="2"/>
        <v>2022</v>
      </c>
      <c r="D93" s="3">
        <f t="shared" si="3"/>
        <v>202207</v>
      </c>
      <c r="E93" s="5" t="s">
        <v>2</v>
      </c>
      <c r="F93" s="5" t="s">
        <v>56</v>
      </c>
      <c r="G93" s="5" t="s">
        <v>17</v>
      </c>
      <c r="H93">
        <v>123</v>
      </c>
      <c r="I93" s="4">
        <v>2048934</v>
      </c>
      <c r="J93" s="4">
        <v>920040</v>
      </c>
    </row>
    <row r="94" spans="2:10" x14ac:dyDescent="0.3">
      <c r="B94" s="7">
        <v>44774</v>
      </c>
      <c r="C94" s="3">
        <f t="shared" si="2"/>
        <v>2022</v>
      </c>
      <c r="D94" s="3">
        <f t="shared" si="3"/>
        <v>202208</v>
      </c>
      <c r="E94" s="5" t="s">
        <v>2</v>
      </c>
      <c r="F94" s="5" t="s">
        <v>56</v>
      </c>
      <c r="G94" s="5" t="s">
        <v>17</v>
      </c>
      <c r="H94">
        <v>103</v>
      </c>
      <c r="I94" s="4">
        <v>1844524</v>
      </c>
      <c r="J94" s="4">
        <v>770440</v>
      </c>
    </row>
    <row r="95" spans="2:10" x14ac:dyDescent="0.3">
      <c r="B95" s="7">
        <v>44805</v>
      </c>
      <c r="C95" s="3">
        <f t="shared" si="2"/>
        <v>2022</v>
      </c>
      <c r="D95" s="3">
        <f t="shared" si="3"/>
        <v>202209</v>
      </c>
      <c r="E95" s="5" t="s">
        <v>2</v>
      </c>
      <c r="F95" s="5" t="s">
        <v>56</v>
      </c>
      <c r="G95" s="5" t="s">
        <v>17</v>
      </c>
      <c r="H95">
        <v>110</v>
      </c>
      <c r="I95" s="4">
        <v>1930390</v>
      </c>
      <c r="J95" s="4">
        <v>822800</v>
      </c>
    </row>
    <row r="96" spans="2:10" x14ac:dyDescent="0.3">
      <c r="B96" s="7">
        <v>44835</v>
      </c>
      <c r="C96" s="3">
        <f t="shared" si="2"/>
        <v>2022</v>
      </c>
      <c r="D96" s="3">
        <f t="shared" si="3"/>
        <v>202210</v>
      </c>
      <c r="E96" s="5" t="s">
        <v>2</v>
      </c>
      <c r="F96" s="5" t="s">
        <v>56</v>
      </c>
      <c r="G96" s="5" t="s">
        <v>17</v>
      </c>
      <c r="H96">
        <v>91</v>
      </c>
      <c r="I96" s="4">
        <v>1719172</v>
      </c>
      <c r="J96" s="4">
        <v>680680</v>
      </c>
    </row>
    <row r="97" spans="2:10" x14ac:dyDescent="0.3">
      <c r="B97" s="7">
        <v>44866</v>
      </c>
      <c r="C97" s="3">
        <f t="shared" si="2"/>
        <v>2022</v>
      </c>
      <c r="D97" s="3">
        <f t="shared" si="3"/>
        <v>202211</v>
      </c>
      <c r="E97" s="5" t="s">
        <v>2</v>
      </c>
      <c r="F97" s="5" t="s">
        <v>56</v>
      </c>
      <c r="G97" s="5" t="s">
        <v>17</v>
      </c>
      <c r="H97">
        <v>65</v>
      </c>
      <c r="I97" s="4">
        <v>1204450</v>
      </c>
      <c r="J97" s="4">
        <v>486200</v>
      </c>
    </row>
    <row r="98" spans="2:10" x14ac:dyDescent="0.3">
      <c r="B98" s="7">
        <v>44896</v>
      </c>
      <c r="C98" s="3">
        <f t="shared" si="2"/>
        <v>2022</v>
      </c>
      <c r="D98" s="3">
        <f t="shared" si="3"/>
        <v>202212</v>
      </c>
      <c r="E98" s="5" t="s">
        <v>2</v>
      </c>
      <c r="F98" s="5" t="s">
        <v>56</v>
      </c>
      <c r="G98" s="5" t="s">
        <v>17</v>
      </c>
      <c r="H98">
        <v>78</v>
      </c>
      <c r="I98" s="4">
        <v>1371006</v>
      </c>
      <c r="J98" s="4">
        <v>583440</v>
      </c>
    </row>
    <row r="99" spans="2:10" x14ac:dyDescent="0.3">
      <c r="B99" s="7">
        <v>44197</v>
      </c>
      <c r="C99" s="3">
        <f t="shared" si="2"/>
        <v>2021</v>
      </c>
      <c r="D99" s="3">
        <f t="shared" si="3"/>
        <v>202101</v>
      </c>
      <c r="E99" s="5" t="s">
        <v>2</v>
      </c>
      <c r="F99" s="5" t="s">
        <v>56</v>
      </c>
      <c r="G99" s="5" t="s">
        <v>18</v>
      </c>
      <c r="H99">
        <v>73</v>
      </c>
      <c r="I99" s="4">
        <v>2288331</v>
      </c>
      <c r="J99" s="4">
        <v>1226400</v>
      </c>
    </row>
    <row r="100" spans="2:10" x14ac:dyDescent="0.3">
      <c r="B100" s="7">
        <v>44228</v>
      </c>
      <c r="C100" s="3">
        <f t="shared" si="2"/>
        <v>2021</v>
      </c>
      <c r="D100" s="3">
        <f t="shared" si="3"/>
        <v>202102</v>
      </c>
      <c r="E100" s="5" t="s">
        <v>2</v>
      </c>
      <c r="F100" s="5" t="s">
        <v>56</v>
      </c>
      <c r="G100" s="5" t="s">
        <v>18</v>
      </c>
      <c r="H100">
        <v>46</v>
      </c>
      <c r="I100" s="4">
        <v>1433728</v>
      </c>
      <c r="J100" s="4">
        <v>772800</v>
      </c>
    </row>
    <row r="101" spans="2:10" x14ac:dyDescent="0.3">
      <c r="B101" s="7">
        <v>44256</v>
      </c>
      <c r="C101" s="3">
        <f t="shared" si="2"/>
        <v>2021</v>
      </c>
      <c r="D101" s="3">
        <f t="shared" si="3"/>
        <v>202103</v>
      </c>
      <c r="E101" s="5" t="s">
        <v>2</v>
      </c>
      <c r="F101" s="5" t="s">
        <v>56</v>
      </c>
      <c r="G101" s="5" t="s">
        <v>18</v>
      </c>
      <c r="H101">
        <v>37</v>
      </c>
      <c r="I101" s="4">
        <v>1146963</v>
      </c>
      <c r="J101" s="4">
        <v>621600</v>
      </c>
    </row>
    <row r="102" spans="2:10" x14ac:dyDescent="0.3">
      <c r="B102" s="7">
        <v>44287</v>
      </c>
      <c r="C102" s="3">
        <f t="shared" si="2"/>
        <v>2021</v>
      </c>
      <c r="D102" s="3">
        <f t="shared" si="3"/>
        <v>202104</v>
      </c>
      <c r="E102" s="5" t="s">
        <v>2</v>
      </c>
      <c r="F102" s="5" t="s">
        <v>56</v>
      </c>
      <c r="G102" s="5" t="s">
        <v>18</v>
      </c>
      <c r="H102">
        <v>69</v>
      </c>
      <c r="I102" s="4">
        <v>2162943</v>
      </c>
      <c r="J102" s="4">
        <v>1159200</v>
      </c>
    </row>
    <row r="103" spans="2:10" x14ac:dyDescent="0.3">
      <c r="B103" s="7">
        <v>44317</v>
      </c>
      <c r="C103" s="3">
        <f t="shared" si="2"/>
        <v>2021</v>
      </c>
      <c r="D103" s="3">
        <f t="shared" si="3"/>
        <v>202105</v>
      </c>
      <c r="E103" s="5" t="s">
        <v>2</v>
      </c>
      <c r="F103" s="5" t="s">
        <v>56</v>
      </c>
      <c r="G103" s="5" t="s">
        <v>18</v>
      </c>
      <c r="H103">
        <v>87</v>
      </c>
      <c r="I103" s="4">
        <v>2832633</v>
      </c>
      <c r="J103" s="4">
        <v>1461600</v>
      </c>
    </row>
    <row r="104" spans="2:10" x14ac:dyDescent="0.3">
      <c r="B104" s="7">
        <v>44348</v>
      </c>
      <c r="C104" s="3">
        <f t="shared" si="2"/>
        <v>2021</v>
      </c>
      <c r="D104" s="3">
        <f t="shared" si="3"/>
        <v>202106</v>
      </c>
      <c r="E104" s="5" t="s">
        <v>2</v>
      </c>
      <c r="F104" s="5" t="s">
        <v>56</v>
      </c>
      <c r="G104" s="5" t="s">
        <v>18</v>
      </c>
      <c r="H104">
        <v>82</v>
      </c>
      <c r="I104" s="4">
        <v>2544050</v>
      </c>
      <c r="J104" s="4">
        <v>1377600</v>
      </c>
    </row>
    <row r="105" spans="2:10" x14ac:dyDescent="0.3">
      <c r="B105" s="7">
        <v>44378</v>
      </c>
      <c r="C105" s="3">
        <f t="shared" si="2"/>
        <v>2021</v>
      </c>
      <c r="D105" s="3">
        <f t="shared" si="3"/>
        <v>202107</v>
      </c>
      <c r="E105" s="5" t="s">
        <v>2</v>
      </c>
      <c r="F105" s="5" t="s">
        <v>56</v>
      </c>
      <c r="G105" s="5" t="s">
        <v>18</v>
      </c>
      <c r="H105">
        <v>87</v>
      </c>
      <c r="I105" s="4">
        <v>2613567</v>
      </c>
      <c r="J105" s="4">
        <v>1461600</v>
      </c>
    </row>
    <row r="106" spans="2:10" x14ac:dyDescent="0.3">
      <c r="B106" s="7">
        <v>44409</v>
      </c>
      <c r="C106" s="3">
        <f t="shared" si="2"/>
        <v>2021</v>
      </c>
      <c r="D106" s="3">
        <f t="shared" si="3"/>
        <v>202108</v>
      </c>
      <c r="E106" s="5" t="s">
        <v>2</v>
      </c>
      <c r="F106" s="5" t="s">
        <v>56</v>
      </c>
      <c r="G106" s="5" t="s">
        <v>18</v>
      </c>
      <c r="H106">
        <v>73</v>
      </c>
      <c r="I106" s="4">
        <v>2269789</v>
      </c>
      <c r="J106" s="4">
        <v>1226400</v>
      </c>
    </row>
    <row r="107" spans="2:10" x14ac:dyDescent="0.3">
      <c r="B107" s="7">
        <v>44440</v>
      </c>
      <c r="C107" s="3">
        <f t="shared" si="2"/>
        <v>2021</v>
      </c>
      <c r="D107" s="3">
        <f t="shared" si="3"/>
        <v>202109</v>
      </c>
      <c r="E107" s="5" t="s">
        <v>2</v>
      </c>
      <c r="F107" s="5" t="s">
        <v>56</v>
      </c>
      <c r="G107" s="5" t="s">
        <v>18</v>
      </c>
      <c r="H107">
        <v>78</v>
      </c>
      <c r="I107" s="4">
        <v>2402868</v>
      </c>
      <c r="J107" s="4">
        <v>1310400</v>
      </c>
    </row>
    <row r="108" spans="2:10" x14ac:dyDescent="0.3">
      <c r="B108" s="7">
        <v>44470</v>
      </c>
      <c r="C108" s="3">
        <f t="shared" si="2"/>
        <v>2021</v>
      </c>
      <c r="D108" s="3">
        <f t="shared" si="3"/>
        <v>202110</v>
      </c>
      <c r="E108" s="5" t="s">
        <v>2</v>
      </c>
      <c r="F108" s="5" t="s">
        <v>56</v>
      </c>
      <c r="G108" s="5" t="s">
        <v>18</v>
      </c>
      <c r="H108">
        <v>64</v>
      </c>
      <c r="I108" s="4">
        <v>2039168</v>
      </c>
      <c r="J108" s="4">
        <v>1075200</v>
      </c>
    </row>
    <row r="109" spans="2:10" x14ac:dyDescent="0.3">
      <c r="B109" s="7">
        <v>44501</v>
      </c>
      <c r="C109" s="3">
        <f t="shared" si="2"/>
        <v>2021</v>
      </c>
      <c r="D109" s="3">
        <f t="shared" si="3"/>
        <v>202111</v>
      </c>
      <c r="E109" s="5" t="s">
        <v>2</v>
      </c>
      <c r="F109" s="5" t="s">
        <v>56</v>
      </c>
      <c r="G109" s="5" t="s">
        <v>18</v>
      </c>
      <c r="H109">
        <v>46</v>
      </c>
      <c r="I109" s="4">
        <v>1433038</v>
      </c>
      <c r="J109" s="4">
        <v>772800</v>
      </c>
    </row>
    <row r="110" spans="2:10" x14ac:dyDescent="0.3">
      <c r="B110" s="7">
        <v>44531</v>
      </c>
      <c r="C110" s="3">
        <f t="shared" si="2"/>
        <v>2021</v>
      </c>
      <c r="D110" s="3">
        <f t="shared" si="3"/>
        <v>202112</v>
      </c>
      <c r="E110" s="5" t="s">
        <v>2</v>
      </c>
      <c r="F110" s="5" t="s">
        <v>56</v>
      </c>
      <c r="G110" s="5" t="s">
        <v>18</v>
      </c>
      <c r="H110">
        <v>55</v>
      </c>
      <c r="I110" s="4">
        <v>1710665</v>
      </c>
      <c r="J110" s="4">
        <v>924000</v>
      </c>
    </row>
    <row r="111" spans="2:10" x14ac:dyDescent="0.3">
      <c r="B111" s="7">
        <v>44562</v>
      </c>
      <c r="C111" s="3">
        <f t="shared" si="2"/>
        <v>2022</v>
      </c>
      <c r="D111" s="3">
        <f t="shared" si="3"/>
        <v>202201</v>
      </c>
      <c r="E111" s="5" t="s">
        <v>2</v>
      </c>
      <c r="F111" s="5" t="s">
        <v>56</v>
      </c>
      <c r="G111" s="5" t="s">
        <v>18</v>
      </c>
      <c r="H111">
        <v>81</v>
      </c>
      <c r="I111" s="4">
        <v>2552715</v>
      </c>
      <c r="J111" s="4">
        <v>1360800</v>
      </c>
    </row>
    <row r="112" spans="2:10" x14ac:dyDescent="0.3">
      <c r="B112" s="7">
        <v>44593</v>
      </c>
      <c r="C112" s="3">
        <f t="shared" si="2"/>
        <v>2022</v>
      </c>
      <c r="D112" s="3">
        <f t="shared" si="3"/>
        <v>202202</v>
      </c>
      <c r="E112" s="5" t="s">
        <v>2</v>
      </c>
      <c r="F112" s="5" t="s">
        <v>56</v>
      </c>
      <c r="G112" s="5" t="s">
        <v>18</v>
      </c>
      <c r="H112">
        <v>51</v>
      </c>
      <c r="I112" s="4">
        <v>1611906</v>
      </c>
      <c r="J112" s="4">
        <v>856800</v>
      </c>
    </row>
    <row r="113" spans="2:10" x14ac:dyDescent="0.3">
      <c r="B113" s="7">
        <v>44621</v>
      </c>
      <c r="C113" s="3">
        <f t="shared" si="2"/>
        <v>2022</v>
      </c>
      <c r="D113" s="3">
        <f t="shared" si="3"/>
        <v>202203</v>
      </c>
      <c r="E113" s="5" t="s">
        <v>2</v>
      </c>
      <c r="F113" s="5" t="s">
        <v>56</v>
      </c>
      <c r="G113" s="5" t="s">
        <v>18</v>
      </c>
      <c r="H113">
        <v>41</v>
      </c>
      <c r="I113" s="4">
        <v>1253370</v>
      </c>
      <c r="J113" s="4">
        <v>688800</v>
      </c>
    </row>
    <row r="114" spans="2:10" x14ac:dyDescent="0.3">
      <c r="B114" s="7">
        <v>44652</v>
      </c>
      <c r="C114" s="3">
        <f t="shared" si="2"/>
        <v>2022</v>
      </c>
      <c r="D114" s="3">
        <f t="shared" si="3"/>
        <v>202204</v>
      </c>
      <c r="E114" s="5" t="s">
        <v>2</v>
      </c>
      <c r="F114" s="5" t="s">
        <v>56</v>
      </c>
      <c r="G114" s="5" t="s">
        <v>18</v>
      </c>
      <c r="H114">
        <v>76</v>
      </c>
      <c r="I114" s="4">
        <v>2379028</v>
      </c>
      <c r="J114" s="4">
        <v>1276800</v>
      </c>
    </row>
    <row r="115" spans="2:10" x14ac:dyDescent="0.3">
      <c r="B115" s="7">
        <v>44682</v>
      </c>
      <c r="C115" s="3">
        <f t="shared" si="2"/>
        <v>2022</v>
      </c>
      <c r="D115" s="3">
        <f t="shared" si="3"/>
        <v>202205</v>
      </c>
      <c r="E115" s="5" t="s">
        <v>2</v>
      </c>
      <c r="F115" s="5" t="s">
        <v>56</v>
      </c>
      <c r="G115" s="5" t="s">
        <v>18</v>
      </c>
      <c r="H115">
        <v>96</v>
      </c>
      <c r="I115" s="4">
        <v>3055872</v>
      </c>
      <c r="J115" s="4">
        <v>1612800</v>
      </c>
    </row>
    <row r="116" spans="2:10" x14ac:dyDescent="0.3">
      <c r="B116" s="7">
        <v>44713</v>
      </c>
      <c r="C116" s="3">
        <f t="shared" si="2"/>
        <v>2022</v>
      </c>
      <c r="D116" s="3">
        <f t="shared" si="3"/>
        <v>202206</v>
      </c>
      <c r="E116" s="5" t="s">
        <v>2</v>
      </c>
      <c r="F116" s="5" t="s">
        <v>56</v>
      </c>
      <c r="G116" s="5" t="s">
        <v>18</v>
      </c>
      <c r="H116">
        <v>91</v>
      </c>
      <c r="I116" s="4">
        <v>2850393</v>
      </c>
      <c r="J116" s="4">
        <v>1528800</v>
      </c>
    </row>
    <row r="117" spans="2:10" x14ac:dyDescent="0.3">
      <c r="B117" s="7">
        <v>44743</v>
      </c>
      <c r="C117" s="3">
        <f t="shared" si="2"/>
        <v>2022</v>
      </c>
      <c r="D117" s="3">
        <f t="shared" si="3"/>
        <v>202207</v>
      </c>
      <c r="E117" s="5" t="s">
        <v>2</v>
      </c>
      <c r="F117" s="5" t="s">
        <v>56</v>
      </c>
      <c r="G117" s="5" t="s">
        <v>18</v>
      </c>
      <c r="H117">
        <v>96</v>
      </c>
      <c r="I117" s="4">
        <v>2848416</v>
      </c>
      <c r="J117" s="4">
        <v>1612800</v>
      </c>
    </row>
    <row r="118" spans="2:10" x14ac:dyDescent="0.3">
      <c r="B118" s="7">
        <v>44774</v>
      </c>
      <c r="C118" s="3">
        <f t="shared" si="2"/>
        <v>2022</v>
      </c>
      <c r="D118" s="3">
        <f t="shared" si="3"/>
        <v>202208</v>
      </c>
      <c r="E118" s="5" t="s">
        <v>2</v>
      </c>
      <c r="F118" s="5" t="s">
        <v>56</v>
      </c>
      <c r="G118" s="5" t="s">
        <v>18</v>
      </c>
      <c r="H118">
        <v>81</v>
      </c>
      <c r="I118" s="4">
        <v>2474469</v>
      </c>
      <c r="J118" s="4">
        <v>1360800</v>
      </c>
    </row>
    <row r="119" spans="2:10" x14ac:dyDescent="0.3">
      <c r="B119" s="7">
        <v>44805</v>
      </c>
      <c r="C119" s="3">
        <f t="shared" si="2"/>
        <v>2022</v>
      </c>
      <c r="D119" s="3">
        <f t="shared" si="3"/>
        <v>202209</v>
      </c>
      <c r="E119" s="5" t="s">
        <v>2</v>
      </c>
      <c r="F119" s="5" t="s">
        <v>56</v>
      </c>
      <c r="G119" s="5" t="s">
        <v>18</v>
      </c>
      <c r="H119">
        <v>86</v>
      </c>
      <c r="I119" s="4">
        <v>2690768</v>
      </c>
      <c r="J119" s="4">
        <v>1444800</v>
      </c>
    </row>
    <row r="120" spans="2:10" x14ac:dyDescent="0.3">
      <c r="B120" s="7">
        <v>44835</v>
      </c>
      <c r="C120" s="3">
        <f t="shared" si="2"/>
        <v>2022</v>
      </c>
      <c r="D120" s="3">
        <f t="shared" si="3"/>
        <v>202210</v>
      </c>
      <c r="E120" s="5" t="s">
        <v>2</v>
      </c>
      <c r="F120" s="5" t="s">
        <v>56</v>
      </c>
      <c r="G120" s="5" t="s">
        <v>18</v>
      </c>
      <c r="H120">
        <v>71</v>
      </c>
      <c r="I120" s="4">
        <v>2245446</v>
      </c>
      <c r="J120" s="4">
        <v>1192800</v>
      </c>
    </row>
    <row r="121" spans="2:10" x14ac:dyDescent="0.3">
      <c r="B121" s="7">
        <v>44866</v>
      </c>
      <c r="C121" s="3">
        <f t="shared" si="2"/>
        <v>2022</v>
      </c>
      <c r="D121" s="3">
        <f t="shared" si="3"/>
        <v>202211</v>
      </c>
      <c r="E121" s="5" t="s">
        <v>2</v>
      </c>
      <c r="F121" s="5" t="s">
        <v>56</v>
      </c>
      <c r="G121" s="5" t="s">
        <v>18</v>
      </c>
      <c r="H121">
        <v>51</v>
      </c>
      <c r="I121" s="4">
        <v>1590384</v>
      </c>
      <c r="J121" s="4">
        <v>856800</v>
      </c>
    </row>
    <row r="122" spans="2:10" x14ac:dyDescent="0.3">
      <c r="B122" s="7">
        <v>44896</v>
      </c>
      <c r="C122" s="3">
        <f t="shared" si="2"/>
        <v>2022</v>
      </c>
      <c r="D122" s="3">
        <f t="shared" si="3"/>
        <v>202212</v>
      </c>
      <c r="E122" s="5" t="s">
        <v>2</v>
      </c>
      <c r="F122" s="5" t="s">
        <v>56</v>
      </c>
      <c r="G122" s="5" t="s">
        <v>18</v>
      </c>
      <c r="H122">
        <v>61</v>
      </c>
      <c r="I122" s="4">
        <v>1855010</v>
      </c>
      <c r="J122" s="4">
        <v>1024800</v>
      </c>
    </row>
    <row r="123" spans="2:10" x14ac:dyDescent="0.3">
      <c r="B123" s="7">
        <v>44197</v>
      </c>
      <c r="C123" s="3">
        <f t="shared" si="2"/>
        <v>2021</v>
      </c>
      <c r="D123" s="3">
        <f t="shared" si="3"/>
        <v>202101</v>
      </c>
      <c r="E123" s="5" t="s">
        <v>2</v>
      </c>
      <c r="F123" s="5" t="s">
        <v>56</v>
      </c>
      <c r="G123" s="5" t="s">
        <v>19</v>
      </c>
      <c r="H123">
        <v>70</v>
      </c>
      <c r="I123" s="4">
        <v>1169140</v>
      </c>
      <c r="J123" s="4">
        <v>430500</v>
      </c>
    </row>
    <row r="124" spans="2:10" x14ac:dyDescent="0.3">
      <c r="B124" s="7">
        <v>44228</v>
      </c>
      <c r="C124" s="3">
        <f t="shared" si="2"/>
        <v>2021</v>
      </c>
      <c r="D124" s="3">
        <f t="shared" si="3"/>
        <v>202102</v>
      </c>
      <c r="E124" s="5" t="s">
        <v>2</v>
      </c>
      <c r="F124" s="5" t="s">
        <v>56</v>
      </c>
      <c r="G124" s="5" t="s">
        <v>19</v>
      </c>
      <c r="H124">
        <v>44</v>
      </c>
      <c r="I124" s="4">
        <v>717816</v>
      </c>
      <c r="J124" s="4">
        <v>270600</v>
      </c>
    </row>
    <row r="125" spans="2:10" x14ac:dyDescent="0.3">
      <c r="B125" s="7">
        <v>44256</v>
      </c>
      <c r="C125" s="3">
        <f t="shared" si="2"/>
        <v>2021</v>
      </c>
      <c r="D125" s="3">
        <f t="shared" si="3"/>
        <v>202103</v>
      </c>
      <c r="E125" s="5" t="s">
        <v>2</v>
      </c>
      <c r="F125" s="5" t="s">
        <v>56</v>
      </c>
      <c r="G125" s="5" t="s">
        <v>19</v>
      </c>
      <c r="H125">
        <v>35</v>
      </c>
      <c r="I125" s="4">
        <v>532105</v>
      </c>
      <c r="J125" s="4">
        <v>215250</v>
      </c>
    </row>
    <row r="126" spans="2:10" x14ac:dyDescent="0.3">
      <c r="B126" s="7">
        <v>44287</v>
      </c>
      <c r="C126" s="3">
        <f t="shared" si="2"/>
        <v>2021</v>
      </c>
      <c r="D126" s="3">
        <f t="shared" si="3"/>
        <v>202104</v>
      </c>
      <c r="E126" s="5" t="s">
        <v>2</v>
      </c>
      <c r="F126" s="5" t="s">
        <v>56</v>
      </c>
      <c r="G126" s="5" t="s">
        <v>19</v>
      </c>
      <c r="H126">
        <v>66</v>
      </c>
      <c r="I126" s="4">
        <v>1099956</v>
      </c>
      <c r="J126" s="4">
        <v>405900</v>
      </c>
    </row>
    <row r="127" spans="2:10" x14ac:dyDescent="0.3">
      <c r="B127" s="7">
        <v>44317</v>
      </c>
      <c r="C127" s="3">
        <f t="shared" si="2"/>
        <v>2021</v>
      </c>
      <c r="D127" s="3">
        <f t="shared" si="3"/>
        <v>202105</v>
      </c>
      <c r="E127" s="5" t="s">
        <v>2</v>
      </c>
      <c r="F127" s="5" t="s">
        <v>56</v>
      </c>
      <c r="G127" s="5" t="s">
        <v>19</v>
      </c>
      <c r="H127">
        <v>83</v>
      </c>
      <c r="I127" s="4">
        <v>1401538</v>
      </c>
      <c r="J127" s="4">
        <v>510450</v>
      </c>
    </row>
    <row r="128" spans="2:10" x14ac:dyDescent="0.3">
      <c r="B128" s="7">
        <v>44348</v>
      </c>
      <c r="C128" s="3">
        <f t="shared" si="2"/>
        <v>2021</v>
      </c>
      <c r="D128" s="3">
        <f t="shared" si="3"/>
        <v>202106</v>
      </c>
      <c r="E128" s="5" t="s">
        <v>2</v>
      </c>
      <c r="F128" s="5" t="s">
        <v>56</v>
      </c>
      <c r="G128" s="5" t="s">
        <v>19</v>
      </c>
      <c r="H128">
        <v>79</v>
      </c>
      <c r="I128" s="4">
        <v>1310926</v>
      </c>
      <c r="J128" s="4">
        <v>485850</v>
      </c>
    </row>
    <row r="129" spans="2:10" x14ac:dyDescent="0.3">
      <c r="B129" s="7">
        <v>44378</v>
      </c>
      <c r="C129" s="3">
        <f t="shared" si="2"/>
        <v>2021</v>
      </c>
      <c r="D129" s="3">
        <f t="shared" si="3"/>
        <v>202107</v>
      </c>
      <c r="E129" s="5" t="s">
        <v>2</v>
      </c>
      <c r="F129" s="5" t="s">
        <v>56</v>
      </c>
      <c r="G129" s="5" t="s">
        <v>19</v>
      </c>
      <c r="H129">
        <v>83</v>
      </c>
      <c r="I129" s="4">
        <v>1236534</v>
      </c>
      <c r="J129" s="4">
        <v>510450</v>
      </c>
    </row>
    <row r="130" spans="2:10" x14ac:dyDescent="0.3">
      <c r="B130" s="7">
        <v>44409</v>
      </c>
      <c r="C130" s="3">
        <f t="shared" si="2"/>
        <v>2021</v>
      </c>
      <c r="D130" s="3">
        <f t="shared" si="3"/>
        <v>202108</v>
      </c>
      <c r="E130" s="5" t="s">
        <v>2</v>
      </c>
      <c r="F130" s="5" t="s">
        <v>56</v>
      </c>
      <c r="G130" s="5" t="s">
        <v>19</v>
      </c>
      <c r="H130">
        <v>70</v>
      </c>
      <c r="I130" s="4">
        <v>1144080</v>
      </c>
      <c r="J130" s="4">
        <v>430500</v>
      </c>
    </row>
    <row r="131" spans="2:10" x14ac:dyDescent="0.3">
      <c r="B131" s="7">
        <v>44440</v>
      </c>
      <c r="C131" s="3">
        <f t="shared" ref="C131:C194" si="4">YEAR(B131)</f>
        <v>2021</v>
      </c>
      <c r="D131" s="3">
        <f t="shared" ref="D131:D194" si="5">VALUE(TEXT(B131,"ГГГГММ"))</f>
        <v>202109</v>
      </c>
      <c r="E131" s="5" t="s">
        <v>2</v>
      </c>
      <c r="F131" s="5" t="s">
        <v>56</v>
      </c>
      <c r="G131" s="5" t="s">
        <v>19</v>
      </c>
      <c r="H131">
        <v>74</v>
      </c>
      <c r="I131" s="4">
        <v>1131164</v>
      </c>
      <c r="J131" s="4">
        <v>455100</v>
      </c>
    </row>
    <row r="132" spans="2:10" x14ac:dyDescent="0.3">
      <c r="B132" s="7">
        <v>44470</v>
      </c>
      <c r="C132" s="3">
        <f t="shared" si="4"/>
        <v>2021</v>
      </c>
      <c r="D132" s="3">
        <f t="shared" si="5"/>
        <v>202110</v>
      </c>
      <c r="E132" s="5" t="s">
        <v>2</v>
      </c>
      <c r="F132" s="5" t="s">
        <v>56</v>
      </c>
      <c r="G132" s="5" t="s">
        <v>19</v>
      </c>
      <c r="H132">
        <v>61</v>
      </c>
      <c r="I132" s="4">
        <v>1036695</v>
      </c>
      <c r="J132" s="4">
        <v>375150</v>
      </c>
    </row>
    <row r="133" spans="2:10" x14ac:dyDescent="0.3">
      <c r="B133" s="7">
        <v>44501</v>
      </c>
      <c r="C133" s="3">
        <f t="shared" si="4"/>
        <v>2021</v>
      </c>
      <c r="D133" s="3">
        <f t="shared" si="5"/>
        <v>202111</v>
      </c>
      <c r="E133" s="5" t="s">
        <v>2</v>
      </c>
      <c r="F133" s="5" t="s">
        <v>56</v>
      </c>
      <c r="G133" s="5" t="s">
        <v>19</v>
      </c>
      <c r="H133">
        <v>44</v>
      </c>
      <c r="I133" s="4">
        <v>704704</v>
      </c>
      <c r="J133" s="4">
        <v>270600</v>
      </c>
    </row>
    <row r="134" spans="2:10" x14ac:dyDescent="0.3">
      <c r="B134" s="7">
        <v>44531</v>
      </c>
      <c r="C134" s="3">
        <f t="shared" si="4"/>
        <v>2021</v>
      </c>
      <c r="D134" s="3">
        <f t="shared" si="5"/>
        <v>202112</v>
      </c>
      <c r="E134" s="5" t="s">
        <v>2</v>
      </c>
      <c r="F134" s="5" t="s">
        <v>56</v>
      </c>
      <c r="G134" s="5" t="s">
        <v>19</v>
      </c>
      <c r="H134">
        <v>53</v>
      </c>
      <c r="I134" s="4">
        <v>852028</v>
      </c>
      <c r="J134" s="4">
        <v>325950</v>
      </c>
    </row>
    <row r="135" spans="2:10" x14ac:dyDescent="0.3">
      <c r="B135" s="7">
        <v>44562</v>
      </c>
      <c r="C135" s="3">
        <f t="shared" si="4"/>
        <v>2022</v>
      </c>
      <c r="D135" s="3">
        <f t="shared" si="5"/>
        <v>202201</v>
      </c>
      <c r="E135" s="5" t="s">
        <v>2</v>
      </c>
      <c r="F135" s="5" t="s">
        <v>56</v>
      </c>
      <c r="G135" s="5" t="s">
        <v>19</v>
      </c>
      <c r="H135">
        <v>77</v>
      </c>
      <c r="I135" s="4">
        <v>1278123</v>
      </c>
      <c r="J135" s="4">
        <v>473550</v>
      </c>
    </row>
    <row r="136" spans="2:10" x14ac:dyDescent="0.3">
      <c r="B136" s="7">
        <v>44593</v>
      </c>
      <c r="C136" s="3">
        <f t="shared" si="4"/>
        <v>2022</v>
      </c>
      <c r="D136" s="3">
        <f t="shared" si="5"/>
        <v>202202</v>
      </c>
      <c r="E136" s="5" t="s">
        <v>2</v>
      </c>
      <c r="F136" s="5" t="s">
        <v>56</v>
      </c>
      <c r="G136" s="5" t="s">
        <v>19</v>
      </c>
      <c r="H136">
        <v>48</v>
      </c>
      <c r="I136" s="4">
        <v>802080</v>
      </c>
      <c r="J136" s="4">
        <v>295200</v>
      </c>
    </row>
    <row r="137" spans="2:10" x14ac:dyDescent="0.3">
      <c r="B137" s="7">
        <v>44621</v>
      </c>
      <c r="C137" s="3">
        <f t="shared" si="4"/>
        <v>2022</v>
      </c>
      <c r="D137" s="3">
        <f t="shared" si="5"/>
        <v>202203</v>
      </c>
      <c r="E137" s="5" t="s">
        <v>2</v>
      </c>
      <c r="F137" s="5" t="s">
        <v>56</v>
      </c>
      <c r="G137" s="5" t="s">
        <v>19</v>
      </c>
      <c r="H137">
        <v>39</v>
      </c>
      <c r="I137" s="4">
        <v>618423</v>
      </c>
      <c r="J137" s="4">
        <v>239850</v>
      </c>
    </row>
    <row r="138" spans="2:10" x14ac:dyDescent="0.3">
      <c r="B138" s="7">
        <v>44652</v>
      </c>
      <c r="C138" s="3">
        <f t="shared" si="4"/>
        <v>2022</v>
      </c>
      <c r="D138" s="3">
        <f t="shared" si="5"/>
        <v>202204</v>
      </c>
      <c r="E138" s="5" t="s">
        <v>2</v>
      </c>
      <c r="F138" s="5" t="s">
        <v>56</v>
      </c>
      <c r="G138" s="5" t="s">
        <v>19</v>
      </c>
      <c r="H138">
        <v>72</v>
      </c>
      <c r="I138" s="4">
        <v>1213488</v>
      </c>
      <c r="J138" s="4">
        <v>442800</v>
      </c>
    </row>
    <row r="139" spans="2:10" x14ac:dyDescent="0.3">
      <c r="B139" s="7">
        <v>44682</v>
      </c>
      <c r="C139" s="3">
        <f t="shared" si="4"/>
        <v>2022</v>
      </c>
      <c r="D139" s="3">
        <f t="shared" si="5"/>
        <v>202205</v>
      </c>
      <c r="E139" s="5" t="s">
        <v>2</v>
      </c>
      <c r="F139" s="5" t="s">
        <v>56</v>
      </c>
      <c r="G139" s="5" t="s">
        <v>19</v>
      </c>
      <c r="H139">
        <v>91</v>
      </c>
      <c r="I139" s="4">
        <v>1517061</v>
      </c>
      <c r="J139" s="4">
        <v>559650</v>
      </c>
    </row>
    <row r="140" spans="2:10" x14ac:dyDescent="0.3">
      <c r="B140" s="7">
        <v>44713</v>
      </c>
      <c r="C140" s="3">
        <f t="shared" si="4"/>
        <v>2022</v>
      </c>
      <c r="D140" s="3">
        <f t="shared" si="5"/>
        <v>202206</v>
      </c>
      <c r="E140" s="5" t="s">
        <v>2</v>
      </c>
      <c r="F140" s="5" t="s">
        <v>56</v>
      </c>
      <c r="G140" s="5" t="s">
        <v>19</v>
      </c>
      <c r="H140">
        <v>87</v>
      </c>
      <c r="I140" s="4">
        <v>1417752</v>
      </c>
      <c r="J140" s="4">
        <v>535050</v>
      </c>
    </row>
    <row r="141" spans="2:10" x14ac:dyDescent="0.3">
      <c r="B141" s="7">
        <v>44743</v>
      </c>
      <c r="C141" s="3">
        <f t="shared" si="4"/>
        <v>2022</v>
      </c>
      <c r="D141" s="3">
        <f t="shared" si="5"/>
        <v>202207</v>
      </c>
      <c r="E141" s="5" t="s">
        <v>2</v>
      </c>
      <c r="F141" s="5" t="s">
        <v>56</v>
      </c>
      <c r="G141" s="5" t="s">
        <v>19</v>
      </c>
      <c r="H141">
        <v>91</v>
      </c>
      <c r="I141" s="4">
        <v>1310946</v>
      </c>
      <c r="J141" s="4">
        <v>559650</v>
      </c>
    </row>
    <row r="142" spans="2:10" x14ac:dyDescent="0.3">
      <c r="B142" s="7">
        <v>44774</v>
      </c>
      <c r="C142" s="3">
        <f t="shared" si="4"/>
        <v>2022</v>
      </c>
      <c r="D142" s="3">
        <f t="shared" si="5"/>
        <v>202208</v>
      </c>
      <c r="E142" s="5" t="s">
        <v>2</v>
      </c>
      <c r="F142" s="5" t="s">
        <v>56</v>
      </c>
      <c r="G142" s="5" t="s">
        <v>19</v>
      </c>
      <c r="H142">
        <v>77</v>
      </c>
      <c r="I142" s="4">
        <v>1230460</v>
      </c>
      <c r="J142" s="4">
        <v>473550</v>
      </c>
    </row>
    <row r="143" spans="2:10" x14ac:dyDescent="0.3">
      <c r="B143" s="7">
        <v>44805</v>
      </c>
      <c r="C143" s="3">
        <f t="shared" si="4"/>
        <v>2022</v>
      </c>
      <c r="D143" s="3">
        <f t="shared" si="5"/>
        <v>202209</v>
      </c>
      <c r="E143" s="5" t="s">
        <v>2</v>
      </c>
      <c r="F143" s="5" t="s">
        <v>56</v>
      </c>
      <c r="G143" s="5" t="s">
        <v>19</v>
      </c>
      <c r="H143">
        <v>82</v>
      </c>
      <c r="I143" s="4">
        <v>1348408</v>
      </c>
      <c r="J143" s="4">
        <v>504300</v>
      </c>
    </row>
    <row r="144" spans="2:10" x14ac:dyDescent="0.3">
      <c r="B144" s="7">
        <v>44835</v>
      </c>
      <c r="C144" s="3">
        <f t="shared" si="4"/>
        <v>2022</v>
      </c>
      <c r="D144" s="3">
        <f t="shared" si="5"/>
        <v>202210</v>
      </c>
      <c r="E144" s="5" t="s">
        <v>2</v>
      </c>
      <c r="F144" s="5" t="s">
        <v>56</v>
      </c>
      <c r="G144" s="5" t="s">
        <v>19</v>
      </c>
      <c r="H144">
        <v>67</v>
      </c>
      <c r="I144" s="4">
        <v>1093306</v>
      </c>
      <c r="J144" s="4">
        <v>412050</v>
      </c>
    </row>
    <row r="145" spans="2:10" x14ac:dyDescent="0.3">
      <c r="B145" s="7">
        <v>44866</v>
      </c>
      <c r="C145" s="3">
        <f t="shared" si="4"/>
        <v>2022</v>
      </c>
      <c r="D145" s="3">
        <f t="shared" si="5"/>
        <v>202211</v>
      </c>
      <c r="E145" s="5" t="s">
        <v>2</v>
      </c>
      <c r="F145" s="5" t="s">
        <v>56</v>
      </c>
      <c r="G145" s="5" t="s">
        <v>19</v>
      </c>
      <c r="H145">
        <v>48</v>
      </c>
      <c r="I145" s="4">
        <v>781728</v>
      </c>
      <c r="J145" s="4">
        <v>295200</v>
      </c>
    </row>
    <row r="146" spans="2:10" x14ac:dyDescent="0.3">
      <c r="B146" s="7">
        <v>44896</v>
      </c>
      <c r="C146" s="3">
        <f t="shared" si="4"/>
        <v>2022</v>
      </c>
      <c r="D146" s="3">
        <f t="shared" si="5"/>
        <v>202212</v>
      </c>
      <c r="E146" s="5" t="s">
        <v>2</v>
      </c>
      <c r="F146" s="5" t="s">
        <v>56</v>
      </c>
      <c r="G146" s="5" t="s">
        <v>19</v>
      </c>
      <c r="H146">
        <v>58</v>
      </c>
      <c r="I146" s="4">
        <v>914834</v>
      </c>
      <c r="J146" s="4">
        <v>356700</v>
      </c>
    </row>
    <row r="147" spans="2:10" x14ac:dyDescent="0.3">
      <c r="B147" s="7">
        <v>44197</v>
      </c>
      <c r="C147" s="3">
        <f t="shared" si="4"/>
        <v>2021</v>
      </c>
      <c r="D147" s="3">
        <f t="shared" si="5"/>
        <v>202101</v>
      </c>
      <c r="E147" s="5" t="s">
        <v>2</v>
      </c>
      <c r="F147" s="5" t="s">
        <v>56</v>
      </c>
      <c r="G147" s="5" t="s">
        <v>20</v>
      </c>
      <c r="H147">
        <v>92</v>
      </c>
      <c r="I147" s="4">
        <v>1076216</v>
      </c>
      <c r="J147" s="4">
        <v>404800</v>
      </c>
    </row>
    <row r="148" spans="2:10" x14ac:dyDescent="0.3">
      <c r="B148" s="7">
        <v>44228</v>
      </c>
      <c r="C148" s="3">
        <f t="shared" si="4"/>
        <v>2021</v>
      </c>
      <c r="D148" s="3">
        <f t="shared" si="5"/>
        <v>202102</v>
      </c>
      <c r="E148" s="5" t="s">
        <v>2</v>
      </c>
      <c r="F148" s="5" t="s">
        <v>56</v>
      </c>
      <c r="G148" s="5" t="s">
        <v>20</v>
      </c>
      <c r="H148">
        <v>57</v>
      </c>
      <c r="I148" s="4">
        <v>731709</v>
      </c>
      <c r="J148" s="4">
        <v>250800</v>
      </c>
    </row>
    <row r="149" spans="2:10" x14ac:dyDescent="0.3">
      <c r="B149" s="7">
        <v>44256</v>
      </c>
      <c r="C149" s="3">
        <f t="shared" si="4"/>
        <v>2021</v>
      </c>
      <c r="D149" s="3">
        <f t="shared" si="5"/>
        <v>202103</v>
      </c>
      <c r="E149" s="5" t="s">
        <v>2</v>
      </c>
      <c r="F149" s="5" t="s">
        <v>56</v>
      </c>
      <c r="G149" s="5" t="s">
        <v>20</v>
      </c>
      <c r="H149">
        <v>46</v>
      </c>
      <c r="I149" s="4">
        <v>516488</v>
      </c>
      <c r="J149" s="4">
        <v>202400</v>
      </c>
    </row>
    <row r="150" spans="2:10" x14ac:dyDescent="0.3">
      <c r="B150" s="7">
        <v>44287</v>
      </c>
      <c r="C150" s="3">
        <f t="shared" si="4"/>
        <v>2021</v>
      </c>
      <c r="D150" s="3">
        <f t="shared" si="5"/>
        <v>202104</v>
      </c>
      <c r="E150" s="5" t="s">
        <v>2</v>
      </c>
      <c r="F150" s="5" t="s">
        <v>56</v>
      </c>
      <c r="G150" s="5" t="s">
        <v>20</v>
      </c>
      <c r="H150">
        <v>86</v>
      </c>
      <c r="I150" s="4">
        <v>1086524</v>
      </c>
      <c r="J150" s="4">
        <v>378400</v>
      </c>
    </row>
    <row r="151" spans="2:10" x14ac:dyDescent="0.3">
      <c r="B151" s="7">
        <v>44317</v>
      </c>
      <c r="C151" s="3">
        <f t="shared" si="4"/>
        <v>2021</v>
      </c>
      <c r="D151" s="3">
        <f t="shared" si="5"/>
        <v>202105</v>
      </c>
      <c r="E151" s="5" t="s">
        <v>2</v>
      </c>
      <c r="F151" s="5" t="s">
        <v>56</v>
      </c>
      <c r="G151" s="5" t="s">
        <v>20</v>
      </c>
      <c r="H151">
        <v>109</v>
      </c>
      <c r="I151" s="4">
        <v>1369149</v>
      </c>
      <c r="J151" s="4">
        <v>479600</v>
      </c>
    </row>
    <row r="152" spans="2:10" x14ac:dyDescent="0.3">
      <c r="B152" s="7">
        <v>44348</v>
      </c>
      <c r="C152" s="3">
        <f t="shared" si="4"/>
        <v>2021</v>
      </c>
      <c r="D152" s="3">
        <f t="shared" si="5"/>
        <v>202106</v>
      </c>
      <c r="E152" s="5" t="s">
        <v>2</v>
      </c>
      <c r="F152" s="5" t="s">
        <v>56</v>
      </c>
      <c r="G152" s="5" t="s">
        <v>20</v>
      </c>
      <c r="H152">
        <v>103</v>
      </c>
      <c r="I152" s="4">
        <v>1321490</v>
      </c>
      <c r="J152" s="4">
        <v>453200</v>
      </c>
    </row>
    <row r="153" spans="2:10" x14ac:dyDescent="0.3">
      <c r="B153" s="7">
        <v>44378</v>
      </c>
      <c r="C153" s="3">
        <f t="shared" si="4"/>
        <v>2021</v>
      </c>
      <c r="D153" s="3">
        <f t="shared" si="5"/>
        <v>202107</v>
      </c>
      <c r="E153" s="5" t="s">
        <v>2</v>
      </c>
      <c r="F153" s="5" t="s">
        <v>56</v>
      </c>
      <c r="G153" s="5" t="s">
        <v>20</v>
      </c>
      <c r="H153">
        <v>109</v>
      </c>
      <c r="I153" s="4">
        <v>1161286</v>
      </c>
      <c r="J153" s="4">
        <v>479600</v>
      </c>
    </row>
    <row r="154" spans="2:10" x14ac:dyDescent="0.3">
      <c r="B154" s="7">
        <v>44409</v>
      </c>
      <c r="C154" s="3">
        <f t="shared" si="4"/>
        <v>2021</v>
      </c>
      <c r="D154" s="3">
        <f t="shared" si="5"/>
        <v>202108</v>
      </c>
      <c r="E154" s="5" t="s">
        <v>2</v>
      </c>
      <c r="F154" s="5" t="s">
        <v>56</v>
      </c>
      <c r="G154" s="5" t="s">
        <v>20</v>
      </c>
      <c r="H154">
        <v>92</v>
      </c>
      <c r="I154" s="4">
        <v>1127644</v>
      </c>
      <c r="J154" s="4">
        <v>404800</v>
      </c>
    </row>
    <row r="155" spans="2:10" x14ac:dyDescent="0.3">
      <c r="B155" s="7">
        <v>44440</v>
      </c>
      <c r="C155" s="3">
        <f t="shared" si="4"/>
        <v>2021</v>
      </c>
      <c r="D155" s="3">
        <f t="shared" si="5"/>
        <v>202109</v>
      </c>
      <c r="E155" s="5" t="s">
        <v>2</v>
      </c>
      <c r="F155" s="5" t="s">
        <v>56</v>
      </c>
      <c r="G155" s="5" t="s">
        <v>20</v>
      </c>
      <c r="H155">
        <v>97</v>
      </c>
      <c r="I155" s="4">
        <v>1151972</v>
      </c>
      <c r="J155" s="4">
        <v>426800</v>
      </c>
    </row>
    <row r="156" spans="2:10" x14ac:dyDescent="0.3">
      <c r="B156" s="7">
        <v>44470</v>
      </c>
      <c r="C156" s="3">
        <f t="shared" si="4"/>
        <v>2021</v>
      </c>
      <c r="D156" s="3">
        <f t="shared" si="5"/>
        <v>202110</v>
      </c>
      <c r="E156" s="5" t="s">
        <v>2</v>
      </c>
      <c r="F156" s="5" t="s">
        <v>56</v>
      </c>
      <c r="G156" s="5" t="s">
        <v>20</v>
      </c>
      <c r="H156">
        <v>80</v>
      </c>
      <c r="I156" s="4">
        <v>1016720</v>
      </c>
      <c r="J156" s="4">
        <v>352000</v>
      </c>
    </row>
    <row r="157" spans="2:10" x14ac:dyDescent="0.3">
      <c r="B157" s="7">
        <v>44501</v>
      </c>
      <c r="C157" s="3">
        <f t="shared" si="4"/>
        <v>2021</v>
      </c>
      <c r="D157" s="3">
        <f t="shared" si="5"/>
        <v>202111</v>
      </c>
      <c r="E157" s="5" t="s">
        <v>2</v>
      </c>
      <c r="F157" s="5" t="s">
        <v>56</v>
      </c>
      <c r="G157" s="5" t="s">
        <v>20</v>
      </c>
      <c r="H157">
        <v>57</v>
      </c>
      <c r="I157" s="4">
        <v>711987</v>
      </c>
      <c r="J157" s="4">
        <v>250800</v>
      </c>
    </row>
    <row r="158" spans="2:10" x14ac:dyDescent="0.3">
      <c r="B158" s="7">
        <v>44531</v>
      </c>
      <c r="C158" s="3">
        <f t="shared" si="4"/>
        <v>2021</v>
      </c>
      <c r="D158" s="3">
        <f t="shared" si="5"/>
        <v>202112</v>
      </c>
      <c r="E158" s="5" t="s">
        <v>2</v>
      </c>
      <c r="F158" s="5" t="s">
        <v>56</v>
      </c>
      <c r="G158" s="5" t="s">
        <v>20</v>
      </c>
      <c r="H158">
        <v>69</v>
      </c>
      <c r="I158" s="4">
        <v>824343</v>
      </c>
      <c r="J158" s="4">
        <v>303600</v>
      </c>
    </row>
    <row r="159" spans="2:10" x14ac:dyDescent="0.3">
      <c r="B159" s="7">
        <v>44562</v>
      </c>
      <c r="C159" s="3">
        <f t="shared" si="4"/>
        <v>2022</v>
      </c>
      <c r="D159" s="3">
        <f t="shared" si="5"/>
        <v>202201</v>
      </c>
      <c r="E159" s="5" t="s">
        <v>2</v>
      </c>
      <c r="F159" s="5" t="s">
        <v>56</v>
      </c>
      <c r="G159" s="5" t="s">
        <v>20</v>
      </c>
      <c r="H159">
        <v>101</v>
      </c>
      <c r="I159" s="4">
        <v>1180690</v>
      </c>
      <c r="J159" s="4">
        <v>444400</v>
      </c>
    </row>
    <row r="160" spans="2:10" x14ac:dyDescent="0.3">
      <c r="B160" s="7">
        <v>44593</v>
      </c>
      <c r="C160" s="3">
        <f t="shared" si="4"/>
        <v>2022</v>
      </c>
      <c r="D160" s="3">
        <f t="shared" si="5"/>
        <v>202202</v>
      </c>
      <c r="E160" s="5" t="s">
        <v>2</v>
      </c>
      <c r="F160" s="5" t="s">
        <v>56</v>
      </c>
      <c r="G160" s="5" t="s">
        <v>20</v>
      </c>
      <c r="H160">
        <v>63</v>
      </c>
      <c r="I160" s="4">
        <v>798903</v>
      </c>
      <c r="J160" s="4">
        <v>277200</v>
      </c>
    </row>
    <row r="161" spans="2:10" x14ac:dyDescent="0.3">
      <c r="B161" s="7">
        <v>44621</v>
      </c>
      <c r="C161" s="3">
        <f t="shared" si="4"/>
        <v>2022</v>
      </c>
      <c r="D161" s="3">
        <f t="shared" si="5"/>
        <v>202203</v>
      </c>
      <c r="E161" s="5" t="s">
        <v>2</v>
      </c>
      <c r="F161" s="5" t="s">
        <v>56</v>
      </c>
      <c r="G161" s="5" t="s">
        <v>20</v>
      </c>
      <c r="H161">
        <v>51</v>
      </c>
      <c r="I161" s="4">
        <v>588846</v>
      </c>
      <c r="J161" s="4">
        <v>224400</v>
      </c>
    </row>
    <row r="162" spans="2:10" x14ac:dyDescent="0.3">
      <c r="B162" s="7">
        <v>44652</v>
      </c>
      <c r="C162" s="3">
        <f t="shared" si="4"/>
        <v>2022</v>
      </c>
      <c r="D162" s="3">
        <f t="shared" si="5"/>
        <v>202204</v>
      </c>
      <c r="E162" s="5" t="s">
        <v>2</v>
      </c>
      <c r="F162" s="5" t="s">
        <v>56</v>
      </c>
      <c r="G162" s="5" t="s">
        <v>20</v>
      </c>
      <c r="H162">
        <v>95</v>
      </c>
      <c r="I162" s="4">
        <v>1161755</v>
      </c>
      <c r="J162" s="4">
        <v>418000</v>
      </c>
    </row>
    <row r="163" spans="2:10" x14ac:dyDescent="0.3">
      <c r="B163" s="7">
        <v>44682</v>
      </c>
      <c r="C163" s="3">
        <f t="shared" si="4"/>
        <v>2022</v>
      </c>
      <c r="D163" s="3">
        <f t="shared" si="5"/>
        <v>202205</v>
      </c>
      <c r="E163" s="5" t="s">
        <v>2</v>
      </c>
      <c r="F163" s="5" t="s">
        <v>56</v>
      </c>
      <c r="G163" s="5" t="s">
        <v>20</v>
      </c>
      <c r="H163">
        <v>120</v>
      </c>
      <c r="I163" s="4">
        <v>1606920</v>
      </c>
      <c r="J163" s="4">
        <v>528000</v>
      </c>
    </row>
    <row r="164" spans="2:10" x14ac:dyDescent="0.3">
      <c r="B164" s="7">
        <v>44713</v>
      </c>
      <c r="C164" s="3">
        <f t="shared" si="4"/>
        <v>2022</v>
      </c>
      <c r="D164" s="3">
        <f t="shared" si="5"/>
        <v>202206</v>
      </c>
      <c r="E164" s="5" t="s">
        <v>2</v>
      </c>
      <c r="F164" s="5" t="s">
        <v>56</v>
      </c>
      <c r="G164" s="5" t="s">
        <v>20</v>
      </c>
      <c r="H164">
        <v>113</v>
      </c>
      <c r="I164" s="4">
        <v>1363458</v>
      </c>
      <c r="J164" s="4">
        <v>497200</v>
      </c>
    </row>
    <row r="165" spans="2:10" x14ac:dyDescent="0.3">
      <c r="B165" s="7">
        <v>44743</v>
      </c>
      <c r="C165" s="3">
        <f t="shared" si="4"/>
        <v>2022</v>
      </c>
      <c r="D165" s="3">
        <f t="shared" si="5"/>
        <v>202207</v>
      </c>
      <c r="E165" s="5" t="s">
        <v>2</v>
      </c>
      <c r="F165" s="5" t="s">
        <v>56</v>
      </c>
      <c r="G165" s="5" t="s">
        <v>20</v>
      </c>
      <c r="H165">
        <v>120</v>
      </c>
      <c r="I165" s="4">
        <v>1276800</v>
      </c>
      <c r="J165" s="4">
        <v>528000</v>
      </c>
    </row>
    <row r="166" spans="2:10" x14ac:dyDescent="0.3">
      <c r="B166" s="7">
        <v>44774</v>
      </c>
      <c r="C166" s="3">
        <f t="shared" si="4"/>
        <v>2022</v>
      </c>
      <c r="D166" s="3">
        <f t="shared" si="5"/>
        <v>202208</v>
      </c>
      <c r="E166" s="5" t="s">
        <v>2</v>
      </c>
      <c r="F166" s="5" t="s">
        <v>56</v>
      </c>
      <c r="G166" s="5" t="s">
        <v>20</v>
      </c>
      <c r="H166">
        <v>101</v>
      </c>
      <c r="I166" s="4">
        <v>1172509</v>
      </c>
      <c r="J166" s="4">
        <v>444400</v>
      </c>
    </row>
    <row r="167" spans="2:10" x14ac:dyDescent="0.3">
      <c r="B167" s="7">
        <v>44805</v>
      </c>
      <c r="C167" s="3">
        <f t="shared" si="4"/>
        <v>2022</v>
      </c>
      <c r="D167" s="3">
        <f t="shared" si="5"/>
        <v>202209</v>
      </c>
      <c r="E167" s="5" t="s">
        <v>2</v>
      </c>
      <c r="F167" s="5" t="s">
        <v>56</v>
      </c>
      <c r="G167" s="5" t="s">
        <v>20</v>
      </c>
      <c r="H167">
        <v>107</v>
      </c>
      <c r="I167" s="4">
        <v>1283465</v>
      </c>
      <c r="J167" s="4">
        <v>470800</v>
      </c>
    </row>
    <row r="168" spans="2:10" x14ac:dyDescent="0.3">
      <c r="B168" s="7">
        <v>44835</v>
      </c>
      <c r="C168" s="3">
        <f t="shared" si="4"/>
        <v>2022</v>
      </c>
      <c r="D168" s="3">
        <f t="shared" si="5"/>
        <v>202210</v>
      </c>
      <c r="E168" s="5" t="s">
        <v>2</v>
      </c>
      <c r="F168" s="5" t="s">
        <v>56</v>
      </c>
      <c r="G168" s="5" t="s">
        <v>20</v>
      </c>
      <c r="H168">
        <v>88</v>
      </c>
      <c r="I168" s="4">
        <v>1146992</v>
      </c>
      <c r="J168" s="4">
        <v>387200</v>
      </c>
    </row>
    <row r="169" spans="2:10" x14ac:dyDescent="0.3">
      <c r="B169" s="7">
        <v>44866</v>
      </c>
      <c r="C169" s="3">
        <f t="shared" si="4"/>
        <v>2022</v>
      </c>
      <c r="D169" s="3">
        <f t="shared" si="5"/>
        <v>202211</v>
      </c>
      <c r="E169" s="5" t="s">
        <v>2</v>
      </c>
      <c r="F169" s="5" t="s">
        <v>56</v>
      </c>
      <c r="G169" s="5" t="s">
        <v>20</v>
      </c>
      <c r="H169">
        <v>63</v>
      </c>
      <c r="I169" s="4">
        <v>792603</v>
      </c>
      <c r="J169" s="4">
        <v>277200</v>
      </c>
    </row>
    <row r="170" spans="2:10" x14ac:dyDescent="0.3">
      <c r="B170" s="7">
        <v>44896</v>
      </c>
      <c r="C170" s="3">
        <f t="shared" si="4"/>
        <v>2022</v>
      </c>
      <c r="D170" s="3">
        <f t="shared" si="5"/>
        <v>202212</v>
      </c>
      <c r="E170" s="5" t="s">
        <v>2</v>
      </c>
      <c r="F170" s="5" t="s">
        <v>56</v>
      </c>
      <c r="G170" s="5" t="s">
        <v>20</v>
      </c>
      <c r="H170">
        <v>76</v>
      </c>
      <c r="I170" s="4">
        <v>922184</v>
      </c>
      <c r="J170" s="4">
        <v>334400</v>
      </c>
    </row>
    <row r="171" spans="2:10" x14ac:dyDescent="0.3">
      <c r="B171" s="7">
        <v>44197</v>
      </c>
      <c r="C171" s="3">
        <f t="shared" si="4"/>
        <v>2021</v>
      </c>
      <c r="D171" s="3">
        <f t="shared" si="5"/>
        <v>202101</v>
      </c>
      <c r="E171" s="5" t="s">
        <v>2</v>
      </c>
      <c r="F171" s="5" t="s">
        <v>9</v>
      </c>
      <c r="G171" s="5" t="s">
        <v>21</v>
      </c>
      <c r="H171">
        <v>46</v>
      </c>
      <c r="I171" s="4">
        <v>251850</v>
      </c>
      <c r="J171" s="4">
        <v>83398</v>
      </c>
    </row>
    <row r="172" spans="2:10" x14ac:dyDescent="0.3">
      <c r="B172" s="7">
        <v>44228</v>
      </c>
      <c r="C172" s="3">
        <f t="shared" si="4"/>
        <v>2021</v>
      </c>
      <c r="D172" s="3">
        <f t="shared" si="5"/>
        <v>202102</v>
      </c>
      <c r="E172" s="5" t="s">
        <v>2</v>
      </c>
      <c r="F172" s="5" t="s">
        <v>9</v>
      </c>
      <c r="G172" s="5" t="s">
        <v>21</v>
      </c>
      <c r="H172">
        <v>29</v>
      </c>
      <c r="I172" s="4">
        <v>157876</v>
      </c>
      <c r="J172" s="4">
        <v>52577</v>
      </c>
    </row>
    <row r="173" spans="2:10" x14ac:dyDescent="0.3">
      <c r="B173" s="7">
        <v>44256</v>
      </c>
      <c r="C173" s="3">
        <f t="shared" si="4"/>
        <v>2021</v>
      </c>
      <c r="D173" s="3">
        <f t="shared" si="5"/>
        <v>202103</v>
      </c>
      <c r="E173" s="5" t="s">
        <v>2</v>
      </c>
      <c r="F173" s="5" t="s">
        <v>9</v>
      </c>
      <c r="G173" s="5" t="s">
        <v>21</v>
      </c>
      <c r="H173">
        <v>23</v>
      </c>
      <c r="I173" s="4">
        <v>109618</v>
      </c>
      <c r="J173" s="4">
        <v>41699</v>
      </c>
    </row>
    <row r="174" spans="2:10" x14ac:dyDescent="0.3">
      <c r="B174" s="7">
        <v>44287</v>
      </c>
      <c r="C174" s="3">
        <f t="shared" si="4"/>
        <v>2021</v>
      </c>
      <c r="D174" s="3">
        <f t="shared" si="5"/>
        <v>202104</v>
      </c>
      <c r="E174" s="5" t="s">
        <v>2</v>
      </c>
      <c r="F174" s="5" t="s">
        <v>9</v>
      </c>
      <c r="G174" s="5" t="s">
        <v>21</v>
      </c>
      <c r="H174">
        <v>44</v>
      </c>
      <c r="I174" s="4">
        <v>239184</v>
      </c>
      <c r="J174" s="4">
        <v>79772</v>
      </c>
    </row>
    <row r="175" spans="2:10" x14ac:dyDescent="0.3">
      <c r="B175" s="7">
        <v>44317</v>
      </c>
      <c r="C175" s="3">
        <f t="shared" si="4"/>
        <v>2021</v>
      </c>
      <c r="D175" s="3">
        <f t="shared" si="5"/>
        <v>202105</v>
      </c>
      <c r="E175" s="5" t="s">
        <v>2</v>
      </c>
      <c r="F175" s="5" t="s">
        <v>9</v>
      </c>
      <c r="G175" s="5" t="s">
        <v>21</v>
      </c>
      <c r="H175">
        <v>55</v>
      </c>
      <c r="I175" s="4">
        <v>328185</v>
      </c>
      <c r="J175" s="4">
        <v>99715</v>
      </c>
    </row>
    <row r="176" spans="2:10" x14ac:dyDescent="0.3">
      <c r="B176" s="7">
        <v>44348</v>
      </c>
      <c r="C176" s="3">
        <f t="shared" si="4"/>
        <v>2021</v>
      </c>
      <c r="D176" s="3">
        <f t="shared" si="5"/>
        <v>202106</v>
      </c>
      <c r="E176" s="5" t="s">
        <v>2</v>
      </c>
      <c r="F176" s="5" t="s">
        <v>9</v>
      </c>
      <c r="G176" s="5" t="s">
        <v>21</v>
      </c>
      <c r="H176">
        <v>52</v>
      </c>
      <c r="I176" s="4">
        <v>270972</v>
      </c>
      <c r="J176" s="4">
        <v>94276</v>
      </c>
    </row>
    <row r="177" spans="2:10" x14ac:dyDescent="0.3">
      <c r="B177" s="7">
        <v>44378</v>
      </c>
      <c r="C177" s="3">
        <f t="shared" si="4"/>
        <v>2021</v>
      </c>
      <c r="D177" s="3">
        <f t="shared" si="5"/>
        <v>202107</v>
      </c>
      <c r="E177" s="5" t="s">
        <v>2</v>
      </c>
      <c r="F177" s="5" t="s">
        <v>9</v>
      </c>
      <c r="G177" s="5" t="s">
        <v>21</v>
      </c>
      <c r="H177">
        <v>55</v>
      </c>
      <c r="I177" s="4">
        <v>165825</v>
      </c>
      <c r="J177" s="4">
        <v>99715</v>
      </c>
    </row>
    <row r="178" spans="2:10" x14ac:dyDescent="0.3">
      <c r="B178" s="7">
        <v>44409</v>
      </c>
      <c r="C178" s="3">
        <f t="shared" si="4"/>
        <v>2021</v>
      </c>
      <c r="D178" s="3">
        <f t="shared" si="5"/>
        <v>202108</v>
      </c>
      <c r="E178" s="5" t="s">
        <v>2</v>
      </c>
      <c r="F178" s="5" t="s">
        <v>9</v>
      </c>
      <c r="G178" s="5" t="s">
        <v>21</v>
      </c>
      <c r="H178">
        <v>46</v>
      </c>
      <c r="I178" s="4">
        <v>193568</v>
      </c>
      <c r="J178" s="4">
        <v>83398</v>
      </c>
    </row>
    <row r="179" spans="2:10" x14ac:dyDescent="0.3">
      <c r="B179" s="7">
        <v>44440</v>
      </c>
      <c r="C179" s="3">
        <f t="shared" si="4"/>
        <v>2021</v>
      </c>
      <c r="D179" s="3">
        <f t="shared" si="5"/>
        <v>202109</v>
      </c>
      <c r="E179" s="5" t="s">
        <v>2</v>
      </c>
      <c r="F179" s="5" t="s">
        <v>9</v>
      </c>
      <c r="G179" s="5" t="s">
        <v>21</v>
      </c>
      <c r="H179">
        <v>49</v>
      </c>
      <c r="I179" s="4">
        <v>212856</v>
      </c>
      <c r="J179" s="4">
        <v>88837</v>
      </c>
    </row>
    <row r="180" spans="2:10" x14ac:dyDescent="0.3">
      <c r="B180" s="7">
        <v>44470</v>
      </c>
      <c r="C180" s="3">
        <f t="shared" si="4"/>
        <v>2021</v>
      </c>
      <c r="D180" s="3">
        <f t="shared" si="5"/>
        <v>202110</v>
      </c>
      <c r="E180" s="5" t="s">
        <v>2</v>
      </c>
      <c r="F180" s="5" t="s">
        <v>9</v>
      </c>
      <c r="G180" s="5" t="s">
        <v>21</v>
      </c>
      <c r="H180">
        <v>41</v>
      </c>
      <c r="I180" s="4">
        <v>216808</v>
      </c>
      <c r="J180" s="4">
        <v>74333</v>
      </c>
    </row>
    <row r="181" spans="2:10" x14ac:dyDescent="0.3">
      <c r="B181" s="7">
        <v>44501</v>
      </c>
      <c r="C181" s="3">
        <f t="shared" si="4"/>
        <v>2021</v>
      </c>
      <c r="D181" s="3">
        <f t="shared" si="5"/>
        <v>202111</v>
      </c>
      <c r="E181" s="5" t="s">
        <v>2</v>
      </c>
      <c r="F181" s="5" t="s">
        <v>9</v>
      </c>
      <c r="G181" s="5" t="s">
        <v>21</v>
      </c>
      <c r="H181">
        <v>29</v>
      </c>
      <c r="I181" s="4">
        <v>156165</v>
      </c>
      <c r="J181" s="4">
        <v>52577</v>
      </c>
    </row>
    <row r="182" spans="2:10" x14ac:dyDescent="0.3">
      <c r="B182" s="7">
        <v>44531</v>
      </c>
      <c r="C182" s="3">
        <f t="shared" si="4"/>
        <v>2021</v>
      </c>
      <c r="D182" s="3">
        <f t="shared" si="5"/>
        <v>202112</v>
      </c>
      <c r="E182" s="5" t="s">
        <v>2</v>
      </c>
      <c r="F182" s="5" t="s">
        <v>9</v>
      </c>
      <c r="G182" s="5" t="s">
        <v>21</v>
      </c>
      <c r="H182">
        <v>35</v>
      </c>
      <c r="I182" s="4">
        <v>144060</v>
      </c>
      <c r="J182" s="4">
        <v>63455</v>
      </c>
    </row>
    <row r="183" spans="2:10" x14ac:dyDescent="0.3">
      <c r="B183" s="7">
        <v>44562</v>
      </c>
      <c r="C183" s="3">
        <f t="shared" si="4"/>
        <v>2022</v>
      </c>
      <c r="D183" s="3">
        <f t="shared" si="5"/>
        <v>202201</v>
      </c>
      <c r="E183" s="5" t="s">
        <v>2</v>
      </c>
      <c r="F183" s="5" t="s">
        <v>9</v>
      </c>
      <c r="G183" s="5" t="s">
        <v>21</v>
      </c>
      <c r="H183">
        <v>51</v>
      </c>
      <c r="I183" s="4">
        <v>268413</v>
      </c>
      <c r="J183" s="4">
        <v>92463</v>
      </c>
    </row>
    <row r="184" spans="2:10" x14ac:dyDescent="0.3">
      <c r="B184" s="7">
        <v>44593</v>
      </c>
      <c r="C184" s="3">
        <f t="shared" si="4"/>
        <v>2022</v>
      </c>
      <c r="D184" s="3">
        <f t="shared" si="5"/>
        <v>202202</v>
      </c>
      <c r="E184" s="5" t="s">
        <v>2</v>
      </c>
      <c r="F184" s="5" t="s">
        <v>9</v>
      </c>
      <c r="G184" s="5" t="s">
        <v>21</v>
      </c>
      <c r="H184">
        <v>32</v>
      </c>
      <c r="I184" s="4">
        <v>171488</v>
      </c>
      <c r="J184" s="4">
        <v>58016</v>
      </c>
    </row>
    <row r="185" spans="2:10" x14ac:dyDescent="0.3">
      <c r="B185" s="7">
        <v>44621</v>
      </c>
      <c r="C185" s="3">
        <f t="shared" si="4"/>
        <v>2022</v>
      </c>
      <c r="D185" s="3">
        <f t="shared" si="5"/>
        <v>202203</v>
      </c>
      <c r="E185" s="5" t="s">
        <v>2</v>
      </c>
      <c r="F185" s="5" t="s">
        <v>9</v>
      </c>
      <c r="G185" s="5" t="s">
        <v>21</v>
      </c>
      <c r="H185">
        <v>26</v>
      </c>
      <c r="I185" s="4">
        <v>118560</v>
      </c>
      <c r="J185" s="4">
        <v>47138</v>
      </c>
    </row>
    <row r="186" spans="2:10" x14ac:dyDescent="0.3">
      <c r="B186" s="7">
        <v>44652</v>
      </c>
      <c r="C186" s="3">
        <f t="shared" si="4"/>
        <v>2022</v>
      </c>
      <c r="D186" s="3">
        <f t="shared" si="5"/>
        <v>202204</v>
      </c>
      <c r="E186" s="5" t="s">
        <v>2</v>
      </c>
      <c r="F186" s="5" t="s">
        <v>9</v>
      </c>
      <c r="G186" s="5" t="s">
        <v>21</v>
      </c>
      <c r="H186">
        <v>48</v>
      </c>
      <c r="I186" s="4">
        <v>256896</v>
      </c>
      <c r="J186" s="4">
        <v>87024</v>
      </c>
    </row>
    <row r="187" spans="2:10" x14ac:dyDescent="0.3">
      <c r="B187" s="7">
        <v>44682</v>
      </c>
      <c r="C187" s="3">
        <f t="shared" si="4"/>
        <v>2022</v>
      </c>
      <c r="D187" s="3">
        <f t="shared" si="5"/>
        <v>202205</v>
      </c>
      <c r="E187" s="5" t="s">
        <v>2</v>
      </c>
      <c r="F187" s="5" t="s">
        <v>9</v>
      </c>
      <c r="G187" s="5" t="s">
        <v>21</v>
      </c>
      <c r="H187">
        <v>61</v>
      </c>
      <c r="I187" s="4">
        <v>339587</v>
      </c>
      <c r="J187" s="4">
        <v>110593</v>
      </c>
    </row>
    <row r="188" spans="2:10" x14ac:dyDescent="0.3">
      <c r="B188" s="7">
        <v>44713</v>
      </c>
      <c r="C188" s="3">
        <f t="shared" si="4"/>
        <v>2022</v>
      </c>
      <c r="D188" s="3">
        <f t="shared" si="5"/>
        <v>202206</v>
      </c>
      <c r="E188" s="5" t="s">
        <v>2</v>
      </c>
      <c r="F188" s="5" t="s">
        <v>9</v>
      </c>
      <c r="G188" s="5" t="s">
        <v>21</v>
      </c>
      <c r="H188">
        <v>57</v>
      </c>
      <c r="I188" s="4">
        <v>295032</v>
      </c>
      <c r="J188" s="4">
        <v>103341</v>
      </c>
    </row>
    <row r="189" spans="2:10" x14ac:dyDescent="0.3">
      <c r="B189" s="7">
        <v>44743</v>
      </c>
      <c r="C189" s="3">
        <f t="shared" si="4"/>
        <v>2022</v>
      </c>
      <c r="D189" s="3">
        <f t="shared" si="5"/>
        <v>202207</v>
      </c>
      <c r="E189" s="5" t="s">
        <v>2</v>
      </c>
      <c r="F189" s="5" t="s">
        <v>9</v>
      </c>
      <c r="G189" s="5" t="s">
        <v>21</v>
      </c>
      <c r="H189">
        <v>61</v>
      </c>
      <c r="I189" s="4">
        <v>189283</v>
      </c>
      <c r="J189" s="4">
        <v>110593</v>
      </c>
    </row>
    <row r="190" spans="2:10" x14ac:dyDescent="0.3">
      <c r="B190" s="7">
        <v>44774</v>
      </c>
      <c r="C190" s="3">
        <f t="shared" si="4"/>
        <v>2022</v>
      </c>
      <c r="D190" s="3">
        <f t="shared" si="5"/>
        <v>202208</v>
      </c>
      <c r="E190" s="5" t="s">
        <v>2</v>
      </c>
      <c r="F190" s="5" t="s">
        <v>9</v>
      </c>
      <c r="G190" s="5" t="s">
        <v>21</v>
      </c>
      <c r="H190">
        <v>51</v>
      </c>
      <c r="I190" s="4">
        <v>253980</v>
      </c>
      <c r="J190" s="4">
        <v>92463</v>
      </c>
    </row>
    <row r="191" spans="2:10" x14ac:dyDescent="0.3">
      <c r="B191" s="7">
        <v>44805</v>
      </c>
      <c r="C191" s="3">
        <f t="shared" si="4"/>
        <v>2022</v>
      </c>
      <c r="D191" s="3">
        <f t="shared" si="5"/>
        <v>202209</v>
      </c>
      <c r="E191" s="5" t="s">
        <v>2</v>
      </c>
      <c r="F191" s="5" t="s">
        <v>9</v>
      </c>
      <c r="G191" s="5" t="s">
        <v>21</v>
      </c>
      <c r="H191">
        <v>54</v>
      </c>
      <c r="I191" s="4">
        <v>271890</v>
      </c>
      <c r="J191" s="4">
        <v>97902</v>
      </c>
    </row>
    <row r="192" spans="2:10" x14ac:dyDescent="0.3">
      <c r="B192" s="7">
        <v>44835</v>
      </c>
      <c r="C192" s="3">
        <f t="shared" si="4"/>
        <v>2022</v>
      </c>
      <c r="D192" s="3">
        <f t="shared" si="5"/>
        <v>202210</v>
      </c>
      <c r="E192" s="5" t="s">
        <v>2</v>
      </c>
      <c r="F192" s="5" t="s">
        <v>9</v>
      </c>
      <c r="G192" s="5" t="s">
        <v>21</v>
      </c>
      <c r="H192">
        <v>45</v>
      </c>
      <c r="I192" s="4">
        <v>238410</v>
      </c>
      <c r="J192" s="4">
        <v>81585</v>
      </c>
    </row>
    <row r="193" spans="2:10" x14ac:dyDescent="0.3">
      <c r="B193" s="7">
        <v>44866</v>
      </c>
      <c r="C193" s="3">
        <f t="shared" si="4"/>
        <v>2022</v>
      </c>
      <c r="D193" s="3">
        <f t="shared" si="5"/>
        <v>202211</v>
      </c>
      <c r="E193" s="5" t="s">
        <v>2</v>
      </c>
      <c r="F193" s="5" t="s">
        <v>9</v>
      </c>
      <c r="G193" s="5" t="s">
        <v>21</v>
      </c>
      <c r="H193">
        <v>32</v>
      </c>
      <c r="I193" s="4">
        <v>163328</v>
      </c>
      <c r="J193" s="4">
        <v>58016</v>
      </c>
    </row>
    <row r="194" spans="2:10" x14ac:dyDescent="0.3">
      <c r="B194" s="7">
        <v>44896</v>
      </c>
      <c r="C194" s="3">
        <f t="shared" si="4"/>
        <v>2022</v>
      </c>
      <c r="D194" s="3">
        <f t="shared" si="5"/>
        <v>202212</v>
      </c>
      <c r="E194" s="5" t="s">
        <v>2</v>
      </c>
      <c r="F194" s="5" t="s">
        <v>9</v>
      </c>
      <c r="G194" s="5" t="s">
        <v>21</v>
      </c>
      <c r="H194">
        <v>38</v>
      </c>
      <c r="I194" s="4">
        <v>177422</v>
      </c>
      <c r="J194" s="4">
        <v>68894</v>
      </c>
    </row>
    <row r="195" spans="2:10" x14ac:dyDescent="0.3">
      <c r="B195" s="7">
        <v>44197</v>
      </c>
      <c r="C195" s="3">
        <f t="shared" ref="C195:C258" si="6">YEAR(B195)</f>
        <v>2021</v>
      </c>
      <c r="D195" s="3">
        <f t="shared" ref="D195:D258" si="7">VALUE(TEXT(B195,"ГГГГММ"))</f>
        <v>202101</v>
      </c>
      <c r="E195" s="5" t="s">
        <v>2</v>
      </c>
      <c r="F195" s="5" t="s">
        <v>9</v>
      </c>
      <c r="G195" s="5" t="s">
        <v>22</v>
      </c>
      <c r="H195">
        <v>36</v>
      </c>
      <c r="I195" s="4">
        <v>110916</v>
      </c>
      <c r="J195" s="4">
        <v>41400</v>
      </c>
    </row>
    <row r="196" spans="2:10" x14ac:dyDescent="0.3">
      <c r="B196" s="7">
        <v>44228</v>
      </c>
      <c r="C196" s="3">
        <f t="shared" si="6"/>
        <v>2021</v>
      </c>
      <c r="D196" s="3">
        <f t="shared" si="7"/>
        <v>202102</v>
      </c>
      <c r="E196" s="5" t="s">
        <v>2</v>
      </c>
      <c r="F196" s="5" t="s">
        <v>9</v>
      </c>
      <c r="G196" s="5" t="s">
        <v>22</v>
      </c>
      <c r="H196">
        <v>23</v>
      </c>
      <c r="I196" s="4">
        <v>81627</v>
      </c>
      <c r="J196" s="4">
        <v>26450</v>
      </c>
    </row>
    <row r="197" spans="2:10" x14ac:dyDescent="0.3">
      <c r="B197" s="7">
        <v>44256</v>
      </c>
      <c r="C197" s="3">
        <f t="shared" si="6"/>
        <v>2021</v>
      </c>
      <c r="D197" s="3">
        <f t="shared" si="7"/>
        <v>202103</v>
      </c>
      <c r="E197" s="5" t="s">
        <v>2</v>
      </c>
      <c r="F197" s="5" t="s">
        <v>9</v>
      </c>
      <c r="G197" s="5" t="s">
        <v>22</v>
      </c>
      <c r="H197">
        <v>18</v>
      </c>
      <c r="I197" s="4">
        <v>67302</v>
      </c>
      <c r="J197" s="4">
        <v>20700</v>
      </c>
    </row>
    <row r="198" spans="2:10" x14ac:dyDescent="0.3">
      <c r="B198" s="7">
        <v>44287</v>
      </c>
      <c r="C198" s="3">
        <f t="shared" si="6"/>
        <v>2021</v>
      </c>
      <c r="D198" s="3">
        <f t="shared" si="7"/>
        <v>202104</v>
      </c>
      <c r="E198" s="5" t="s">
        <v>2</v>
      </c>
      <c r="F198" s="5" t="s">
        <v>9</v>
      </c>
      <c r="G198" s="5" t="s">
        <v>22</v>
      </c>
      <c r="H198">
        <v>34</v>
      </c>
      <c r="I198" s="4">
        <v>155618</v>
      </c>
      <c r="J198" s="4">
        <v>39100</v>
      </c>
    </row>
    <row r="199" spans="2:10" x14ac:dyDescent="0.3">
      <c r="B199" s="7">
        <v>44317</v>
      </c>
      <c r="C199" s="3">
        <f t="shared" si="6"/>
        <v>2021</v>
      </c>
      <c r="D199" s="3">
        <f t="shared" si="7"/>
        <v>202105</v>
      </c>
      <c r="E199" s="5" t="s">
        <v>2</v>
      </c>
      <c r="F199" s="5" t="s">
        <v>9</v>
      </c>
      <c r="G199" s="5" t="s">
        <v>22</v>
      </c>
      <c r="H199">
        <v>43</v>
      </c>
      <c r="I199" s="4">
        <v>177977</v>
      </c>
      <c r="J199" s="4">
        <v>49450</v>
      </c>
    </row>
    <row r="200" spans="2:10" x14ac:dyDescent="0.3">
      <c r="B200" s="7">
        <v>44348</v>
      </c>
      <c r="C200" s="3">
        <f t="shared" si="6"/>
        <v>2021</v>
      </c>
      <c r="D200" s="3">
        <f t="shared" si="7"/>
        <v>202106</v>
      </c>
      <c r="E200" s="5" t="s">
        <v>2</v>
      </c>
      <c r="F200" s="5" t="s">
        <v>9</v>
      </c>
      <c r="G200" s="5" t="s">
        <v>22</v>
      </c>
      <c r="H200">
        <v>41</v>
      </c>
      <c r="I200" s="4">
        <v>153586</v>
      </c>
      <c r="J200" s="4">
        <v>47150</v>
      </c>
    </row>
    <row r="201" spans="2:10" x14ac:dyDescent="0.3">
      <c r="B201" s="7">
        <v>44378</v>
      </c>
      <c r="C201" s="3">
        <f t="shared" si="6"/>
        <v>2021</v>
      </c>
      <c r="D201" s="3">
        <f t="shared" si="7"/>
        <v>202107</v>
      </c>
      <c r="E201" s="5" t="s">
        <v>2</v>
      </c>
      <c r="F201" s="5" t="s">
        <v>9</v>
      </c>
      <c r="G201" s="5" t="s">
        <v>22</v>
      </c>
      <c r="H201">
        <v>43</v>
      </c>
      <c r="I201" s="4">
        <v>105436</v>
      </c>
      <c r="J201" s="4">
        <v>49450</v>
      </c>
    </row>
    <row r="202" spans="2:10" x14ac:dyDescent="0.3">
      <c r="B202" s="7">
        <v>44409</v>
      </c>
      <c r="C202" s="3">
        <f t="shared" si="6"/>
        <v>2021</v>
      </c>
      <c r="D202" s="3">
        <f t="shared" si="7"/>
        <v>202108</v>
      </c>
      <c r="E202" s="5" t="s">
        <v>2</v>
      </c>
      <c r="F202" s="5" t="s">
        <v>9</v>
      </c>
      <c r="G202" s="5" t="s">
        <v>22</v>
      </c>
      <c r="H202">
        <v>36</v>
      </c>
      <c r="I202" s="4">
        <v>98352</v>
      </c>
      <c r="J202" s="4">
        <v>41400</v>
      </c>
    </row>
    <row r="203" spans="2:10" x14ac:dyDescent="0.3">
      <c r="B203" s="7">
        <v>44440</v>
      </c>
      <c r="C203" s="3">
        <f t="shared" si="6"/>
        <v>2021</v>
      </c>
      <c r="D203" s="3">
        <f t="shared" si="7"/>
        <v>202109</v>
      </c>
      <c r="E203" s="5" t="s">
        <v>2</v>
      </c>
      <c r="F203" s="5" t="s">
        <v>9</v>
      </c>
      <c r="G203" s="5" t="s">
        <v>22</v>
      </c>
      <c r="H203">
        <v>39</v>
      </c>
      <c r="I203" s="4">
        <v>132756</v>
      </c>
      <c r="J203" s="4">
        <v>44850</v>
      </c>
    </row>
    <row r="204" spans="2:10" x14ac:dyDescent="0.3">
      <c r="B204" s="7">
        <v>44470</v>
      </c>
      <c r="C204" s="3">
        <f t="shared" si="6"/>
        <v>2021</v>
      </c>
      <c r="D204" s="3">
        <f t="shared" si="7"/>
        <v>202110</v>
      </c>
      <c r="E204" s="5" t="s">
        <v>2</v>
      </c>
      <c r="F204" s="5" t="s">
        <v>9</v>
      </c>
      <c r="G204" s="5" t="s">
        <v>22</v>
      </c>
      <c r="H204">
        <v>32</v>
      </c>
      <c r="I204" s="4">
        <v>149920</v>
      </c>
      <c r="J204" s="4">
        <v>36800</v>
      </c>
    </row>
    <row r="205" spans="2:10" x14ac:dyDescent="0.3">
      <c r="B205" s="7">
        <v>44501</v>
      </c>
      <c r="C205" s="3">
        <f t="shared" si="6"/>
        <v>2021</v>
      </c>
      <c r="D205" s="3">
        <f t="shared" si="7"/>
        <v>202111</v>
      </c>
      <c r="E205" s="5" t="s">
        <v>2</v>
      </c>
      <c r="F205" s="5" t="s">
        <v>9</v>
      </c>
      <c r="G205" s="5" t="s">
        <v>22</v>
      </c>
      <c r="H205">
        <v>23</v>
      </c>
      <c r="I205" s="4">
        <v>78683</v>
      </c>
      <c r="J205" s="4">
        <v>26450</v>
      </c>
    </row>
    <row r="206" spans="2:10" x14ac:dyDescent="0.3">
      <c r="B206" s="7">
        <v>44531</v>
      </c>
      <c r="C206" s="3">
        <f t="shared" si="6"/>
        <v>2021</v>
      </c>
      <c r="D206" s="3">
        <f t="shared" si="7"/>
        <v>202112</v>
      </c>
      <c r="E206" s="5" t="s">
        <v>2</v>
      </c>
      <c r="F206" s="5" t="s">
        <v>9</v>
      </c>
      <c r="G206" s="5" t="s">
        <v>22</v>
      </c>
      <c r="H206">
        <v>27</v>
      </c>
      <c r="I206" s="4">
        <v>91341</v>
      </c>
      <c r="J206" s="4">
        <v>31050</v>
      </c>
    </row>
    <row r="207" spans="2:10" x14ac:dyDescent="0.3">
      <c r="B207" s="7">
        <v>44562</v>
      </c>
      <c r="C207" s="3">
        <f t="shared" si="6"/>
        <v>2022</v>
      </c>
      <c r="D207" s="3">
        <f t="shared" si="7"/>
        <v>202201</v>
      </c>
      <c r="E207" s="5" t="s">
        <v>2</v>
      </c>
      <c r="F207" s="5" t="s">
        <v>9</v>
      </c>
      <c r="G207" s="5" t="s">
        <v>22</v>
      </c>
      <c r="H207">
        <v>40</v>
      </c>
      <c r="I207" s="4">
        <v>134600</v>
      </c>
      <c r="J207" s="4">
        <v>46000</v>
      </c>
    </row>
    <row r="208" spans="2:10" x14ac:dyDescent="0.3">
      <c r="B208" s="7">
        <v>44593</v>
      </c>
      <c r="C208" s="3">
        <f t="shared" si="6"/>
        <v>2022</v>
      </c>
      <c r="D208" s="3">
        <f t="shared" si="7"/>
        <v>202202</v>
      </c>
      <c r="E208" s="5" t="s">
        <v>2</v>
      </c>
      <c r="F208" s="5" t="s">
        <v>9</v>
      </c>
      <c r="G208" s="5" t="s">
        <v>22</v>
      </c>
      <c r="H208">
        <v>25</v>
      </c>
      <c r="I208" s="4">
        <v>83550</v>
      </c>
      <c r="J208" s="4">
        <v>28750</v>
      </c>
    </row>
    <row r="209" spans="2:10" x14ac:dyDescent="0.3">
      <c r="B209" s="7">
        <v>44621</v>
      </c>
      <c r="C209" s="3">
        <f t="shared" si="6"/>
        <v>2022</v>
      </c>
      <c r="D209" s="3">
        <f t="shared" si="7"/>
        <v>202203</v>
      </c>
      <c r="E209" s="5" t="s">
        <v>2</v>
      </c>
      <c r="F209" s="5" t="s">
        <v>9</v>
      </c>
      <c r="G209" s="5" t="s">
        <v>22</v>
      </c>
      <c r="H209">
        <v>20</v>
      </c>
      <c r="I209" s="4">
        <v>75840</v>
      </c>
      <c r="J209" s="4">
        <v>23000</v>
      </c>
    </row>
    <row r="210" spans="2:10" x14ac:dyDescent="0.3">
      <c r="B210" s="7">
        <v>44652</v>
      </c>
      <c r="C210" s="3">
        <f t="shared" si="6"/>
        <v>2022</v>
      </c>
      <c r="D210" s="3">
        <f t="shared" si="7"/>
        <v>202204</v>
      </c>
      <c r="E210" s="5" t="s">
        <v>2</v>
      </c>
      <c r="F210" s="5" t="s">
        <v>9</v>
      </c>
      <c r="G210" s="5" t="s">
        <v>22</v>
      </c>
      <c r="H210">
        <v>38</v>
      </c>
      <c r="I210" s="4">
        <v>166098</v>
      </c>
      <c r="J210" s="4">
        <v>43700</v>
      </c>
    </row>
    <row r="211" spans="2:10" x14ac:dyDescent="0.3">
      <c r="B211" s="7">
        <v>44682</v>
      </c>
      <c r="C211" s="3">
        <f t="shared" si="6"/>
        <v>2022</v>
      </c>
      <c r="D211" s="3">
        <f t="shared" si="7"/>
        <v>202205</v>
      </c>
      <c r="E211" s="5" t="s">
        <v>2</v>
      </c>
      <c r="F211" s="5" t="s">
        <v>9</v>
      </c>
      <c r="G211" s="5" t="s">
        <v>22</v>
      </c>
      <c r="H211">
        <v>48</v>
      </c>
      <c r="I211" s="4">
        <v>213648</v>
      </c>
      <c r="J211" s="4">
        <v>55200</v>
      </c>
    </row>
    <row r="212" spans="2:10" x14ac:dyDescent="0.3">
      <c r="B212" s="7">
        <v>44713</v>
      </c>
      <c r="C212" s="3">
        <f t="shared" si="6"/>
        <v>2022</v>
      </c>
      <c r="D212" s="3">
        <f t="shared" si="7"/>
        <v>202206</v>
      </c>
      <c r="E212" s="5" t="s">
        <v>2</v>
      </c>
      <c r="F212" s="5" t="s">
        <v>9</v>
      </c>
      <c r="G212" s="5" t="s">
        <v>22</v>
      </c>
      <c r="H212">
        <v>45</v>
      </c>
      <c r="I212" s="4">
        <v>175860</v>
      </c>
      <c r="J212" s="4">
        <v>51750</v>
      </c>
    </row>
    <row r="213" spans="2:10" x14ac:dyDescent="0.3">
      <c r="B213" s="7">
        <v>44743</v>
      </c>
      <c r="C213" s="3">
        <f t="shared" si="6"/>
        <v>2022</v>
      </c>
      <c r="D213" s="3">
        <f t="shared" si="7"/>
        <v>202207</v>
      </c>
      <c r="E213" s="5" t="s">
        <v>2</v>
      </c>
      <c r="F213" s="5" t="s">
        <v>9</v>
      </c>
      <c r="G213" s="5" t="s">
        <v>22</v>
      </c>
      <c r="H213">
        <v>48</v>
      </c>
      <c r="I213" s="4">
        <v>135456</v>
      </c>
      <c r="J213" s="4">
        <v>55200</v>
      </c>
    </row>
    <row r="214" spans="2:10" x14ac:dyDescent="0.3">
      <c r="B214" s="7">
        <v>44774</v>
      </c>
      <c r="C214" s="3">
        <f t="shared" si="6"/>
        <v>2022</v>
      </c>
      <c r="D214" s="3">
        <f t="shared" si="7"/>
        <v>202208</v>
      </c>
      <c r="E214" s="5" t="s">
        <v>2</v>
      </c>
      <c r="F214" s="5" t="s">
        <v>9</v>
      </c>
      <c r="G214" s="5" t="s">
        <v>22</v>
      </c>
      <c r="H214">
        <v>40</v>
      </c>
      <c r="I214" s="4">
        <v>141120</v>
      </c>
      <c r="J214" s="4">
        <v>46000</v>
      </c>
    </row>
    <row r="215" spans="2:10" x14ac:dyDescent="0.3">
      <c r="B215" s="7">
        <v>44805</v>
      </c>
      <c r="C215" s="3">
        <f t="shared" si="6"/>
        <v>2022</v>
      </c>
      <c r="D215" s="3">
        <f t="shared" si="7"/>
        <v>202209</v>
      </c>
      <c r="E215" s="5" t="s">
        <v>2</v>
      </c>
      <c r="F215" s="5" t="s">
        <v>9</v>
      </c>
      <c r="G215" s="5" t="s">
        <v>22</v>
      </c>
      <c r="H215">
        <v>43</v>
      </c>
      <c r="I215" s="4">
        <v>144308</v>
      </c>
      <c r="J215" s="4">
        <v>49450</v>
      </c>
    </row>
    <row r="216" spans="2:10" x14ac:dyDescent="0.3">
      <c r="B216" s="7">
        <v>44835</v>
      </c>
      <c r="C216" s="3">
        <f t="shared" si="6"/>
        <v>2022</v>
      </c>
      <c r="D216" s="3">
        <f t="shared" si="7"/>
        <v>202210</v>
      </c>
      <c r="E216" s="5" t="s">
        <v>2</v>
      </c>
      <c r="F216" s="5" t="s">
        <v>9</v>
      </c>
      <c r="G216" s="5" t="s">
        <v>22</v>
      </c>
      <c r="H216">
        <v>35</v>
      </c>
      <c r="I216" s="4">
        <v>112945</v>
      </c>
      <c r="J216" s="4">
        <v>40250</v>
      </c>
    </row>
    <row r="217" spans="2:10" x14ac:dyDescent="0.3">
      <c r="B217" s="7">
        <v>44866</v>
      </c>
      <c r="C217" s="3">
        <f t="shared" si="6"/>
        <v>2022</v>
      </c>
      <c r="D217" s="3">
        <f t="shared" si="7"/>
        <v>202211</v>
      </c>
      <c r="E217" s="5" t="s">
        <v>2</v>
      </c>
      <c r="F217" s="5" t="s">
        <v>9</v>
      </c>
      <c r="G217" s="5" t="s">
        <v>22</v>
      </c>
      <c r="H217">
        <v>25</v>
      </c>
      <c r="I217" s="4">
        <v>100100</v>
      </c>
      <c r="J217" s="4">
        <v>28750</v>
      </c>
    </row>
    <row r="218" spans="2:10" x14ac:dyDescent="0.3">
      <c r="B218" s="7">
        <v>44896</v>
      </c>
      <c r="C218" s="3">
        <f t="shared" si="6"/>
        <v>2022</v>
      </c>
      <c r="D218" s="3">
        <f t="shared" si="7"/>
        <v>202212</v>
      </c>
      <c r="E218" s="5" t="s">
        <v>2</v>
      </c>
      <c r="F218" s="5" t="s">
        <v>9</v>
      </c>
      <c r="G218" s="5" t="s">
        <v>22</v>
      </c>
      <c r="H218">
        <v>30</v>
      </c>
      <c r="I218" s="4">
        <v>90300</v>
      </c>
      <c r="J218" s="4">
        <v>34500</v>
      </c>
    </row>
    <row r="219" spans="2:10" x14ac:dyDescent="0.3">
      <c r="B219" s="7">
        <v>44197</v>
      </c>
      <c r="C219" s="3">
        <f t="shared" si="6"/>
        <v>2021</v>
      </c>
      <c r="D219" s="3">
        <f t="shared" si="7"/>
        <v>202101</v>
      </c>
      <c r="E219" s="5" t="s">
        <v>2</v>
      </c>
      <c r="F219" s="5" t="s">
        <v>9</v>
      </c>
      <c r="G219" s="5" t="s">
        <v>23</v>
      </c>
      <c r="H219">
        <v>47</v>
      </c>
      <c r="I219" s="4">
        <v>218879</v>
      </c>
      <c r="J219" s="4">
        <v>62698</v>
      </c>
    </row>
    <row r="220" spans="2:10" x14ac:dyDescent="0.3">
      <c r="B220" s="7">
        <v>44228</v>
      </c>
      <c r="C220" s="3">
        <f t="shared" si="6"/>
        <v>2021</v>
      </c>
      <c r="D220" s="3">
        <f t="shared" si="7"/>
        <v>202102</v>
      </c>
      <c r="E220" s="5" t="s">
        <v>2</v>
      </c>
      <c r="F220" s="5" t="s">
        <v>9</v>
      </c>
      <c r="G220" s="5" t="s">
        <v>23</v>
      </c>
      <c r="H220">
        <v>29</v>
      </c>
      <c r="I220" s="4">
        <v>123685</v>
      </c>
      <c r="J220" s="4">
        <v>38686</v>
      </c>
    </row>
    <row r="221" spans="2:10" x14ac:dyDescent="0.3">
      <c r="B221" s="7">
        <v>44256</v>
      </c>
      <c r="C221" s="3">
        <f t="shared" si="6"/>
        <v>2021</v>
      </c>
      <c r="D221" s="3">
        <f t="shared" si="7"/>
        <v>202103</v>
      </c>
      <c r="E221" s="5" t="s">
        <v>2</v>
      </c>
      <c r="F221" s="5" t="s">
        <v>9</v>
      </c>
      <c r="G221" s="5" t="s">
        <v>23</v>
      </c>
      <c r="H221">
        <v>24</v>
      </c>
      <c r="I221" s="4">
        <v>77688</v>
      </c>
      <c r="J221" s="4">
        <v>32016</v>
      </c>
    </row>
    <row r="222" spans="2:10" x14ac:dyDescent="0.3">
      <c r="B222" s="7">
        <v>44287</v>
      </c>
      <c r="C222" s="3">
        <f t="shared" si="6"/>
        <v>2021</v>
      </c>
      <c r="D222" s="3">
        <f t="shared" si="7"/>
        <v>202104</v>
      </c>
      <c r="E222" s="5" t="s">
        <v>2</v>
      </c>
      <c r="F222" s="5" t="s">
        <v>9</v>
      </c>
      <c r="G222" s="5" t="s">
        <v>23</v>
      </c>
      <c r="H222">
        <v>44</v>
      </c>
      <c r="I222" s="4">
        <v>186384</v>
      </c>
      <c r="J222" s="4">
        <v>58696</v>
      </c>
    </row>
    <row r="223" spans="2:10" x14ac:dyDescent="0.3">
      <c r="B223" s="7">
        <v>44317</v>
      </c>
      <c r="C223" s="3">
        <f t="shared" si="6"/>
        <v>2021</v>
      </c>
      <c r="D223" s="3">
        <f t="shared" si="7"/>
        <v>202105</v>
      </c>
      <c r="E223" s="5" t="s">
        <v>2</v>
      </c>
      <c r="F223" s="5" t="s">
        <v>9</v>
      </c>
      <c r="G223" s="5" t="s">
        <v>23</v>
      </c>
      <c r="H223">
        <v>56</v>
      </c>
      <c r="I223" s="4">
        <v>264376</v>
      </c>
      <c r="J223" s="4">
        <v>74704</v>
      </c>
    </row>
    <row r="224" spans="2:10" x14ac:dyDescent="0.3">
      <c r="B224" s="7">
        <v>44348</v>
      </c>
      <c r="C224" s="3">
        <f t="shared" si="6"/>
        <v>2021</v>
      </c>
      <c r="D224" s="3">
        <f t="shared" si="7"/>
        <v>202106</v>
      </c>
      <c r="E224" s="5" t="s">
        <v>2</v>
      </c>
      <c r="F224" s="5" t="s">
        <v>9</v>
      </c>
      <c r="G224" s="5" t="s">
        <v>23</v>
      </c>
      <c r="H224">
        <v>53</v>
      </c>
      <c r="I224" s="4">
        <v>229702</v>
      </c>
      <c r="J224" s="4">
        <v>70702</v>
      </c>
    </row>
    <row r="225" spans="2:10" x14ac:dyDescent="0.3">
      <c r="B225" s="7">
        <v>44378</v>
      </c>
      <c r="C225" s="3">
        <f t="shared" si="6"/>
        <v>2021</v>
      </c>
      <c r="D225" s="3">
        <f t="shared" si="7"/>
        <v>202107</v>
      </c>
      <c r="E225" s="5" t="s">
        <v>2</v>
      </c>
      <c r="F225" s="5" t="s">
        <v>9</v>
      </c>
      <c r="G225" s="5" t="s">
        <v>23</v>
      </c>
      <c r="H225">
        <v>56</v>
      </c>
      <c r="I225" s="4">
        <v>131320</v>
      </c>
      <c r="J225" s="4">
        <v>74704</v>
      </c>
    </row>
    <row r="226" spans="2:10" x14ac:dyDescent="0.3">
      <c r="B226" s="7">
        <v>44409</v>
      </c>
      <c r="C226" s="3">
        <f t="shared" si="6"/>
        <v>2021</v>
      </c>
      <c r="D226" s="3">
        <f t="shared" si="7"/>
        <v>202108</v>
      </c>
      <c r="E226" s="5" t="s">
        <v>2</v>
      </c>
      <c r="F226" s="5" t="s">
        <v>9</v>
      </c>
      <c r="G226" s="5" t="s">
        <v>23</v>
      </c>
      <c r="H226">
        <v>47</v>
      </c>
      <c r="I226" s="4">
        <v>152280</v>
      </c>
      <c r="J226" s="4">
        <v>62698</v>
      </c>
    </row>
    <row r="227" spans="2:10" x14ac:dyDescent="0.3">
      <c r="B227" s="7">
        <v>44440</v>
      </c>
      <c r="C227" s="3">
        <f t="shared" si="6"/>
        <v>2021</v>
      </c>
      <c r="D227" s="3">
        <f t="shared" si="7"/>
        <v>202109</v>
      </c>
      <c r="E227" s="5" t="s">
        <v>2</v>
      </c>
      <c r="F227" s="5" t="s">
        <v>9</v>
      </c>
      <c r="G227" s="5" t="s">
        <v>23</v>
      </c>
      <c r="H227">
        <v>50</v>
      </c>
      <c r="I227" s="4">
        <v>174600</v>
      </c>
      <c r="J227" s="4">
        <v>66700</v>
      </c>
    </row>
    <row r="228" spans="2:10" x14ac:dyDescent="0.3">
      <c r="B228" s="7">
        <v>44470</v>
      </c>
      <c r="C228" s="3">
        <f t="shared" si="6"/>
        <v>2021</v>
      </c>
      <c r="D228" s="3">
        <f t="shared" si="7"/>
        <v>202110</v>
      </c>
      <c r="E228" s="5" t="s">
        <v>2</v>
      </c>
      <c r="F228" s="5" t="s">
        <v>9</v>
      </c>
      <c r="G228" s="5" t="s">
        <v>23</v>
      </c>
      <c r="H228">
        <v>41</v>
      </c>
      <c r="I228" s="4">
        <v>190281</v>
      </c>
      <c r="J228" s="4">
        <v>54694</v>
      </c>
    </row>
    <row r="229" spans="2:10" x14ac:dyDescent="0.3">
      <c r="B229" s="7">
        <v>44501</v>
      </c>
      <c r="C229" s="3">
        <f t="shared" si="6"/>
        <v>2021</v>
      </c>
      <c r="D229" s="3">
        <f t="shared" si="7"/>
        <v>202111</v>
      </c>
      <c r="E229" s="5" t="s">
        <v>2</v>
      </c>
      <c r="F229" s="5" t="s">
        <v>9</v>
      </c>
      <c r="G229" s="5" t="s">
        <v>23</v>
      </c>
      <c r="H229">
        <v>29</v>
      </c>
      <c r="I229" s="4">
        <v>112462</v>
      </c>
      <c r="J229" s="4">
        <v>38686</v>
      </c>
    </row>
    <row r="230" spans="2:10" x14ac:dyDescent="0.3">
      <c r="B230" s="7">
        <v>44531</v>
      </c>
      <c r="C230" s="3">
        <f t="shared" si="6"/>
        <v>2021</v>
      </c>
      <c r="D230" s="3">
        <f t="shared" si="7"/>
        <v>202112</v>
      </c>
      <c r="E230" s="5" t="s">
        <v>2</v>
      </c>
      <c r="F230" s="5" t="s">
        <v>9</v>
      </c>
      <c r="G230" s="5" t="s">
        <v>23</v>
      </c>
      <c r="H230">
        <v>35</v>
      </c>
      <c r="I230" s="4">
        <v>142170</v>
      </c>
      <c r="J230" s="4">
        <v>46690</v>
      </c>
    </row>
    <row r="231" spans="2:10" x14ac:dyDescent="0.3">
      <c r="B231" s="7">
        <v>44562</v>
      </c>
      <c r="C231" s="3">
        <f t="shared" si="6"/>
        <v>2022</v>
      </c>
      <c r="D231" s="3">
        <f t="shared" si="7"/>
        <v>202201</v>
      </c>
      <c r="E231" s="5" t="s">
        <v>2</v>
      </c>
      <c r="F231" s="5" t="s">
        <v>9</v>
      </c>
      <c r="G231" s="5" t="s">
        <v>23</v>
      </c>
      <c r="H231">
        <v>52</v>
      </c>
      <c r="I231" s="4">
        <v>231504</v>
      </c>
      <c r="J231" s="4">
        <v>69368</v>
      </c>
    </row>
    <row r="232" spans="2:10" x14ac:dyDescent="0.3">
      <c r="B232" s="7">
        <v>44593</v>
      </c>
      <c r="C232" s="3">
        <f t="shared" si="6"/>
        <v>2022</v>
      </c>
      <c r="D232" s="3">
        <f t="shared" si="7"/>
        <v>202202</v>
      </c>
      <c r="E232" s="5" t="s">
        <v>2</v>
      </c>
      <c r="F232" s="5" t="s">
        <v>9</v>
      </c>
      <c r="G232" s="5" t="s">
        <v>23</v>
      </c>
      <c r="H232">
        <v>32</v>
      </c>
      <c r="I232" s="4">
        <v>136224</v>
      </c>
      <c r="J232" s="4">
        <v>42688</v>
      </c>
    </row>
    <row r="233" spans="2:10" x14ac:dyDescent="0.3">
      <c r="B233" s="7">
        <v>44621</v>
      </c>
      <c r="C233" s="3">
        <f t="shared" si="6"/>
        <v>2022</v>
      </c>
      <c r="D233" s="3">
        <f t="shared" si="7"/>
        <v>202203</v>
      </c>
      <c r="E233" s="5" t="s">
        <v>2</v>
      </c>
      <c r="F233" s="5" t="s">
        <v>9</v>
      </c>
      <c r="G233" s="5" t="s">
        <v>23</v>
      </c>
      <c r="H233">
        <v>26</v>
      </c>
      <c r="I233" s="4">
        <v>96148</v>
      </c>
      <c r="J233" s="4">
        <v>34684</v>
      </c>
    </row>
    <row r="234" spans="2:10" x14ac:dyDescent="0.3">
      <c r="B234" s="7">
        <v>44652</v>
      </c>
      <c r="C234" s="3">
        <f t="shared" si="6"/>
        <v>2022</v>
      </c>
      <c r="D234" s="3">
        <f t="shared" si="7"/>
        <v>202204</v>
      </c>
      <c r="E234" s="5" t="s">
        <v>2</v>
      </c>
      <c r="F234" s="5" t="s">
        <v>9</v>
      </c>
      <c r="G234" s="5" t="s">
        <v>23</v>
      </c>
      <c r="H234">
        <v>48</v>
      </c>
      <c r="I234" s="4">
        <v>222192</v>
      </c>
      <c r="J234" s="4">
        <v>64032</v>
      </c>
    </row>
    <row r="235" spans="2:10" x14ac:dyDescent="0.3">
      <c r="B235" s="7">
        <v>44682</v>
      </c>
      <c r="C235" s="3">
        <f t="shared" si="6"/>
        <v>2022</v>
      </c>
      <c r="D235" s="3">
        <f t="shared" si="7"/>
        <v>202205</v>
      </c>
      <c r="E235" s="5" t="s">
        <v>2</v>
      </c>
      <c r="F235" s="5" t="s">
        <v>9</v>
      </c>
      <c r="G235" s="5" t="s">
        <v>23</v>
      </c>
      <c r="H235">
        <v>61</v>
      </c>
      <c r="I235" s="4">
        <v>305854</v>
      </c>
      <c r="J235" s="4">
        <v>81374</v>
      </c>
    </row>
    <row r="236" spans="2:10" x14ac:dyDescent="0.3">
      <c r="B236" s="7">
        <v>44713</v>
      </c>
      <c r="C236" s="3">
        <f t="shared" si="6"/>
        <v>2022</v>
      </c>
      <c r="D236" s="3">
        <f t="shared" si="7"/>
        <v>202206</v>
      </c>
      <c r="E236" s="5" t="s">
        <v>2</v>
      </c>
      <c r="F236" s="5" t="s">
        <v>9</v>
      </c>
      <c r="G236" s="5" t="s">
        <v>23</v>
      </c>
      <c r="H236">
        <v>58</v>
      </c>
      <c r="I236" s="4">
        <v>239598</v>
      </c>
      <c r="J236" s="4">
        <v>77372</v>
      </c>
    </row>
    <row r="237" spans="2:10" x14ac:dyDescent="0.3">
      <c r="B237" s="7">
        <v>44743</v>
      </c>
      <c r="C237" s="3">
        <f t="shared" si="6"/>
        <v>2022</v>
      </c>
      <c r="D237" s="3">
        <f t="shared" si="7"/>
        <v>202207</v>
      </c>
      <c r="E237" s="5" t="s">
        <v>2</v>
      </c>
      <c r="F237" s="5" t="s">
        <v>9</v>
      </c>
      <c r="G237" s="5" t="s">
        <v>23</v>
      </c>
      <c r="H237">
        <v>61</v>
      </c>
      <c r="I237" s="4">
        <v>165310</v>
      </c>
      <c r="J237" s="4">
        <v>81374</v>
      </c>
    </row>
    <row r="238" spans="2:10" x14ac:dyDescent="0.3">
      <c r="B238" s="7">
        <v>44774</v>
      </c>
      <c r="C238" s="3">
        <f t="shared" si="6"/>
        <v>2022</v>
      </c>
      <c r="D238" s="3">
        <f t="shared" si="7"/>
        <v>202208</v>
      </c>
      <c r="E238" s="5" t="s">
        <v>2</v>
      </c>
      <c r="F238" s="5" t="s">
        <v>9</v>
      </c>
      <c r="G238" s="5" t="s">
        <v>23</v>
      </c>
      <c r="H238">
        <v>52</v>
      </c>
      <c r="I238" s="4">
        <v>173264</v>
      </c>
      <c r="J238" s="4">
        <v>69368</v>
      </c>
    </row>
    <row r="239" spans="2:10" x14ac:dyDescent="0.3">
      <c r="B239" s="7">
        <v>44805</v>
      </c>
      <c r="C239" s="3">
        <f t="shared" si="6"/>
        <v>2022</v>
      </c>
      <c r="D239" s="3">
        <f t="shared" si="7"/>
        <v>202209</v>
      </c>
      <c r="E239" s="5" t="s">
        <v>2</v>
      </c>
      <c r="F239" s="5" t="s">
        <v>9</v>
      </c>
      <c r="G239" s="5" t="s">
        <v>23</v>
      </c>
      <c r="H239">
        <v>55</v>
      </c>
      <c r="I239" s="4">
        <v>212960</v>
      </c>
      <c r="J239" s="4">
        <v>73370</v>
      </c>
    </row>
    <row r="240" spans="2:10" x14ac:dyDescent="0.3">
      <c r="B240" s="7">
        <v>44835</v>
      </c>
      <c r="C240" s="3">
        <f t="shared" si="6"/>
        <v>2022</v>
      </c>
      <c r="D240" s="3">
        <f t="shared" si="7"/>
        <v>202210</v>
      </c>
      <c r="E240" s="5" t="s">
        <v>2</v>
      </c>
      <c r="F240" s="5" t="s">
        <v>9</v>
      </c>
      <c r="G240" s="5" t="s">
        <v>23</v>
      </c>
      <c r="H240">
        <v>45</v>
      </c>
      <c r="I240" s="4">
        <v>226845</v>
      </c>
      <c r="J240" s="4">
        <v>60030</v>
      </c>
    </row>
    <row r="241" spans="2:10" x14ac:dyDescent="0.3">
      <c r="B241" s="7">
        <v>44866</v>
      </c>
      <c r="C241" s="3">
        <f t="shared" si="6"/>
        <v>2022</v>
      </c>
      <c r="D241" s="3">
        <f t="shared" si="7"/>
        <v>202211</v>
      </c>
      <c r="E241" s="5" t="s">
        <v>2</v>
      </c>
      <c r="F241" s="5" t="s">
        <v>9</v>
      </c>
      <c r="G241" s="5" t="s">
        <v>23</v>
      </c>
      <c r="H241">
        <v>32</v>
      </c>
      <c r="I241" s="4">
        <v>135104</v>
      </c>
      <c r="J241" s="4">
        <v>42688</v>
      </c>
    </row>
    <row r="242" spans="2:10" x14ac:dyDescent="0.3">
      <c r="B242" s="7">
        <v>44896</v>
      </c>
      <c r="C242" s="3">
        <f t="shared" si="6"/>
        <v>2022</v>
      </c>
      <c r="D242" s="3">
        <f t="shared" si="7"/>
        <v>202212</v>
      </c>
      <c r="E242" s="5" t="s">
        <v>2</v>
      </c>
      <c r="F242" s="5" t="s">
        <v>9</v>
      </c>
      <c r="G242" s="5" t="s">
        <v>23</v>
      </c>
      <c r="H242">
        <v>39</v>
      </c>
      <c r="I242" s="4">
        <v>130572</v>
      </c>
      <c r="J242" s="4">
        <v>52026</v>
      </c>
    </row>
    <row r="243" spans="2:10" x14ac:dyDescent="0.3">
      <c r="B243" s="7">
        <v>44197</v>
      </c>
      <c r="C243" s="3">
        <f t="shared" si="6"/>
        <v>2021</v>
      </c>
      <c r="D243" s="3">
        <f t="shared" si="7"/>
        <v>202101</v>
      </c>
      <c r="E243" s="5" t="s">
        <v>2</v>
      </c>
      <c r="F243" s="5" t="s">
        <v>9</v>
      </c>
      <c r="G243" s="5" t="s">
        <v>24</v>
      </c>
      <c r="H243">
        <v>39</v>
      </c>
      <c r="I243" s="4">
        <v>209469</v>
      </c>
      <c r="J243" s="4">
        <v>78624</v>
      </c>
    </row>
    <row r="244" spans="2:10" x14ac:dyDescent="0.3">
      <c r="B244" s="7">
        <v>44228</v>
      </c>
      <c r="C244" s="3">
        <f t="shared" si="6"/>
        <v>2021</v>
      </c>
      <c r="D244" s="3">
        <f t="shared" si="7"/>
        <v>202102</v>
      </c>
      <c r="E244" s="5" t="s">
        <v>2</v>
      </c>
      <c r="F244" s="5" t="s">
        <v>9</v>
      </c>
      <c r="G244" s="5" t="s">
        <v>24</v>
      </c>
      <c r="H244">
        <v>24</v>
      </c>
      <c r="I244" s="4">
        <v>129528</v>
      </c>
      <c r="J244" s="4">
        <v>48384</v>
      </c>
    </row>
    <row r="245" spans="2:10" x14ac:dyDescent="0.3">
      <c r="B245" s="7">
        <v>44256</v>
      </c>
      <c r="C245" s="3">
        <f t="shared" si="6"/>
        <v>2021</v>
      </c>
      <c r="D245" s="3">
        <f t="shared" si="7"/>
        <v>202103</v>
      </c>
      <c r="E245" s="5" t="s">
        <v>2</v>
      </c>
      <c r="F245" s="5" t="s">
        <v>9</v>
      </c>
      <c r="G245" s="5" t="s">
        <v>24</v>
      </c>
      <c r="H245">
        <v>20</v>
      </c>
      <c r="I245" s="4">
        <v>108960</v>
      </c>
      <c r="J245" s="4">
        <v>40320</v>
      </c>
    </row>
    <row r="246" spans="2:10" x14ac:dyDescent="0.3">
      <c r="B246" s="7">
        <v>44287</v>
      </c>
      <c r="C246" s="3">
        <f t="shared" si="6"/>
        <v>2021</v>
      </c>
      <c r="D246" s="3">
        <f t="shared" si="7"/>
        <v>202104</v>
      </c>
      <c r="E246" s="5" t="s">
        <v>2</v>
      </c>
      <c r="F246" s="5" t="s">
        <v>9</v>
      </c>
      <c r="G246" s="5" t="s">
        <v>24</v>
      </c>
      <c r="H246">
        <v>36</v>
      </c>
      <c r="I246" s="4">
        <v>228564</v>
      </c>
      <c r="J246" s="4">
        <v>72576</v>
      </c>
    </row>
    <row r="247" spans="2:10" x14ac:dyDescent="0.3">
      <c r="B247" s="7">
        <v>44317</v>
      </c>
      <c r="C247" s="3">
        <f t="shared" si="6"/>
        <v>2021</v>
      </c>
      <c r="D247" s="3">
        <f t="shared" si="7"/>
        <v>202105</v>
      </c>
      <c r="E247" s="5" t="s">
        <v>2</v>
      </c>
      <c r="F247" s="5" t="s">
        <v>9</v>
      </c>
      <c r="G247" s="5" t="s">
        <v>24</v>
      </c>
      <c r="H247">
        <v>46</v>
      </c>
      <c r="I247" s="4">
        <v>295688</v>
      </c>
      <c r="J247" s="4">
        <v>92736</v>
      </c>
    </row>
    <row r="248" spans="2:10" x14ac:dyDescent="0.3">
      <c r="B248" s="7">
        <v>44348</v>
      </c>
      <c r="C248" s="3">
        <f t="shared" si="6"/>
        <v>2021</v>
      </c>
      <c r="D248" s="3">
        <f t="shared" si="7"/>
        <v>202106</v>
      </c>
      <c r="E248" s="5" t="s">
        <v>2</v>
      </c>
      <c r="F248" s="5" t="s">
        <v>9</v>
      </c>
      <c r="G248" s="5" t="s">
        <v>24</v>
      </c>
      <c r="H248">
        <v>44</v>
      </c>
      <c r="I248" s="4">
        <v>252516</v>
      </c>
      <c r="J248" s="4">
        <v>88704</v>
      </c>
    </row>
    <row r="249" spans="2:10" x14ac:dyDescent="0.3">
      <c r="B249" s="7">
        <v>44378</v>
      </c>
      <c r="C249" s="3">
        <f t="shared" si="6"/>
        <v>2021</v>
      </c>
      <c r="D249" s="3">
        <f t="shared" si="7"/>
        <v>202107</v>
      </c>
      <c r="E249" s="5" t="s">
        <v>2</v>
      </c>
      <c r="F249" s="5" t="s">
        <v>9</v>
      </c>
      <c r="G249" s="5" t="s">
        <v>24</v>
      </c>
      <c r="H249">
        <v>46</v>
      </c>
      <c r="I249" s="4">
        <v>152812</v>
      </c>
      <c r="J249" s="4">
        <v>92736</v>
      </c>
    </row>
    <row r="250" spans="2:10" x14ac:dyDescent="0.3">
      <c r="B250" s="7">
        <v>44409</v>
      </c>
      <c r="C250" s="3">
        <f t="shared" si="6"/>
        <v>2021</v>
      </c>
      <c r="D250" s="3">
        <f t="shared" si="7"/>
        <v>202108</v>
      </c>
      <c r="E250" s="5" t="s">
        <v>2</v>
      </c>
      <c r="F250" s="5" t="s">
        <v>9</v>
      </c>
      <c r="G250" s="5" t="s">
        <v>24</v>
      </c>
      <c r="H250">
        <v>39</v>
      </c>
      <c r="I250" s="4">
        <v>203814</v>
      </c>
      <c r="J250" s="4">
        <v>78624</v>
      </c>
    </row>
    <row r="251" spans="2:10" x14ac:dyDescent="0.3">
      <c r="B251" s="7">
        <v>44440</v>
      </c>
      <c r="C251" s="3">
        <f t="shared" si="6"/>
        <v>2021</v>
      </c>
      <c r="D251" s="3">
        <f t="shared" si="7"/>
        <v>202109</v>
      </c>
      <c r="E251" s="5" t="s">
        <v>2</v>
      </c>
      <c r="F251" s="5" t="s">
        <v>9</v>
      </c>
      <c r="G251" s="5" t="s">
        <v>24</v>
      </c>
      <c r="H251">
        <v>41</v>
      </c>
      <c r="I251" s="4">
        <v>200941</v>
      </c>
      <c r="J251" s="4">
        <v>82656</v>
      </c>
    </row>
    <row r="252" spans="2:10" x14ac:dyDescent="0.3">
      <c r="B252" s="7">
        <v>44470</v>
      </c>
      <c r="C252" s="3">
        <f t="shared" si="6"/>
        <v>2021</v>
      </c>
      <c r="D252" s="3">
        <f t="shared" si="7"/>
        <v>202110</v>
      </c>
      <c r="E252" s="5" t="s">
        <v>2</v>
      </c>
      <c r="F252" s="5" t="s">
        <v>9</v>
      </c>
      <c r="G252" s="5" t="s">
        <v>24</v>
      </c>
      <c r="H252">
        <v>34</v>
      </c>
      <c r="I252" s="4">
        <v>212364</v>
      </c>
      <c r="J252" s="4">
        <v>68544</v>
      </c>
    </row>
    <row r="253" spans="2:10" x14ac:dyDescent="0.3">
      <c r="B253" s="7">
        <v>44501</v>
      </c>
      <c r="C253" s="3">
        <f t="shared" si="6"/>
        <v>2021</v>
      </c>
      <c r="D253" s="3">
        <f t="shared" si="7"/>
        <v>202111</v>
      </c>
      <c r="E253" s="5" t="s">
        <v>2</v>
      </c>
      <c r="F253" s="5" t="s">
        <v>9</v>
      </c>
      <c r="G253" s="5" t="s">
        <v>24</v>
      </c>
      <c r="H253">
        <v>24</v>
      </c>
      <c r="I253" s="4">
        <v>131160</v>
      </c>
      <c r="J253" s="4">
        <v>48384</v>
      </c>
    </row>
    <row r="254" spans="2:10" x14ac:dyDescent="0.3">
      <c r="B254" s="7">
        <v>44531</v>
      </c>
      <c r="C254" s="3">
        <f t="shared" si="6"/>
        <v>2021</v>
      </c>
      <c r="D254" s="3">
        <f t="shared" si="7"/>
        <v>202112</v>
      </c>
      <c r="E254" s="5" t="s">
        <v>2</v>
      </c>
      <c r="F254" s="5" t="s">
        <v>9</v>
      </c>
      <c r="G254" s="5" t="s">
        <v>24</v>
      </c>
      <c r="H254">
        <v>29</v>
      </c>
      <c r="I254" s="4">
        <v>129920</v>
      </c>
      <c r="J254" s="4">
        <v>58464</v>
      </c>
    </row>
    <row r="255" spans="2:10" x14ac:dyDescent="0.3">
      <c r="B255" s="7">
        <v>44562</v>
      </c>
      <c r="C255" s="3">
        <f t="shared" si="6"/>
        <v>2022</v>
      </c>
      <c r="D255" s="3">
        <f t="shared" si="7"/>
        <v>202201</v>
      </c>
      <c r="E255" s="5" t="s">
        <v>2</v>
      </c>
      <c r="F255" s="5" t="s">
        <v>9</v>
      </c>
      <c r="G255" s="5" t="s">
        <v>24</v>
      </c>
      <c r="H255">
        <v>43</v>
      </c>
      <c r="I255" s="4">
        <v>213151</v>
      </c>
      <c r="J255" s="4">
        <v>86688</v>
      </c>
    </row>
    <row r="256" spans="2:10" x14ac:dyDescent="0.3">
      <c r="B256" s="7">
        <v>44593</v>
      </c>
      <c r="C256" s="3">
        <f t="shared" si="6"/>
        <v>2022</v>
      </c>
      <c r="D256" s="3">
        <f t="shared" si="7"/>
        <v>202202</v>
      </c>
      <c r="E256" s="5" t="s">
        <v>2</v>
      </c>
      <c r="F256" s="5" t="s">
        <v>9</v>
      </c>
      <c r="G256" s="5" t="s">
        <v>24</v>
      </c>
      <c r="H256">
        <v>27</v>
      </c>
      <c r="I256" s="4">
        <v>163917</v>
      </c>
      <c r="J256" s="4">
        <v>54432</v>
      </c>
    </row>
    <row r="257" spans="2:10" x14ac:dyDescent="0.3">
      <c r="B257" s="7">
        <v>44621</v>
      </c>
      <c r="C257" s="3">
        <f t="shared" si="6"/>
        <v>2022</v>
      </c>
      <c r="D257" s="3">
        <f t="shared" si="7"/>
        <v>202203</v>
      </c>
      <c r="E257" s="5" t="s">
        <v>2</v>
      </c>
      <c r="F257" s="5" t="s">
        <v>9</v>
      </c>
      <c r="G257" s="5" t="s">
        <v>24</v>
      </c>
      <c r="H257">
        <v>22</v>
      </c>
      <c r="I257" s="4">
        <v>121308</v>
      </c>
      <c r="J257" s="4">
        <v>44352</v>
      </c>
    </row>
    <row r="258" spans="2:10" x14ac:dyDescent="0.3">
      <c r="B258" s="7">
        <v>44652</v>
      </c>
      <c r="C258" s="3">
        <f t="shared" si="6"/>
        <v>2022</v>
      </c>
      <c r="D258" s="3">
        <f t="shared" si="7"/>
        <v>202204</v>
      </c>
      <c r="E258" s="5" t="s">
        <v>2</v>
      </c>
      <c r="F258" s="5" t="s">
        <v>9</v>
      </c>
      <c r="G258" s="5" t="s">
        <v>24</v>
      </c>
      <c r="H258">
        <v>40</v>
      </c>
      <c r="I258" s="4">
        <v>233240</v>
      </c>
      <c r="J258" s="4">
        <v>80640</v>
      </c>
    </row>
    <row r="259" spans="2:10" x14ac:dyDescent="0.3">
      <c r="B259" s="7">
        <v>44682</v>
      </c>
      <c r="C259" s="3">
        <f t="shared" ref="C259:C322" si="8">YEAR(B259)</f>
        <v>2022</v>
      </c>
      <c r="D259" s="3">
        <f t="shared" ref="D259:D322" si="9">VALUE(TEXT(B259,"ГГГГММ"))</f>
        <v>202205</v>
      </c>
      <c r="E259" s="5" t="s">
        <v>2</v>
      </c>
      <c r="F259" s="5" t="s">
        <v>9</v>
      </c>
      <c r="G259" s="5" t="s">
        <v>24</v>
      </c>
      <c r="H259">
        <v>51</v>
      </c>
      <c r="I259" s="4">
        <v>321351</v>
      </c>
      <c r="J259" s="4">
        <v>102816</v>
      </c>
    </row>
    <row r="260" spans="2:10" x14ac:dyDescent="0.3">
      <c r="B260" s="7">
        <v>44713</v>
      </c>
      <c r="C260" s="3">
        <f t="shared" si="8"/>
        <v>2022</v>
      </c>
      <c r="D260" s="3">
        <f t="shared" si="9"/>
        <v>202206</v>
      </c>
      <c r="E260" s="5" t="s">
        <v>2</v>
      </c>
      <c r="F260" s="5" t="s">
        <v>9</v>
      </c>
      <c r="G260" s="5" t="s">
        <v>24</v>
      </c>
      <c r="H260">
        <v>48</v>
      </c>
      <c r="I260" s="4">
        <v>237792</v>
      </c>
      <c r="J260" s="4">
        <v>96768</v>
      </c>
    </row>
    <row r="261" spans="2:10" x14ac:dyDescent="0.3">
      <c r="B261" s="7">
        <v>44743</v>
      </c>
      <c r="C261" s="3">
        <f t="shared" si="8"/>
        <v>2022</v>
      </c>
      <c r="D261" s="3">
        <f t="shared" si="9"/>
        <v>202207</v>
      </c>
      <c r="E261" s="5" t="s">
        <v>2</v>
      </c>
      <c r="F261" s="5" t="s">
        <v>9</v>
      </c>
      <c r="G261" s="5" t="s">
        <v>24</v>
      </c>
      <c r="H261">
        <v>51</v>
      </c>
      <c r="I261" s="4">
        <v>199104</v>
      </c>
      <c r="J261" s="4">
        <v>102816</v>
      </c>
    </row>
    <row r="262" spans="2:10" x14ac:dyDescent="0.3">
      <c r="B262" s="7">
        <v>44774</v>
      </c>
      <c r="C262" s="3">
        <f t="shared" si="8"/>
        <v>2022</v>
      </c>
      <c r="D262" s="3">
        <f t="shared" si="9"/>
        <v>202208</v>
      </c>
      <c r="E262" s="5" t="s">
        <v>2</v>
      </c>
      <c r="F262" s="5" t="s">
        <v>9</v>
      </c>
      <c r="G262" s="5" t="s">
        <v>24</v>
      </c>
      <c r="H262">
        <v>43</v>
      </c>
      <c r="I262" s="4">
        <v>190533</v>
      </c>
      <c r="J262" s="4">
        <v>86688</v>
      </c>
    </row>
    <row r="263" spans="2:10" x14ac:dyDescent="0.3">
      <c r="B263" s="7">
        <v>44805</v>
      </c>
      <c r="C263" s="3">
        <f t="shared" si="8"/>
        <v>2022</v>
      </c>
      <c r="D263" s="3">
        <f t="shared" si="9"/>
        <v>202209</v>
      </c>
      <c r="E263" s="5" t="s">
        <v>2</v>
      </c>
      <c r="F263" s="5" t="s">
        <v>9</v>
      </c>
      <c r="G263" s="5" t="s">
        <v>24</v>
      </c>
      <c r="H263">
        <v>45</v>
      </c>
      <c r="I263" s="4">
        <v>225900</v>
      </c>
      <c r="J263" s="4">
        <v>90720</v>
      </c>
    </row>
    <row r="264" spans="2:10" x14ac:dyDescent="0.3">
      <c r="B264" s="7">
        <v>44835</v>
      </c>
      <c r="C264" s="3">
        <f t="shared" si="8"/>
        <v>2022</v>
      </c>
      <c r="D264" s="3">
        <f t="shared" si="9"/>
        <v>202210</v>
      </c>
      <c r="E264" s="5" t="s">
        <v>2</v>
      </c>
      <c r="F264" s="5" t="s">
        <v>9</v>
      </c>
      <c r="G264" s="5" t="s">
        <v>24</v>
      </c>
      <c r="H264">
        <v>37</v>
      </c>
      <c r="I264" s="4">
        <v>207533</v>
      </c>
      <c r="J264" s="4">
        <v>74592</v>
      </c>
    </row>
    <row r="265" spans="2:10" x14ac:dyDescent="0.3">
      <c r="B265" s="7">
        <v>44866</v>
      </c>
      <c r="C265" s="3">
        <f t="shared" si="8"/>
        <v>2022</v>
      </c>
      <c r="D265" s="3">
        <f t="shared" si="9"/>
        <v>202211</v>
      </c>
      <c r="E265" s="5" t="s">
        <v>2</v>
      </c>
      <c r="F265" s="5" t="s">
        <v>9</v>
      </c>
      <c r="G265" s="5" t="s">
        <v>24</v>
      </c>
      <c r="H265">
        <v>27</v>
      </c>
      <c r="I265" s="4">
        <v>144234</v>
      </c>
      <c r="J265" s="4">
        <v>54432</v>
      </c>
    </row>
    <row r="266" spans="2:10" x14ac:dyDescent="0.3">
      <c r="B266" s="7">
        <v>44896</v>
      </c>
      <c r="C266" s="3">
        <f t="shared" si="8"/>
        <v>2022</v>
      </c>
      <c r="D266" s="3">
        <f t="shared" si="9"/>
        <v>202212</v>
      </c>
      <c r="E266" s="5" t="s">
        <v>2</v>
      </c>
      <c r="F266" s="5" t="s">
        <v>9</v>
      </c>
      <c r="G266" s="5" t="s">
        <v>24</v>
      </c>
      <c r="H266">
        <v>32</v>
      </c>
      <c r="I266" s="4">
        <v>151008</v>
      </c>
      <c r="J266" s="4">
        <v>64512</v>
      </c>
    </row>
    <row r="267" spans="2:10" x14ac:dyDescent="0.3">
      <c r="B267" s="7">
        <v>44197</v>
      </c>
      <c r="C267" s="3">
        <f t="shared" si="8"/>
        <v>2021</v>
      </c>
      <c r="D267" s="3">
        <f t="shared" si="9"/>
        <v>202101</v>
      </c>
      <c r="E267" s="5" t="s">
        <v>2</v>
      </c>
      <c r="F267" s="5" t="s">
        <v>9</v>
      </c>
      <c r="G267" s="5" t="s">
        <v>25</v>
      </c>
      <c r="H267">
        <v>35</v>
      </c>
      <c r="I267" s="4">
        <v>97125</v>
      </c>
      <c r="J267" s="4">
        <v>32725.000000000004</v>
      </c>
    </row>
    <row r="268" spans="2:10" x14ac:dyDescent="0.3">
      <c r="B268" s="7">
        <v>44228</v>
      </c>
      <c r="C268" s="3">
        <f t="shared" si="8"/>
        <v>2021</v>
      </c>
      <c r="D268" s="3">
        <f t="shared" si="9"/>
        <v>202102</v>
      </c>
      <c r="E268" s="5" t="s">
        <v>2</v>
      </c>
      <c r="F268" s="5" t="s">
        <v>9</v>
      </c>
      <c r="G268" s="5" t="s">
        <v>25</v>
      </c>
      <c r="H268">
        <v>22</v>
      </c>
      <c r="I268" s="4">
        <v>60214</v>
      </c>
      <c r="J268" s="4">
        <v>20570.000000000004</v>
      </c>
    </row>
    <row r="269" spans="2:10" x14ac:dyDescent="0.3">
      <c r="B269" s="7">
        <v>44256</v>
      </c>
      <c r="C269" s="3">
        <f t="shared" si="8"/>
        <v>2021</v>
      </c>
      <c r="D269" s="3">
        <f t="shared" si="9"/>
        <v>202103</v>
      </c>
      <c r="E269" s="5" t="s">
        <v>2</v>
      </c>
      <c r="F269" s="5" t="s">
        <v>9</v>
      </c>
      <c r="G269" s="5" t="s">
        <v>25</v>
      </c>
      <c r="H269">
        <v>18</v>
      </c>
      <c r="I269" s="4">
        <v>44406</v>
      </c>
      <c r="J269" s="4">
        <v>16830.000000000004</v>
      </c>
    </row>
    <row r="270" spans="2:10" x14ac:dyDescent="0.3">
      <c r="B270" s="7">
        <v>44287</v>
      </c>
      <c r="C270" s="3">
        <f t="shared" si="8"/>
        <v>2021</v>
      </c>
      <c r="D270" s="3">
        <f t="shared" si="9"/>
        <v>202104</v>
      </c>
      <c r="E270" s="5" t="s">
        <v>2</v>
      </c>
      <c r="F270" s="5" t="s">
        <v>9</v>
      </c>
      <c r="G270" s="5" t="s">
        <v>25</v>
      </c>
      <c r="H270">
        <v>33</v>
      </c>
      <c r="I270" s="4">
        <v>112464</v>
      </c>
      <c r="J270" s="4">
        <v>30855.000000000004</v>
      </c>
    </row>
    <row r="271" spans="2:10" x14ac:dyDescent="0.3">
      <c r="B271" s="7">
        <v>44317</v>
      </c>
      <c r="C271" s="3">
        <f t="shared" si="8"/>
        <v>2021</v>
      </c>
      <c r="D271" s="3">
        <f t="shared" si="9"/>
        <v>202105</v>
      </c>
      <c r="E271" s="5" t="s">
        <v>2</v>
      </c>
      <c r="F271" s="5" t="s">
        <v>9</v>
      </c>
      <c r="G271" s="5" t="s">
        <v>25</v>
      </c>
      <c r="H271">
        <v>42</v>
      </c>
      <c r="I271" s="4">
        <v>159054</v>
      </c>
      <c r="J271" s="4">
        <v>39270.000000000007</v>
      </c>
    </row>
    <row r="272" spans="2:10" x14ac:dyDescent="0.3">
      <c r="B272" s="7">
        <v>44348</v>
      </c>
      <c r="C272" s="3">
        <f t="shared" si="8"/>
        <v>2021</v>
      </c>
      <c r="D272" s="3">
        <f t="shared" si="9"/>
        <v>202106</v>
      </c>
      <c r="E272" s="5" t="s">
        <v>2</v>
      </c>
      <c r="F272" s="5" t="s">
        <v>9</v>
      </c>
      <c r="G272" s="5" t="s">
        <v>25</v>
      </c>
      <c r="H272">
        <v>40</v>
      </c>
      <c r="I272" s="4">
        <v>133320</v>
      </c>
      <c r="J272" s="4">
        <v>37400.000000000007</v>
      </c>
    </row>
    <row r="273" spans="2:10" x14ac:dyDescent="0.3">
      <c r="B273" s="7">
        <v>44378</v>
      </c>
      <c r="C273" s="3">
        <f t="shared" si="8"/>
        <v>2021</v>
      </c>
      <c r="D273" s="3">
        <f t="shared" si="9"/>
        <v>202107</v>
      </c>
      <c r="E273" s="5" t="s">
        <v>2</v>
      </c>
      <c r="F273" s="5" t="s">
        <v>9</v>
      </c>
      <c r="G273" s="5" t="s">
        <v>25</v>
      </c>
      <c r="H273">
        <v>42</v>
      </c>
      <c r="I273" s="4">
        <v>47922</v>
      </c>
      <c r="J273" s="4">
        <v>39270.000000000007</v>
      </c>
    </row>
    <row r="274" spans="2:10" x14ac:dyDescent="0.3">
      <c r="B274" s="7">
        <v>44409</v>
      </c>
      <c r="C274" s="3">
        <f t="shared" si="8"/>
        <v>2021</v>
      </c>
      <c r="D274" s="3">
        <f t="shared" si="9"/>
        <v>202108</v>
      </c>
      <c r="E274" s="5" t="s">
        <v>2</v>
      </c>
      <c r="F274" s="5" t="s">
        <v>9</v>
      </c>
      <c r="G274" s="5" t="s">
        <v>25</v>
      </c>
      <c r="H274">
        <v>35</v>
      </c>
      <c r="I274" s="4">
        <v>76440</v>
      </c>
      <c r="J274" s="4">
        <v>32725.000000000004</v>
      </c>
    </row>
    <row r="275" spans="2:10" x14ac:dyDescent="0.3">
      <c r="B275" s="7">
        <v>44440</v>
      </c>
      <c r="C275" s="3">
        <f t="shared" si="8"/>
        <v>2021</v>
      </c>
      <c r="D275" s="3">
        <f t="shared" si="9"/>
        <v>202109</v>
      </c>
      <c r="E275" s="5" t="s">
        <v>2</v>
      </c>
      <c r="F275" s="5" t="s">
        <v>9</v>
      </c>
      <c r="G275" s="5" t="s">
        <v>25</v>
      </c>
      <c r="H275">
        <v>37</v>
      </c>
      <c r="I275" s="4">
        <v>82103</v>
      </c>
      <c r="J275" s="4">
        <v>34595.000000000007</v>
      </c>
    </row>
    <row r="276" spans="2:10" x14ac:dyDescent="0.3">
      <c r="B276" s="7">
        <v>44470</v>
      </c>
      <c r="C276" s="3">
        <f t="shared" si="8"/>
        <v>2021</v>
      </c>
      <c r="D276" s="3">
        <f t="shared" si="9"/>
        <v>202110</v>
      </c>
      <c r="E276" s="5" t="s">
        <v>2</v>
      </c>
      <c r="F276" s="5" t="s">
        <v>9</v>
      </c>
      <c r="G276" s="5" t="s">
        <v>25</v>
      </c>
      <c r="H276">
        <v>31</v>
      </c>
      <c r="I276" s="4">
        <v>100719</v>
      </c>
      <c r="J276" s="4">
        <v>28985.000000000004</v>
      </c>
    </row>
    <row r="277" spans="2:10" x14ac:dyDescent="0.3">
      <c r="B277" s="7">
        <v>44501</v>
      </c>
      <c r="C277" s="3">
        <f t="shared" si="8"/>
        <v>2021</v>
      </c>
      <c r="D277" s="3">
        <f t="shared" si="9"/>
        <v>202111</v>
      </c>
      <c r="E277" s="5" t="s">
        <v>2</v>
      </c>
      <c r="F277" s="5" t="s">
        <v>9</v>
      </c>
      <c r="G277" s="5" t="s">
        <v>25</v>
      </c>
      <c r="H277">
        <v>22</v>
      </c>
      <c r="I277" s="4">
        <v>70290</v>
      </c>
      <c r="J277" s="4">
        <v>20570.000000000004</v>
      </c>
    </row>
    <row r="278" spans="2:10" x14ac:dyDescent="0.3">
      <c r="B278" s="7">
        <v>44531</v>
      </c>
      <c r="C278" s="3">
        <f t="shared" si="8"/>
        <v>2021</v>
      </c>
      <c r="D278" s="3">
        <f t="shared" si="9"/>
        <v>202112</v>
      </c>
      <c r="E278" s="5" t="s">
        <v>2</v>
      </c>
      <c r="F278" s="5" t="s">
        <v>9</v>
      </c>
      <c r="G278" s="5" t="s">
        <v>25</v>
      </c>
      <c r="H278">
        <v>27</v>
      </c>
      <c r="I278" s="4">
        <v>59508</v>
      </c>
      <c r="J278" s="4">
        <v>25245.000000000004</v>
      </c>
    </row>
    <row r="279" spans="2:10" x14ac:dyDescent="0.3">
      <c r="B279" s="7">
        <v>44562</v>
      </c>
      <c r="C279" s="3">
        <f t="shared" si="8"/>
        <v>2022</v>
      </c>
      <c r="D279" s="3">
        <f t="shared" si="9"/>
        <v>202201</v>
      </c>
      <c r="E279" s="5" t="s">
        <v>2</v>
      </c>
      <c r="F279" s="5" t="s">
        <v>9</v>
      </c>
      <c r="G279" s="5" t="s">
        <v>25</v>
      </c>
      <c r="H279">
        <v>39</v>
      </c>
      <c r="I279" s="4">
        <v>111228</v>
      </c>
      <c r="J279" s="4">
        <v>36465.000000000007</v>
      </c>
    </row>
    <row r="280" spans="2:10" x14ac:dyDescent="0.3">
      <c r="B280" s="7">
        <v>44593</v>
      </c>
      <c r="C280" s="3">
        <f t="shared" si="8"/>
        <v>2022</v>
      </c>
      <c r="D280" s="3">
        <f t="shared" si="9"/>
        <v>202202</v>
      </c>
      <c r="E280" s="5" t="s">
        <v>2</v>
      </c>
      <c r="F280" s="5" t="s">
        <v>9</v>
      </c>
      <c r="G280" s="5" t="s">
        <v>25</v>
      </c>
      <c r="H280">
        <v>24</v>
      </c>
      <c r="I280" s="4">
        <v>74256</v>
      </c>
      <c r="J280" s="4">
        <v>22440.000000000004</v>
      </c>
    </row>
    <row r="281" spans="2:10" x14ac:dyDescent="0.3">
      <c r="B281" s="7">
        <v>44621</v>
      </c>
      <c r="C281" s="3">
        <f t="shared" si="8"/>
        <v>2022</v>
      </c>
      <c r="D281" s="3">
        <f t="shared" si="9"/>
        <v>202203</v>
      </c>
      <c r="E281" s="5" t="s">
        <v>2</v>
      </c>
      <c r="F281" s="5" t="s">
        <v>9</v>
      </c>
      <c r="G281" s="5" t="s">
        <v>25</v>
      </c>
      <c r="H281">
        <v>20</v>
      </c>
      <c r="I281" s="4">
        <v>40940</v>
      </c>
      <c r="J281" s="4">
        <v>18700.000000000004</v>
      </c>
    </row>
    <row r="282" spans="2:10" x14ac:dyDescent="0.3">
      <c r="B282" s="7">
        <v>44652</v>
      </c>
      <c r="C282" s="3">
        <f t="shared" si="8"/>
        <v>2022</v>
      </c>
      <c r="D282" s="3">
        <f t="shared" si="9"/>
        <v>202204</v>
      </c>
      <c r="E282" s="5" t="s">
        <v>2</v>
      </c>
      <c r="F282" s="5" t="s">
        <v>9</v>
      </c>
      <c r="G282" s="5" t="s">
        <v>25</v>
      </c>
      <c r="H282">
        <v>36</v>
      </c>
      <c r="I282" s="4">
        <v>129708</v>
      </c>
      <c r="J282" s="4">
        <v>33660.000000000007</v>
      </c>
    </row>
    <row r="283" spans="2:10" x14ac:dyDescent="0.3">
      <c r="B283" s="7">
        <v>44682</v>
      </c>
      <c r="C283" s="3">
        <f t="shared" si="8"/>
        <v>2022</v>
      </c>
      <c r="D283" s="3">
        <f t="shared" si="9"/>
        <v>202205</v>
      </c>
      <c r="E283" s="5" t="s">
        <v>2</v>
      </c>
      <c r="F283" s="5" t="s">
        <v>9</v>
      </c>
      <c r="G283" s="5" t="s">
        <v>25</v>
      </c>
      <c r="H283">
        <v>46</v>
      </c>
      <c r="I283" s="4">
        <v>165600</v>
      </c>
      <c r="J283" s="4">
        <v>43010.000000000007</v>
      </c>
    </row>
    <row r="284" spans="2:10" x14ac:dyDescent="0.3">
      <c r="B284" s="7">
        <v>44713</v>
      </c>
      <c r="C284" s="3">
        <f t="shared" si="8"/>
        <v>2022</v>
      </c>
      <c r="D284" s="3">
        <f t="shared" si="9"/>
        <v>202206</v>
      </c>
      <c r="E284" s="5" t="s">
        <v>2</v>
      </c>
      <c r="F284" s="5" t="s">
        <v>9</v>
      </c>
      <c r="G284" s="5" t="s">
        <v>25</v>
      </c>
      <c r="H284">
        <v>44</v>
      </c>
      <c r="I284" s="4">
        <v>132572</v>
      </c>
      <c r="J284" s="4">
        <v>41140.000000000007</v>
      </c>
    </row>
    <row r="285" spans="2:10" x14ac:dyDescent="0.3">
      <c r="B285" s="7">
        <v>44743</v>
      </c>
      <c r="C285" s="3">
        <f t="shared" si="8"/>
        <v>2022</v>
      </c>
      <c r="D285" s="3">
        <f t="shared" si="9"/>
        <v>202207</v>
      </c>
      <c r="E285" s="5" t="s">
        <v>2</v>
      </c>
      <c r="F285" s="5" t="s">
        <v>9</v>
      </c>
      <c r="G285" s="5" t="s">
        <v>25</v>
      </c>
      <c r="H285">
        <v>46</v>
      </c>
      <c r="I285" s="4">
        <v>60306</v>
      </c>
      <c r="J285" s="4">
        <v>43010.000000000007</v>
      </c>
    </row>
    <row r="286" spans="2:10" x14ac:dyDescent="0.3">
      <c r="B286" s="7">
        <v>44774</v>
      </c>
      <c r="C286" s="3">
        <f t="shared" si="8"/>
        <v>2022</v>
      </c>
      <c r="D286" s="3">
        <f t="shared" si="9"/>
        <v>202208</v>
      </c>
      <c r="E286" s="5" t="s">
        <v>2</v>
      </c>
      <c r="F286" s="5" t="s">
        <v>9</v>
      </c>
      <c r="G286" s="5" t="s">
        <v>25</v>
      </c>
      <c r="H286">
        <v>39</v>
      </c>
      <c r="I286" s="4">
        <v>90636</v>
      </c>
      <c r="J286" s="4">
        <v>36465.000000000007</v>
      </c>
    </row>
    <row r="287" spans="2:10" x14ac:dyDescent="0.3">
      <c r="B287" s="7">
        <v>44805</v>
      </c>
      <c r="C287" s="3">
        <f t="shared" si="8"/>
        <v>2022</v>
      </c>
      <c r="D287" s="3">
        <f t="shared" si="9"/>
        <v>202209</v>
      </c>
      <c r="E287" s="5" t="s">
        <v>2</v>
      </c>
      <c r="F287" s="5" t="s">
        <v>9</v>
      </c>
      <c r="G287" s="5" t="s">
        <v>25</v>
      </c>
      <c r="H287">
        <v>41</v>
      </c>
      <c r="I287" s="4">
        <v>104673</v>
      </c>
      <c r="J287" s="4">
        <v>38335.000000000007</v>
      </c>
    </row>
    <row r="288" spans="2:10" x14ac:dyDescent="0.3">
      <c r="B288" s="7">
        <v>44835</v>
      </c>
      <c r="C288" s="3">
        <f t="shared" si="8"/>
        <v>2022</v>
      </c>
      <c r="D288" s="3">
        <f t="shared" si="9"/>
        <v>202210</v>
      </c>
      <c r="E288" s="5" t="s">
        <v>2</v>
      </c>
      <c r="F288" s="5" t="s">
        <v>9</v>
      </c>
      <c r="G288" s="5" t="s">
        <v>25</v>
      </c>
      <c r="H288">
        <v>34</v>
      </c>
      <c r="I288" s="4">
        <v>126174</v>
      </c>
      <c r="J288" s="4">
        <v>31790.000000000004</v>
      </c>
    </row>
    <row r="289" spans="2:10" x14ac:dyDescent="0.3">
      <c r="B289" s="7">
        <v>44866</v>
      </c>
      <c r="C289" s="3">
        <f t="shared" si="8"/>
        <v>2022</v>
      </c>
      <c r="D289" s="3">
        <f t="shared" si="9"/>
        <v>202211</v>
      </c>
      <c r="E289" s="5" t="s">
        <v>2</v>
      </c>
      <c r="F289" s="5" t="s">
        <v>9</v>
      </c>
      <c r="G289" s="5" t="s">
        <v>25</v>
      </c>
      <c r="H289">
        <v>24</v>
      </c>
      <c r="I289" s="4">
        <v>75504</v>
      </c>
      <c r="J289" s="4">
        <v>22440.000000000004</v>
      </c>
    </row>
    <row r="290" spans="2:10" x14ac:dyDescent="0.3">
      <c r="B290" s="7">
        <v>44896</v>
      </c>
      <c r="C290" s="3">
        <f t="shared" si="8"/>
        <v>2022</v>
      </c>
      <c r="D290" s="3">
        <f t="shared" si="9"/>
        <v>202212</v>
      </c>
      <c r="E290" s="5" t="s">
        <v>2</v>
      </c>
      <c r="F290" s="5" t="s">
        <v>9</v>
      </c>
      <c r="G290" s="5" t="s">
        <v>25</v>
      </c>
      <c r="H290">
        <v>29</v>
      </c>
      <c r="I290" s="4">
        <v>80736</v>
      </c>
      <c r="J290" s="4">
        <v>27115.000000000004</v>
      </c>
    </row>
    <row r="291" spans="2:10" x14ac:dyDescent="0.3">
      <c r="B291" s="7">
        <v>44197</v>
      </c>
      <c r="C291" s="3">
        <f t="shared" si="8"/>
        <v>2021</v>
      </c>
      <c r="D291" s="3">
        <f t="shared" si="9"/>
        <v>202101</v>
      </c>
      <c r="E291" s="5" t="s">
        <v>2</v>
      </c>
      <c r="F291" s="5" t="s">
        <v>9</v>
      </c>
      <c r="G291" s="5" t="s">
        <v>26</v>
      </c>
      <c r="H291">
        <v>43</v>
      </c>
      <c r="I291" s="4">
        <v>220332</v>
      </c>
      <c r="J291" s="4">
        <v>84968</v>
      </c>
    </row>
    <row r="292" spans="2:10" x14ac:dyDescent="0.3">
      <c r="B292" s="7">
        <v>44228</v>
      </c>
      <c r="C292" s="3">
        <f t="shared" si="8"/>
        <v>2021</v>
      </c>
      <c r="D292" s="3">
        <f t="shared" si="9"/>
        <v>202102</v>
      </c>
      <c r="E292" s="5" t="s">
        <v>2</v>
      </c>
      <c r="F292" s="5" t="s">
        <v>9</v>
      </c>
      <c r="G292" s="5" t="s">
        <v>26</v>
      </c>
      <c r="H292">
        <v>27</v>
      </c>
      <c r="I292" s="4">
        <v>139509</v>
      </c>
      <c r="J292" s="4">
        <v>53352</v>
      </c>
    </row>
    <row r="293" spans="2:10" x14ac:dyDescent="0.3">
      <c r="B293" s="7">
        <v>44256</v>
      </c>
      <c r="C293" s="3">
        <f t="shared" si="8"/>
        <v>2021</v>
      </c>
      <c r="D293" s="3">
        <f t="shared" si="9"/>
        <v>202103</v>
      </c>
      <c r="E293" s="5" t="s">
        <v>2</v>
      </c>
      <c r="F293" s="5" t="s">
        <v>9</v>
      </c>
      <c r="G293" s="5" t="s">
        <v>26</v>
      </c>
      <c r="H293">
        <v>22</v>
      </c>
      <c r="I293" s="4">
        <v>91696</v>
      </c>
      <c r="J293" s="4">
        <v>43472</v>
      </c>
    </row>
    <row r="294" spans="2:10" x14ac:dyDescent="0.3">
      <c r="B294" s="7">
        <v>44287</v>
      </c>
      <c r="C294" s="3">
        <f t="shared" si="8"/>
        <v>2021</v>
      </c>
      <c r="D294" s="3">
        <f t="shared" si="9"/>
        <v>202104</v>
      </c>
      <c r="E294" s="5" t="s">
        <v>2</v>
      </c>
      <c r="F294" s="5" t="s">
        <v>9</v>
      </c>
      <c r="G294" s="5" t="s">
        <v>26</v>
      </c>
      <c r="H294">
        <v>41</v>
      </c>
      <c r="I294" s="4">
        <v>203155</v>
      </c>
      <c r="J294" s="4">
        <v>81016</v>
      </c>
    </row>
    <row r="295" spans="2:10" x14ac:dyDescent="0.3">
      <c r="B295" s="7">
        <v>44317</v>
      </c>
      <c r="C295" s="3">
        <f t="shared" si="8"/>
        <v>2021</v>
      </c>
      <c r="D295" s="3">
        <f t="shared" si="9"/>
        <v>202105</v>
      </c>
      <c r="E295" s="5" t="s">
        <v>2</v>
      </c>
      <c r="F295" s="5" t="s">
        <v>9</v>
      </c>
      <c r="G295" s="5" t="s">
        <v>26</v>
      </c>
      <c r="H295">
        <v>51</v>
      </c>
      <c r="I295" s="4">
        <v>325227</v>
      </c>
      <c r="J295" s="4">
        <v>100776</v>
      </c>
    </row>
    <row r="296" spans="2:10" x14ac:dyDescent="0.3">
      <c r="B296" s="7">
        <v>44348</v>
      </c>
      <c r="C296" s="3">
        <f t="shared" si="8"/>
        <v>2021</v>
      </c>
      <c r="D296" s="3">
        <f t="shared" si="9"/>
        <v>202106</v>
      </c>
      <c r="E296" s="5" t="s">
        <v>2</v>
      </c>
      <c r="F296" s="5" t="s">
        <v>9</v>
      </c>
      <c r="G296" s="5" t="s">
        <v>26</v>
      </c>
      <c r="H296">
        <v>49</v>
      </c>
      <c r="I296" s="4">
        <v>234024</v>
      </c>
      <c r="J296" s="4">
        <v>96824</v>
      </c>
    </row>
    <row r="297" spans="2:10" x14ac:dyDescent="0.3">
      <c r="B297" s="7">
        <v>44378</v>
      </c>
      <c r="C297" s="3">
        <f t="shared" si="8"/>
        <v>2021</v>
      </c>
      <c r="D297" s="3">
        <f t="shared" si="9"/>
        <v>202107</v>
      </c>
      <c r="E297" s="5" t="s">
        <v>2</v>
      </c>
      <c r="F297" s="5" t="s">
        <v>9</v>
      </c>
      <c r="G297" s="5" t="s">
        <v>26</v>
      </c>
      <c r="H297">
        <v>51</v>
      </c>
      <c r="I297" s="4">
        <v>161415</v>
      </c>
      <c r="J297" s="4">
        <v>100776</v>
      </c>
    </row>
    <row r="298" spans="2:10" x14ac:dyDescent="0.3">
      <c r="B298" s="7">
        <v>44409</v>
      </c>
      <c r="C298" s="3">
        <f t="shared" si="8"/>
        <v>2021</v>
      </c>
      <c r="D298" s="3">
        <f t="shared" si="9"/>
        <v>202108</v>
      </c>
      <c r="E298" s="5" t="s">
        <v>2</v>
      </c>
      <c r="F298" s="5" t="s">
        <v>9</v>
      </c>
      <c r="G298" s="5" t="s">
        <v>26</v>
      </c>
      <c r="H298">
        <v>43</v>
      </c>
      <c r="I298" s="4">
        <v>171312</v>
      </c>
      <c r="J298" s="4">
        <v>84968</v>
      </c>
    </row>
    <row r="299" spans="2:10" x14ac:dyDescent="0.3">
      <c r="B299" s="7">
        <v>44440</v>
      </c>
      <c r="C299" s="3">
        <f t="shared" si="8"/>
        <v>2021</v>
      </c>
      <c r="D299" s="3">
        <f t="shared" si="9"/>
        <v>202109</v>
      </c>
      <c r="E299" s="5" t="s">
        <v>2</v>
      </c>
      <c r="F299" s="5" t="s">
        <v>9</v>
      </c>
      <c r="G299" s="5" t="s">
        <v>26</v>
      </c>
      <c r="H299">
        <v>46</v>
      </c>
      <c r="I299" s="4">
        <v>229034</v>
      </c>
      <c r="J299" s="4">
        <v>90896</v>
      </c>
    </row>
    <row r="300" spans="2:10" x14ac:dyDescent="0.3">
      <c r="B300" s="7">
        <v>44470</v>
      </c>
      <c r="C300" s="3">
        <f t="shared" si="8"/>
        <v>2021</v>
      </c>
      <c r="D300" s="3">
        <f t="shared" si="9"/>
        <v>202110</v>
      </c>
      <c r="E300" s="5" t="s">
        <v>2</v>
      </c>
      <c r="F300" s="5" t="s">
        <v>9</v>
      </c>
      <c r="G300" s="5" t="s">
        <v>26</v>
      </c>
      <c r="H300">
        <v>38</v>
      </c>
      <c r="I300" s="4">
        <v>205580</v>
      </c>
      <c r="J300" s="4">
        <v>75088</v>
      </c>
    </row>
    <row r="301" spans="2:10" x14ac:dyDescent="0.3">
      <c r="B301" s="7">
        <v>44501</v>
      </c>
      <c r="C301" s="3">
        <f t="shared" si="8"/>
        <v>2021</v>
      </c>
      <c r="D301" s="3">
        <f t="shared" si="9"/>
        <v>202111</v>
      </c>
      <c r="E301" s="5" t="s">
        <v>2</v>
      </c>
      <c r="F301" s="5" t="s">
        <v>9</v>
      </c>
      <c r="G301" s="5" t="s">
        <v>26</v>
      </c>
      <c r="H301">
        <v>27</v>
      </c>
      <c r="I301" s="4">
        <v>123039</v>
      </c>
      <c r="J301" s="4">
        <v>53352</v>
      </c>
    </row>
    <row r="302" spans="2:10" x14ac:dyDescent="0.3">
      <c r="B302" s="7">
        <v>44531</v>
      </c>
      <c r="C302" s="3">
        <f t="shared" si="8"/>
        <v>2021</v>
      </c>
      <c r="D302" s="3">
        <f t="shared" si="9"/>
        <v>202112</v>
      </c>
      <c r="E302" s="5" t="s">
        <v>2</v>
      </c>
      <c r="F302" s="5" t="s">
        <v>9</v>
      </c>
      <c r="G302" s="5" t="s">
        <v>26</v>
      </c>
      <c r="H302">
        <v>33</v>
      </c>
      <c r="I302" s="4">
        <v>157608</v>
      </c>
      <c r="J302" s="4">
        <v>65208</v>
      </c>
    </row>
    <row r="303" spans="2:10" x14ac:dyDescent="0.3">
      <c r="B303" s="7">
        <v>44562</v>
      </c>
      <c r="C303" s="3">
        <f t="shared" si="8"/>
        <v>2022</v>
      </c>
      <c r="D303" s="3">
        <f t="shared" si="9"/>
        <v>202201</v>
      </c>
      <c r="E303" s="5" t="s">
        <v>2</v>
      </c>
      <c r="F303" s="5" t="s">
        <v>9</v>
      </c>
      <c r="G303" s="5" t="s">
        <v>26</v>
      </c>
      <c r="H303">
        <v>48</v>
      </c>
      <c r="I303" s="4">
        <v>222336</v>
      </c>
      <c r="J303" s="4">
        <v>94848</v>
      </c>
    </row>
    <row r="304" spans="2:10" x14ac:dyDescent="0.3">
      <c r="B304" s="7">
        <v>44593</v>
      </c>
      <c r="C304" s="3">
        <f t="shared" si="8"/>
        <v>2022</v>
      </c>
      <c r="D304" s="3">
        <f t="shared" si="9"/>
        <v>202202</v>
      </c>
      <c r="E304" s="5" t="s">
        <v>2</v>
      </c>
      <c r="F304" s="5" t="s">
        <v>9</v>
      </c>
      <c r="G304" s="5" t="s">
        <v>26</v>
      </c>
      <c r="H304">
        <v>30</v>
      </c>
      <c r="I304" s="4">
        <v>147390</v>
      </c>
      <c r="J304" s="4">
        <v>59280</v>
      </c>
    </row>
    <row r="305" spans="2:10" x14ac:dyDescent="0.3">
      <c r="B305" s="7">
        <v>44621</v>
      </c>
      <c r="C305" s="3">
        <f t="shared" si="8"/>
        <v>2022</v>
      </c>
      <c r="D305" s="3">
        <f t="shared" si="9"/>
        <v>202203</v>
      </c>
      <c r="E305" s="5" t="s">
        <v>2</v>
      </c>
      <c r="F305" s="5" t="s">
        <v>9</v>
      </c>
      <c r="G305" s="5" t="s">
        <v>26</v>
      </c>
      <c r="H305">
        <v>24</v>
      </c>
      <c r="I305" s="4">
        <v>114816</v>
      </c>
      <c r="J305" s="4">
        <v>47424</v>
      </c>
    </row>
    <row r="306" spans="2:10" x14ac:dyDescent="0.3">
      <c r="B306" s="7">
        <v>44652</v>
      </c>
      <c r="C306" s="3">
        <f t="shared" si="8"/>
        <v>2022</v>
      </c>
      <c r="D306" s="3">
        <f t="shared" si="9"/>
        <v>202204</v>
      </c>
      <c r="E306" s="5" t="s">
        <v>2</v>
      </c>
      <c r="F306" s="5" t="s">
        <v>9</v>
      </c>
      <c r="G306" s="5" t="s">
        <v>26</v>
      </c>
      <c r="H306">
        <v>45</v>
      </c>
      <c r="I306" s="4">
        <v>243495</v>
      </c>
      <c r="J306" s="4">
        <v>88920</v>
      </c>
    </row>
    <row r="307" spans="2:10" x14ac:dyDescent="0.3">
      <c r="B307" s="7">
        <v>44682</v>
      </c>
      <c r="C307" s="3">
        <f t="shared" si="8"/>
        <v>2022</v>
      </c>
      <c r="D307" s="3">
        <f t="shared" si="9"/>
        <v>202205</v>
      </c>
      <c r="E307" s="5" t="s">
        <v>2</v>
      </c>
      <c r="F307" s="5" t="s">
        <v>9</v>
      </c>
      <c r="G307" s="5" t="s">
        <v>26</v>
      </c>
      <c r="H307">
        <v>56</v>
      </c>
      <c r="I307" s="4">
        <v>308784</v>
      </c>
      <c r="J307" s="4">
        <v>110656</v>
      </c>
    </row>
    <row r="308" spans="2:10" x14ac:dyDescent="0.3">
      <c r="B308" s="7">
        <v>44713</v>
      </c>
      <c r="C308" s="3">
        <f t="shared" si="8"/>
        <v>2022</v>
      </c>
      <c r="D308" s="3">
        <f t="shared" si="9"/>
        <v>202206</v>
      </c>
      <c r="E308" s="5" t="s">
        <v>2</v>
      </c>
      <c r="F308" s="5" t="s">
        <v>9</v>
      </c>
      <c r="G308" s="5" t="s">
        <v>26</v>
      </c>
      <c r="H308">
        <v>53</v>
      </c>
      <c r="I308" s="4">
        <v>269611</v>
      </c>
      <c r="J308" s="4">
        <v>104728</v>
      </c>
    </row>
    <row r="309" spans="2:10" x14ac:dyDescent="0.3">
      <c r="B309" s="7">
        <v>44743</v>
      </c>
      <c r="C309" s="3">
        <f t="shared" si="8"/>
        <v>2022</v>
      </c>
      <c r="D309" s="3">
        <f t="shared" si="9"/>
        <v>202207</v>
      </c>
      <c r="E309" s="5" t="s">
        <v>2</v>
      </c>
      <c r="F309" s="5" t="s">
        <v>9</v>
      </c>
      <c r="G309" s="5" t="s">
        <v>26</v>
      </c>
      <c r="H309">
        <v>56</v>
      </c>
      <c r="I309" s="4">
        <v>174048</v>
      </c>
      <c r="J309" s="4">
        <v>110656</v>
      </c>
    </row>
    <row r="310" spans="2:10" x14ac:dyDescent="0.3">
      <c r="B310" s="7">
        <v>44774</v>
      </c>
      <c r="C310" s="3">
        <f t="shared" si="8"/>
        <v>2022</v>
      </c>
      <c r="D310" s="3">
        <f t="shared" si="9"/>
        <v>202208</v>
      </c>
      <c r="E310" s="5" t="s">
        <v>2</v>
      </c>
      <c r="F310" s="5" t="s">
        <v>9</v>
      </c>
      <c r="G310" s="5" t="s">
        <v>26</v>
      </c>
      <c r="H310">
        <v>48</v>
      </c>
      <c r="I310" s="4">
        <v>218400</v>
      </c>
      <c r="J310" s="4">
        <v>94848</v>
      </c>
    </row>
    <row r="311" spans="2:10" x14ac:dyDescent="0.3">
      <c r="B311" s="7">
        <v>44805</v>
      </c>
      <c r="C311" s="3">
        <f t="shared" si="8"/>
        <v>2022</v>
      </c>
      <c r="D311" s="3">
        <f t="shared" si="9"/>
        <v>202209</v>
      </c>
      <c r="E311" s="5" t="s">
        <v>2</v>
      </c>
      <c r="F311" s="5" t="s">
        <v>9</v>
      </c>
      <c r="G311" s="5" t="s">
        <v>26</v>
      </c>
      <c r="H311">
        <v>51</v>
      </c>
      <c r="I311" s="4">
        <v>254286</v>
      </c>
      <c r="J311" s="4">
        <v>100776</v>
      </c>
    </row>
    <row r="312" spans="2:10" x14ac:dyDescent="0.3">
      <c r="B312" s="7">
        <v>44835</v>
      </c>
      <c r="C312" s="3">
        <f t="shared" si="8"/>
        <v>2022</v>
      </c>
      <c r="D312" s="3">
        <f t="shared" si="9"/>
        <v>202210</v>
      </c>
      <c r="E312" s="5" t="s">
        <v>2</v>
      </c>
      <c r="F312" s="5" t="s">
        <v>9</v>
      </c>
      <c r="G312" s="5" t="s">
        <v>26</v>
      </c>
      <c r="H312">
        <v>42</v>
      </c>
      <c r="I312" s="4">
        <v>228774</v>
      </c>
      <c r="J312" s="4">
        <v>82992</v>
      </c>
    </row>
    <row r="313" spans="2:10" x14ac:dyDescent="0.3">
      <c r="B313" s="7">
        <v>44866</v>
      </c>
      <c r="C313" s="3">
        <f t="shared" si="8"/>
        <v>2022</v>
      </c>
      <c r="D313" s="3">
        <f t="shared" si="9"/>
        <v>202211</v>
      </c>
      <c r="E313" s="5" t="s">
        <v>2</v>
      </c>
      <c r="F313" s="5" t="s">
        <v>9</v>
      </c>
      <c r="G313" s="5" t="s">
        <v>26</v>
      </c>
      <c r="H313">
        <v>30</v>
      </c>
      <c r="I313" s="4">
        <v>156360</v>
      </c>
      <c r="J313" s="4">
        <v>59280</v>
      </c>
    </row>
    <row r="314" spans="2:10" x14ac:dyDescent="0.3">
      <c r="B314" s="7">
        <v>44896</v>
      </c>
      <c r="C314" s="3">
        <f t="shared" si="8"/>
        <v>2022</v>
      </c>
      <c r="D314" s="3">
        <f t="shared" si="9"/>
        <v>202212</v>
      </c>
      <c r="E314" s="5" t="s">
        <v>2</v>
      </c>
      <c r="F314" s="5" t="s">
        <v>9</v>
      </c>
      <c r="G314" s="5" t="s">
        <v>26</v>
      </c>
      <c r="H314">
        <v>36</v>
      </c>
      <c r="I314" s="4">
        <v>156996</v>
      </c>
      <c r="J314" s="4">
        <v>71136</v>
      </c>
    </row>
    <row r="315" spans="2:10" x14ac:dyDescent="0.3">
      <c r="B315" s="7">
        <v>44197</v>
      </c>
      <c r="C315" s="3">
        <f t="shared" si="8"/>
        <v>2021</v>
      </c>
      <c r="D315" s="3">
        <f t="shared" si="9"/>
        <v>202101</v>
      </c>
      <c r="E315" s="5" t="s">
        <v>2</v>
      </c>
      <c r="F315" s="5" t="s">
        <v>9</v>
      </c>
      <c r="G315" s="5" t="s">
        <v>27</v>
      </c>
      <c r="H315">
        <v>39</v>
      </c>
      <c r="I315" s="4">
        <v>202800</v>
      </c>
      <c r="J315" s="4">
        <v>70200</v>
      </c>
    </row>
    <row r="316" spans="2:10" x14ac:dyDescent="0.3">
      <c r="B316" s="7">
        <v>44228</v>
      </c>
      <c r="C316" s="3">
        <f t="shared" si="8"/>
        <v>2021</v>
      </c>
      <c r="D316" s="3">
        <f t="shared" si="9"/>
        <v>202102</v>
      </c>
      <c r="E316" s="5" t="s">
        <v>2</v>
      </c>
      <c r="F316" s="5" t="s">
        <v>9</v>
      </c>
      <c r="G316" s="5" t="s">
        <v>27</v>
      </c>
      <c r="H316">
        <v>24</v>
      </c>
      <c r="I316" s="4">
        <v>138120</v>
      </c>
      <c r="J316" s="4">
        <v>43200</v>
      </c>
    </row>
    <row r="317" spans="2:10" x14ac:dyDescent="0.3">
      <c r="B317" s="7">
        <v>44256</v>
      </c>
      <c r="C317" s="3">
        <f t="shared" si="8"/>
        <v>2021</v>
      </c>
      <c r="D317" s="3">
        <f t="shared" si="9"/>
        <v>202103</v>
      </c>
      <c r="E317" s="5" t="s">
        <v>2</v>
      </c>
      <c r="F317" s="5" t="s">
        <v>9</v>
      </c>
      <c r="G317" s="5" t="s">
        <v>27</v>
      </c>
      <c r="H317">
        <v>20</v>
      </c>
      <c r="I317" s="4">
        <v>114420</v>
      </c>
      <c r="J317" s="4">
        <v>36000</v>
      </c>
    </row>
    <row r="318" spans="2:10" x14ac:dyDescent="0.3">
      <c r="B318" s="7">
        <v>44287</v>
      </c>
      <c r="C318" s="3">
        <f t="shared" si="8"/>
        <v>2021</v>
      </c>
      <c r="D318" s="3">
        <f t="shared" si="9"/>
        <v>202104</v>
      </c>
      <c r="E318" s="5" t="s">
        <v>2</v>
      </c>
      <c r="F318" s="5" t="s">
        <v>9</v>
      </c>
      <c r="G318" s="5" t="s">
        <v>27</v>
      </c>
      <c r="H318">
        <v>36</v>
      </c>
      <c r="I318" s="4">
        <v>227016</v>
      </c>
      <c r="J318" s="4">
        <v>64800</v>
      </c>
    </row>
    <row r="319" spans="2:10" x14ac:dyDescent="0.3">
      <c r="B319" s="7">
        <v>44317</v>
      </c>
      <c r="C319" s="3">
        <f t="shared" si="8"/>
        <v>2021</v>
      </c>
      <c r="D319" s="3">
        <f t="shared" si="9"/>
        <v>202105</v>
      </c>
      <c r="E319" s="5" t="s">
        <v>2</v>
      </c>
      <c r="F319" s="5" t="s">
        <v>9</v>
      </c>
      <c r="G319" s="5" t="s">
        <v>27</v>
      </c>
      <c r="H319">
        <v>46</v>
      </c>
      <c r="I319" s="4">
        <v>305348</v>
      </c>
      <c r="J319" s="4">
        <v>82800</v>
      </c>
    </row>
    <row r="320" spans="2:10" x14ac:dyDescent="0.3">
      <c r="B320" s="7">
        <v>44348</v>
      </c>
      <c r="C320" s="3">
        <f t="shared" si="8"/>
        <v>2021</v>
      </c>
      <c r="D320" s="3">
        <f t="shared" si="9"/>
        <v>202106</v>
      </c>
      <c r="E320" s="5" t="s">
        <v>2</v>
      </c>
      <c r="F320" s="5" t="s">
        <v>9</v>
      </c>
      <c r="G320" s="5" t="s">
        <v>27</v>
      </c>
      <c r="H320">
        <v>44</v>
      </c>
      <c r="I320" s="4">
        <v>255024</v>
      </c>
      <c r="J320" s="4">
        <v>79200</v>
      </c>
    </row>
    <row r="321" spans="2:10" x14ac:dyDescent="0.3">
      <c r="B321" s="7">
        <v>44378</v>
      </c>
      <c r="C321" s="3">
        <f t="shared" si="8"/>
        <v>2021</v>
      </c>
      <c r="D321" s="3">
        <f t="shared" si="9"/>
        <v>202107</v>
      </c>
      <c r="E321" s="5" t="s">
        <v>2</v>
      </c>
      <c r="F321" s="5" t="s">
        <v>9</v>
      </c>
      <c r="G321" s="5" t="s">
        <v>27</v>
      </c>
      <c r="H321">
        <v>46</v>
      </c>
      <c r="I321" s="4">
        <v>204102</v>
      </c>
      <c r="J321" s="4">
        <v>82800</v>
      </c>
    </row>
    <row r="322" spans="2:10" x14ac:dyDescent="0.3">
      <c r="B322" s="7">
        <v>44409</v>
      </c>
      <c r="C322" s="3">
        <f t="shared" si="8"/>
        <v>2021</v>
      </c>
      <c r="D322" s="3">
        <f t="shared" si="9"/>
        <v>202108</v>
      </c>
      <c r="E322" s="5" t="s">
        <v>2</v>
      </c>
      <c r="F322" s="5" t="s">
        <v>9</v>
      </c>
      <c r="G322" s="5" t="s">
        <v>27</v>
      </c>
      <c r="H322">
        <v>39</v>
      </c>
      <c r="I322" s="4">
        <v>230841</v>
      </c>
      <c r="J322" s="4">
        <v>70200</v>
      </c>
    </row>
    <row r="323" spans="2:10" x14ac:dyDescent="0.3">
      <c r="B323" s="7">
        <v>44440</v>
      </c>
      <c r="C323" s="3">
        <f t="shared" ref="C323:C386" si="10">YEAR(B323)</f>
        <v>2021</v>
      </c>
      <c r="D323" s="3">
        <f t="shared" ref="D323:D386" si="11">VALUE(TEXT(B323,"ГГГГММ"))</f>
        <v>202109</v>
      </c>
      <c r="E323" s="5" t="s">
        <v>2</v>
      </c>
      <c r="F323" s="5" t="s">
        <v>9</v>
      </c>
      <c r="G323" s="5" t="s">
        <v>27</v>
      </c>
      <c r="H323">
        <v>41</v>
      </c>
      <c r="I323" s="4">
        <v>215537</v>
      </c>
      <c r="J323" s="4">
        <v>73800</v>
      </c>
    </row>
    <row r="324" spans="2:10" x14ac:dyDescent="0.3">
      <c r="B324" s="7">
        <v>44470</v>
      </c>
      <c r="C324" s="3">
        <f t="shared" si="10"/>
        <v>2021</v>
      </c>
      <c r="D324" s="3">
        <f t="shared" si="11"/>
        <v>202110</v>
      </c>
      <c r="E324" s="5" t="s">
        <v>2</v>
      </c>
      <c r="F324" s="5" t="s">
        <v>9</v>
      </c>
      <c r="G324" s="5" t="s">
        <v>27</v>
      </c>
      <c r="H324">
        <v>34</v>
      </c>
      <c r="I324" s="4">
        <v>191726</v>
      </c>
      <c r="J324" s="4">
        <v>61200</v>
      </c>
    </row>
    <row r="325" spans="2:10" x14ac:dyDescent="0.3">
      <c r="B325" s="7">
        <v>44501</v>
      </c>
      <c r="C325" s="3">
        <f t="shared" si="10"/>
        <v>2021</v>
      </c>
      <c r="D325" s="3">
        <f t="shared" si="11"/>
        <v>202111</v>
      </c>
      <c r="E325" s="5" t="s">
        <v>2</v>
      </c>
      <c r="F325" s="5" t="s">
        <v>9</v>
      </c>
      <c r="G325" s="5" t="s">
        <v>27</v>
      </c>
      <c r="H325">
        <v>24</v>
      </c>
      <c r="I325" s="4">
        <v>131856</v>
      </c>
      <c r="J325" s="4">
        <v>43200</v>
      </c>
    </row>
    <row r="326" spans="2:10" x14ac:dyDescent="0.3">
      <c r="B326" s="7">
        <v>44531</v>
      </c>
      <c r="C326" s="3">
        <f t="shared" si="10"/>
        <v>2021</v>
      </c>
      <c r="D326" s="3">
        <f t="shared" si="11"/>
        <v>202112</v>
      </c>
      <c r="E326" s="5" t="s">
        <v>2</v>
      </c>
      <c r="F326" s="5" t="s">
        <v>9</v>
      </c>
      <c r="G326" s="5" t="s">
        <v>27</v>
      </c>
      <c r="H326">
        <v>29</v>
      </c>
      <c r="I326" s="4">
        <v>145783</v>
      </c>
      <c r="J326" s="4">
        <v>52200</v>
      </c>
    </row>
    <row r="327" spans="2:10" x14ac:dyDescent="0.3">
      <c r="B327" s="7">
        <v>44562</v>
      </c>
      <c r="C327" s="3">
        <f t="shared" si="10"/>
        <v>2022</v>
      </c>
      <c r="D327" s="3">
        <f t="shared" si="11"/>
        <v>202201</v>
      </c>
      <c r="E327" s="5" t="s">
        <v>2</v>
      </c>
      <c r="F327" s="5" t="s">
        <v>9</v>
      </c>
      <c r="G327" s="5" t="s">
        <v>27</v>
      </c>
      <c r="H327">
        <v>43</v>
      </c>
      <c r="I327" s="4">
        <v>255807</v>
      </c>
      <c r="J327" s="4">
        <v>77400</v>
      </c>
    </row>
    <row r="328" spans="2:10" x14ac:dyDescent="0.3">
      <c r="B328" s="7">
        <v>44593</v>
      </c>
      <c r="C328" s="3">
        <f t="shared" si="10"/>
        <v>2022</v>
      </c>
      <c r="D328" s="3">
        <f t="shared" si="11"/>
        <v>202202</v>
      </c>
      <c r="E328" s="5" t="s">
        <v>2</v>
      </c>
      <c r="F328" s="5" t="s">
        <v>9</v>
      </c>
      <c r="G328" s="5" t="s">
        <v>27</v>
      </c>
      <c r="H328">
        <v>27</v>
      </c>
      <c r="I328" s="4">
        <v>154386</v>
      </c>
      <c r="J328" s="4">
        <v>48600</v>
      </c>
    </row>
    <row r="329" spans="2:10" x14ac:dyDescent="0.3">
      <c r="B329" s="7">
        <v>44621</v>
      </c>
      <c r="C329" s="3">
        <f t="shared" si="10"/>
        <v>2022</v>
      </c>
      <c r="D329" s="3">
        <f t="shared" si="11"/>
        <v>202203</v>
      </c>
      <c r="E329" s="5" t="s">
        <v>2</v>
      </c>
      <c r="F329" s="5" t="s">
        <v>9</v>
      </c>
      <c r="G329" s="5" t="s">
        <v>27</v>
      </c>
      <c r="H329">
        <v>22</v>
      </c>
      <c r="I329" s="4">
        <v>106458</v>
      </c>
      <c r="J329" s="4">
        <v>39600</v>
      </c>
    </row>
    <row r="330" spans="2:10" x14ac:dyDescent="0.3">
      <c r="B330" s="7">
        <v>44652</v>
      </c>
      <c r="C330" s="3">
        <f t="shared" si="10"/>
        <v>2022</v>
      </c>
      <c r="D330" s="3">
        <f t="shared" si="11"/>
        <v>202204</v>
      </c>
      <c r="E330" s="5" t="s">
        <v>2</v>
      </c>
      <c r="F330" s="5" t="s">
        <v>9</v>
      </c>
      <c r="G330" s="5" t="s">
        <v>27</v>
      </c>
      <c r="H330">
        <v>40</v>
      </c>
      <c r="I330" s="4">
        <v>264040</v>
      </c>
      <c r="J330" s="4">
        <v>72000</v>
      </c>
    </row>
    <row r="331" spans="2:10" x14ac:dyDescent="0.3">
      <c r="B331" s="7">
        <v>44682</v>
      </c>
      <c r="C331" s="3">
        <f t="shared" si="10"/>
        <v>2022</v>
      </c>
      <c r="D331" s="3">
        <f t="shared" si="11"/>
        <v>202205</v>
      </c>
      <c r="E331" s="5" t="s">
        <v>2</v>
      </c>
      <c r="F331" s="5" t="s">
        <v>9</v>
      </c>
      <c r="G331" s="5" t="s">
        <v>27</v>
      </c>
      <c r="H331">
        <v>51</v>
      </c>
      <c r="I331" s="4">
        <v>306255</v>
      </c>
      <c r="J331" s="4">
        <v>91800</v>
      </c>
    </row>
    <row r="332" spans="2:10" x14ac:dyDescent="0.3">
      <c r="B332" s="7">
        <v>44713</v>
      </c>
      <c r="C332" s="3">
        <f t="shared" si="10"/>
        <v>2022</v>
      </c>
      <c r="D332" s="3">
        <f t="shared" si="11"/>
        <v>202206</v>
      </c>
      <c r="E332" s="5" t="s">
        <v>2</v>
      </c>
      <c r="F332" s="5" t="s">
        <v>9</v>
      </c>
      <c r="G332" s="5" t="s">
        <v>27</v>
      </c>
      <c r="H332">
        <v>48</v>
      </c>
      <c r="I332" s="4">
        <v>282672</v>
      </c>
      <c r="J332" s="4">
        <v>86400</v>
      </c>
    </row>
    <row r="333" spans="2:10" x14ac:dyDescent="0.3">
      <c r="B333" s="7">
        <v>44743</v>
      </c>
      <c r="C333" s="3">
        <f t="shared" si="10"/>
        <v>2022</v>
      </c>
      <c r="D333" s="3">
        <f t="shared" si="11"/>
        <v>202207</v>
      </c>
      <c r="E333" s="5" t="s">
        <v>2</v>
      </c>
      <c r="F333" s="5" t="s">
        <v>9</v>
      </c>
      <c r="G333" s="5" t="s">
        <v>27</v>
      </c>
      <c r="H333">
        <v>51</v>
      </c>
      <c r="I333" s="4">
        <v>206193</v>
      </c>
      <c r="J333" s="4">
        <v>91800</v>
      </c>
    </row>
    <row r="334" spans="2:10" x14ac:dyDescent="0.3">
      <c r="B334" s="7">
        <v>44774</v>
      </c>
      <c r="C334" s="3">
        <f t="shared" si="10"/>
        <v>2022</v>
      </c>
      <c r="D334" s="3">
        <f t="shared" si="11"/>
        <v>202208</v>
      </c>
      <c r="E334" s="5" t="s">
        <v>2</v>
      </c>
      <c r="F334" s="5" t="s">
        <v>9</v>
      </c>
      <c r="G334" s="5" t="s">
        <v>27</v>
      </c>
      <c r="H334">
        <v>43</v>
      </c>
      <c r="I334" s="4">
        <v>222869</v>
      </c>
      <c r="J334" s="4">
        <v>77400</v>
      </c>
    </row>
    <row r="335" spans="2:10" x14ac:dyDescent="0.3">
      <c r="B335" s="7">
        <v>44805</v>
      </c>
      <c r="C335" s="3">
        <f t="shared" si="10"/>
        <v>2022</v>
      </c>
      <c r="D335" s="3">
        <f t="shared" si="11"/>
        <v>202209</v>
      </c>
      <c r="E335" s="5" t="s">
        <v>2</v>
      </c>
      <c r="F335" s="5" t="s">
        <v>9</v>
      </c>
      <c r="G335" s="5" t="s">
        <v>27</v>
      </c>
      <c r="H335">
        <v>45</v>
      </c>
      <c r="I335" s="4">
        <v>232425</v>
      </c>
      <c r="J335" s="4">
        <v>81000</v>
      </c>
    </row>
    <row r="336" spans="2:10" x14ac:dyDescent="0.3">
      <c r="B336" s="7">
        <v>44835</v>
      </c>
      <c r="C336" s="3">
        <f t="shared" si="10"/>
        <v>2022</v>
      </c>
      <c r="D336" s="3">
        <f t="shared" si="11"/>
        <v>202210</v>
      </c>
      <c r="E336" s="5" t="s">
        <v>2</v>
      </c>
      <c r="F336" s="5" t="s">
        <v>9</v>
      </c>
      <c r="G336" s="5" t="s">
        <v>27</v>
      </c>
      <c r="H336">
        <v>37</v>
      </c>
      <c r="I336" s="4">
        <v>212713</v>
      </c>
      <c r="J336" s="4">
        <v>66600</v>
      </c>
    </row>
    <row r="337" spans="2:10" x14ac:dyDescent="0.3">
      <c r="B337" s="7">
        <v>44866</v>
      </c>
      <c r="C337" s="3">
        <f t="shared" si="10"/>
        <v>2022</v>
      </c>
      <c r="D337" s="3">
        <f t="shared" si="11"/>
        <v>202211</v>
      </c>
      <c r="E337" s="5" t="s">
        <v>2</v>
      </c>
      <c r="F337" s="5" t="s">
        <v>9</v>
      </c>
      <c r="G337" s="5" t="s">
        <v>27</v>
      </c>
      <c r="H337">
        <v>27</v>
      </c>
      <c r="I337" s="4">
        <v>140265</v>
      </c>
      <c r="J337" s="4">
        <v>48600</v>
      </c>
    </row>
    <row r="338" spans="2:10" x14ac:dyDescent="0.3">
      <c r="B338" s="7">
        <v>44896</v>
      </c>
      <c r="C338" s="3">
        <f t="shared" si="10"/>
        <v>2022</v>
      </c>
      <c r="D338" s="3">
        <f t="shared" si="11"/>
        <v>202212</v>
      </c>
      <c r="E338" s="5" t="s">
        <v>2</v>
      </c>
      <c r="F338" s="5" t="s">
        <v>9</v>
      </c>
      <c r="G338" s="5" t="s">
        <v>27</v>
      </c>
      <c r="H338">
        <v>32</v>
      </c>
      <c r="I338" s="4">
        <v>153728</v>
      </c>
      <c r="J338" s="4">
        <v>57600</v>
      </c>
    </row>
    <row r="339" spans="2:10" x14ac:dyDescent="0.3">
      <c r="B339" s="7">
        <v>44197</v>
      </c>
      <c r="C339" s="3">
        <f t="shared" si="10"/>
        <v>2021</v>
      </c>
      <c r="D339" s="3">
        <f t="shared" si="11"/>
        <v>202101</v>
      </c>
      <c r="E339" s="5" t="s">
        <v>2</v>
      </c>
      <c r="F339" s="5" t="s">
        <v>10</v>
      </c>
      <c r="G339" s="5" t="s">
        <v>28</v>
      </c>
      <c r="H339">
        <v>26</v>
      </c>
      <c r="I339" s="4">
        <v>944580</v>
      </c>
      <c r="J339" s="4">
        <v>536900</v>
      </c>
    </row>
    <row r="340" spans="2:10" x14ac:dyDescent="0.3">
      <c r="B340" s="7">
        <v>44228</v>
      </c>
      <c r="C340" s="3">
        <f t="shared" si="10"/>
        <v>2021</v>
      </c>
      <c r="D340" s="3">
        <f t="shared" si="11"/>
        <v>202102</v>
      </c>
      <c r="E340" s="5" t="s">
        <v>2</v>
      </c>
      <c r="F340" s="5" t="s">
        <v>10</v>
      </c>
      <c r="G340" s="5" t="s">
        <v>28</v>
      </c>
      <c r="H340">
        <v>17</v>
      </c>
      <c r="I340" s="4">
        <v>629510</v>
      </c>
      <c r="J340" s="4">
        <v>351050</v>
      </c>
    </row>
    <row r="341" spans="2:10" x14ac:dyDescent="0.3">
      <c r="B341" s="7">
        <v>44256</v>
      </c>
      <c r="C341" s="3">
        <f t="shared" si="10"/>
        <v>2021</v>
      </c>
      <c r="D341" s="3">
        <f t="shared" si="11"/>
        <v>202103</v>
      </c>
      <c r="E341" s="5" t="s">
        <v>2</v>
      </c>
      <c r="F341" s="5" t="s">
        <v>10</v>
      </c>
      <c r="G341" s="5" t="s">
        <v>28</v>
      </c>
      <c r="H341">
        <v>13</v>
      </c>
      <c r="I341" s="4">
        <v>466375</v>
      </c>
      <c r="J341" s="4">
        <v>268450</v>
      </c>
    </row>
    <row r="342" spans="2:10" x14ac:dyDescent="0.3">
      <c r="B342" s="7">
        <v>44287</v>
      </c>
      <c r="C342" s="3">
        <f t="shared" si="10"/>
        <v>2021</v>
      </c>
      <c r="D342" s="3">
        <f t="shared" si="11"/>
        <v>202104</v>
      </c>
      <c r="E342" s="5" t="s">
        <v>2</v>
      </c>
      <c r="F342" s="5" t="s">
        <v>10</v>
      </c>
      <c r="G342" s="5" t="s">
        <v>28</v>
      </c>
      <c r="H342">
        <v>25</v>
      </c>
      <c r="I342" s="4">
        <v>921150</v>
      </c>
      <c r="J342" s="4">
        <v>516250</v>
      </c>
    </row>
    <row r="343" spans="2:10" x14ac:dyDescent="0.3">
      <c r="B343" s="7">
        <v>44317</v>
      </c>
      <c r="C343" s="3">
        <f t="shared" si="10"/>
        <v>2021</v>
      </c>
      <c r="D343" s="3">
        <f t="shared" si="11"/>
        <v>202105</v>
      </c>
      <c r="E343" s="5" t="s">
        <v>2</v>
      </c>
      <c r="F343" s="5" t="s">
        <v>10</v>
      </c>
      <c r="G343" s="5" t="s">
        <v>28</v>
      </c>
      <c r="H343">
        <v>31</v>
      </c>
      <c r="I343" s="4">
        <v>1141637</v>
      </c>
      <c r="J343" s="4">
        <v>640150</v>
      </c>
    </row>
    <row r="344" spans="2:10" x14ac:dyDescent="0.3">
      <c r="B344" s="7">
        <v>44348</v>
      </c>
      <c r="C344" s="3">
        <f t="shared" si="10"/>
        <v>2021</v>
      </c>
      <c r="D344" s="3">
        <f t="shared" si="11"/>
        <v>202106</v>
      </c>
      <c r="E344" s="5" t="s">
        <v>2</v>
      </c>
      <c r="F344" s="5" t="s">
        <v>10</v>
      </c>
      <c r="G344" s="5" t="s">
        <v>28</v>
      </c>
      <c r="H344">
        <v>29</v>
      </c>
      <c r="I344" s="4">
        <v>1064561</v>
      </c>
      <c r="J344" s="4">
        <v>598850</v>
      </c>
    </row>
    <row r="345" spans="2:10" x14ac:dyDescent="0.3">
      <c r="B345" s="7">
        <v>44378</v>
      </c>
      <c r="C345" s="3">
        <f t="shared" si="10"/>
        <v>2021</v>
      </c>
      <c r="D345" s="3">
        <f t="shared" si="11"/>
        <v>202107</v>
      </c>
      <c r="E345" s="5" t="s">
        <v>2</v>
      </c>
      <c r="F345" s="5" t="s">
        <v>10</v>
      </c>
      <c r="G345" s="5" t="s">
        <v>28</v>
      </c>
      <c r="H345">
        <v>31</v>
      </c>
      <c r="I345" s="4">
        <v>1071143</v>
      </c>
      <c r="J345" s="4">
        <v>640150</v>
      </c>
    </row>
    <row r="346" spans="2:10" x14ac:dyDescent="0.3">
      <c r="B346" s="7">
        <v>44409</v>
      </c>
      <c r="C346" s="3">
        <f t="shared" si="10"/>
        <v>2021</v>
      </c>
      <c r="D346" s="3">
        <f t="shared" si="11"/>
        <v>202108</v>
      </c>
      <c r="E346" s="5" t="s">
        <v>2</v>
      </c>
      <c r="F346" s="5" t="s">
        <v>10</v>
      </c>
      <c r="G346" s="5" t="s">
        <v>28</v>
      </c>
      <c r="H346">
        <v>26</v>
      </c>
      <c r="I346" s="4">
        <v>930826</v>
      </c>
      <c r="J346" s="4">
        <v>536900</v>
      </c>
    </row>
    <row r="347" spans="2:10" x14ac:dyDescent="0.3">
      <c r="B347" s="7">
        <v>44440</v>
      </c>
      <c r="C347" s="3">
        <f t="shared" si="10"/>
        <v>2021</v>
      </c>
      <c r="D347" s="3">
        <f t="shared" si="11"/>
        <v>202109</v>
      </c>
      <c r="E347" s="5" t="s">
        <v>2</v>
      </c>
      <c r="F347" s="5" t="s">
        <v>10</v>
      </c>
      <c r="G347" s="5" t="s">
        <v>28</v>
      </c>
      <c r="H347">
        <v>28</v>
      </c>
      <c r="I347" s="4">
        <v>1016736</v>
      </c>
      <c r="J347" s="4">
        <v>578200</v>
      </c>
    </row>
    <row r="348" spans="2:10" x14ac:dyDescent="0.3">
      <c r="B348" s="7">
        <v>44470</v>
      </c>
      <c r="C348" s="3">
        <f t="shared" si="10"/>
        <v>2021</v>
      </c>
      <c r="D348" s="3">
        <f t="shared" si="11"/>
        <v>202110</v>
      </c>
      <c r="E348" s="5" t="s">
        <v>2</v>
      </c>
      <c r="F348" s="5" t="s">
        <v>10</v>
      </c>
      <c r="G348" s="5" t="s">
        <v>28</v>
      </c>
      <c r="H348">
        <v>23</v>
      </c>
      <c r="I348" s="4">
        <v>830461</v>
      </c>
      <c r="J348" s="4">
        <v>474950</v>
      </c>
    </row>
    <row r="349" spans="2:10" x14ac:dyDescent="0.3">
      <c r="B349" s="7">
        <v>44501</v>
      </c>
      <c r="C349" s="3">
        <f t="shared" si="10"/>
        <v>2021</v>
      </c>
      <c r="D349" s="3">
        <f t="shared" si="11"/>
        <v>202111</v>
      </c>
      <c r="E349" s="5" t="s">
        <v>2</v>
      </c>
      <c r="F349" s="5" t="s">
        <v>10</v>
      </c>
      <c r="G349" s="5" t="s">
        <v>28</v>
      </c>
      <c r="H349">
        <v>17</v>
      </c>
      <c r="I349" s="4">
        <v>620024</v>
      </c>
      <c r="J349" s="4">
        <v>351050</v>
      </c>
    </row>
    <row r="350" spans="2:10" x14ac:dyDescent="0.3">
      <c r="B350" s="7">
        <v>44531</v>
      </c>
      <c r="C350" s="3">
        <f t="shared" si="10"/>
        <v>2021</v>
      </c>
      <c r="D350" s="3">
        <f t="shared" si="11"/>
        <v>202112</v>
      </c>
      <c r="E350" s="5" t="s">
        <v>2</v>
      </c>
      <c r="F350" s="5" t="s">
        <v>10</v>
      </c>
      <c r="G350" s="5" t="s">
        <v>28</v>
      </c>
      <c r="H350">
        <v>20</v>
      </c>
      <c r="I350" s="4">
        <v>703220</v>
      </c>
      <c r="J350" s="4">
        <v>413000</v>
      </c>
    </row>
    <row r="351" spans="2:10" x14ac:dyDescent="0.3">
      <c r="B351" s="7">
        <v>44562</v>
      </c>
      <c r="C351" s="3">
        <f t="shared" si="10"/>
        <v>2022</v>
      </c>
      <c r="D351" s="3">
        <f t="shared" si="11"/>
        <v>202201</v>
      </c>
      <c r="E351" s="5" t="s">
        <v>2</v>
      </c>
      <c r="F351" s="5" t="s">
        <v>10</v>
      </c>
      <c r="G351" s="5" t="s">
        <v>28</v>
      </c>
      <c r="H351">
        <v>29</v>
      </c>
      <c r="I351" s="4">
        <v>1043942</v>
      </c>
      <c r="J351" s="4">
        <v>598850</v>
      </c>
    </row>
    <row r="352" spans="2:10" x14ac:dyDescent="0.3">
      <c r="B352" s="7">
        <v>44593</v>
      </c>
      <c r="C352" s="3">
        <f t="shared" si="10"/>
        <v>2022</v>
      </c>
      <c r="D352" s="3">
        <f t="shared" si="11"/>
        <v>202202</v>
      </c>
      <c r="E352" s="5" t="s">
        <v>2</v>
      </c>
      <c r="F352" s="5" t="s">
        <v>10</v>
      </c>
      <c r="G352" s="5" t="s">
        <v>28</v>
      </c>
      <c r="H352">
        <v>18</v>
      </c>
      <c r="I352" s="4">
        <v>653112</v>
      </c>
      <c r="J352" s="4">
        <v>371700</v>
      </c>
    </row>
    <row r="353" spans="2:10" x14ac:dyDescent="0.3">
      <c r="B353" s="7">
        <v>44621</v>
      </c>
      <c r="C353" s="3">
        <f t="shared" si="10"/>
        <v>2022</v>
      </c>
      <c r="D353" s="3">
        <f t="shared" si="11"/>
        <v>202203</v>
      </c>
      <c r="E353" s="5" t="s">
        <v>2</v>
      </c>
      <c r="F353" s="5" t="s">
        <v>10</v>
      </c>
      <c r="G353" s="5" t="s">
        <v>28</v>
      </c>
      <c r="H353">
        <v>15</v>
      </c>
      <c r="I353" s="4">
        <v>537870</v>
      </c>
      <c r="J353" s="4">
        <v>309750</v>
      </c>
    </row>
    <row r="354" spans="2:10" x14ac:dyDescent="0.3">
      <c r="B354" s="7">
        <v>44652</v>
      </c>
      <c r="C354" s="3">
        <f t="shared" si="10"/>
        <v>2022</v>
      </c>
      <c r="D354" s="3">
        <f t="shared" si="11"/>
        <v>202204</v>
      </c>
      <c r="E354" s="5" t="s">
        <v>2</v>
      </c>
      <c r="F354" s="5" t="s">
        <v>10</v>
      </c>
      <c r="G354" s="5" t="s">
        <v>28</v>
      </c>
      <c r="H354">
        <v>27</v>
      </c>
      <c r="I354" s="4">
        <v>990657</v>
      </c>
      <c r="J354" s="4">
        <v>557550</v>
      </c>
    </row>
    <row r="355" spans="2:10" x14ac:dyDescent="0.3">
      <c r="B355" s="7">
        <v>44682</v>
      </c>
      <c r="C355" s="3">
        <f t="shared" si="10"/>
        <v>2022</v>
      </c>
      <c r="D355" s="3">
        <f t="shared" si="11"/>
        <v>202205</v>
      </c>
      <c r="E355" s="5" t="s">
        <v>2</v>
      </c>
      <c r="F355" s="5" t="s">
        <v>10</v>
      </c>
      <c r="G355" s="5" t="s">
        <v>28</v>
      </c>
      <c r="H355">
        <v>34</v>
      </c>
      <c r="I355" s="4">
        <v>1250860</v>
      </c>
      <c r="J355" s="4">
        <v>702100</v>
      </c>
    </row>
    <row r="356" spans="2:10" x14ac:dyDescent="0.3">
      <c r="B356" s="7">
        <v>44713</v>
      </c>
      <c r="C356" s="3">
        <f t="shared" si="10"/>
        <v>2022</v>
      </c>
      <c r="D356" s="3">
        <f t="shared" si="11"/>
        <v>202206</v>
      </c>
      <c r="E356" s="5" t="s">
        <v>2</v>
      </c>
      <c r="F356" s="5" t="s">
        <v>10</v>
      </c>
      <c r="G356" s="5" t="s">
        <v>28</v>
      </c>
      <c r="H356">
        <v>32</v>
      </c>
      <c r="I356" s="4">
        <v>1147520</v>
      </c>
      <c r="J356" s="4">
        <v>660800</v>
      </c>
    </row>
    <row r="357" spans="2:10" x14ac:dyDescent="0.3">
      <c r="B357" s="7">
        <v>44743</v>
      </c>
      <c r="C357" s="3">
        <f t="shared" si="10"/>
        <v>2022</v>
      </c>
      <c r="D357" s="3">
        <f t="shared" si="11"/>
        <v>202207</v>
      </c>
      <c r="E357" s="5" t="s">
        <v>2</v>
      </c>
      <c r="F357" s="5" t="s">
        <v>10</v>
      </c>
      <c r="G357" s="5" t="s">
        <v>28</v>
      </c>
      <c r="H357">
        <v>34</v>
      </c>
      <c r="I357" s="4">
        <v>1170518</v>
      </c>
      <c r="J357" s="4">
        <v>702100</v>
      </c>
    </row>
    <row r="358" spans="2:10" x14ac:dyDescent="0.3">
      <c r="B358" s="7">
        <v>44774</v>
      </c>
      <c r="C358" s="3">
        <f t="shared" si="10"/>
        <v>2022</v>
      </c>
      <c r="D358" s="3">
        <f t="shared" si="11"/>
        <v>202208</v>
      </c>
      <c r="E358" s="5" t="s">
        <v>2</v>
      </c>
      <c r="F358" s="5" t="s">
        <v>10</v>
      </c>
      <c r="G358" s="5" t="s">
        <v>28</v>
      </c>
      <c r="H358">
        <v>29</v>
      </c>
      <c r="I358" s="4">
        <v>1050873</v>
      </c>
      <c r="J358" s="4">
        <v>598850</v>
      </c>
    </row>
    <row r="359" spans="2:10" x14ac:dyDescent="0.3">
      <c r="B359" s="7">
        <v>44805</v>
      </c>
      <c r="C359" s="3">
        <f t="shared" si="10"/>
        <v>2022</v>
      </c>
      <c r="D359" s="3">
        <f t="shared" si="11"/>
        <v>202209</v>
      </c>
      <c r="E359" s="5" t="s">
        <v>2</v>
      </c>
      <c r="F359" s="5" t="s">
        <v>10</v>
      </c>
      <c r="G359" s="5" t="s">
        <v>28</v>
      </c>
      <c r="H359">
        <v>31</v>
      </c>
      <c r="I359" s="4">
        <v>1114233</v>
      </c>
      <c r="J359" s="4">
        <v>640150</v>
      </c>
    </row>
    <row r="360" spans="2:10" x14ac:dyDescent="0.3">
      <c r="B360" s="7">
        <v>44835</v>
      </c>
      <c r="C360" s="3">
        <f t="shared" si="10"/>
        <v>2022</v>
      </c>
      <c r="D360" s="3">
        <f t="shared" si="11"/>
        <v>202210</v>
      </c>
      <c r="E360" s="5" t="s">
        <v>2</v>
      </c>
      <c r="F360" s="5" t="s">
        <v>10</v>
      </c>
      <c r="G360" s="5" t="s">
        <v>28</v>
      </c>
      <c r="H360">
        <v>25</v>
      </c>
      <c r="I360" s="4">
        <v>910775</v>
      </c>
      <c r="J360" s="4">
        <v>516250</v>
      </c>
    </row>
    <row r="361" spans="2:10" x14ac:dyDescent="0.3">
      <c r="B361" s="7">
        <v>44866</v>
      </c>
      <c r="C361" s="3">
        <f t="shared" si="10"/>
        <v>2022</v>
      </c>
      <c r="D361" s="3">
        <f t="shared" si="11"/>
        <v>202211</v>
      </c>
      <c r="E361" s="5" t="s">
        <v>2</v>
      </c>
      <c r="F361" s="5" t="s">
        <v>10</v>
      </c>
      <c r="G361" s="5" t="s">
        <v>28</v>
      </c>
      <c r="H361">
        <v>18</v>
      </c>
      <c r="I361" s="4">
        <v>649080</v>
      </c>
      <c r="J361" s="4">
        <v>371700</v>
      </c>
    </row>
    <row r="362" spans="2:10" x14ac:dyDescent="0.3">
      <c r="B362" s="7">
        <v>44896</v>
      </c>
      <c r="C362" s="3">
        <f t="shared" si="10"/>
        <v>2022</v>
      </c>
      <c r="D362" s="3">
        <f t="shared" si="11"/>
        <v>202212</v>
      </c>
      <c r="E362" s="5" t="s">
        <v>2</v>
      </c>
      <c r="F362" s="5" t="s">
        <v>10</v>
      </c>
      <c r="G362" s="5" t="s">
        <v>28</v>
      </c>
      <c r="H362">
        <v>22</v>
      </c>
      <c r="I362" s="4">
        <v>782188</v>
      </c>
      <c r="J362" s="4">
        <v>454300</v>
      </c>
    </row>
    <row r="363" spans="2:10" x14ac:dyDescent="0.3">
      <c r="B363" s="7">
        <v>44197</v>
      </c>
      <c r="C363" s="3">
        <f t="shared" si="10"/>
        <v>2021</v>
      </c>
      <c r="D363" s="3">
        <f t="shared" si="11"/>
        <v>202101</v>
      </c>
      <c r="E363" s="5" t="s">
        <v>2</v>
      </c>
      <c r="F363" s="5" t="s">
        <v>10</v>
      </c>
      <c r="G363" s="5" t="s">
        <v>29</v>
      </c>
      <c r="H363">
        <v>21</v>
      </c>
      <c r="I363" s="4">
        <v>689598</v>
      </c>
      <c r="J363" s="4">
        <v>329280</v>
      </c>
    </row>
    <row r="364" spans="2:10" x14ac:dyDescent="0.3">
      <c r="B364" s="7">
        <v>44228</v>
      </c>
      <c r="C364" s="3">
        <f t="shared" si="10"/>
        <v>2021</v>
      </c>
      <c r="D364" s="3">
        <f t="shared" si="11"/>
        <v>202102</v>
      </c>
      <c r="E364" s="5" t="s">
        <v>2</v>
      </c>
      <c r="F364" s="5" t="s">
        <v>10</v>
      </c>
      <c r="G364" s="5" t="s">
        <v>29</v>
      </c>
      <c r="H364">
        <v>13</v>
      </c>
      <c r="I364" s="4">
        <v>434070</v>
      </c>
      <c r="J364" s="4">
        <v>203840</v>
      </c>
    </row>
    <row r="365" spans="2:10" x14ac:dyDescent="0.3">
      <c r="B365" s="7">
        <v>44256</v>
      </c>
      <c r="C365" s="3">
        <f t="shared" si="10"/>
        <v>2021</v>
      </c>
      <c r="D365" s="3">
        <f t="shared" si="11"/>
        <v>202103</v>
      </c>
      <c r="E365" s="5" t="s">
        <v>2</v>
      </c>
      <c r="F365" s="5" t="s">
        <v>10</v>
      </c>
      <c r="G365" s="5" t="s">
        <v>29</v>
      </c>
      <c r="H365">
        <v>11</v>
      </c>
      <c r="I365" s="4">
        <v>362868</v>
      </c>
      <c r="J365" s="4">
        <v>172480</v>
      </c>
    </row>
    <row r="366" spans="2:10" x14ac:dyDescent="0.3">
      <c r="B366" s="7">
        <v>44287</v>
      </c>
      <c r="C366" s="3">
        <f t="shared" si="10"/>
        <v>2021</v>
      </c>
      <c r="D366" s="3">
        <f t="shared" si="11"/>
        <v>202104</v>
      </c>
      <c r="E366" s="5" t="s">
        <v>2</v>
      </c>
      <c r="F366" s="5" t="s">
        <v>10</v>
      </c>
      <c r="G366" s="5" t="s">
        <v>29</v>
      </c>
      <c r="H366">
        <v>20</v>
      </c>
      <c r="I366" s="4">
        <v>678660</v>
      </c>
      <c r="J366" s="4">
        <v>313600</v>
      </c>
    </row>
    <row r="367" spans="2:10" x14ac:dyDescent="0.3">
      <c r="B367" s="7">
        <v>44317</v>
      </c>
      <c r="C367" s="3">
        <f t="shared" si="10"/>
        <v>2021</v>
      </c>
      <c r="D367" s="3">
        <f t="shared" si="11"/>
        <v>202105</v>
      </c>
      <c r="E367" s="5" t="s">
        <v>2</v>
      </c>
      <c r="F367" s="5" t="s">
        <v>10</v>
      </c>
      <c r="G367" s="5" t="s">
        <v>29</v>
      </c>
      <c r="H367">
        <v>25</v>
      </c>
      <c r="I367" s="4">
        <v>843400</v>
      </c>
      <c r="J367" s="4">
        <v>392000</v>
      </c>
    </row>
    <row r="368" spans="2:10" x14ac:dyDescent="0.3">
      <c r="B368" s="7">
        <v>44348</v>
      </c>
      <c r="C368" s="3">
        <f t="shared" si="10"/>
        <v>2021</v>
      </c>
      <c r="D368" s="3">
        <f t="shared" si="11"/>
        <v>202106</v>
      </c>
      <c r="E368" s="5" t="s">
        <v>2</v>
      </c>
      <c r="F368" s="5" t="s">
        <v>10</v>
      </c>
      <c r="G368" s="5" t="s">
        <v>29</v>
      </c>
      <c r="H368">
        <v>24</v>
      </c>
      <c r="I368" s="4">
        <v>808008</v>
      </c>
      <c r="J368" s="4">
        <v>376320</v>
      </c>
    </row>
    <row r="369" spans="2:10" x14ac:dyDescent="0.3">
      <c r="B369" s="7">
        <v>44378</v>
      </c>
      <c r="C369" s="3">
        <f t="shared" si="10"/>
        <v>2021</v>
      </c>
      <c r="D369" s="3">
        <f t="shared" si="11"/>
        <v>202107</v>
      </c>
      <c r="E369" s="5" t="s">
        <v>2</v>
      </c>
      <c r="F369" s="5" t="s">
        <v>10</v>
      </c>
      <c r="G369" s="5" t="s">
        <v>29</v>
      </c>
      <c r="H369">
        <v>25</v>
      </c>
      <c r="I369" s="4">
        <v>808150</v>
      </c>
      <c r="J369" s="4">
        <v>392000</v>
      </c>
    </row>
    <row r="370" spans="2:10" x14ac:dyDescent="0.3">
      <c r="B370" s="7">
        <v>44409</v>
      </c>
      <c r="C370" s="3">
        <f t="shared" si="10"/>
        <v>2021</v>
      </c>
      <c r="D370" s="3">
        <f t="shared" si="11"/>
        <v>202108</v>
      </c>
      <c r="E370" s="5" t="s">
        <v>2</v>
      </c>
      <c r="F370" s="5" t="s">
        <v>10</v>
      </c>
      <c r="G370" s="5" t="s">
        <v>29</v>
      </c>
      <c r="H370">
        <v>21</v>
      </c>
      <c r="I370" s="4">
        <v>683613</v>
      </c>
      <c r="J370" s="4">
        <v>329280</v>
      </c>
    </row>
    <row r="371" spans="2:10" x14ac:dyDescent="0.3">
      <c r="B371" s="7">
        <v>44440</v>
      </c>
      <c r="C371" s="3">
        <f t="shared" si="10"/>
        <v>2021</v>
      </c>
      <c r="D371" s="3">
        <f t="shared" si="11"/>
        <v>202109</v>
      </c>
      <c r="E371" s="5" t="s">
        <v>2</v>
      </c>
      <c r="F371" s="5" t="s">
        <v>10</v>
      </c>
      <c r="G371" s="5" t="s">
        <v>29</v>
      </c>
      <c r="H371">
        <v>22</v>
      </c>
      <c r="I371" s="4">
        <v>712206</v>
      </c>
      <c r="J371" s="4">
        <v>344960</v>
      </c>
    </row>
    <row r="372" spans="2:10" x14ac:dyDescent="0.3">
      <c r="B372" s="7">
        <v>44470</v>
      </c>
      <c r="C372" s="3">
        <f t="shared" si="10"/>
        <v>2021</v>
      </c>
      <c r="D372" s="3">
        <f t="shared" si="11"/>
        <v>202110</v>
      </c>
      <c r="E372" s="5" t="s">
        <v>2</v>
      </c>
      <c r="F372" s="5" t="s">
        <v>10</v>
      </c>
      <c r="G372" s="5" t="s">
        <v>29</v>
      </c>
      <c r="H372">
        <v>19</v>
      </c>
      <c r="I372" s="4">
        <v>637260</v>
      </c>
      <c r="J372" s="4">
        <v>297920</v>
      </c>
    </row>
    <row r="373" spans="2:10" x14ac:dyDescent="0.3">
      <c r="B373" s="7">
        <v>44501</v>
      </c>
      <c r="C373" s="3">
        <f t="shared" si="10"/>
        <v>2021</v>
      </c>
      <c r="D373" s="3">
        <f t="shared" si="11"/>
        <v>202111</v>
      </c>
      <c r="E373" s="5" t="s">
        <v>2</v>
      </c>
      <c r="F373" s="5" t="s">
        <v>10</v>
      </c>
      <c r="G373" s="5" t="s">
        <v>29</v>
      </c>
      <c r="H373">
        <v>13</v>
      </c>
      <c r="I373" s="4">
        <v>431717</v>
      </c>
      <c r="J373" s="4">
        <v>203840</v>
      </c>
    </row>
    <row r="374" spans="2:10" x14ac:dyDescent="0.3">
      <c r="B374" s="7">
        <v>44531</v>
      </c>
      <c r="C374" s="3">
        <f t="shared" si="10"/>
        <v>2021</v>
      </c>
      <c r="D374" s="3">
        <f t="shared" si="11"/>
        <v>202112</v>
      </c>
      <c r="E374" s="5" t="s">
        <v>2</v>
      </c>
      <c r="F374" s="5" t="s">
        <v>10</v>
      </c>
      <c r="G374" s="5" t="s">
        <v>29</v>
      </c>
      <c r="H374">
        <v>16</v>
      </c>
      <c r="I374" s="4">
        <v>524672</v>
      </c>
      <c r="J374" s="4">
        <v>250880</v>
      </c>
    </row>
    <row r="375" spans="2:10" x14ac:dyDescent="0.3">
      <c r="B375" s="7">
        <v>44562</v>
      </c>
      <c r="C375" s="3">
        <f t="shared" si="10"/>
        <v>2022</v>
      </c>
      <c r="D375" s="3">
        <f t="shared" si="11"/>
        <v>202201</v>
      </c>
      <c r="E375" s="5" t="s">
        <v>2</v>
      </c>
      <c r="F375" s="5" t="s">
        <v>10</v>
      </c>
      <c r="G375" s="5" t="s">
        <v>29</v>
      </c>
      <c r="H375">
        <v>23</v>
      </c>
      <c r="I375" s="4">
        <v>752606</v>
      </c>
      <c r="J375" s="4">
        <v>360640</v>
      </c>
    </row>
    <row r="376" spans="2:10" x14ac:dyDescent="0.3">
      <c r="B376" s="7">
        <v>44593</v>
      </c>
      <c r="C376" s="3">
        <f t="shared" si="10"/>
        <v>2022</v>
      </c>
      <c r="D376" s="3">
        <f t="shared" si="11"/>
        <v>202202</v>
      </c>
      <c r="E376" s="5" t="s">
        <v>2</v>
      </c>
      <c r="F376" s="5" t="s">
        <v>10</v>
      </c>
      <c r="G376" s="5" t="s">
        <v>29</v>
      </c>
      <c r="H376">
        <v>15</v>
      </c>
      <c r="I376" s="4">
        <v>510765</v>
      </c>
      <c r="J376" s="4">
        <v>235200</v>
      </c>
    </row>
    <row r="377" spans="2:10" x14ac:dyDescent="0.3">
      <c r="B377" s="7">
        <v>44621</v>
      </c>
      <c r="C377" s="3">
        <f t="shared" si="10"/>
        <v>2022</v>
      </c>
      <c r="D377" s="3">
        <f t="shared" si="11"/>
        <v>202203</v>
      </c>
      <c r="E377" s="5" t="s">
        <v>2</v>
      </c>
      <c r="F377" s="5" t="s">
        <v>10</v>
      </c>
      <c r="G377" s="5" t="s">
        <v>29</v>
      </c>
      <c r="H377">
        <v>12</v>
      </c>
      <c r="I377" s="4">
        <v>397752</v>
      </c>
      <c r="J377" s="4">
        <v>188160</v>
      </c>
    </row>
    <row r="378" spans="2:10" x14ac:dyDescent="0.3">
      <c r="B378" s="7">
        <v>44652</v>
      </c>
      <c r="C378" s="3">
        <f t="shared" si="10"/>
        <v>2022</v>
      </c>
      <c r="D378" s="3">
        <f t="shared" si="11"/>
        <v>202204</v>
      </c>
      <c r="E378" s="5" t="s">
        <v>2</v>
      </c>
      <c r="F378" s="5" t="s">
        <v>10</v>
      </c>
      <c r="G378" s="5" t="s">
        <v>29</v>
      </c>
      <c r="H378">
        <v>22</v>
      </c>
      <c r="I378" s="4">
        <v>754622</v>
      </c>
      <c r="J378" s="4">
        <v>344960</v>
      </c>
    </row>
    <row r="379" spans="2:10" x14ac:dyDescent="0.3">
      <c r="B379" s="7">
        <v>44682</v>
      </c>
      <c r="C379" s="3">
        <f t="shared" si="10"/>
        <v>2022</v>
      </c>
      <c r="D379" s="3">
        <f t="shared" si="11"/>
        <v>202205</v>
      </c>
      <c r="E379" s="5" t="s">
        <v>2</v>
      </c>
      <c r="F379" s="5" t="s">
        <v>10</v>
      </c>
      <c r="G379" s="5" t="s">
        <v>29</v>
      </c>
      <c r="H379">
        <v>27</v>
      </c>
      <c r="I379" s="4">
        <v>909846</v>
      </c>
      <c r="J379" s="4">
        <v>423360</v>
      </c>
    </row>
    <row r="380" spans="2:10" x14ac:dyDescent="0.3">
      <c r="B380" s="7">
        <v>44713</v>
      </c>
      <c r="C380" s="3">
        <f t="shared" si="10"/>
        <v>2022</v>
      </c>
      <c r="D380" s="3">
        <f t="shared" si="11"/>
        <v>202206</v>
      </c>
      <c r="E380" s="5" t="s">
        <v>2</v>
      </c>
      <c r="F380" s="5" t="s">
        <v>10</v>
      </c>
      <c r="G380" s="5" t="s">
        <v>29</v>
      </c>
      <c r="H380">
        <v>26</v>
      </c>
      <c r="I380" s="4">
        <v>874666</v>
      </c>
      <c r="J380" s="4">
        <v>407680</v>
      </c>
    </row>
    <row r="381" spans="2:10" x14ac:dyDescent="0.3">
      <c r="B381" s="7">
        <v>44743</v>
      </c>
      <c r="C381" s="3">
        <f t="shared" si="10"/>
        <v>2022</v>
      </c>
      <c r="D381" s="3">
        <f t="shared" si="11"/>
        <v>202207</v>
      </c>
      <c r="E381" s="5" t="s">
        <v>2</v>
      </c>
      <c r="F381" s="5" t="s">
        <v>10</v>
      </c>
      <c r="G381" s="5" t="s">
        <v>29</v>
      </c>
      <c r="H381">
        <v>27</v>
      </c>
      <c r="I381" s="4">
        <v>850554</v>
      </c>
      <c r="J381" s="4">
        <v>423360</v>
      </c>
    </row>
    <row r="382" spans="2:10" x14ac:dyDescent="0.3">
      <c r="B382" s="7">
        <v>44774</v>
      </c>
      <c r="C382" s="3">
        <f t="shared" si="10"/>
        <v>2022</v>
      </c>
      <c r="D382" s="3">
        <f t="shared" si="11"/>
        <v>202208</v>
      </c>
      <c r="E382" s="5" t="s">
        <v>2</v>
      </c>
      <c r="F382" s="5" t="s">
        <v>10</v>
      </c>
      <c r="G382" s="5" t="s">
        <v>29</v>
      </c>
      <c r="H382">
        <v>23</v>
      </c>
      <c r="I382" s="4">
        <v>741336</v>
      </c>
      <c r="J382" s="4">
        <v>360640</v>
      </c>
    </row>
    <row r="383" spans="2:10" x14ac:dyDescent="0.3">
      <c r="B383" s="7">
        <v>44805</v>
      </c>
      <c r="C383" s="3">
        <f t="shared" si="10"/>
        <v>2022</v>
      </c>
      <c r="D383" s="3">
        <f t="shared" si="11"/>
        <v>202209</v>
      </c>
      <c r="E383" s="5" t="s">
        <v>2</v>
      </c>
      <c r="F383" s="5" t="s">
        <v>10</v>
      </c>
      <c r="G383" s="5" t="s">
        <v>29</v>
      </c>
      <c r="H383">
        <v>25</v>
      </c>
      <c r="I383" s="4">
        <v>834500</v>
      </c>
      <c r="J383" s="4">
        <v>392000</v>
      </c>
    </row>
    <row r="384" spans="2:10" x14ac:dyDescent="0.3">
      <c r="B384" s="7">
        <v>44835</v>
      </c>
      <c r="C384" s="3">
        <f t="shared" si="10"/>
        <v>2022</v>
      </c>
      <c r="D384" s="3">
        <f t="shared" si="11"/>
        <v>202210</v>
      </c>
      <c r="E384" s="5" t="s">
        <v>2</v>
      </c>
      <c r="F384" s="5" t="s">
        <v>10</v>
      </c>
      <c r="G384" s="5" t="s">
        <v>29</v>
      </c>
      <c r="H384">
        <v>20</v>
      </c>
      <c r="I384" s="4">
        <v>658080</v>
      </c>
      <c r="J384" s="4">
        <v>313600</v>
      </c>
    </row>
    <row r="385" spans="2:10" x14ac:dyDescent="0.3">
      <c r="B385" s="7">
        <v>44866</v>
      </c>
      <c r="C385" s="3">
        <f t="shared" si="10"/>
        <v>2022</v>
      </c>
      <c r="D385" s="3">
        <f t="shared" si="11"/>
        <v>202211</v>
      </c>
      <c r="E385" s="5" t="s">
        <v>2</v>
      </c>
      <c r="F385" s="5" t="s">
        <v>10</v>
      </c>
      <c r="G385" s="5" t="s">
        <v>29</v>
      </c>
      <c r="H385">
        <v>15</v>
      </c>
      <c r="I385" s="4">
        <v>499800</v>
      </c>
      <c r="J385" s="4">
        <v>235200</v>
      </c>
    </row>
    <row r="386" spans="2:10" x14ac:dyDescent="0.3">
      <c r="B386" s="7">
        <v>44896</v>
      </c>
      <c r="C386" s="3">
        <f t="shared" si="10"/>
        <v>2022</v>
      </c>
      <c r="D386" s="3">
        <f t="shared" si="11"/>
        <v>202212</v>
      </c>
      <c r="E386" s="5" t="s">
        <v>2</v>
      </c>
      <c r="F386" s="5" t="s">
        <v>10</v>
      </c>
      <c r="G386" s="5" t="s">
        <v>29</v>
      </c>
      <c r="H386">
        <v>18</v>
      </c>
      <c r="I386" s="4">
        <v>587916</v>
      </c>
      <c r="J386" s="4">
        <v>282240</v>
      </c>
    </row>
    <row r="387" spans="2:10" x14ac:dyDescent="0.3">
      <c r="B387" s="7">
        <v>44197</v>
      </c>
      <c r="C387" s="3">
        <f t="shared" ref="C387:C450" si="12">YEAR(B387)</f>
        <v>2021</v>
      </c>
      <c r="D387" s="3">
        <f t="shared" ref="D387:D450" si="13">VALUE(TEXT(B387,"ГГГГММ"))</f>
        <v>202101</v>
      </c>
      <c r="E387" s="5" t="s">
        <v>2</v>
      </c>
      <c r="F387" s="5" t="s">
        <v>10</v>
      </c>
      <c r="G387" s="5" t="s">
        <v>30</v>
      </c>
      <c r="H387">
        <v>24</v>
      </c>
      <c r="I387" s="4">
        <v>1031256</v>
      </c>
      <c r="J387" s="4">
        <v>433440</v>
      </c>
    </row>
    <row r="388" spans="2:10" x14ac:dyDescent="0.3">
      <c r="B388" s="7">
        <v>44228</v>
      </c>
      <c r="C388" s="3">
        <f t="shared" si="12"/>
        <v>2021</v>
      </c>
      <c r="D388" s="3">
        <f t="shared" si="13"/>
        <v>202102</v>
      </c>
      <c r="E388" s="5" t="s">
        <v>2</v>
      </c>
      <c r="F388" s="5" t="s">
        <v>10</v>
      </c>
      <c r="G388" s="5" t="s">
        <v>30</v>
      </c>
      <c r="H388">
        <v>15</v>
      </c>
      <c r="I388" s="4">
        <v>656550</v>
      </c>
      <c r="J388" s="4">
        <v>270900</v>
      </c>
    </row>
    <row r="389" spans="2:10" x14ac:dyDescent="0.3">
      <c r="B389" s="7">
        <v>44256</v>
      </c>
      <c r="C389" s="3">
        <f t="shared" si="12"/>
        <v>2021</v>
      </c>
      <c r="D389" s="3">
        <f t="shared" si="13"/>
        <v>202103</v>
      </c>
      <c r="E389" s="5" t="s">
        <v>2</v>
      </c>
      <c r="F389" s="5" t="s">
        <v>10</v>
      </c>
      <c r="G389" s="5" t="s">
        <v>30</v>
      </c>
      <c r="H389">
        <v>12</v>
      </c>
      <c r="I389" s="4">
        <v>516312</v>
      </c>
      <c r="J389" s="4">
        <v>216720</v>
      </c>
    </row>
    <row r="390" spans="2:10" x14ac:dyDescent="0.3">
      <c r="B390" s="7">
        <v>44287</v>
      </c>
      <c r="C390" s="3">
        <f t="shared" si="12"/>
        <v>2021</v>
      </c>
      <c r="D390" s="3">
        <f t="shared" si="13"/>
        <v>202104</v>
      </c>
      <c r="E390" s="5" t="s">
        <v>2</v>
      </c>
      <c r="F390" s="5" t="s">
        <v>10</v>
      </c>
      <c r="G390" s="5" t="s">
        <v>30</v>
      </c>
      <c r="H390">
        <v>22</v>
      </c>
      <c r="I390" s="4">
        <v>953964</v>
      </c>
      <c r="J390" s="4">
        <v>397320</v>
      </c>
    </row>
    <row r="391" spans="2:10" x14ac:dyDescent="0.3">
      <c r="B391" s="7">
        <v>44317</v>
      </c>
      <c r="C391" s="3">
        <f t="shared" si="12"/>
        <v>2021</v>
      </c>
      <c r="D391" s="3">
        <f t="shared" si="13"/>
        <v>202105</v>
      </c>
      <c r="E391" s="5" t="s">
        <v>2</v>
      </c>
      <c r="F391" s="5" t="s">
        <v>10</v>
      </c>
      <c r="G391" s="5" t="s">
        <v>30</v>
      </c>
      <c r="H391">
        <v>28</v>
      </c>
      <c r="I391" s="4">
        <v>1219568</v>
      </c>
      <c r="J391" s="4">
        <v>505680</v>
      </c>
    </row>
    <row r="392" spans="2:10" x14ac:dyDescent="0.3">
      <c r="B392" s="7">
        <v>44348</v>
      </c>
      <c r="C392" s="3">
        <f t="shared" si="12"/>
        <v>2021</v>
      </c>
      <c r="D392" s="3">
        <f t="shared" si="13"/>
        <v>202106</v>
      </c>
      <c r="E392" s="5" t="s">
        <v>2</v>
      </c>
      <c r="F392" s="5" t="s">
        <v>10</v>
      </c>
      <c r="G392" s="5" t="s">
        <v>30</v>
      </c>
      <c r="H392">
        <v>26</v>
      </c>
      <c r="I392" s="4">
        <v>1124474</v>
      </c>
      <c r="J392" s="4">
        <v>469560</v>
      </c>
    </row>
    <row r="393" spans="2:10" x14ac:dyDescent="0.3">
      <c r="B393" s="7">
        <v>44378</v>
      </c>
      <c r="C393" s="3">
        <f t="shared" si="12"/>
        <v>2021</v>
      </c>
      <c r="D393" s="3">
        <f t="shared" si="13"/>
        <v>202107</v>
      </c>
      <c r="E393" s="5" t="s">
        <v>2</v>
      </c>
      <c r="F393" s="5" t="s">
        <v>10</v>
      </c>
      <c r="G393" s="5" t="s">
        <v>30</v>
      </c>
      <c r="H393">
        <v>28</v>
      </c>
      <c r="I393" s="4">
        <v>1173956</v>
      </c>
      <c r="J393" s="4">
        <v>505680</v>
      </c>
    </row>
    <row r="394" spans="2:10" x14ac:dyDescent="0.3">
      <c r="B394" s="7">
        <v>44409</v>
      </c>
      <c r="C394" s="3">
        <f t="shared" si="12"/>
        <v>2021</v>
      </c>
      <c r="D394" s="3">
        <f t="shared" si="13"/>
        <v>202108</v>
      </c>
      <c r="E394" s="5" t="s">
        <v>2</v>
      </c>
      <c r="F394" s="5" t="s">
        <v>10</v>
      </c>
      <c r="G394" s="5" t="s">
        <v>30</v>
      </c>
      <c r="H394">
        <v>24</v>
      </c>
      <c r="I394" s="4">
        <v>1026840</v>
      </c>
      <c r="J394" s="4">
        <v>433440</v>
      </c>
    </row>
    <row r="395" spans="2:10" x14ac:dyDescent="0.3">
      <c r="B395" s="7">
        <v>44440</v>
      </c>
      <c r="C395" s="3">
        <f t="shared" si="12"/>
        <v>2021</v>
      </c>
      <c r="D395" s="3">
        <f t="shared" si="13"/>
        <v>202109</v>
      </c>
      <c r="E395" s="5" t="s">
        <v>2</v>
      </c>
      <c r="F395" s="5" t="s">
        <v>10</v>
      </c>
      <c r="G395" s="5" t="s">
        <v>30</v>
      </c>
      <c r="H395">
        <v>25</v>
      </c>
      <c r="I395" s="4">
        <v>1068900</v>
      </c>
      <c r="J395" s="4">
        <v>451500</v>
      </c>
    </row>
    <row r="396" spans="2:10" x14ac:dyDescent="0.3">
      <c r="B396" s="7">
        <v>44470</v>
      </c>
      <c r="C396" s="3">
        <f t="shared" si="12"/>
        <v>2021</v>
      </c>
      <c r="D396" s="3">
        <f t="shared" si="13"/>
        <v>202110</v>
      </c>
      <c r="E396" s="5" t="s">
        <v>2</v>
      </c>
      <c r="F396" s="5" t="s">
        <v>10</v>
      </c>
      <c r="G396" s="5" t="s">
        <v>30</v>
      </c>
      <c r="H396">
        <v>21</v>
      </c>
      <c r="I396" s="4">
        <v>917721</v>
      </c>
      <c r="J396" s="4">
        <v>379260</v>
      </c>
    </row>
    <row r="397" spans="2:10" x14ac:dyDescent="0.3">
      <c r="B397" s="7">
        <v>44501</v>
      </c>
      <c r="C397" s="3">
        <f t="shared" si="12"/>
        <v>2021</v>
      </c>
      <c r="D397" s="3">
        <f t="shared" si="13"/>
        <v>202111</v>
      </c>
      <c r="E397" s="5" t="s">
        <v>2</v>
      </c>
      <c r="F397" s="5" t="s">
        <v>10</v>
      </c>
      <c r="G397" s="5" t="s">
        <v>30</v>
      </c>
      <c r="H397">
        <v>15</v>
      </c>
      <c r="I397" s="4">
        <v>655605</v>
      </c>
      <c r="J397" s="4">
        <v>270900</v>
      </c>
    </row>
    <row r="398" spans="2:10" x14ac:dyDescent="0.3">
      <c r="B398" s="7">
        <v>44531</v>
      </c>
      <c r="C398" s="3">
        <f t="shared" si="12"/>
        <v>2021</v>
      </c>
      <c r="D398" s="3">
        <f t="shared" si="13"/>
        <v>202112</v>
      </c>
      <c r="E398" s="5" t="s">
        <v>2</v>
      </c>
      <c r="F398" s="5" t="s">
        <v>10</v>
      </c>
      <c r="G398" s="5" t="s">
        <v>30</v>
      </c>
      <c r="H398">
        <v>18</v>
      </c>
      <c r="I398" s="4">
        <v>774864</v>
      </c>
      <c r="J398" s="4">
        <v>325080</v>
      </c>
    </row>
    <row r="399" spans="2:10" x14ac:dyDescent="0.3">
      <c r="B399" s="7">
        <v>44562</v>
      </c>
      <c r="C399" s="3">
        <f t="shared" si="12"/>
        <v>2022</v>
      </c>
      <c r="D399" s="3">
        <f t="shared" si="13"/>
        <v>202201</v>
      </c>
      <c r="E399" s="5" t="s">
        <v>2</v>
      </c>
      <c r="F399" s="5" t="s">
        <v>10</v>
      </c>
      <c r="G399" s="5" t="s">
        <v>30</v>
      </c>
      <c r="H399">
        <v>26</v>
      </c>
      <c r="I399" s="4">
        <v>1123226</v>
      </c>
      <c r="J399" s="4">
        <v>469560</v>
      </c>
    </row>
    <row r="400" spans="2:10" x14ac:dyDescent="0.3">
      <c r="B400" s="7">
        <v>44593</v>
      </c>
      <c r="C400" s="3">
        <f t="shared" si="12"/>
        <v>2022</v>
      </c>
      <c r="D400" s="3">
        <f t="shared" si="13"/>
        <v>202202</v>
      </c>
      <c r="E400" s="5" t="s">
        <v>2</v>
      </c>
      <c r="F400" s="5" t="s">
        <v>10</v>
      </c>
      <c r="G400" s="5" t="s">
        <v>30</v>
      </c>
      <c r="H400">
        <v>16</v>
      </c>
      <c r="I400" s="4">
        <v>690000</v>
      </c>
      <c r="J400" s="4">
        <v>288960</v>
      </c>
    </row>
    <row r="401" spans="2:10" x14ac:dyDescent="0.3">
      <c r="B401" s="7">
        <v>44621</v>
      </c>
      <c r="C401" s="3">
        <f t="shared" si="12"/>
        <v>2022</v>
      </c>
      <c r="D401" s="3">
        <f t="shared" si="13"/>
        <v>202203</v>
      </c>
      <c r="E401" s="5" t="s">
        <v>2</v>
      </c>
      <c r="F401" s="5" t="s">
        <v>10</v>
      </c>
      <c r="G401" s="5" t="s">
        <v>30</v>
      </c>
      <c r="H401">
        <v>13</v>
      </c>
      <c r="I401" s="4">
        <v>555724</v>
      </c>
      <c r="J401" s="4">
        <v>234780</v>
      </c>
    </row>
    <row r="402" spans="2:10" x14ac:dyDescent="0.3">
      <c r="B402" s="7">
        <v>44652</v>
      </c>
      <c r="C402" s="3">
        <f t="shared" si="12"/>
        <v>2022</v>
      </c>
      <c r="D402" s="3">
        <f t="shared" si="13"/>
        <v>202204</v>
      </c>
      <c r="E402" s="5" t="s">
        <v>2</v>
      </c>
      <c r="F402" s="5" t="s">
        <v>10</v>
      </c>
      <c r="G402" s="5" t="s">
        <v>30</v>
      </c>
      <c r="H402">
        <v>24</v>
      </c>
      <c r="I402" s="4">
        <v>1056984</v>
      </c>
      <c r="J402" s="4">
        <v>433440</v>
      </c>
    </row>
    <row r="403" spans="2:10" x14ac:dyDescent="0.3">
      <c r="B403" s="7">
        <v>44682</v>
      </c>
      <c r="C403" s="3">
        <f t="shared" si="12"/>
        <v>2022</v>
      </c>
      <c r="D403" s="3">
        <f t="shared" si="13"/>
        <v>202205</v>
      </c>
      <c r="E403" s="5" t="s">
        <v>2</v>
      </c>
      <c r="F403" s="5" t="s">
        <v>10</v>
      </c>
      <c r="G403" s="5" t="s">
        <v>30</v>
      </c>
      <c r="H403">
        <v>31</v>
      </c>
      <c r="I403" s="4">
        <v>1371750</v>
      </c>
      <c r="J403" s="4">
        <v>559860</v>
      </c>
    </row>
    <row r="404" spans="2:10" x14ac:dyDescent="0.3">
      <c r="B404" s="7">
        <v>44713</v>
      </c>
      <c r="C404" s="3">
        <f t="shared" si="12"/>
        <v>2022</v>
      </c>
      <c r="D404" s="3">
        <f t="shared" si="13"/>
        <v>202206</v>
      </c>
      <c r="E404" s="5" t="s">
        <v>2</v>
      </c>
      <c r="F404" s="5" t="s">
        <v>10</v>
      </c>
      <c r="G404" s="5" t="s">
        <v>30</v>
      </c>
      <c r="H404">
        <v>29</v>
      </c>
      <c r="I404" s="4">
        <v>1248276</v>
      </c>
      <c r="J404" s="4">
        <v>523740</v>
      </c>
    </row>
    <row r="405" spans="2:10" x14ac:dyDescent="0.3">
      <c r="B405" s="7">
        <v>44743</v>
      </c>
      <c r="C405" s="3">
        <f t="shared" si="12"/>
        <v>2022</v>
      </c>
      <c r="D405" s="3">
        <f t="shared" si="13"/>
        <v>202207</v>
      </c>
      <c r="E405" s="5" t="s">
        <v>2</v>
      </c>
      <c r="F405" s="5" t="s">
        <v>10</v>
      </c>
      <c r="G405" s="5" t="s">
        <v>30</v>
      </c>
      <c r="H405">
        <v>31</v>
      </c>
      <c r="I405" s="4">
        <v>1310649</v>
      </c>
      <c r="J405" s="4">
        <v>559860</v>
      </c>
    </row>
    <row r="406" spans="2:10" x14ac:dyDescent="0.3">
      <c r="B406" s="7">
        <v>44774</v>
      </c>
      <c r="C406" s="3">
        <f t="shared" si="12"/>
        <v>2022</v>
      </c>
      <c r="D406" s="3">
        <f t="shared" si="13"/>
        <v>202208</v>
      </c>
      <c r="E406" s="5" t="s">
        <v>2</v>
      </c>
      <c r="F406" s="5" t="s">
        <v>10</v>
      </c>
      <c r="G406" s="5" t="s">
        <v>30</v>
      </c>
      <c r="H406">
        <v>26</v>
      </c>
      <c r="I406" s="4">
        <v>1107886</v>
      </c>
      <c r="J406" s="4">
        <v>469560</v>
      </c>
    </row>
    <row r="407" spans="2:10" x14ac:dyDescent="0.3">
      <c r="B407" s="7">
        <v>44805</v>
      </c>
      <c r="C407" s="3">
        <f t="shared" si="12"/>
        <v>2022</v>
      </c>
      <c r="D407" s="3">
        <f t="shared" si="13"/>
        <v>202209</v>
      </c>
      <c r="E407" s="5" t="s">
        <v>2</v>
      </c>
      <c r="F407" s="5" t="s">
        <v>10</v>
      </c>
      <c r="G407" s="5" t="s">
        <v>30</v>
      </c>
      <c r="H407">
        <v>27</v>
      </c>
      <c r="I407" s="4">
        <v>1167939</v>
      </c>
      <c r="J407" s="4">
        <v>487620</v>
      </c>
    </row>
    <row r="408" spans="2:10" x14ac:dyDescent="0.3">
      <c r="B408" s="7">
        <v>44835</v>
      </c>
      <c r="C408" s="3">
        <f t="shared" si="12"/>
        <v>2022</v>
      </c>
      <c r="D408" s="3">
        <f t="shared" si="13"/>
        <v>202210</v>
      </c>
      <c r="E408" s="5" t="s">
        <v>2</v>
      </c>
      <c r="F408" s="5" t="s">
        <v>10</v>
      </c>
      <c r="G408" s="5" t="s">
        <v>30</v>
      </c>
      <c r="H408">
        <v>23</v>
      </c>
      <c r="I408" s="4">
        <v>990610</v>
      </c>
      <c r="J408" s="4">
        <v>415380</v>
      </c>
    </row>
    <row r="409" spans="2:10" x14ac:dyDescent="0.3">
      <c r="B409" s="7">
        <v>44866</v>
      </c>
      <c r="C409" s="3">
        <f t="shared" si="12"/>
        <v>2022</v>
      </c>
      <c r="D409" s="3">
        <f t="shared" si="13"/>
        <v>202211</v>
      </c>
      <c r="E409" s="5" t="s">
        <v>2</v>
      </c>
      <c r="F409" s="5" t="s">
        <v>10</v>
      </c>
      <c r="G409" s="5" t="s">
        <v>30</v>
      </c>
      <c r="H409">
        <v>16</v>
      </c>
      <c r="I409" s="4">
        <v>691552</v>
      </c>
      <c r="J409" s="4">
        <v>288960</v>
      </c>
    </row>
    <row r="410" spans="2:10" x14ac:dyDescent="0.3">
      <c r="B410" s="7">
        <v>44896</v>
      </c>
      <c r="C410" s="3">
        <f t="shared" si="12"/>
        <v>2022</v>
      </c>
      <c r="D410" s="3">
        <f t="shared" si="13"/>
        <v>202212</v>
      </c>
      <c r="E410" s="5" t="s">
        <v>2</v>
      </c>
      <c r="F410" s="5" t="s">
        <v>10</v>
      </c>
      <c r="G410" s="5" t="s">
        <v>30</v>
      </c>
      <c r="H410">
        <v>20</v>
      </c>
      <c r="I410" s="4">
        <v>855180</v>
      </c>
      <c r="J410" s="4">
        <v>361200</v>
      </c>
    </row>
    <row r="411" spans="2:10" x14ac:dyDescent="0.3">
      <c r="B411" s="7">
        <v>44197</v>
      </c>
      <c r="C411" s="3">
        <f t="shared" si="12"/>
        <v>2021</v>
      </c>
      <c r="D411" s="3">
        <f t="shared" si="13"/>
        <v>202101</v>
      </c>
      <c r="E411" s="5" t="s">
        <v>2</v>
      </c>
      <c r="F411" s="5" t="s">
        <v>10</v>
      </c>
      <c r="G411" s="5" t="s">
        <v>31</v>
      </c>
      <c r="H411">
        <v>21</v>
      </c>
      <c r="I411" s="4">
        <v>616287</v>
      </c>
      <c r="J411" s="4">
        <v>235200</v>
      </c>
    </row>
    <row r="412" spans="2:10" x14ac:dyDescent="0.3">
      <c r="B412" s="7">
        <v>44228</v>
      </c>
      <c r="C412" s="3">
        <f t="shared" si="12"/>
        <v>2021</v>
      </c>
      <c r="D412" s="3">
        <f t="shared" si="13"/>
        <v>202102</v>
      </c>
      <c r="E412" s="5" t="s">
        <v>2</v>
      </c>
      <c r="F412" s="5" t="s">
        <v>10</v>
      </c>
      <c r="G412" s="5" t="s">
        <v>31</v>
      </c>
      <c r="H412">
        <v>14</v>
      </c>
      <c r="I412" s="4">
        <v>407288</v>
      </c>
      <c r="J412" s="4">
        <v>156800</v>
      </c>
    </row>
    <row r="413" spans="2:10" x14ac:dyDescent="0.3">
      <c r="B413" s="7">
        <v>44256</v>
      </c>
      <c r="C413" s="3">
        <f t="shared" si="12"/>
        <v>2021</v>
      </c>
      <c r="D413" s="3">
        <f t="shared" si="13"/>
        <v>202103</v>
      </c>
      <c r="E413" s="5" t="s">
        <v>2</v>
      </c>
      <c r="F413" s="5" t="s">
        <v>10</v>
      </c>
      <c r="G413" s="5" t="s">
        <v>31</v>
      </c>
      <c r="H413">
        <v>11</v>
      </c>
      <c r="I413" s="4">
        <v>318527</v>
      </c>
      <c r="J413" s="4">
        <v>123200</v>
      </c>
    </row>
    <row r="414" spans="2:10" x14ac:dyDescent="0.3">
      <c r="B414" s="7">
        <v>44287</v>
      </c>
      <c r="C414" s="3">
        <f t="shared" si="12"/>
        <v>2021</v>
      </c>
      <c r="D414" s="3">
        <f t="shared" si="13"/>
        <v>202104</v>
      </c>
      <c r="E414" s="5" t="s">
        <v>2</v>
      </c>
      <c r="F414" s="5" t="s">
        <v>10</v>
      </c>
      <c r="G414" s="5" t="s">
        <v>31</v>
      </c>
      <c r="H414">
        <v>20</v>
      </c>
      <c r="I414" s="4">
        <v>595880</v>
      </c>
      <c r="J414" s="4">
        <v>224000</v>
      </c>
    </row>
    <row r="415" spans="2:10" x14ac:dyDescent="0.3">
      <c r="B415" s="7">
        <v>44317</v>
      </c>
      <c r="C415" s="3">
        <f t="shared" si="12"/>
        <v>2021</v>
      </c>
      <c r="D415" s="3">
        <f t="shared" si="13"/>
        <v>202105</v>
      </c>
      <c r="E415" s="5" t="s">
        <v>2</v>
      </c>
      <c r="F415" s="5" t="s">
        <v>10</v>
      </c>
      <c r="G415" s="5" t="s">
        <v>31</v>
      </c>
      <c r="H415">
        <v>25</v>
      </c>
      <c r="I415" s="4">
        <v>756800</v>
      </c>
      <c r="J415" s="4">
        <v>280000</v>
      </c>
    </row>
    <row r="416" spans="2:10" x14ac:dyDescent="0.3">
      <c r="B416" s="7">
        <v>44348</v>
      </c>
      <c r="C416" s="3">
        <f t="shared" si="12"/>
        <v>2021</v>
      </c>
      <c r="D416" s="3">
        <f t="shared" si="13"/>
        <v>202106</v>
      </c>
      <c r="E416" s="5" t="s">
        <v>2</v>
      </c>
      <c r="F416" s="5" t="s">
        <v>10</v>
      </c>
      <c r="G416" s="5" t="s">
        <v>31</v>
      </c>
      <c r="H416">
        <v>24</v>
      </c>
      <c r="I416" s="4">
        <v>695184</v>
      </c>
      <c r="J416" s="4">
        <v>268800</v>
      </c>
    </row>
    <row r="417" spans="2:10" x14ac:dyDescent="0.3">
      <c r="B417" s="7">
        <v>44378</v>
      </c>
      <c r="C417" s="3">
        <f t="shared" si="12"/>
        <v>2021</v>
      </c>
      <c r="D417" s="3">
        <f t="shared" si="13"/>
        <v>202107</v>
      </c>
      <c r="E417" s="5" t="s">
        <v>2</v>
      </c>
      <c r="F417" s="5" t="s">
        <v>10</v>
      </c>
      <c r="G417" s="5" t="s">
        <v>31</v>
      </c>
      <c r="H417">
        <v>25</v>
      </c>
      <c r="I417" s="4">
        <v>697950</v>
      </c>
      <c r="J417" s="4">
        <v>280000</v>
      </c>
    </row>
    <row r="418" spans="2:10" x14ac:dyDescent="0.3">
      <c r="B418" s="7">
        <v>44409</v>
      </c>
      <c r="C418" s="3">
        <f t="shared" si="12"/>
        <v>2021</v>
      </c>
      <c r="D418" s="3">
        <f t="shared" si="13"/>
        <v>202108</v>
      </c>
      <c r="E418" s="5" t="s">
        <v>2</v>
      </c>
      <c r="F418" s="5" t="s">
        <v>10</v>
      </c>
      <c r="G418" s="5" t="s">
        <v>31</v>
      </c>
      <c r="H418">
        <v>21</v>
      </c>
      <c r="I418" s="4">
        <v>597219</v>
      </c>
      <c r="J418" s="4">
        <v>235200</v>
      </c>
    </row>
    <row r="419" spans="2:10" x14ac:dyDescent="0.3">
      <c r="B419" s="7">
        <v>44440</v>
      </c>
      <c r="C419" s="3">
        <f t="shared" si="12"/>
        <v>2021</v>
      </c>
      <c r="D419" s="3">
        <f t="shared" si="13"/>
        <v>202109</v>
      </c>
      <c r="E419" s="5" t="s">
        <v>2</v>
      </c>
      <c r="F419" s="5" t="s">
        <v>10</v>
      </c>
      <c r="G419" s="5" t="s">
        <v>31</v>
      </c>
      <c r="H419">
        <v>23</v>
      </c>
      <c r="I419" s="4">
        <v>658214</v>
      </c>
      <c r="J419" s="4">
        <v>257600</v>
      </c>
    </row>
    <row r="420" spans="2:10" x14ac:dyDescent="0.3">
      <c r="B420" s="7">
        <v>44470</v>
      </c>
      <c r="C420" s="3">
        <f t="shared" si="12"/>
        <v>2021</v>
      </c>
      <c r="D420" s="3">
        <f t="shared" si="13"/>
        <v>202110</v>
      </c>
      <c r="E420" s="5" t="s">
        <v>2</v>
      </c>
      <c r="F420" s="5" t="s">
        <v>10</v>
      </c>
      <c r="G420" s="5" t="s">
        <v>31</v>
      </c>
      <c r="H420">
        <v>19</v>
      </c>
      <c r="I420" s="4">
        <v>550221</v>
      </c>
      <c r="J420" s="4">
        <v>212800</v>
      </c>
    </row>
    <row r="421" spans="2:10" x14ac:dyDescent="0.3">
      <c r="B421" s="7">
        <v>44501</v>
      </c>
      <c r="C421" s="3">
        <f t="shared" si="12"/>
        <v>2021</v>
      </c>
      <c r="D421" s="3">
        <f t="shared" si="13"/>
        <v>202111</v>
      </c>
      <c r="E421" s="5" t="s">
        <v>2</v>
      </c>
      <c r="F421" s="5" t="s">
        <v>10</v>
      </c>
      <c r="G421" s="5" t="s">
        <v>31</v>
      </c>
      <c r="H421">
        <v>14</v>
      </c>
      <c r="I421" s="4">
        <v>412314</v>
      </c>
      <c r="J421" s="4">
        <v>156800</v>
      </c>
    </row>
    <row r="422" spans="2:10" x14ac:dyDescent="0.3">
      <c r="B422" s="7">
        <v>44531</v>
      </c>
      <c r="C422" s="3">
        <f t="shared" si="12"/>
        <v>2021</v>
      </c>
      <c r="D422" s="3">
        <f t="shared" si="13"/>
        <v>202112</v>
      </c>
      <c r="E422" s="5" t="s">
        <v>2</v>
      </c>
      <c r="F422" s="5" t="s">
        <v>10</v>
      </c>
      <c r="G422" s="5" t="s">
        <v>31</v>
      </c>
      <c r="H422">
        <v>16</v>
      </c>
      <c r="I422" s="4">
        <v>469024</v>
      </c>
      <c r="J422" s="4">
        <v>179200</v>
      </c>
    </row>
    <row r="423" spans="2:10" x14ac:dyDescent="0.3">
      <c r="B423" s="7">
        <v>44562</v>
      </c>
      <c r="C423" s="3">
        <f t="shared" si="12"/>
        <v>2022</v>
      </c>
      <c r="D423" s="3">
        <f t="shared" si="13"/>
        <v>202201</v>
      </c>
      <c r="E423" s="5" t="s">
        <v>2</v>
      </c>
      <c r="F423" s="5" t="s">
        <v>10</v>
      </c>
      <c r="G423" s="5" t="s">
        <v>31</v>
      </c>
      <c r="H423">
        <v>23</v>
      </c>
      <c r="I423" s="4">
        <v>668725</v>
      </c>
      <c r="J423" s="4">
        <v>257600</v>
      </c>
    </row>
    <row r="424" spans="2:10" x14ac:dyDescent="0.3">
      <c r="B424" s="7">
        <v>44593</v>
      </c>
      <c r="C424" s="3">
        <f t="shared" si="12"/>
        <v>2022</v>
      </c>
      <c r="D424" s="3">
        <f t="shared" si="13"/>
        <v>202202</v>
      </c>
      <c r="E424" s="5" t="s">
        <v>2</v>
      </c>
      <c r="F424" s="5" t="s">
        <v>10</v>
      </c>
      <c r="G424" s="5" t="s">
        <v>31</v>
      </c>
      <c r="H424">
        <v>15</v>
      </c>
      <c r="I424" s="4">
        <v>435435</v>
      </c>
      <c r="J424" s="4">
        <v>168000</v>
      </c>
    </row>
    <row r="425" spans="2:10" x14ac:dyDescent="0.3">
      <c r="B425" s="7">
        <v>44621</v>
      </c>
      <c r="C425" s="3">
        <f t="shared" si="12"/>
        <v>2022</v>
      </c>
      <c r="D425" s="3">
        <f t="shared" si="13"/>
        <v>202203</v>
      </c>
      <c r="E425" s="5" t="s">
        <v>2</v>
      </c>
      <c r="F425" s="5" t="s">
        <v>10</v>
      </c>
      <c r="G425" s="5" t="s">
        <v>31</v>
      </c>
      <c r="H425">
        <v>12</v>
      </c>
      <c r="I425" s="4">
        <v>347760</v>
      </c>
      <c r="J425" s="4">
        <v>134400</v>
      </c>
    </row>
    <row r="426" spans="2:10" x14ac:dyDescent="0.3">
      <c r="B426" s="7">
        <v>44652</v>
      </c>
      <c r="C426" s="3">
        <f t="shared" si="12"/>
        <v>2022</v>
      </c>
      <c r="D426" s="3">
        <f t="shared" si="13"/>
        <v>202204</v>
      </c>
      <c r="E426" s="5" t="s">
        <v>2</v>
      </c>
      <c r="F426" s="5" t="s">
        <v>10</v>
      </c>
      <c r="G426" s="5" t="s">
        <v>31</v>
      </c>
      <c r="H426">
        <v>22</v>
      </c>
      <c r="I426" s="4">
        <v>662310</v>
      </c>
      <c r="J426" s="4">
        <v>246400</v>
      </c>
    </row>
    <row r="427" spans="2:10" x14ac:dyDescent="0.3">
      <c r="B427" s="7">
        <v>44682</v>
      </c>
      <c r="C427" s="3">
        <f t="shared" si="12"/>
        <v>2022</v>
      </c>
      <c r="D427" s="3">
        <f t="shared" si="13"/>
        <v>202205</v>
      </c>
      <c r="E427" s="5" t="s">
        <v>2</v>
      </c>
      <c r="F427" s="5" t="s">
        <v>10</v>
      </c>
      <c r="G427" s="5" t="s">
        <v>31</v>
      </c>
      <c r="H427">
        <v>28</v>
      </c>
      <c r="I427" s="4">
        <v>837172</v>
      </c>
      <c r="J427" s="4">
        <v>313600</v>
      </c>
    </row>
    <row r="428" spans="2:10" x14ac:dyDescent="0.3">
      <c r="B428" s="7">
        <v>44713</v>
      </c>
      <c r="C428" s="3">
        <f t="shared" si="12"/>
        <v>2022</v>
      </c>
      <c r="D428" s="3">
        <f t="shared" si="13"/>
        <v>202206</v>
      </c>
      <c r="E428" s="5" t="s">
        <v>2</v>
      </c>
      <c r="F428" s="5" t="s">
        <v>10</v>
      </c>
      <c r="G428" s="5" t="s">
        <v>31</v>
      </c>
      <c r="H428">
        <v>26</v>
      </c>
      <c r="I428" s="4">
        <v>755352</v>
      </c>
      <c r="J428" s="4">
        <v>291200</v>
      </c>
    </row>
    <row r="429" spans="2:10" x14ac:dyDescent="0.3">
      <c r="B429" s="7">
        <v>44743</v>
      </c>
      <c r="C429" s="3">
        <f t="shared" si="12"/>
        <v>2022</v>
      </c>
      <c r="D429" s="3">
        <f t="shared" si="13"/>
        <v>202207</v>
      </c>
      <c r="E429" s="5" t="s">
        <v>2</v>
      </c>
      <c r="F429" s="5" t="s">
        <v>10</v>
      </c>
      <c r="G429" s="5" t="s">
        <v>31</v>
      </c>
      <c r="H429">
        <v>28</v>
      </c>
      <c r="I429" s="4">
        <v>775292</v>
      </c>
      <c r="J429" s="4">
        <v>313600</v>
      </c>
    </row>
    <row r="430" spans="2:10" x14ac:dyDescent="0.3">
      <c r="B430" s="7">
        <v>44774</v>
      </c>
      <c r="C430" s="3">
        <f t="shared" si="12"/>
        <v>2022</v>
      </c>
      <c r="D430" s="3">
        <f t="shared" si="13"/>
        <v>202208</v>
      </c>
      <c r="E430" s="5" t="s">
        <v>2</v>
      </c>
      <c r="F430" s="5" t="s">
        <v>10</v>
      </c>
      <c r="G430" s="5" t="s">
        <v>31</v>
      </c>
      <c r="H430">
        <v>23</v>
      </c>
      <c r="I430" s="4">
        <v>661894</v>
      </c>
      <c r="J430" s="4">
        <v>257600</v>
      </c>
    </row>
    <row r="431" spans="2:10" x14ac:dyDescent="0.3">
      <c r="B431" s="7">
        <v>44805</v>
      </c>
      <c r="C431" s="3">
        <f t="shared" si="12"/>
        <v>2022</v>
      </c>
      <c r="D431" s="3">
        <f t="shared" si="13"/>
        <v>202209</v>
      </c>
      <c r="E431" s="5" t="s">
        <v>2</v>
      </c>
      <c r="F431" s="5" t="s">
        <v>10</v>
      </c>
      <c r="G431" s="5" t="s">
        <v>31</v>
      </c>
      <c r="H431">
        <v>25</v>
      </c>
      <c r="I431" s="4">
        <v>729650</v>
      </c>
      <c r="J431" s="4">
        <v>280000</v>
      </c>
    </row>
    <row r="432" spans="2:10" x14ac:dyDescent="0.3">
      <c r="B432" s="7">
        <v>44835</v>
      </c>
      <c r="C432" s="3">
        <f t="shared" si="12"/>
        <v>2022</v>
      </c>
      <c r="D432" s="3">
        <f t="shared" si="13"/>
        <v>202210</v>
      </c>
      <c r="E432" s="5" t="s">
        <v>2</v>
      </c>
      <c r="F432" s="5" t="s">
        <v>10</v>
      </c>
      <c r="G432" s="5" t="s">
        <v>31</v>
      </c>
      <c r="H432">
        <v>21</v>
      </c>
      <c r="I432" s="4">
        <v>617421</v>
      </c>
      <c r="J432" s="4">
        <v>235200</v>
      </c>
    </row>
    <row r="433" spans="2:10" x14ac:dyDescent="0.3">
      <c r="B433" s="7">
        <v>44866</v>
      </c>
      <c r="C433" s="3">
        <f t="shared" si="12"/>
        <v>2022</v>
      </c>
      <c r="D433" s="3">
        <f t="shared" si="13"/>
        <v>202211</v>
      </c>
      <c r="E433" s="5" t="s">
        <v>2</v>
      </c>
      <c r="F433" s="5" t="s">
        <v>10</v>
      </c>
      <c r="G433" s="5" t="s">
        <v>31</v>
      </c>
      <c r="H433">
        <v>15</v>
      </c>
      <c r="I433" s="4">
        <v>440730</v>
      </c>
      <c r="J433" s="4">
        <v>168000</v>
      </c>
    </row>
    <row r="434" spans="2:10" x14ac:dyDescent="0.3">
      <c r="B434" s="7">
        <v>44896</v>
      </c>
      <c r="C434" s="3">
        <f t="shared" si="12"/>
        <v>2022</v>
      </c>
      <c r="D434" s="3">
        <f t="shared" si="13"/>
        <v>202212</v>
      </c>
      <c r="E434" s="5" t="s">
        <v>2</v>
      </c>
      <c r="F434" s="5" t="s">
        <v>10</v>
      </c>
      <c r="G434" s="5" t="s">
        <v>31</v>
      </c>
      <c r="H434">
        <v>18</v>
      </c>
      <c r="I434" s="4">
        <v>504936</v>
      </c>
      <c r="J434" s="4">
        <v>201600</v>
      </c>
    </row>
    <row r="435" spans="2:10" x14ac:dyDescent="0.3">
      <c r="B435" s="7">
        <v>44197</v>
      </c>
      <c r="C435" s="3">
        <f t="shared" si="12"/>
        <v>2021</v>
      </c>
      <c r="D435" s="3">
        <f t="shared" si="13"/>
        <v>202101</v>
      </c>
      <c r="E435" s="5" t="s">
        <v>2</v>
      </c>
      <c r="F435" s="5" t="s">
        <v>10</v>
      </c>
      <c r="G435" s="5" t="s">
        <v>32</v>
      </c>
      <c r="H435">
        <v>27</v>
      </c>
      <c r="I435" s="4">
        <v>1250424</v>
      </c>
      <c r="J435" s="4">
        <v>680400.00000000012</v>
      </c>
    </row>
    <row r="436" spans="2:10" x14ac:dyDescent="0.3">
      <c r="B436" s="7">
        <v>44228</v>
      </c>
      <c r="C436" s="3">
        <f t="shared" si="12"/>
        <v>2021</v>
      </c>
      <c r="D436" s="3">
        <f t="shared" si="13"/>
        <v>202102</v>
      </c>
      <c r="E436" s="5" t="s">
        <v>2</v>
      </c>
      <c r="F436" s="5" t="s">
        <v>10</v>
      </c>
      <c r="G436" s="5" t="s">
        <v>32</v>
      </c>
      <c r="H436">
        <v>17</v>
      </c>
      <c r="I436" s="4">
        <v>791350</v>
      </c>
      <c r="J436" s="4">
        <v>428400.00000000006</v>
      </c>
    </row>
    <row r="437" spans="2:10" x14ac:dyDescent="0.3">
      <c r="B437" s="7">
        <v>44256</v>
      </c>
      <c r="C437" s="3">
        <f t="shared" si="12"/>
        <v>2021</v>
      </c>
      <c r="D437" s="3">
        <f t="shared" si="13"/>
        <v>202103</v>
      </c>
      <c r="E437" s="5" t="s">
        <v>2</v>
      </c>
      <c r="F437" s="5" t="s">
        <v>10</v>
      </c>
      <c r="G437" s="5" t="s">
        <v>32</v>
      </c>
      <c r="H437">
        <v>14</v>
      </c>
      <c r="I437" s="4">
        <v>641466</v>
      </c>
      <c r="J437" s="4">
        <v>352800.00000000006</v>
      </c>
    </row>
    <row r="438" spans="2:10" x14ac:dyDescent="0.3">
      <c r="B438" s="7">
        <v>44287</v>
      </c>
      <c r="C438" s="3">
        <f t="shared" si="12"/>
        <v>2021</v>
      </c>
      <c r="D438" s="3">
        <f t="shared" si="13"/>
        <v>202104</v>
      </c>
      <c r="E438" s="5" t="s">
        <v>2</v>
      </c>
      <c r="F438" s="5" t="s">
        <v>10</v>
      </c>
      <c r="G438" s="5" t="s">
        <v>32</v>
      </c>
      <c r="H438">
        <v>25</v>
      </c>
      <c r="I438" s="4">
        <v>1170150</v>
      </c>
      <c r="J438" s="4">
        <v>630000.00000000012</v>
      </c>
    </row>
    <row r="439" spans="2:10" x14ac:dyDescent="0.3">
      <c r="B439" s="7">
        <v>44317</v>
      </c>
      <c r="C439" s="3">
        <f t="shared" si="12"/>
        <v>2021</v>
      </c>
      <c r="D439" s="3">
        <f t="shared" si="13"/>
        <v>202105</v>
      </c>
      <c r="E439" s="5" t="s">
        <v>2</v>
      </c>
      <c r="F439" s="5" t="s">
        <v>10</v>
      </c>
      <c r="G439" s="5" t="s">
        <v>32</v>
      </c>
      <c r="H439">
        <v>32</v>
      </c>
      <c r="I439" s="4">
        <v>1505568</v>
      </c>
      <c r="J439" s="4">
        <v>806400.00000000012</v>
      </c>
    </row>
    <row r="440" spans="2:10" x14ac:dyDescent="0.3">
      <c r="B440" s="7">
        <v>44348</v>
      </c>
      <c r="C440" s="3">
        <f t="shared" si="12"/>
        <v>2021</v>
      </c>
      <c r="D440" s="3">
        <f t="shared" si="13"/>
        <v>202106</v>
      </c>
      <c r="E440" s="5" t="s">
        <v>2</v>
      </c>
      <c r="F440" s="5" t="s">
        <v>10</v>
      </c>
      <c r="G440" s="5" t="s">
        <v>32</v>
      </c>
      <c r="H440">
        <v>30</v>
      </c>
      <c r="I440" s="4">
        <v>1381290</v>
      </c>
      <c r="J440" s="4">
        <v>756000.00000000012</v>
      </c>
    </row>
    <row r="441" spans="2:10" x14ac:dyDescent="0.3">
      <c r="B441" s="7">
        <v>44378</v>
      </c>
      <c r="C441" s="3">
        <f t="shared" si="12"/>
        <v>2021</v>
      </c>
      <c r="D441" s="3">
        <f t="shared" si="13"/>
        <v>202107</v>
      </c>
      <c r="E441" s="5" t="s">
        <v>2</v>
      </c>
      <c r="F441" s="5" t="s">
        <v>10</v>
      </c>
      <c r="G441" s="5" t="s">
        <v>32</v>
      </c>
      <c r="H441">
        <v>32</v>
      </c>
      <c r="I441" s="4">
        <v>1418464</v>
      </c>
      <c r="J441" s="4">
        <v>806400.00000000012</v>
      </c>
    </row>
    <row r="442" spans="2:10" x14ac:dyDescent="0.3">
      <c r="B442" s="7">
        <v>44409</v>
      </c>
      <c r="C442" s="3">
        <f t="shared" si="12"/>
        <v>2021</v>
      </c>
      <c r="D442" s="3">
        <f t="shared" si="13"/>
        <v>202108</v>
      </c>
      <c r="E442" s="5" t="s">
        <v>2</v>
      </c>
      <c r="F442" s="5" t="s">
        <v>10</v>
      </c>
      <c r="G442" s="5" t="s">
        <v>32</v>
      </c>
      <c r="H442">
        <v>27</v>
      </c>
      <c r="I442" s="4">
        <v>1233927</v>
      </c>
      <c r="J442" s="4">
        <v>680400.00000000012</v>
      </c>
    </row>
    <row r="443" spans="2:10" x14ac:dyDescent="0.3">
      <c r="B443" s="7">
        <v>44440</v>
      </c>
      <c r="C443" s="3">
        <f t="shared" si="12"/>
        <v>2021</v>
      </c>
      <c r="D443" s="3">
        <f t="shared" si="13"/>
        <v>202109</v>
      </c>
      <c r="E443" s="5" t="s">
        <v>2</v>
      </c>
      <c r="F443" s="5" t="s">
        <v>10</v>
      </c>
      <c r="G443" s="5" t="s">
        <v>32</v>
      </c>
      <c r="H443">
        <v>29</v>
      </c>
      <c r="I443" s="4">
        <v>1322458</v>
      </c>
      <c r="J443" s="4">
        <v>730800.00000000012</v>
      </c>
    </row>
    <row r="444" spans="2:10" x14ac:dyDescent="0.3">
      <c r="B444" s="7">
        <v>44470</v>
      </c>
      <c r="C444" s="3">
        <f t="shared" si="12"/>
        <v>2021</v>
      </c>
      <c r="D444" s="3">
        <f t="shared" si="13"/>
        <v>202110</v>
      </c>
      <c r="E444" s="5" t="s">
        <v>2</v>
      </c>
      <c r="F444" s="5" t="s">
        <v>10</v>
      </c>
      <c r="G444" s="5" t="s">
        <v>32</v>
      </c>
      <c r="H444">
        <v>24</v>
      </c>
      <c r="I444" s="4">
        <v>1119144</v>
      </c>
      <c r="J444" s="4">
        <v>604800.00000000012</v>
      </c>
    </row>
    <row r="445" spans="2:10" x14ac:dyDescent="0.3">
      <c r="B445" s="7">
        <v>44501</v>
      </c>
      <c r="C445" s="3">
        <f t="shared" si="12"/>
        <v>2021</v>
      </c>
      <c r="D445" s="3">
        <f t="shared" si="13"/>
        <v>202111</v>
      </c>
      <c r="E445" s="5" t="s">
        <v>2</v>
      </c>
      <c r="F445" s="5" t="s">
        <v>10</v>
      </c>
      <c r="G445" s="5" t="s">
        <v>32</v>
      </c>
      <c r="H445">
        <v>17</v>
      </c>
      <c r="I445" s="4">
        <v>791367</v>
      </c>
      <c r="J445" s="4">
        <v>428400.00000000006</v>
      </c>
    </row>
    <row r="446" spans="2:10" x14ac:dyDescent="0.3">
      <c r="B446" s="7">
        <v>44531</v>
      </c>
      <c r="C446" s="3">
        <f t="shared" si="12"/>
        <v>2021</v>
      </c>
      <c r="D446" s="3">
        <f t="shared" si="13"/>
        <v>202112</v>
      </c>
      <c r="E446" s="5" t="s">
        <v>2</v>
      </c>
      <c r="F446" s="5" t="s">
        <v>10</v>
      </c>
      <c r="G446" s="5" t="s">
        <v>32</v>
      </c>
      <c r="H446">
        <v>20</v>
      </c>
      <c r="I446" s="4">
        <v>909260</v>
      </c>
      <c r="J446" s="4">
        <v>504000.00000000006</v>
      </c>
    </row>
    <row r="447" spans="2:10" x14ac:dyDescent="0.3">
      <c r="B447" s="7">
        <v>44562</v>
      </c>
      <c r="C447" s="3">
        <f t="shared" si="12"/>
        <v>2022</v>
      </c>
      <c r="D447" s="3">
        <f t="shared" si="13"/>
        <v>202201</v>
      </c>
      <c r="E447" s="5" t="s">
        <v>2</v>
      </c>
      <c r="F447" s="5" t="s">
        <v>10</v>
      </c>
      <c r="G447" s="5" t="s">
        <v>32</v>
      </c>
      <c r="H447">
        <v>30</v>
      </c>
      <c r="I447" s="4">
        <v>1405110</v>
      </c>
      <c r="J447" s="4">
        <v>756000.00000000012</v>
      </c>
    </row>
    <row r="448" spans="2:10" x14ac:dyDescent="0.3">
      <c r="B448" s="7">
        <v>44593</v>
      </c>
      <c r="C448" s="3">
        <f t="shared" si="12"/>
        <v>2022</v>
      </c>
      <c r="D448" s="3">
        <f t="shared" si="13"/>
        <v>202202</v>
      </c>
      <c r="E448" s="5" t="s">
        <v>2</v>
      </c>
      <c r="F448" s="5" t="s">
        <v>10</v>
      </c>
      <c r="G448" s="5" t="s">
        <v>32</v>
      </c>
      <c r="H448">
        <v>19</v>
      </c>
      <c r="I448" s="4">
        <v>883766</v>
      </c>
      <c r="J448" s="4">
        <v>478800.00000000006</v>
      </c>
    </row>
    <row r="449" spans="2:10" x14ac:dyDescent="0.3">
      <c r="B449" s="7">
        <v>44621</v>
      </c>
      <c r="C449" s="3">
        <f t="shared" si="12"/>
        <v>2022</v>
      </c>
      <c r="D449" s="3">
        <f t="shared" si="13"/>
        <v>202203</v>
      </c>
      <c r="E449" s="5" t="s">
        <v>2</v>
      </c>
      <c r="F449" s="5" t="s">
        <v>10</v>
      </c>
      <c r="G449" s="5" t="s">
        <v>32</v>
      </c>
      <c r="H449">
        <v>15</v>
      </c>
      <c r="I449" s="4">
        <v>684060</v>
      </c>
      <c r="J449" s="4">
        <v>378000.00000000006</v>
      </c>
    </row>
    <row r="450" spans="2:10" x14ac:dyDescent="0.3">
      <c r="B450" s="7">
        <v>44652</v>
      </c>
      <c r="C450" s="3">
        <f t="shared" si="12"/>
        <v>2022</v>
      </c>
      <c r="D450" s="3">
        <f t="shared" si="13"/>
        <v>202204</v>
      </c>
      <c r="E450" s="5" t="s">
        <v>2</v>
      </c>
      <c r="F450" s="5" t="s">
        <v>10</v>
      </c>
      <c r="G450" s="5" t="s">
        <v>32</v>
      </c>
      <c r="H450">
        <v>28</v>
      </c>
      <c r="I450" s="4">
        <v>1304408</v>
      </c>
      <c r="J450" s="4">
        <v>705600.00000000012</v>
      </c>
    </row>
    <row r="451" spans="2:10" x14ac:dyDescent="0.3">
      <c r="B451" s="7">
        <v>44682</v>
      </c>
      <c r="C451" s="3">
        <f t="shared" ref="C451:C514" si="14">YEAR(B451)</f>
        <v>2022</v>
      </c>
      <c r="D451" s="3">
        <f t="shared" ref="D451:D514" si="15">VALUE(TEXT(B451,"ГГГГММ"))</f>
        <v>202205</v>
      </c>
      <c r="E451" s="5" t="s">
        <v>2</v>
      </c>
      <c r="F451" s="5" t="s">
        <v>10</v>
      </c>
      <c r="G451" s="5" t="s">
        <v>32</v>
      </c>
      <c r="H451">
        <v>35</v>
      </c>
      <c r="I451" s="4">
        <v>1630370</v>
      </c>
      <c r="J451" s="4">
        <v>882000.00000000012</v>
      </c>
    </row>
    <row r="452" spans="2:10" x14ac:dyDescent="0.3">
      <c r="B452" s="7">
        <v>44713</v>
      </c>
      <c r="C452" s="3">
        <f t="shared" si="14"/>
        <v>2022</v>
      </c>
      <c r="D452" s="3">
        <f t="shared" si="15"/>
        <v>202206</v>
      </c>
      <c r="E452" s="5" t="s">
        <v>2</v>
      </c>
      <c r="F452" s="5" t="s">
        <v>10</v>
      </c>
      <c r="G452" s="5" t="s">
        <v>32</v>
      </c>
      <c r="H452">
        <v>33</v>
      </c>
      <c r="I452" s="4">
        <v>1534698</v>
      </c>
      <c r="J452" s="4">
        <v>831600.00000000012</v>
      </c>
    </row>
    <row r="453" spans="2:10" x14ac:dyDescent="0.3">
      <c r="B453" s="7">
        <v>44743</v>
      </c>
      <c r="C453" s="3">
        <f t="shared" si="14"/>
        <v>2022</v>
      </c>
      <c r="D453" s="3">
        <f t="shared" si="15"/>
        <v>202207</v>
      </c>
      <c r="E453" s="5" t="s">
        <v>2</v>
      </c>
      <c r="F453" s="5" t="s">
        <v>10</v>
      </c>
      <c r="G453" s="5" t="s">
        <v>32</v>
      </c>
      <c r="H453">
        <v>35</v>
      </c>
      <c r="I453" s="4">
        <v>1563170</v>
      </c>
      <c r="J453" s="4">
        <v>882000.00000000012</v>
      </c>
    </row>
    <row r="454" spans="2:10" x14ac:dyDescent="0.3">
      <c r="B454" s="7">
        <v>44774</v>
      </c>
      <c r="C454" s="3">
        <f t="shared" si="14"/>
        <v>2022</v>
      </c>
      <c r="D454" s="3">
        <f t="shared" si="15"/>
        <v>202208</v>
      </c>
      <c r="E454" s="5" t="s">
        <v>2</v>
      </c>
      <c r="F454" s="5" t="s">
        <v>10</v>
      </c>
      <c r="G454" s="5" t="s">
        <v>32</v>
      </c>
      <c r="H454">
        <v>30</v>
      </c>
      <c r="I454" s="4">
        <v>1366050</v>
      </c>
      <c r="J454" s="4">
        <v>756000.00000000012</v>
      </c>
    </row>
    <row r="455" spans="2:10" x14ac:dyDescent="0.3">
      <c r="B455" s="7">
        <v>44805</v>
      </c>
      <c r="C455" s="3">
        <f t="shared" si="14"/>
        <v>2022</v>
      </c>
      <c r="D455" s="3">
        <f t="shared" si="15"/>
        <v>202209</v>
      </c>
      <c r="E455" s="5" t="s">
        <v>2</v>
      </c>
      <c r="F455" s="5" t="s">
        <v>10</v>
      </c>
      <c r="G455" s="5" t="s">
        <v>32</v>
      </c>
      <c r="H455">
        <v>31</v>
      </c>
      <c r="I455" s="4">
        <v>1436757</v>
      </c>
      <c r="J455" s="4">
        <v>781200.00000000012</v>
      </c>
    </row>
    <row r="456" spans="2:10" x14ac:dyDescent="0.3">
      <c r="B456" s="7">
        <v>44835</v>
      </c>
      <c r="C456" s="3">
        <f t="shared" si="14"/>
        <v>2022</v>
      </c>
      <c r="D456" s="3">
        <f t="shared" si="15"/>
        <v>202210</v>
      </c>
      <c r="E456" s="5" t="s">
        <v>2</v>
      </c>
      <c r="F456" s="5" t="s">
        <v>10</v>
      </c>
      <c r="G456" s="5" t="s">
        <v>32</v>
      </c>
      <c r="H456">
        <v>26</v>
      </c>
      <c r="I456" s="4">
        <v>1213108</v>
      </c>
      <c r="J456" s="4">
        <v>655200.00000000012</v>
      </c>
    </row>
    <row r="457" spans="2:10" x14ac:dyDescent="0.3">
      <c r="B457" s="7">
        <v>44866</v>
      </c>
      <c r="C457" s="3">
        <f t="shared" si="14"/>
        <v>2022</v>
      </c>
      <c r="D457" s="3">
        <f t="shared" si="15"/>
        <v>202211</v>
      </c>
      <c r="E457" s="5" t="s">
        <v>2</v>
      </c>
      <c r="F457" s="5" t="s">
        <v>10</v>
      </c>
      <c r="G457" s="5" t="s">
        <v>32</v>
      </c>
      <c r="H457">
        <v>19</v>
      </c>
      <c r="I457" s="4">
        <v>873392</v>
      </c>
      <c r="J457" s="4">
        <v>478800.00000000006</v>
      </c>
    </row>
    <row r="458" spans="2:10" x14ac:dyDescent="0.3">
      <c r="B458" s="7">
        <v>44896</v>
      </c>
      <c r="C458" s="3">
        <f t="shared" si="14"/>
        <v>2022</v>
      </c>
      <c r="D458" s="3">
        <f t="shared" si="15"/>
        <v>202212</v>
      </c>
      <c r="E458" s="5" t="s">
        <v>2</v>
      </c>
      <c r="F458" s="5" t="s">
        <v>10</v>
      </c>
      <c r="G458" s="5" t="s">
        <v>32</v>
      </c>
      <c r="H458">
        <v>22</v>
      </c>
      <c r="I458" s="4">
        <v>1002958</v>
      </c>
      <c r="J458" s="4">
        <v>554400.00000000012</v>
      </c>
    </row>
    <row r="459" spans="2:10" x14ac:dyDescent="0.3">
      <c r="B459" s="7">
        <v>44197</v>
      </c>
      <c r="C459" s="3">
        <f t="shared" si="14"/>
        <v>2021</v>
      </c>
      <c r="D459" s="3">
        <f t="shared" si="15"/>
        <v>202101</v>
      </c>
      <c r="E459" s="5" t="s">
        <v>2</v>
      </c>
      <c r="F459" s="5" t="s">
        <v>10</v>
      </c>
      <c r="G459" s="5" t="s">
        <v>33</v>
      </c>
      <c r="H459">
        <v>27</v>
      </c>
      <c r="I459" s="4">
        <v>489969</v>
      </c>
      <c r="J459" s="4">
        <v>257040</v>
      </c>
    </row>
    <row r="460" spans="2:10" x14ac:dyDescent="0.3">
      <c r="B460" s="7">
        <v>44228</v>
      </c>
      <c r="C460" s="3">
        <f t="shared" si="14"/>
        <v>2021</v>
      </c>
      <c r="D460" s="3">
        <f t="shared" si="15"/>
        <v>202102</v>
      </c>
      <c r="E460" s="5" t="s">
        <v>2</v>
      </c>
      <c r="F460" s="5" t="s">
        <v>10</v>
      </c>
      <c r="G460" s="5" t="s">
        <v>33</v>
      </c>
      <c r="H460">
        <v>17</v>
      </c>
      <c r="I460" s="4">
        <v>308550</v>
      </c>
      <c r="J460" s="4">
        <v>161840</v>
      </c>
    </row>
    <row r="461" spans="2:10" x14ac:dyDescent="0.3">
      <c r="B461" s="7">
        <v>44256</v>
      </c>
      <c r="C461" s="3">
        <f t="shared" si="14"/>
        <v>2021</v>
      </c>
      <c r="D461" s="3">
        <f t="shared" si="15"/>
        <v>202103</v>
      </c>
      <c r="E461" s="5" t="s">
        <v>2</v>
      </c>
      <c r="F461" s="5" t="s">
        <v>10</v>
      </c>
      <c r="G461" s="5" t="s">
        <v>33</v>
      </c>
      <c r="H461">
        <v>14</v>
      </c>
      <c r="I461" s="4">
        <v>253652</v>
      </c>
      <c r="J461" s="4">
        <v>133280</v>
      </c>
    </row>
    <row r="462" spans="2:10" x14ac:dyDescent="0.3">
      <c r="B462" s="7">
        <v>44287</v>
      </c>
      <c r="C462" s="3">
        <f t="shared" si="14"/>
        <v>2021</v>
      </c>
      <c r="D462" s="3">
        <f t="shared" si="15"/>
        <v>202104</v>
      </c>
      <c r="E462" s="5" t="s">
        <v>2</v>
      </c>
      <c r="F462" s="5" t="s">
        <v>10</v>
      </c>
      <c r="G462" s="5" t="s">
        <v>33</v>
      </c>
      <c r="H462">
        <v>25</v>
      </c>
      <c r="I462" s="4">
        <v>457325</v>
      </c>
      <c r="J462" s="4">
        <v>238000</v>
      </c>
    </row>
    <row r="463" spans="2:10" x14ac:dyDescent="0.3">
      <c r="B463" s="7">
        <v>44317</v>
      </c>
      <c r="C463" s="3">
        <f t="shared" si="14"/>
        <v>2021</v>
      </c>
      <c r="D463" s="3">
        <f t="shared" si="15"/>
        <v>202105</v>
      </c>
      <c r="E463" s="5" t="s">
        <v>2</v>
      </c>
      <c r="F463" s="5" t="s">
        <v>10</v>
      </c>
      <c r="G463" s="5" t="s">
        <v>33</v>
      </c>
      <c r="H463">
        <v>32</v>
      </c>
      <c r="I463" s="4">
        <v>586240</v>
      </c>
      <c r="J463" s="4">
        <v>304640</v>
      </c>
    </row>
    <row r="464" spans="2:10" x14ac:dyDescent="0.3">
      <c r="B464" s="7">
        <v>44348</v>
      </c>
      <c r="C464" s="3">
        <f t="shared" si="14"/>
        <v>2021</v>
      </c>
      <c r="D464" s="3">
        <f t="shared" si="15"/>
        <v>202106</v>
      </c>
      <c r="E464" s="5" t="s">
        <v>2</v>
      </c>
      <c r="F464" s="5" t="s">
        <v>10</v>
      </c>
      <c r="G464" s="5" t="s">
        <v>33</v>
      </c>
      <c r="H464">
        <v>30</v>
      </c>
      <c r="I464" s="4">
        <v>533100</v>
      </c>
      <c r="J464" s="4">
        <v>285600</v>
      </c>
    </row>
    <row r="465" spans="2:10" x14ac:dyDescent="0.3">
      <c r="B465" s="7">
        <v>44378</v>
      </c>
      <c r="C465" s="3">
        <f t="shared" si="14"/>
        <v>2021</v>
      </c>
      <c r="D465" s="3">
        <f t="shared" si="15"/>
        <v>202107</v>
      </c>
      <c r="E465" s="5" t="s">
        <v>2</v>
      </c>
      <c r="F465" s="5" t="s">
        <v>10</v>
      </c>
      <c r="G465" s="5" t="s">
        <v>33</v>
      </c>
      <c r="H465">
        <v>32</v>
      </c>
      <c r="I465" s="4">
        <v>538656</v>
      </c>
      <c r="J465" s="4">
        <v>304640</v>
      </c>
    </row>
    <row r="466" spans="2:10" x14ac:dyDescent="0.3">
      <c r="B466" s="7">
        <v>44409</v>
      </c>
      <c r="C466" s="3">
        <f t="shared" si="14"/>
        <v>2021</v>
      </c>
      <c r="D466" s="3">
        <f t="shared" si="15"/>
        <v>202108</v>
      </c>
      <c r="E466" s="5" t="s">
        <v>2</v>
      </c>
      <c r="F466" s="5" t="s">
        <v>10</v>
      </c>
      <c r="G466" s="5" t="s">
        <v>33</v>
      </c>
      <c r="H466">
        <v>27</v>
      </c>
      <c r="I466" s="4">
        <v>479493</v>
      </c>
      <c r="J466" s="4">
        <v>257040</v>
      </c>
    </row>
    <row r="467" spans="2:10" x14ac:dyDescent="0.3">
      <c r="B467" s="7">
        <v>44440</v>
      </c>
      <c r="C467" s="3">
        <f t="shared" si="14"/>
        <v>2021</v>
      </c>
      <c r="D467" s="3">
        <f t="shared" si="15"/>
        <v>202109</v>
      </c>
      <c r="E467" s="5" t="s">
        <v>2</v>
      </c>
      <c r="F467" s="5" t="s">
        <v>10</v>
      </c>
      <c r="G467" s="5" t="s">
        <v>33</v>
      </c>
      <c r="H467">
        <v>29</v>
      </c>
      <c r="I467" s="4">
        <v>528496</v>
      </c>
      <c r="J467" s="4">
        <v>276080</v>
      </c>
    </row>
    <row r="468" spans="2:10" x14ac:dyDescent="0.3">
      <c r="B468" s="7">
        <v>44470</v>
      </c>
      <c r="C468" s="3">
        <f t="shared" si="14"/>
        <v>2021</v>
      </c>
      <c r="D468" s="3">
        <f t="shared" si="15"/>
        <v>202110</v>
      </c>
      <c r="E468" s="5" t="s">
        <v>2</v>
      </c>
      <c r="F468" s="5" t="s">
        <v>10</v>
      </c>
      <c r="G468" s="5" t="s">
        <v>33</v>
      </c>
      <c r="H468">
        <v>24</v>
      </c>
      <c r="I468" s="4">
        <v>446112</v>
      </c>
      <c r="J468" s="4">
        <v>228480</v>
      </c>
    </row>
    <row r="469" spans="2:10" x14ac:dyDescent="0.3">
      <c r="B469" s="7">
        <v>44501</v>
      </c>
      <c r="C469" s="3">
        <f t="shared" si="14"/>
        <v>2021</v>
      </c>
      <c r="D469" s="3">
        <f t="shared" si="15"/>
        <v>202111</v>
      </c>
      <c r="E469" s="5" t="s">
        <v>2</v>
      </c>
      <c r="F469" s="5" t="s">
        <v>10</v>
      </c>
      <c r="G469" s="5" t="s">
        <v>33</v>
      </c>
      <c r="H469">
        <v>17</v>
      </c>
      <c r="I469" s="4">
        <v>307972</v>
      </c>
      <c r="J469" s="4">
        <v>161840</v>
      </c>
    </row>
    <row r="470" spans="2:10" x14ac:dyDescent="0.3">
      <c r="B470" s="7">
        <v>44531</v>
      </c>
      <c r="C470" s="3">
        <f t="shared" si="14"/>
        <v>2021</v>
      </c>
      <c r="D470" s="3">
        <f t="shared" si="15"/>
        <v>202112</v>
      </c>
      <c r="E470" s="5" t="s">
        <v>2</v>
      </c>
      <c r="F470" s="5" t="s">
        <v>10</v>
      </c>
      <c r="G470" s="5" t="s">
        <v>33</v>
      </c>
      <c r="H470">
        <v>20</v>
      </c>
      <c r="I470" s="4">
        <v>348000</v>
      </c>
      <c r="J470" s="4">
        <v>190400</v>
      </c>
    </row>
    <row r="471" spans="2:10" x14ac:dyDescent="0.3">
      <c r="B471" s="7">
        <v>44562</v>
      </c>
      <c r="C471" s="3">
        <f t="shared" si="14"/>
        <v>2022</v>
      </c>
      <c r="D471" s="3">
        <f t="shared" si="15"/>
        <v>202201</v>
      </c>
      <c r="E471" s="5" t="s">
        <v>2</v>
      </c>
      <c r="F471" s="5" t="s">
        <v>10</v>
      </c>
      <c r="G471" s="5" t="s">
        <v>33</v>
      </c>
      <c r="H471">
        <v>30</v>
      </c>
      <c r="I471" s="4">
        <v>526680</v>
      </c>
      <c r="J471" s="4">
        <v>285600</v>
      </c>
    </row>
    <row r="472" spans="2:10" x14ac:dyDescent="0.3">
      <c r="B472" s="7">
        <v>44593</v>
      </c>
      <c r="C472" s="3">
        <f t="shared" si="14"/>
        <v>2022</v>
      </c>
      <c r="D472" s="3">
        <f t="shared" si="15"/>
        <v>202202</v>
      </c>
      <c r="E472" s="5" t="s">
        <v>2</v>
      </c>
      <c r="F472" s="5" t="s">
        <v>10</v>
      </c>
      <c r="G472" s="5" t="s">
        <v>33</v>
      </c>
      <c r="H472">
        <v>19</v>
      </c>
      <c r="I472" s="4">
        <v>343197</v>
      </c>
      <c r="J472" s="4">
        <v>180880</v>
      </c>
    </row>
    <row r="473" spans="2:10" x14ac:dyDescent="0.3">
      <c r="B473" s="7">
        <v>44621</v>
      </c>
      <c r="C473" s="3">
        <f t="shared" si="14"/>
        <v>2022</v>
      </c>
      <c r="D473" s="3">
        <f t="shared" si="15"/>
        <v>202203</v>
      </c>
      <c r="E473" s="5" t="s">
        <v>2</v>
      </c>
      <c r="F473" s="5" t="s">
        <v>10</v>
      </c>
      <c r="G473" s="5" t="s">
        <v>33</v>
      </c>
      <c r="H473">
        <v>15</v>
      </c>
      <c r="I473" s="4">
        <v>260820</v>
      </c>
      <c r="J473" s="4">
        <v>142800</v>
      </c>
    </row>
    <row r="474" spans="2:10" x14ac:dyDescent="0.3">
      <c r="B474" s="7">
        <v>44652</v>
      </c>
      <c r="C474" s="3">
        <f t="shared" si="14"/>
        <v>2022</v>
      </c>
      <c r="D474" s="3">
        <f t="shared" si="15"/>
        <v>202204</v>
      </c>
      <c r="E474" s="5" t="s">
        <v>2</v>
      </c>
      <c r="F474" s="5" t="s">
        <v>10</v>
      </c>
      <c r="G474" s="5" t="s">
        <v>33</v>
      </c>
      <c r="H474">
        <v>28</v>
      </c>
      <c r="I474" s="4">
        <v>518392</v>
      </c>
      <c r="J474" s="4">
        <v>266560</v>
      </c>
    </row>
    <row r="475" spans="2:10" x14ac:dyDescent="0.3">
      <c r="B475" s="7">
        <v>44682</v>
      </c>
      <c r="C475" s="3">
        <f t="shared" si="14"/>
        <v>2022</v>
      </c>
      <c r="D475" s="3">
        <f t="shared" si="15"/>
        <v>202205</v>
      </c>
      <c r="E475" s="5" t="s">
        <v>2</v>
      </c>
      <c r="F475" s="5" t="s">
        <v>10</v>
      </c>
      <c r="G475" s="5" t="s">
        <v>33</v>
      </c>
      <c r="H475">
        <v>35</v>
      </c>
      <c r="I475" s="4">
        <v>651525</v>
      </c>
      <c r="J475" s="4">
        <v>333200</v>
      </c>
    </row>
    <row r="476" spans="2:10" x14ac:dyDescent="0.3">
      <c r="B476" s="7">
        <v>44713</v>
      </c>
      <c r="C476" s="3">
        <f t="shared" si="14"/>
        <v>2022</v>
      </c>
      <c r="D476" s="3">
        <f t="shared" si="15"/>
        <v>202206</v>
      </c>
      <c r="E476" s="5" t="s">
        <v>2</v>
      </c>
      <c r="F476" s="5" t="s">
        <v>10</v>
      </c>
      <c r="G476" s="5" t="s">
        <v>33</v>
      </c>
      <c r="H476">
        <v>33</v>
      </c>
      <c r="I476" s="4">
        <v>608652</v>
      </c>
      <c r="J476" s="4">
        <v>314160</v>
      </c>
    </row>
    <row r="477" spans="2:10" x14ac:dyDescent="0.3">
      <c r="B477" s="7">
        <v>44743</v>
      </c>
      <c r="C477" s="3">
        <f t="shared" si="14"/>
        <v>2022</v>
      </c>
      <c r="D477" s="3">
        <f t="shared" si="15"/>
        <v>202207</v>
      </c>
      <c r="E477" s="5" t="s">
        <v>2</v>
      </c>
      <c r="F477" s="5" t="s">
        <v>10</v>
      </c>
      <c r="G477" s="5" t="s">
        <v>33</v>
      </c>
      <c r="H477">
        <v>35</v>
      </c>
      <c r="I477" s="4">
        <v>584360</v>
      </c>
      <c r="J477" s="4">
        <v>333200</v>
      </c>
    </row>
    <row r="478" spans="2:10" x14ac:dyDescent="0.3">
      <c r="B478" s="7">
        <v>44774</v>
      </c>
      <c r="C478" s="3">
        <f t="shared" si="14"/>
        <v>2022</v>
      </c>
      <c r="D478" s="3">
        <f t="shared" si="15"/>
        <v>202208</v>
      </c>
      <c r="E478" s="5" t="s">
        <v>2</v>
      </c>
      <c r="F478" s="5" t="s">
        <v>10</v>
      </c>
      <c r="G478" s="5" t="s">
        <v>33</v>
      </c>
      <c r="H478">
        <v>30</v>
      </c>
      <c r="I478" s="4">
        <v>527310</v>
      </c>
      <c r="J478" s="4">
        <v>285600</v>
      </c>
    </row>
    <row r="479" spans="2:10" x14ac:dyDescent="0.3">
      <c r="B479" s="7">
        <v>44805</v>
      </c>
      <c r="C479" s="3">
        <f t="shared" si="14"/>
        <v>2022</v>
      </c>
      <c r="D479" s="3">
        <f t="shared" si="15"/>
        <v>202209</v>
      </c>
      <c r="E479" s="5" t="s">
        <v>2</v>
      </c>
      <c r="F479" s="5" t="s">
        <v>10</v>
      </c>
      <c r="G479" s="5" t="s">
        <v>33</v>
      </c>
      <c r="H479">
        <v>31</v>
      </c>
      <c r="I479" s="4">
        <v>572446</v>
      </c>
      <c r="J479" s="4">
        <v>295120</v>
      </c>
    </row>
    <row r="480" spans="2:10" x14ac:dyDescent="0.3">
      <c r="B480" s="7">
        <v>44835</v>
      </c>
      <c r="C480" s="3">
        <f t="shared" si="14"/>
        <v>2022</v>
      </c>
      <c r="D480" s="3">
        <f t="shared" si="15"/>
        <v>202210</v>
      </c>
      <c r="E480" s="5" t="s">
        <v>2</v>
      </c>
      <c r="F480" s="5" t="s">
        <v>10</v>
      </c>
      <c r="G480" s="5" t="s">
        <v>33</v>
      </c>
      <c r="H480">
        <v>26</v>
      </c>
      <c r="I480" s="4">
        <v>480584</v>
      </c>
      <c r="J480" s="4">
        <v>247520</v>
      </c>
    </row>
    <row r="481" spans="2:10" x14ac:dyDescent="0.3">
      <c r="B481" s="7">
        <v>44866</v>
      </c>
      <c r="C481" s="3">
        <f t="shared" si="14"/>
        <v>2022</v>
      </c>
      <c r="D481" s="3">
        <f t="shared" si="15"/>
        <v>202211</v>
      </c>
      <c r="E481" s="5" t="s">
        <v>2</v>
      </c>
      <c r="F481" s="5" t="s">
        <v>10</v>
      </c>
      <c r="G481" s="5" t="s">
        <v>33</v>
      </c>
      <c r="H481">
        <v>19</v>
      </c>
      <c r="I481" s="4">
        <v>351063</v>
      </c>
      <c r="J481" s="4">
        <v>180880</v>
      </c>
    </row>
    <row r="482" spans="2:10" x14ac:dyDescent="0.3">
      <c r="B482" s="7">
        <v>44896</v>
      </c>
      <c r="C482" s="3">
        <f t="shared" si="14"/>
        <v>2022</v>
      </c>
      <c r="D482" s="3">
        <f t="shared" si="15"/>
        <v>202212</v>
      </c>
      <c r="E482" s="5" t="s">
        <v>2</v>
      </c>
      <c r="F482" s="5" t="s">
        <v>10</v>
      </c>
      <c r="G482" s="5" t="s">
        <v>33</v>
      </c>
      <c r="H482">
        <v>22</v>
      </c>
      <c r="I482" s="4">
        <v>384736</v>
      </c>
      <c r="J482" s="4">
        <v>209440</v>
      </c>
    </row>
    <row r="483" spans="2:10" x14ac:dyDescent="0.3">
      <c r="B483" s="7">
        <v>44197</v>
      </c>
      <c r="C483" s="3">
        <f t="shared" si="14"/>
        <v>2021</v>
      </c>
      <c r="D483" s="3">
        <f t="shared" si="15"/>
        <v>202101</v>
      </c>
      <c r="E483" s="5" t="s">
        <v>2</v>
      </c>
      <c r="F483" s="5" t="s">
        <v>10</v>
      </c>
      <c r="G483" s="5" t="s">
        <v>34</v>
      </c>
      <c r="H483">
        <v>22</v>
      </c>
      <c r="I483" s="4">
        <v>875842</v>
      </c>
      <c r="J483" s="4">
        <v>360360</v>
      </c>
    </row>
    <row r="484" spans="2:10" x14ac:dyDescent="0.3">
      <c r="B484" s="7">
        <v>44228</v>
      </c>
      <c r="C484" s="3">
        <f t="shared" si="14"/>
        <v>2021</v>
      </c>
      <c r="D484" s="3">
        <f t="shared" si="15"/>
        <v>202102</v>
      </c>
      <c r="E484" s="5" t="s">
        <v>2</v>
      </c>
      <c r="F484" s="5" t="s">
        <v>10</v>
      </c>
      <c r="G484" s="5" t="s">
        <v>34</v>
      </c>
      <c r="H484">
        <v>14</v>
      </c>
      <c r="I484" s="4">
        <v>561274</v>
      </c>
      <c r="J484" s="4">
        <v>229320</v>
      </c>
    </row>
    <row r="485" spans="2:10" x14ac:dyDescent="0.3">
      <c r="B485" s="7">
        <v>44256</v>
      </c>
      <c r="C485" s="3">
        <f t="shared" si="14"/>
        <v>2021</v>
      </c>
      <c r="D485" s="3">
        <f t="shared" si="15"/>
        <v>202103</v>
      </c>
      <c r="E485" s="5" t="s">
        <v>2</v>
      </c>
      <c r="F485" s="5" t="s">
        <v>10</v>
      </c>
      <c r="G485" s="5" t="s">
        <v>34</v>
      </c>
      <c r="H485">
        <v>11</v>
      </c>
      <c r="I485" s="4">
        <v>436711</v>
      </c>
      <c r="J485" s="4">
        <v>180180</v>
      </c>
    </row>
    <row r="486" spans="2:10" x14ac:dyDescent="0.3">
      <c r="B486" s="7">
        <v>44287</v>
      </c>
      <c r="C486" s="3">
        <f t="shared" si="14"/>
        <v>2021</v>
      </c>
      <c r="D486" s="3">
        <f t="shared" si="15"/>
        <v>202104</v>
      </c>
      <c r="E486" s="5" t="s">
        <v>2</v>
      </c>
      <c r="F486" s="5" t="s">
        <v>10</v>
      </c>
      <c r="G486" s="5" t="s">
        <v>34</v>
      </c>
      <c r="H486">
        <v>20</v>
      </c>
      <c r="I486" s="4">
        <v>818680</v>
      </c>
      <c r="J486" s="4">
        <v>327600</v>
      </c>
    </row>
    <row r="487" spans="2:10" x14ac:dyDescent="0.3">
      <c r="B487" s="7">
        <v>44317</v>
      </c>
      <c r="C487" s="3">
        <f t="shared" si="14"/>
        <v>2021</v>
      </c>
      <c r="D487" s="3">
        <f t="shared" si="15"/>
        <v>202105</v>
      </c>
      <c r="E487" s="5" t="s">
        <v>2</v>
      </c>
      <c r="F487" s="5" t="s">
        <v>10</v>
      </c>
      <c r="G487" s="5" t="s">
        <v>34</v>
      </c>
      <c r="H487">
        <v>26</v>
      </c>
      <c r="I487" s="4">
        <v>1055002</v>
      </c>
      <c r="J487" s="4">
        <v>425880</v>
      </c>
    </row>
    <row r="488" spans="2:10" x14ac:dyDescent="0.3">
      <c r="B488" s="7">
        <v>44348</v>
      </c>
      <c r="C488" s="3">
        <f t="shared" si="14"/>
        <v>2021</v>
      </c>
      <c r="D488" s="3">
        <f t="shared" si="15"/>
        <v>202106</v>
      </c>
      <c r="E488" s="5" t="s">
        <v>2</v>
      </c>
      <c r="F488" s="5" t="s">
        <v>10</v>
      </c>
      <c r="G488" s="5" t="s">
        <v>34</v>
      </c>
      <c r="H488">
        <v>24</v>
      </c>
      <c r="I488" s="4">
        <v>970224</v>
      </c>
      <c r="J488" s="4">
        <v>393120</v>
      </c>
    </row>
    <row r="489" spans="2:10" x14ac:dyDescent="0.3">
      <c r="B489" s="7">
        <v>44378</v>
      </c>
      <c r="C489" s="3">
        <f t="shared" si="14"/>
        <v>2021</v>
      </c>
      <c r="D489" s="3">
        <f t="shared" si="15"/>
        <v>202107</v>
      </c>
      <c r="E489" s="5" t="s">
        <v>2</v>
      </c>
      <c r="F489" s="5" t="s">
        <v>10</v>
      </c>
      <c r="G489" s="5" t="s">
        <v>34</v>
      </c>
      <c r="H489">
        <v>26</v>
      </c>
      <c r="I489" s="4">
        <v>1006954</v>
      </c>
      <c r="J489" s="4">
        <v>425880</v>
      </c>
    </row>
    <row r="490" spans="2:10" x14ac:dyDescent="0.3">
      <c r="B490" s="7">
        <v>44409</v>
      </c>
      <c r="C490" s="3">
        <f t="shared" si="14"/>
        <v>2021</v>
      </c>
      <c r="D490" s="3">
        <f t="shared" si="15"/>
        <v>202108</v>
      </c>
      <c r="E490" s="5" t="s">
        <v>2</v>
      </c>
      <c r="F490" s="5" t="s">
        <v>10</v>
      </c>
      <c r="G490" s="5" t="s">
        <v>34</v>
      </c>
      <c r="H490">
        <v>22</v>
      </c>
      <c r="I490" s="4">
        <v>872344</v>
      </c>
      <c r="J490" s="4">
        <v>360360</v>
      </c>
    </row>
    <row r="491" spans="2:10" x14ac:dyDescent="0.3">
      <c r="B491" s="7">
        <v>44440</v>
      </c>
      <c r="C491" s="3">
        <f t="shared" si="14"/>
        <v>2021</v>
      </c>
      <c r="D491" s="3">
        <f t="shared" si="15"/>
        <v>202109</v>
      </c>
      <c r="E491" s="5" t="s">
        <v>2</v>
      </c>
      <c r="F491" s="5" t="s">
        <v>10</v>
      </c>
      <c r="G491" s="5" t="s">
        <v>34</v>
      </c>
      <c r="H491">
        <v>23</v>
      </c>
      <c r="I491" s="4">
        <v>904728</v>
      </c>
      <c r="J491" s="4">
        <v>376740</v>
      </c>
    </row>
    <row r="492" spans="2:10" x14ac:dyDescent="0.3">
      <c r="B492" s="7">
        <v>44470</v>
      </c>
      <c r="C492" s="3">
        <f t="shared" si="14"/>
        <v>2021</v>
      </c>
      <c r="D492" s="3">
        <f t="shared" si="15"/>
        <v>202110</v>
      </c>
      <c r="E492" s="5" t="s">
        <v>2</v>
      </c>
      <c r="F492" s="5" t="s">
        <v>10</v>
      </c>
      <c r="G492" s="5" t="s">
        <v>34</v>
      </c>
      <c r="H492">
        <v>19</v>
      </c>
      <c r="I492" s="4">
        <v>761482</v>
      </c>
      <c r="J492" s="4">
        <v>311220</v>
      </c>
    </row>
    <row r="493" spans="2:10" x14ac:dyDescent="0.3">
      <c r="B493" s="7">
        <v>44501</v>
      </c>
      <c r="C493" s="3">
        <f t="shared" si="14"/>
        <v>2021</v>
      </c>
      <c r="D493" s="3">
        <f t="shared" si="15"/>
        <v>202111</v>
      </c>
      <c r="E493" s="5" t="s">
        <v>2</v>
      </c>
      <c r="F493" s="5" t="s">
        <v>10</v>
      </c>
      <c r="G493" s="5" t="s">
        <v>34</v>
      </c>
      <c r="H493">
        <v>14</v>
      </c>
      <c r="I493" s="4">
        <v>567532</v>
      </c>
      <c r="J493" s="4">
        <v>229320</v>
      </c>
    </row>
    <row r="494" spans="2:10" x14ac:dyDescent="0.3">
      <c r="B494" s="7">
        <v>44531</v>
      </c>
      <c r="C494" s="3">
        <f t="shared" si="14"/>
        <v>2021</v>
      </c>
      <c r="D494" s="3">
        <f t="shared" si="15"/>
        <v>202112</v>
      </c>
      <c r="E494" s="5" t="s">
        <v>2</v>
      </c>
      <c r="F494" s="5" t="s">
        <v>10</v>
      </c>
      <c r="G494" s="5" t="s">
        <v>34</v>
      </c>
      <c r="H494">
        <v>16</v>
      </c>
      <c r="I494" s="4">
        <v>626400</v>
      </c>
      <c r="J494" s="4">
        <v>262080</v>
      </c>
    </row>
    <row r="495" spans="2:10" x14ac:dyDescent="0.3">
      <c r="B495" s="7">
        <v>44562</v>
      </c>
      <c r="C495" s="3">
        <f t="shared" si="14"/>
        <v>2022</v>
      </c>
      <c r="D495" s="3">
        <f t="shared" si="15"/>
        <v>202201</v>
      </c>
      <c r="E495" s="5" t="s">
        <v>2</v>
      </c>
      <c r="F495" s="5" t="s">
        <v>10</v>
      </c>
      <c r="G495" s="5" t="s">
        <v>34</v>
      </c>
      <c r="H495">
        <v>24</v>
      </c>
      <c r="I495" s="4">
        <v>964320</v>
      </c>
      <c r="J495" s="4">
        <v>393120</v>
      </c>
    </row>
    <row r="496" spans="2:10" x14ac:dyDescent="0.3">
      <c r="B496" s="7">
        <v>44593</v>
      </c>
      <c r="C496" s="3">
        <f t="shared" si="14"/>
        <v>2022</v>
      </c>
      <c r="D496" s="3">
        <f t="shared" si="15"/>
        <v>202202</v>
      </c>
      <c r="E496" s="5" t="s">
        <v>2</v>
      </c>
      <c r="F496" s="5" t="s">
        <v>10</v>
      </c>
      <c r="G496" s="5" t="s">
        <v>34</v>
      </c>
      <c r="H496">
        <v>15</v>
      </c>
      <c r="I496" s="4">
        <v>609420</v>
      </c>
      <c r="J496" s="4">
        <v>245700</v>
      </c>
    </row>
    <row r="497" spans="2:10" x14ac:dyDescent="0.3">
      <c r="B497" s="7">
        <v>44621</v>
      </c>
      <c r="C497" s="3">
        <f t="shared" si="14"/>
        <v>2022</v>
      </c>
      <c r="D497" s="3">
        <f t="shared" si="15"/>
        <v>202203</v>
      </c>
      <c r="E497" s="5" t="s">
        <v>2</v>
      </c>
      <c r="F497" s="5" t="s">
        <v>10</v>
      </c>
      <c r="G497" s="5" t="s">
        <v>34</v>
      </c>
      <c r="H497">
        <v>12</v>
      </c>
      <c r="I497" s="4">
        <v>475716</v>
      </c>
      <c r="J497" s="4">
        <v>196560</v>
      </c>
    </row>
    <row r="498" spans="2:10" x14ac:dyDescent="0.3">
      <c r="B498" s="7">
        <v>44652</v>
      </c>
      <c r="C498" s="3">
        <f t="shared" si="14"/>
        <v>2022</v>
      </c>
      <c r="D498" s="3">
        <f t="shared" si="15"/>
        <v>202204</v>
      </c>
      <c r="E498" s="5" t="s">
        <v>2</v>
      </c>
      <c r="F498" s="5" t="s">
        <v>10</v>
      </c>
      <c r="G498" s="5" t="s">
        <v>34</v>
      </c>
      <c r="H498">
        <v>22</v>
      </c>
      <c r="I498" s="4">
        <v>904486</v>
      </c>
      <c r="J498" s="4">
        <v>360360</v>
      </c>
    </row>
    <row r="499" spans="2:10" x14ac:dyDescent="0.3">
      <c r="B499" s="7">
        <v>44682</v>
      </c>
      <c r="C499" s="3">
        <f t="shared" si="14"/>
        <v>2022</v>
      </c>
      <c r="D499" s="3">
        <f t="shared" si="15"/>
        <v>202205</v>
      </c>
      <c r="E499" s="5" t="s">
        <v>2</v>
      </c>
      <c r="F499" s="5" t="s">
        <v>10</v>
      </c>
      <c r="G499" s="5" t="s">
        <v>34</v>
      </c>
      <c r="H499">
        <v>28</v>
      </c>
      <c r="I499" s="4">
        <v>1147748</v>
      </c>
      <c r="J499" s="4">
        <v>458640</v>
      </c>
    </row>
    <row r="500" spans="2:10" x14ac:dyDescent="0.3">
      <c r="B500" s="7">
        <v>44713</v>
      </c>
      <c r="C500" s="3">
        <f t="shared" si="14"/>
        <v>2022</v>
      </c>
      <c r="D500" s="3">
        <f t="shared" si="15"/>
        <v>202206</v>
      </c>
      <c r="E500" s="5" t="s">
        <v>2</v>
      </c>
      <c r="F500" s="5" t="s">
        <v>10</v>
      </c>
      <c r="G500" s="5" t="s">
        <v>34</v>
      </c>
      <c r="H500">
        <v>27</v>
      </c>
      <c r="I500" s="4">
        <v>1094661</v>
      </c>
      <c r="J500" s="4">
        <v>442260</v>
      </c>
    </row>
    <row r="501" spans="2:10" x14ac:dyDescent="0.3">
      <c r="B501" s="7">
        <v>44743</v>
      </c>
      <c r="C501" s="3">
        <f t="shared" si="14"/>
        <v>2022</v>
      </c>
      <c r="D501" s="3">
        <f t="shared" si="15"/>
        <v>202207</v>
      </c>
      <c r="E501" s="5" t="s">
        <v>2</v>
      </c>
      <c r="F501" s="5" t="s">
        <v>10</v>
      </c>
      <c r="G501" s="5" t="s">
        <v>34</v>
      </c>
      <c r="H501">
        <v>28</v>
      </c>
      <c r="I501" s="4">
        <v>1082788</v>
      </c>
      <c r="J501" s="4">
        <v>458640</v>
      </c>
    </row>
    <row r="502" spans="2:10" x14ac:dyDescent="0.3">
      <c r="B502" s="7">
        <v>44774</v>
      </c>
      <c r="C502" s="3">
        <f t="shared" si="14"/>
        <v>2022</v>
      </c>
      <c r="D502" s="3">
        <f t="shared" si="15"/>
        <v>202208</v>
      </c>
      <c r="E502" s="5" t="s">
        <v>2</v>
      </c>
      <c r="F502" s="5" t="s">
        <v>10</v>
      </c>
      <c r="G502" s="5" t="s">
        <v>34</v>
      </c>
      <c r="H502">
        <v>24</v>
      </c>
      <c r="I502" s="4">
        <v>959592</v>
      </c>
      <c r="J502" s="4">
        <v>393120</v>
      </c>
    </row>
    <row r="503" spans="2:10" x14ac:dyDescent="0.3">
      <c r="B503" s="7">
        <v>44805</v>
      </c>
      <c r="C503" s="3">
        <f t="shared" si="14"/>
        <v>2022</v>
      </c>
      <c r="D503" s="3">
        <f t="shared" si="15"/>
        <v>202209</v>
      </c>
      <c r="E503" s="5" t="s">
        <v>2</v>
      </c>
      <c r="F503" s="5" t="s">
        <v>10</v>
      </c>
      <c r="G503" s="5" t="s">
        <v>34</v>
      </c>
      <c r="H503">
        <v>25</v>
      </c>
      <c r="I503" s="4">
        <v>999825</v>
      </c>
      <c r="J503" s="4">
        <v>409500</v>
      </c>
    </row>
    <row r="504" spans="2:10" x14ac:dyDescent="0.3">
      <c r="B504" s="7">
        <v>44835</v>
      </c>
      <c r="C504" s="3">
        <f t="shared" si="14"/>
        <v>2022</v>
      </c>
      <c r="D504" s="3">
        <f t="shared" si="15"/>
        <v>202210</v>
      </c>
      <c r="E504" s="5" t="s">
        <v>2</v>
      </c>
      <c r="F504" s="5" t="s">
        <v>10</v>
      </c>
      <c r="G504" s="5" t="s">
        <v>34</v>
      </c>
      <c r="H504">
        <v>21</v>
      </c>
      <c r="I504" s="4">
        <v>841407</v>
      </c>
      <c r="J504" s="4">
        <v>343980</v>
      </c>
    </row>
    <row r="505" spans="2:10" x14ac:dyDescent="0.3">
      <c r="B505" s="7">
        <v>44866</v>
      </c>
      <c r="C505" s="3">
        <f t="shared" si="14"/>
        <v>2022</v>
      </c>
      <c r="D505" s="3">
        <f t="shared" si="15"/>
        <v>202211</v>
      </c>
      <c r="E505" s="5" t="s">
        <v>2</v>
      </c>
      <c r="F505" s="5" t="s">
        <v>10</v>
      </c>
      <c r="G505" s="5" t="s">
        <v>34</v>
      </c>
      <c r="H505">
        <v>15</v>
      </c>
      <c r="I505" s="4">
        <v>613530</v>
      </c>
      <c r="J505" s="4">
        <v>245700</v>
      </c>
    </row>
    <row r="506" spans="2:10" x14ac:dyDescent="0.3">
      <c r="B506" s="7">
        <v>44896</v>
      </c>
      <c r="C506" s="3">
        <f t="shared" si="14"/>
        <v>2022</v>
      </c>
      <c r="D506" s="3">
        <f t="shared" si="15"/>
        <v>202212</v>
      </c>
      <c r="E506" s="5" t="s">
        <v>2</v>
      </c>
      <c r="F506" s="5" t="s">
        <v>10</v>
      </c>
      <c r="G506" s="5" t="s">
        <v>34</v>
      </c>
      <c r="H506">
        <v>18</v>
      </c>
      <c r="I506" s="4">
        <v>719712</v>
      </c>
      <c r="J506" s="4">
        <v>294840</v>
      </c>
    </row>
    <row r="507" spans="2:10" x14ac:dyDescent="0.3">
      <c r="B507" s="7">
        <v>44197</v>
      </c>
      <c r="C507" s="3">
        <f t="shared" si="14"/>
        <v>2021</v>
      </c>
      <c r="D507" s="3">
        <f t="shared" si="15"/>
        <v>202101</v>
      </c>
      <c r="E507" s="5" t="s">
        <v>2</v>
      </c>
      <c r="F507" s="5" t="s">
        <v>11</v>
      </c>
      <c r="G507" s="5" t="s">
        <v>35</v>
      </c>
      <c r="H507">
        <v>66</v>
      </c>
      <c r="I507" s="4">
        <v>409134</v>
      </c>
      <c r="J507" s="4">
        <v>151800</v>
      </c>
    </row>
    <row r="508" spans="2:10" x14ac:dyDescent="0.3">
      <c r="B508" s="7">
        <v>44228</v>
      </c>
      <c r="C508" s="3">
        <f t="shared" si="14"/>
        <v>2021</v>
      </c>
      <c r="D508" s="3">
        <f t="shared" si="15"/>
        <v>202102</v>
      </c>
      <c r="E508" s="5" t="s">
        <v>2</v>
      </c>
      <c r="F508" s="5" t="s">
        <v>11</v>
      </c>
      <c r="G508" s="5" t="s">
        <v>35</v>
      </c>
      <c r="H508">
        <v>42</v>
      </c>
      <c r="I508" s="4">
        <v>290514</v>
      </c>
      <c r="J508" s="4">
        <v>96600</v>
      </c>
    </row>
    <row r="509" spans="2:10" x14ac:dyDescent="0.3">
      <c r="B509" s="7">
        <v>44256</v>
      </c>
      <c r="C509" s="3">
        <f t="shared" si="14"/>
        <v>2021</v>
      </c>
      <c r="D509" s="3">
        <f t="shared" si="15"/>
        <v>202103</v>
      </c>
      <c r="E509" s="5" t="s">
        <v>2</v>
      </c>
      <c r="F509" s="5" t="s">
        <v>11</v>
      </c>
      <c r="G509" s="5" t="s">
        <v>35</v>
      </c>
      <c r="H509">
        <v>33</v>
      </c>
      <c r="I509" s="4">
        <v>176385</v>
      </c>
      <c r="J509" s="4">
        <v>75900</v>
      </c>
    </row>
    <row r="510" spans="2:10" x14ac:dyDescent="0.3">
      <c r="B510" s="7">
        <v>44287</v>
      </c>
      <c r="C510" s="3">
        <f t="shared" si="14"/>
        <v>2021</v>
      </c>
      <c r="D510" s="3">
        <f t="shared" si="15"/>
        <v>202104</v>
      </c>
      <c r="E510" s="5" t="s">
        <v>2</v>
      </c>
      <c r="F510" s="5" t="s">
        <v>11</v>
      </c>
      <c r="G510" s="5" t="s">
        <v>35</v>
      </c>
      <c r="H510">
        <v>62</v>
      </c>
      <c r="I510" s="4">
        <v>385020</v>
      </c>
      <c r="J510" s="4">
        <v>142600</v>
      </c>
    </row>
    <row r="511" spans="2:10" x14ac:dyDescent="0.3">
      <c r="B511" s="7">
        <v>44317</v>
      </c>
      <c r="C511" s="3">
        <f t="shared" si="14"/>
        <v>2021</v>
      </c>
      <c r="D511" s="3">
        <f t="shared" si="15"/>
        <v>202105</v>
      </c>
      <c r="E511" s="5" t="s">
        <v>2</v>
      </c>
      <c r="F511" s="5" t="s">
        <v>11</v>
      </c>
      <c r="G511" s="5" t="s">
        <v>35</v>
      </c>
      <c r="H511">
        <v>79</v>
      </c>
      <c r="I511" s="4">
        <v>540123</v>
      </c>
      <c r="J511" s="4">
        <v>181700</v>
      </c>
    </row>
    <row r="512" spans="2:10" x14ac:dyDescent="0.3">
      <c r="B512" s="7">
        <v>44348</v>
      </c>
      <c r="C512" s="3">
        <f t="shared" si="14"/>
        <v>2021</v>
      </c>
      <c r="D512" s="3">
        <f t="shared" si="15"/>
        <v>202106</v>
      </c>
      <c r="E512" s="5" t="s">
        <v>2</v>
      </c>
      <c r="F512" s="5" t="s">
        <v>11</v>
      </c>
      <c r="G512" s="5" t="s">
        <v>35</v>
      </c>
      <c r="H512">
        <v>75</v>
      </c>
      <c r="I512" s="4">
        <v>479325</v>
      </c>
      <c r="J512" s="4">
        <v>172500</v>
      </c>
    </row>
    <row r="513" spans="2:10" x14ac:dyDescent="0.3">
      <c r="B513" s="7">
        <v>44378</v>
      </c>
      <c r="C513" s="3">
        <f t="shared" si="14"/>
        <v>2021</v>
      </c>
      <c r="D513" s="3">
        <f t="shared" si="15"/>
        <v>202107</v>
      </c>
      <c r="E513" s="5" t="s">
        <v>2</v>
      </c>
      <c r="F513" s="5" t="s">
        <v>11</v>
      </c>
      <c r="G513" s="5" t="s">
        <v>35</v>
      </c>
      <c r="H513">
        <v>79</v>
      </c>
      <c r="I513" s="4">
        <v>416014</v>
      </c>
      <c r="J513" s="4">
        <v>181700</v>
      </c>
    </row>
    <row r="514" spans="2:10" x14ac:dyDescent="0.3">
      <c r="B514" s="7">
        <v>44409</v>
      </c>
      <c r="C514" s="3">
        <f t="shared" si="14"/>
        <v>2021</v>
      </c>
      <c r="D514" s="3">
        <f t="shared" si="15"/>
        <v>202108</v>
      </c>
      <c r="E514" s="5" t="s">
        <v>2</v>
      </c>
      <c r="F514" s="5" t="s">
        <v>11</v>
      </c>
      <c r="G514" s="5" t="s">
        <v>35</v>
      </c>
      <c r="H514">
        <v>66</v>
      </c>
      <c r="I514" s="4">
        <v>357720</v>
      </c>
      <c r="J514" s="4">
        <v>151800</v>
      </c>
    </row>
    <row r="515" spans="2:10" x14ac:dyDescent="0.3">
      <c r="B515" s="7">
        <v>44440</v>
      </c>
      <c r="C515" s="3">
        <f t="shared" ref="C515:C578" si="16">YEAR(B515)</f>
        <v>2021</v>
      </c>
      <c r="D515" s="3">
        <f t="shared" ref="D515:D578" si="17">VALUE(TEXT(B515,"ГГГГММ"))</f>
        <v>202109</v>
      </c>
      <c r="E515" s="5" t="s">
        <v>2</v>
      </c>
      <c r="F515" s="5" t="s">
        <v>11</v>
      </c>
      <c r="G515" s="5" t="s">
        <v>35</v>
      </c>
      <c r="H515">
        <v>71</v>
      </c>
      <c r="I515" s="4">
        <v>426994</v>
      </c>
      <c r="J515" s="4">
        <v>163300</v>
      </c>
    </row>
    <row r="516" spans="2:10" x14ac:dyDescent="0.3">
      <c r="B516" s="7">
        <v>44470</v>
      </c>
      <c r="C516" s="3">
        <f t="shared" si="16"/>
        <v>2021</v>
      </c>
      <c r="D516" s="3">
        <f t="shared" si="17"/>
        <v>202110</v>
      </c>
      <c r="E516" s="5" t="s">
        <v>2</v>
      </c>
      <c r="F516" s="5" t="s">
        <v>11</v>
      </c>
      <c r="G516" s="5" t="s">
        <v>35</v>
      </c>
      <c r="H516">
        <v>58</v>
      </c>
      <c r="I516" s="4">
        <v>386512</v>
      </c>
      <c r="J516" s="4">
        <v>133400</v>
      </c>
    </row>
    <row r="517" spans="2:10" x14ac:dyDescent="0.3">
      <c r="B517" s="7">
        <v>44501</v>
      </c>
      <c r="C517" s="3">
        <f t="shared" si="16"/>
        <v>2021</v>
      </c>
      <c r="D517" s="3">
        <f t="shared" si="17"/>
        <v>202111</v>
      </c>
      <c r="E517" s="5" t="s">
        <v>2</v>
      </c>
      <c r="F517" s="5" t="s">
        <v>11</v>
      </c>
      <c r="G517" s="5" t="s">
        <v>35</v>
      </c>
      <c r="H517">
        <v>42</v>
      </c>
      <c r="I517" s="4">
        <v>243054</v>
      </c>
      <c r="J517" s="4">
        <v>96600</v>
      </c>
    </row>
    <row r="518" spans="2:10" x14ac:dyDescent="0.3">
      <c r="B518" s="7">
        <v>44531</v>
      </c>
      <c r="C518" s="3">
        <f t="shared" si="16"/>
        <v>2021</v>
      </c>
      <c r="D518" s="3">
        <f t="shared" si="17"/>
        <v>202112</v>
      </c>
      <c r="E518" s="5" t="s">
        <v>2</v>
      </c>
      <c r="F518" s="5" t="s">
        <v>11</v>
      </c>
      <c r="G518" s="5" t="s">
        <v>35</v>
      </c>
      <c r="H518">
        <v>50</v>
      </c>
      <c r="I518" s="4">
        <v>277600</v>
      </c>
      <c r="J518" s="4">
        <v>115000</v>
      </c>
    </row>
    <row r="519" spans="2:10" x14ac:dyDescent="0.3">
      <c r="B519" s="7">
        <v>44562</v>
      </c>
      <c r="C519" s="3">
        <f t="shared" si="16"/>
        <v>2022</v>
      </c>
      <c r="D519" s="3">
        <f t="shared" si="17"/>
        <v>202201</v>
      </c>
      <c r="E519" s="5" t="s">
        <v>2</v>
      </c>
      <c r="F519" s="5" t="s">
        <v>11</v>
      </c>
      <c r="G519" s="5" t="s">
        <v>35</v>
      </c>
      <c r="H519">
        <v>73</v>
      </c>
      <c r="I519" s="4">
        <v>444935</v>
      </c>
      <c r="J519" s="4">
        <v>167900</v>
      </c>
    </row>
    <row r="520" spans="2:10" x14ac:dyDescent="0.3">
      <c r="B520" s="7">
        <v>44593</v>
      </c>
      <c r="C520" s="3">
        <f t="shared" si="16"/>
        <v>2022</v>
      </c>
      <c r="D520" s="3">
        <f t="shared" si="17"/>
        <v>202202</v>
      </c>
      <c r="E520" s="5" t="s">
        <v>2</v>
      </c>
      <c r="F520" s="5" t="s">
        <v>11</v>
      </c>
      <c r="G520" s="5" t="s">
        <v>35</v>
      </c>
      <c r="H520">
        <v>46</v>
      </c>
      <c r="I520" s="4">
        <v>273976</v>
      </c>
      <c r="J520" s="4">
        <v>105800</v>
      </c>
    </row>
    <row r="521" spans="2:10" x14ac:dyDescent="0.3">
      <c r="B521" s="7">
        <v>44621</v>
      </c>
      <c r="C521" s="3">
        <f t="shared" si="16"/>
        <v>2022</v>
      </c>
      <c r="D521" s="3">
        <f t="shared" si="17"/>
        <v>202203</v>
      </c>
      <c r="E521" s="5" t="s">
        <v>2</v>
      </c>
      <c r="F521" s="5" t="s">
        <v>11</v>
      </c>
      <c r="G521" s="5" t="s">
        <v>35</v>
      </c>
      <c r="H521">
        <v>37</v>
      </c>
      <c r="I521" s="4">
        <v>230658</v>
      </c>
      <c r="J521" s="4">
        <v>85100</v>
      </c>
    </row>
    <row r="522" spans="2:10" x14ac:dyDescent="0.3">
      <c r="B522" s="7">
        <v>44652</v>
      </c>
      <c r="C522" s="3">
        <f t="shared" si="16"/>
        <v>2022</v>
      </c>
      <c r="D522" s="3">
        <f t="shared" si="17"/>
        <v>202204</v>
      </c>
      <c r="E522" s="5" t="s">
        <v>2</v>
      </c>
      <c r="F522" s="5" t="s">
        <v>11</v>
      </c>
      <c r="G522" s="5" t="s">
        <v>35</v>
      </c>
      <c r="H522">
        <v>68</v>
      </c>
      <c r="I522" s="4">
        <v>435608</v>
      </c>
      <c r="J522" s="4">
        <v>156400</v>
      </c>
    </row>
    <row r="523" spans="2:10" x14ac:dyDescent="0.3">
      <c r="B523" s="7">
        <v>44682</v>
      </c>
      <c r="C523" s="3">
        <f t="shared" si="16"/>
        <v>2022</v>
      </c>
      <c r="D523" s="3">
        <f t="shared" si="17"/>
        <v>202205</v>
      </c>
      <c r="E523" s="5" t="s">
        <v>2</v>
      </c>
      <c r="F523" s="5" t="s">
        <v>11</v>
      </c>
      <c r="G523" s="5" t="s">
        <v>35</v>
      </c>
      <c r="H523">
        <v>87</v>
      </c>
      <c r="I523" s="4">
        <v>603432</v>
      </c>
      <c r="J523" s="4">
        <v>200100</v>
      </c>
    </row>
    <row r="524" spans="2:10" x14ac:dyDescent="0.3">
      <c r="B524" s="7">
        <v>44713</v>
      </c>
      <c r="C524" s="3">
        <f t="shared" si="16"/>
        <v>2022</v>
      </c>
      <c r="D524" s="3">
        <f t="shared" si="17"/>
        <v>202206</v>
      </c>
      <c r="E524" s="5" t="s">
        <v>2</v>
      </c>
      <c r="F524" s="5" t="s">
        <v>11</v>
      </c>
      <c r="G524" s="5" t="s">
        <v>35</v>
      </c>
      <c r="H524">
        <v>82</v>
      </c>
      <c r="I524" s="4">
        <v>530048</v>
      </c>
      <c r="J524" s="4">
        <v>188600</v>
      </c>
    </row>
    <row r="525" spans="2:10" x14ac:dyDescent="0.3">
      <c r="B525" s="7">
        <v>44743</v>
      </c>
      <c r="C525" s="3">
        <f t="shared" si="16"/>
        <v>2022</v>
      </c>
      <c r="D525" s="3">
        <f t="shared" si="17"/>
        <v>202207</v>
      </c>
      <c r="E525" s="5" t="s">
        <v>2</v>
      </c>
      <c r="F525" s="5" t="s">
        <v>11</v>
      </c>
      <c r="G525" s="5" t="s">
        <v>35</v>
      </c>
      <c r="H525">
        <v>87</v>
      </c>
      <c r="I525" s="4">
        <v>414207</v>
      </c>
      <c r="J525" s="4">
        <v>200100</v>
      </c>
    </row>
    <row r="526" spans="2:10" x14ac:dyDescent="0.3">
      <c r="B526" s="7">
        <v>44774</v>
      </c>
      <c r="C526" s="3">
        <f t="shared" si="16"/>
        <v>2022</v>
      </c>
      <c r="D526" s="3">
        <f t="shared" si="17"/>
        <v>202208</v>
      </c>
      <c r="E526" s="5" t="s">
        <v>2</v>
      </c>
      <c r="F526" s="5" t="s">
        <v>11</v>
      </c>
      <c r="G526" s="5" t="s">
        <v>35</v>
      </c>
      <c r="H526">
        <v>73</v>
      </c>
      <c r="I526" s="4">
        <v>453476</v>
      </c>
      <c r="J526" s="4">
        <v>167900</v>
      </c>
    </row>
    <row r="527" spans="2:10" x14ac:dyDescent="0.3">
      <c r="B527" s="7">
        <v>44805</v>
      </c>
      <c r="C527" s="3">
        <f t="shared" si="16"/>
        <v>2022</v>
      </c>
      <c r="D527" s="3">
        <f t="shared" si="17"/>
        <v>202209</v>
      </c>
      <c r="E527" s="5" t="s">
        <v>2</v>
      </c>
      <c r="F527" s="5" t="s">
        <v>11</v>
      </c>
      <c r="G527" s="5" t="s">
        <v>35</v>
      </c>
      <c r="H527">
        <v>78</v>
      </c>
      <c r="I527" s="4">
        <v>461058</v>
      </c>
      <c r="J527" s="4">
        <v>179400</v>
      </c>
    </row>
    <row r="528" spans="2:10" x14ac:dyDescent="0.3">
      <c r="B528" s="7">
        <v>44835</v>
      </c>
      <c r="C528" s="3">
        <f t="shared" si="16"/>
        <v>2022</v>
      </c>
      <c r="D528" s="3">
        <f t="shared" si="17"/>
        <v>202210</v>
      </c>
      <c r="E528" s="5" t="s">
        <v>2</v>
      </c>
      <c r="F528" s="5" t="s">
        <v>11</v>
      </c>
      <c r="G528" s="5" t="s">
        <v>35</v>
      </c>
      <c r="H528">
        <v>64</v>
      </c>
      <c r="I528" s="4">
        <v>411648</v>
      </c>
      <c r="J528" s="4">
        <v>147200</v>
      </c>
    </row>
    <row r="529" spans="2:10" x14ac:dyDescent="0.3">
      <c r="B529" s="7">
        <v>44866</v>
      </c>
      <c r="C529" s="3">
        <f t="shared" si="16"/>
        <v>2022</v>
      </c>
      <c r="D529" s="3">
        <f t="shared" si="17"/>
        <v>202211</v>
      </c>
      <c r="E529" s="5" t="s">
        <v>2</v>
      </c>
      <c r="F529" s="5" t="s">
        <v>11</v>
      </c>
      <c r="G529" s="5" t="s">
        <v>35</v>
      </c>
      <c r="H529">
        <v>46</v>
      </c>
      <c r="I529" s="4">
        <v>295228</v>
      </c>
      <c r="J529" s="4">
        <v>105800</v>
      </c>
    </row>
    <row r="530" spans="2:10" x14ac:dyDescent="0.3">
      <c r="B530" s="7">
        <v>44896</v>
      </c>
      <c r="C530" s="3">
        <f t="shared" si="16"/>
        <v>2022</v>
      </c>
      <c r="D530" s="3">
        <f t="shared" si="17"/>
        <v>202212</v>
      </c>
      <c r="E530" s="5" t="s">
        <v>2</v>
      </c>
      <c r="F530" s="5" t="s">
        <v>11</v>
      </c>
      <c r="G530" s="5" t="s">
        <v>35</v>
      </c>
      <c r="H530">
        <v>55</v>
      </c>
      <c r="I530" s="4">
        <v>318065</v>
      </c>
      <c r="J530" s="4">
        <v>126500</v>
      </c>
    </row>
    <row r="531" spans="2:10" x14ac:dyDescent="0.3">
      <c r="B531" s="7">
        <v>44197</v>
      </c>
      <c r="C531" s="3">
        <f t="shared" si="16"/>
        <v>2021</v>
      </c>
      <c r="D531" s="3">
        <f t="shared" si="17"/>
        <v>202101</v>
      </c>
      <c r="E531" s="5" t="s">
        <v>2</v>
      </c>
      <c r="F531" s="5" t="s">
        <v>11</v>
      </c>
      <c r="G531" s="5" t="s">
        <v>36</v>
      </c>
      <c r="H531">
        <v>59</v>
      </c>
      <c r="I531" s="4">
        <v>625695</v>
      </c>
      <c r="J531" s="4">
        <v>238950</v>
      </c>
    </row>
    <row r="532" spans="2:10" x14ac:dyDescent="0.3">
      <c r="B532" s="7">
        <v>44228</v>
      </c>
      <c r="C532" s="3">
        <f t="shared" si="16"/>
        <v>2021</v>
      </c>
      <c r="D532" s="3">
        <f t="shared" si="17"/>
        <v>202102</v>
      </c>
      <c r="E532" s="5" t="s">
        <v>2</v>
      </c>
      <c r="F532" s="5" t="s">
        <v>11</v>
      </c>
      <c r="G532" s="5" t="s">
        <v>36</v>
      </c>
      <c r="H532">
        <v>37</v>
      </c>
      <c r="I532" s="4">
        <v>381877</v>
      </c>
      <c r="J532" s="4">
        <v>149850</v>
      </c>
    </row>
    <row r="533" spans="2:10" x14ac:dyDescent="0.3">
      <c r="B533" s="7">
        <v>44256</v>
      </c>
      <c r="C533" s="3">
        <f t="shared" si="16"/>
        <v>2021</v>
      </c>
      <c r="D533" s="3">
        <f t="shared" si="17"/>
        <v>202103</v>
      </c>
      <c r="E533" s="5" t="s">
        <v>2</v>
      </c>
      <c r="F533" s="5" t="s">
        <v>11</v>
      </c>
      <c r="G533" s="5" t="s">
        <v>36</v>
      </c>
      <c r="H533">
        <v>30</v>
      </c>
      <c r="I533" s="4">
        <v>306390</v>
      </c>
      <c r="J533" s="4">
        <v>121500</v>
      </c>
    </row>
    <row r="534" spans="2:10" x14ac:dyDescent="0.3">
      <c r="B534" s="7">
        <v>44287</v>
      </c>
      <c r="C534" s="3">
        <f t="shared" si="16"/>
        <v>2021</v>
      </c>
      <c r="D534" s="3">
        <f t="shared" si="17"/>
        <v>202104</v>
      </c>
      <c r="E534" s="5" t="s">
        <v>2</v>
      </c>
      <c r="F534" s="5" t="s">
        <v>11</v>
      </c>
      <c r="G534" s="5" t="s">
        <v>36</v>
      </c>
      <c r="H534">
        <v>55</v>
      </c>
      <c r="I534" s="4">
        <v>613965</v>
      </c>
      <c r="J534" s="4">
        <v>222750</v>
      </c>
    </row>
    <row r="535" spans="2:10" x14ac:dyDescent="0.3">
      <c r="B535" s="7">
        <v>44317</v>
      </c>
      <c r="C535" s="3">
        <f t="shared" si="16"/>
        <v>2021</v>
      </c>
      <c r="D535" s="3">
        <f t="shared" si="17"/>
        <v>202105</v>
      </c>
      <c r="E535" s="5" t="s">
        <v>2</v>
      </c>
      <c r="F535" s="5" t="s">
        <v>11</v>
      </c>
      <c r="G535" s="5" t="s">
        <v>36</v>
      </c>
      <c r="H535">
        <v>70</v>
      </c>
      <c r="I535" s="4">
        <v>801080</v>
      </c>
      <c r="J535" s="4">
        <v>283500</v>
      </c>
    </row>
    <row r="536" spans="2:10" x14ac:dyDescent="0.3">
      <c r="B536" s="7">
        <v>44348</v>
      </c>
      <c r="C536" s="3">
        <f t="shared" si="16"/>
        <v>2021</v>
      </c>
      <c r="D536" s="3">
        <f t="shared" si="17"/>
        <v>202106</v>
      </c>
      <c r="E536" s="5" t="s">
        <v>2</v>
      </c>
      <c r="F536" s="5" t="s">
        <v>11</v>
      </c>
      <c r="G536" s="5" t="s">
        <v>36</v>
      </c>
      <c r="H536">
        <v>66</v>
      </c>
      <c r="I536" s="4">
        <v>692406</v>
      </c>
      <c r="J536" s="4">
        <v>267300</v>
      </c>
    </row>
    <row r="537" spans="2:10" x14ac:dyDescent="0.3">
      <c r="B537" s="7">
        <v>44378</v>
      </c>
      <c r="C537" s="3">
        <f t="shared" si="16"/>
        <v>2021</v>
      </c>
      <c r="D537" s="3">
        <f t="shared" si="17"/>
        <v>202107</v>
      </c>
      <c r="E537" s="5" t="s">
        <v>2</v>
      </c>
      <c r="F537" s="5" t="s">
        <v>11</v>
      </c>
      <c r="G537" s="5" t="s">
        <v>36</v>
      </c>
      <c r="H537">
        <v>70</v>
      </c>
      <c r="I537" s="4">
        <v>630210</v>
      </c>
      <c r="J537" s="4">
        <v>283500</v>
      </c>
    </row>
    <row r="538" spans="2:10" x14ac:dyDescent="0.3">
      <c r="B538" s="7">
        <v>44409</v>
      </c>
      <c r="C538" s="3">
        <f t="shared" si="16"/>
        <v>2021</v>
      </c>
      <c r="D538" s="3">
        <f t="shared" si="17"/>
        <v>202108</v>
      </c>
      <c r="E538" s="5" t="s">
        <v>2</v>
      </c>
      <c r="F538" s="5" t="s">
        <v>11</v>
      </c>
      <c r="G538" s="5" t="s">
        <v>36</v>
      </c>
      <c r="H538">
        <v>59</v>
      </c>
      <c r="I538" s="4">
        <v>582625</v>
      </c>
      <c r="J538" s="4">
        <v>238950</v>
      </c>
    </row>
    <row r="539" spans="2:10" x14ac:dyDescent="0.3">
      <c r="B539" s="7">
        <v>44440</v>
      </c>
      <c r="C539" s="3">
        <f t="shared" si="16"/>
        <v>2021</v>
      </c>
      <c r="D539" s="3">
        <f t="shared" si="17"/>
        <v>202109</v>
      </c>
      <c r="E539" s="5" t="s">
        <v>2</v>
      </c>
      <c r="F539" s="5" t="s">
        <v>11</v>
      </c>
      <c r="G539" s="5" t="s">
        <v>36</v>
      </c>
      <c r="H539">
        <v>62</v>
      </c>
      <c r="I539" s="4">
        <v>594022</v>
      </c>
      <c r="J539" s="4">
        <v>251100</v>
      </c>
    </row>
    <row r="540" spans="2:10" x14ac:dyDescent="0.3">
      <c r="B540" s="7">
        <v>44470</v>
      </c>
      <c r="C540" s="3">
        <f t="shared" si="16"/>
        <v>2021</v>
      </c>
      <c r="D540" s="3">
        <f t="shared" si="17"/>
        <v>202110</v>
      </c>
      <c r="E540" s="5" t="s">
        <v>2</v>
      </c>
      <c r="F540" s="5" t="s">
        <v>11</v>
      </c>
      <c r="G540" s="5" t="s">
        <v>36</v>
      </c>
      <c r="H540">
        <v>51</v>
      </c>
      <c r="I540" s="4">
        <v>498474</v>
      </c>
      <c r="J540" s="4">
        <v>206550</v>
      </c>
    </row>
    <row r="541" spans="2:10" x14ac:dyDescent="0.3">
      <c r="B541" s="7">
        <v>44501</v>
      </c>
      <c r="C541" s="3">
        <f t="shared" si="16"/>
        <v>2021</v>
      </c>
      <c r="D541" s="3">
        <f t="shared" si="17"/>
        <v>202111</v>
      </c>
      <c r="E541" s="5" t="s">
        <v>2</v>
      </c>
      <c r="F541" s="5" t="s">
        <v>11</v>
      </c>
      <c r="G541" s="5" t="s">
        <v>36</v>
      </c>
      <c r="H541">
        <v>37</v>
      </c>
      <c r="I541" s="4">
        <v>373256</v>
      </c>
      <c r="J541" s="4">
        <v>149850</v>
      </c>
    </row>
    <row r="542" spans="2:10" x14ac:dyDescent="0.3">
      <c r="B542" s="7">
        <v>44531</v>
      </c>
      <c r="C542" s="3">
        <f t="shared" si="16"/>
        <v>2021</v>
      </c>
      <c r="D542" s="3">
        <f t="shared" si="17"/>
        <v>202112</v>
      </c>
      <c r="E542" s="5" t="s">
        <v>2</v>
      </c>
      <c r="F542" s="5" t="s">
        <v>11</v>
      </c>
      <c r="G542" s="5" t="s">
        <v>36</v>
      </c>
      <c r="H542">
        <v>44</v>
      </c>
      <c r="I542" s="4">
        <v>412148</v>
      </c>
      <c r="J542" s="4">
        <v>178200</v>
      </c>
    </row>
    <row r="543" spans="2:10" x14ac:dyDescent="0.3">
      <c r="B543" s="7">
        <v>44562</v>
      </c>
      <c r="C543" s="3">
        <f t="shared" si="16"/>
        <v>2022</v>
      </c>
      <c r="D543" s="3">
        <f t="shared" si="17"/>
        <v>202201</v>
      </c>
      <c r="E543" s="5" t="s">
        <v>2</v>
      </c>
      <c r="F543" s="5" t="s">
        <v>11</v>
      </c>
      <c r="G543" s="5" t="s">
        <v>36</v>
      </c>
      <c r="H543">
        <v>65</v>
      </c>
      <c r="I543" s="4">
        <v>624455</v>
      </c>
      <c r="J543" s="4">
        <v>263250</v>
      </c>
    </row>
    <row r="544" spans="2:10" x14ac:dyDescent="0.3">
      <c r="B544" s="7">
        <v>44593</v>
      </c>
      <c r="C544" s="3">
        <f t="shared" si="16"/>
        <v>2022</v>
      </c>
      <c r="D544" s="3">
        <f t="shared" si="17"/>
        <v>202202</v>
      </c>
      <c r="E544" s="5" t="s">
        <v>2</v>
      </c>
      <c r="F544" s="5" t="s">
        <v>11</v>
      </c>
      <c r="G544" s="5" t="s">
        <v>36</v>
      </c>
      <c r="H544">
        <v>41</v>
      </c>
      <c r="I544" s="4">
        <v>422792</v>
      </c>
      <c r="J544" s="4">
        <v>166050</v>
      </c>
    </row>
    <row r="545" spans="2:10" x14ac:dyDescent="0.3">
      <c r="B545" s="7">
        <v>44621</v>
      </c>
      <c r="C545" s="3">
        <f t="shared" si="16"/>
        <v>2022</v>
      </c>
      <c r="D545" s="3">
        <f t="shared" si="17"/>
        <v>202203</v>
      </c>
      <c r="E545" s="5" t="s">
        <v>2</v>
      </c>
      <c r="F545" s="5" t="s">
        <v>11</v>
      </c>
      <c r="G545" s="5" t="s">
        <v>36</v>
      </c>
      <c r="H545">
        <v>33</v>
      </c>
      <c r="I545" s="4">
        <v>331419</v>
      </c>
      <c r="J545" s="4">
        <v>133650</v>
      </c>
    </row>
    <row r="546" spans="2:10" x14ac:dyDescent="0.3">
      <c r="B546" s="7">
        <v>44652</v>
      </c>
      <c r="C546" s="3">
        <f t="shared" si="16"/>
        <v>2022</v>
      </c>
      <c r="D546" s="3">
        <f t="shared" si="17"/>
        <v>202204</v>
      </c>
      <c r="E546" s="5" t="s">
        <v>2</v>
      </c>
      <c r="F546" s="5" t="s">
        <v>11</v>
      </c>
      <c r="G546" s="5" t="s">
        <v>36</v>
      </c>
      <c r="H546">
        <v>61</v>
      </c>
      <c r="I546" s="4">
        <v>652822</v>
      </c>
      <c r="J546" s="4">
        <v>247050</v>
      </c>
    </row>
    <row r="547" spans="2:10" x14ac:dyDescent="0.3">
      <c r="B547" s="7">
        <v>44682</v>
      </c>
      <c r="C547" s="3">
        <f t="shared" si="16"/>
        <v>2022</v>
      </c>
      <c r="D547" s="3">
        <f t="shared" si="17"/>
        <v>202205</v>
      </c>
      <c r="E547" s="5" t="s">
        <v>2</v>
      </c>
      <c r="F547" s="5" t="s">
        <v>11</v>
      </c>
      <c r="G547" s="5" t="s">
        <v>36</v>
      </c>
      <c r="H547">
        <v>77</v>
      </c>
      <c r="I547" s="4">
        <v>837144</v>
      </c>
      <c r="J547" s="4">
        <v>311850</v>
      </c>
    </row>
    <row r="548" spans="2:10" x14ac:dyDescent="0.3">
      <c r="B548" s="7">
        <v>44713</v>
      </c>
      <c r="C548" s="3">
        <f t="shared" si="16"/>
        <v>2022</v>
      </c>
      <c r="D548" s="3">
        <f t="shared" si="17"/>
        <v>202206</v>
      </c>
      <c r="E548" s="5" t="s">
        <v>2</v>
      </c>
      <c r="F548" s="5" t="s">
        <v>11</v>
      </c>
      <c r="G548" s="5" t="s">
        <v>36</v>
      </c>
      <c r="H548">
        <v>73</v>
      </c>
      <c r="I548" s="4">
        <v>780735</v>
      </c>
      <c r="J548" s="4">
        <v>295650</v>
      </c>
    </row>
    <row r="549" spans="2:10" x14ac:dyDescent="0.3">
      <c r="B549" s="7">
        <v>44743</v>
      </c>
      <c r="C549" s="3">
        <f t="shared" si="16"/>
        <v>2022</v>
      </c>
      <c r="D549" s="3">
        <f t="shared" si="17"/>
        <v>202207</v>
      </c>
      <c r="E549" s="5" t="s">
        <v>2</v>
      </c>
      <c r="F549" s="5" t="s">
        <v>11</v>
      </c>
      <c r="G549" s="5" t="s">
        <v>36</v>
      </c>
      <c r="H549">
        <v>77</v>
      </c>
      <c r="I549" s="4">
        <v>633171</v>
      </c>
      <c r="J549" s="4">
        <v>311850</v>
      </c>
    </row>
    <row r="550" spans="2:10" x14ac:dyDescent="0.3">
      <c r="B550" s="7">
        <v>44774</v>
      </c>
      <c r="C550" s="3">
        <f t="shared" si="16"/>
        <v>2022</v>
      </c>
      <c r="D550" s="3">
        <f t="shared" si="17"/>
        <v>202208</v>
      </c>
      <c r="E550" s="5" t="s">
        <v>2</v>
      </c>
      <c r="F550" s="5" t="s">
        <v>11</v>
      </c>
      <c r="G550" s="5" t="s">
        <v>36</v>
      </c>
      <c r="H550">
        <v>65</v>
      </c>
      <c r="I550" s="4">
        <v>604500</v>
      </c>
      <c r="J550" s="4">
        <v>263250</v>
      </c>
    </row>
    <row r="551" spans="2:10" x14ac:dyDescent="0.3">
      <c r="B551" s="7">
        <v>44805</v>
      </c>
      <c r="C551" s="3">
        <f t="shared" si="16"/>
        <v>2022</v>
      </c>
      <c r="D551" s="3">
        <f t="shared" si="17"/>
        <v>202209</v>
      </c>
      <c r="E551" s="5" t="s">
        <v>2</v>
      </c>
      <c r="F551" s="5" t="s">
        <v>11</v>
      </c>
      <c r="G551" s="5" t="s">
        <v>36</v>
      </c>
      <c r="H551">
        <v>69</v>
      </c>
      <c r="I551" s="4">
        <v>658743</v>
      </c>
      <c r="J551" s="4">
        <v>279450</v>
      </c>
    </row>
    <row r="552" spans="2:10" x14ac:dyDescent="0.3">
      <c r="B552" s="7">
        <v>44835</v>
      </c>
      <c r="C552" s="3">
        <f t="shared" si="16"/>
        <v>2022</v>
      </c>
      <c r="D552" s="3">
        <f t="shared" si="17"/>
        <v>202210</v>
      </c>
      <c r="E552" s="5" t="s">
        <v>2</v>
      </c>
      <c r="F552" s="5" t="s">
        <v>11</v>
      </c>
      <c r="G552" s="5" t="s">
        <v>36</v>
      </c>
      <c r="H552">
        <v>57</v>
      </c>
      <c r="I552" s="4">
        <v>583737</v>
      </c>
      <c r="J552" s="4">
        <v>230850</v>
      </c>
    </row>
    <row r="553" spans="2:10" x14ac:dyDescent="0.3">
      <c r="B553" s="7">
        <v>44866</v>
      </c>
      <c r="C553" s="3">
        <f t="shared" si="16"/>
        <v>2022</v>
      </c>
      <c r="D553" s="3">
        <f t="shared" si="17"/>
        <v>202211</v>
      </c>
      <c r="E553" s="5" t="s">
        <v>2</v>
      </c>
      <c r="F553" s="5" t="s">
        <v>11</v>
      </c>
      <c r="G553" s="5" t="s">
        <v>36</v>
      </c>
      <c r="H553">
        <v>41</v>
      </c>
      <c r="I553" s="4">
        <v>410984</v>
      </c>
      <c r="J553" s="4">
        <v>166050</v>
      </c>
    </row>
    <row r="554" spans="2:10" x14ac:dyDescent="0.3">
      <c r="B554" s="7">
        <v>44896</v>
      </c>
      <c r="C554" s="3">
        <f t="shared" si="16"/>
        <v>2022</v>
      </c>
      <c r="D554" s="3">
        <f t="shared" si="17"/>
        <v>202212</v>
      </c>
      <c r="E554" s="5" t="s">
        <v>2</v>
      </c>
      <c r="F554" s="5" t="s">
        <v>11</v>
      </c>
      <c r="G554" s="5" t="s">
        <v>36</v>
      </c>
      <c r="H554">
        <v>49</v>
      </c>
      <c r="I554" s="4">
        <v>461727</v>
      </c>
      <c r="J554" s="4">
        <v>198450</v>
      </c>
    </row>
    <row r="555" spans="2:10" x14ac:dyDescent="0.3">
      <c r="B555" s="7">
        <v>44197</v>
      </c>
      <c r="C555" s="3">
        <f t="shared" si="16"/>
        <v>2021</v>
      </c>
      <c r="D555" s="3">
        <f t="shared" si="17"/>
        <v>202101</v>
      </c>
      <c r="E555" s="5" t="s">
        <v>2</v>
      </c>
      <c r="F555" s="5" t="s">
        <v>11</v>
      </c>
      <c r="G555" s="5" t="s">
        <v>37</v>
      </c>
      <c r="H555">
        <v>66</v>
      </c>
      <c r="I555" s="4">
        <v>562782</v>
      </c>
      <c r="J555" s="4">
        <v>263339.99999999994</v>
      </c>
    </row>
    <row r="556" spans="2:10" x14ac:dyDescent="0.3">
      <c r="B556" s="7">
        <v>44228</v>
      </c>
      <c r="C556" s="3">
        <f t="shared" si="16"/>
        <v>2021</v>
      </c>
      <c r="D556" s="3">
        <f t="shared" si="17"/>
        <v>202102</v>
      </c>
      <c r="E556" s="5" t="s">
        <v>2</v>
      </c>
      <c r="F556" s="5" t="s">
        <v>11</v>
      </c>
      <c r="G556" s="5" t="s">
        <v>37</v>
      </c>
      <c r="H556">
        <v>42</v>
      </c>
      <c r="I556" s="4">
        <v>365946</v>
      </c>
      <c r="J556" s="4">
        <v>167579.99999999997</v>
      </c>
    </row>
    <row r="557" spans="2:10" x14ac:dyDescent="0.3">
      <c r="B557" s="7">
        <v>44256</v>
      </c>
      <c r="C557" s="3">
        <f t="shared" si="16"/>
        <v>2021</v>
      </c>
      <c r="D557" s="3">
        <f t="shared" si="17"/>
        <v>202103</v>
      </c>
      <c r="E557" s="5" t="s">
        <v>2</v>
      </c>
      <c r="F557" s="5" t="s">
        <v>11</v>
      </c>
      <c r="G557" s="5" t="s">
        <v>37</v>
      </c>
      <c r="H557">
        <v>33</v>
      </c>
      <c r="I557" s="4">
        <v>262911</v>
      </c>
      <c r="J557" s="4">
        <v>131669.99999999997</v>
      </c>
    </row>
    <row r="558" spans="2:10" x14ac:dyDescent="0.3">
      <c r="B558" s="7">
        <v>44287</v>
      </c>
      <c r="C558" s="3">
        <f t="shared" si="16"/>
        <v>2021</v>
      </c>
      <c r="D558" s="3">
        <f t="shared" si="17"/>
        <v>202104</v>
      </c>
      <c r="E558" s="5" t="s">
        <v>2</v>
      </c>
      <c r="F558" s="5" t="s">
        <v>11</v>
      </c>
      <c r="G558" s="5" t="s">
        <v>37</v>
      </c>
      <c r="H558">
        <v>62</v>
      </c>
      <c r="I558" s="4">
        <v>542810</v>
      </c>
      <c r="J558" s="4">
        <v>247379.99999999997</v>
      </c>
    </row>
    <row r="559" spans="2:10" x14ac:dyDescent="0.3">
      <c r="B559" s="7">
        <v>44317</v>
      </c>
      <c r="C559" s="3">
        <f t="shared" si="16"/>
        <v>2021</v>
      </c>
      <c r="D559" s="3">
        <f t="shared" si="17"/>
        <v>202105</v>
      </c>
      <c r="E559" s="5" t="s">
        <v>2</v>
      </c>
      <c r="F559" s="5" t="s">
        <v>11</v>
      </c>
      <c r="G559" s="5" t="s">
        <v>37</v>
      </c>
      <c r="H559">
        <v>79</v>
      </c>
      <c r="I559" s="4">
        <v>662652</v>
      </c>
      <c r="J559" s="4">
        <v>315209.99999999994</v>
      </c>
    </row>
    <row r="560" spans="2:10" x14ac:dyDescent="0.3">
      <c r="B560" s="7">
        <v>44348</v>
      </c>
      <c r="C560" s="3">
        <f t="shared" si="16"/>
        <v>2021</v>
      </c>
      <c r="D560" s="3">
        <f t="shared" si="17"/>
        <v>202106</v>
      </c>
      <c r="E560" s="5" t="s">
        <v>2</v>
      </c>
      <c r="F560" s="5" t="s">
        <v>11</v>
      </c>
      <c r="G560" s="5" t="s">
        <v>37</v>
      </c>
      <c r="H560">
        <v>75</v>
      </c>
      <c r="I560" s="4">
        <v>644175</v>
      </c>
      <c r="J560" s="4">
        <v>299249.99999999994</v>
      </c>
    </row>
    <row r="561" spans="2:10" x14ac:dyDescent="0.3">
      <c r="B561" s="7">
        <v>44378</v>
      </c>
      <c r="C561" s="3">
        <f t="shared" si="16"/>
        <v>2021</v>
      </c>
      <c r="D561" s="3">
        <f t="shared" si="17"/>
        <v>202107</v>
      </c>
      <c r="E561" s="5" t="s">
        <v>2</v>
      </c>
      <c r="F561" s="5" t="s">
        <v>11</v>
      </c>
      <c r="G561" s="5" t="s">
        <v>37</v>
      </c>
      <c r="H561">
        <v>79</v>
      </c>
      <c r="I561" s="4">
        <v>561058</v>
      </c>
      <c r="J561" s="4">
        <v>315209.99999999994</v>
      </c>
    </row>
    <row r="562" spans="2:10" x14ac:dyDescent="0.3">
      <c r="B562" s="7">
        <v>44409</v>
      </c>
      <c r="C562" s="3">
        <f t="shared" si="16"/>
        <v>2021</v>
      </c>
      <c r="D562" s="3">
        <f t="shared" si="17"/>
        <v>202108</v>
      </c>
      <c r="E562" s="5" t="s">
        <v>2</v>
      </c>
      <c r="F562" s="5" t="s">
        <v>11</v>
      </c>
      <c r="G562" s="5" t="s">
        <v>37</v>
      </c>
      <c r="H562">
        <v>66</v>
      </c>
      <c r="I562" s="4">
        <v>504900</v>
      </c>
      <c r="J562" s="4">
        <v>263339.99999999994</v>
      </c>
    </row>
    <row r="563" spans="2:10" x14ac:dyDescent="0.3">
      <c r="B563" s="7">
        <v>44440</v>
      </c>
      <c r="C563" s="3">
        <f t="shared" si="16"/>
        <v>2021</v>
      </c>
      <c r="D563" s="3">
        <f t="shared" si="17"/>
        <v>202109</v>
      </c>
      <c r="E563" s="5" t="s">
        <v>2</v>
      </c>
      <c r="F563" s="5" t="s">
        <v>11</v>
      </c>
      <c r="G563" s="5" t="s">
        <v>37</v>
      </c>
      <c r="H563">
        <v>71</v>
      </c>
      <c r="I563" s="4">
        <v>547410</v>
      </c>
      <c r="J563" s="4">
        <v>283289.99999999994</v>
      </c>
    </row>
    <row r="564" spans="2:10" x14ac:dyDescent="0.3">
      <c r="B564" s="7">
        <v>44470</v>
      </c>
      <c r="C564" s="3">
        <f t="shared" si="16"/>
        <v>2021</v>
      </c>
      <c r="D564" s="3">
        <f t="shared" si="17"/>
        <v>202110</v>
      </c>
      <c r="E564" s="5" t="s">
        <v>2</v>
      </c>
      <c r="F564" s="5" t="s">
        <v>11</v>
      </c>
      <c r="G564" s="5" t="s">
        <v>37</v>
      </c>
      <c r="H564">
        <v>58</v>
      </c>
      <c r="I564" s="4">
        <v>510864</v>
      </c>
      <c r="J564" s="4">
        <v>231419.99999999997</v>
      </c>
    </row>
    <row r="565" spans="2:10" x14ac:dyDescent="0.3">
      <c r="B565" s="7">
        <v>44501</v>
      </c>
      <c r="C565" s="3">
        <f t="shared" si="16"/>
        <v>2021</v>
      </c>
      <c r="D565" s="3">
        <f t="shared" si="17"/>
        <v>202111</v>
      </c>
      <c r="E565" s="5" t="s">
        <v>2</v>
      </c>
      <c r="F565" s="5" t="s">
        <v>11</v>
      </c>
      <c r="G565" s="5" t="s">
        <v>37</v>
      </c>
      <c r="H565">
        <v>42</v>
      </c>
      <c r="I565" s="4">
        <v>347046</v>
      </c>
      <c r="J565" s="4">
        <v>167579.99999999997</v>
      </c>
    </row>
    <row r="566" spans="2:10" x14ac:dyDescent="0.3">
      <c r="B566" s="7">
        <v>44531</v>
      </c>
      <c r="C566" s="3">
        <f t="shared" si="16"/>
        <v>2021</v>
      </c>
      <c r="D566" s="3">
        <f t="shared" si="17"/>
        <v>202112</v>
      </c>
      <c r="E566" s="5" t="s">
        <v>2</v>
      </c>
      <c r="F566" s="5" t="s">
        <v>11</v>
      </c>
      <c r="G566" s="5" t="s">
        <v>37</v>
      </c>
      <c r="H566">
        <v>50</v>
      </c>
      <c r="I566" s="4">
        <v>405050</v>
      </c>
      <c r="J566" s="4">
        <v>199499.99999999997</v>
      </c>
    </row>
    <row r="567" spans="2:10" x14ac:dyDescent="0.3">
      <c r="B567" s="7">
        <v>44562</v>
      </c>
      <c r="C567" s="3">
        <f t="shared" si="16"/>
        <v>2022</v>
      </c>
      <c r="D567" s="3">
        <f t="shared" si="17"/>
        <v>202201</v>
      </c>
      <c r="E567" s="5" t="s">
        <v>2</v>
      </c>
      <c r="F567" s="5" t="s">
        <v>11</v>
      </c>
      <c r="G567" s="5" t="s">
        <v>37</v>
      </c>
      <c r="H567">
        <v>73</v>
      </c>
      <c r="I567" s="4">
        <v>614441</v>
      </c>
      <c r="J567" s="4">
        <v>291269.99999999994</v>
      </c>
    </row>
    <row r="568" spans="2:10" x14ac:dyDescent="0.3">
      <c r="B568" s="7">
        <v>44593</v>
      </c>
      <c r="C568" s="3">
        <f t="shared" si="16"/>
        <v>2022</v>
      </c>
      <c r="D568" s="3">
        <f t="shared" si="17"/>
        <v>202202</v>
      </c>
      <c r="E568" s="5" t="s">
        <v>2</v>
      </c>
      <c r="F568" s="5" t="s">
        <v>11</v>
      </c>
      <c r="G568" s="5" t="s">
        <v>37</v>
      </c>
      <c r="H568">
        <v>46</v>
      </c>
      <c r="I568" s="4">
        <v>384008</v>
      </c>
      <c r="J568" s="4">
        <v>183539.99999999997</v>
      </c>
    </row>
    <row r="569" spans="2:10" x14ac:dyDescent="0.3">
      <c r="B569" s="7">
        <v>44621</v>
      </c>
      <c r="C569" s="3">
        <f t="shared" si="16"/>
        <v>2022</v>
      </c>
      <c r="D569" s="3">
        <f t="shared" si="17"/>
        <v>202203</v>
      </c>
      <c r="E569" s="5" t="s">
        <v>2</v>
      </c>
      <c r="F569" s="5" t="s">
        <v>11</v>
      </c>
      <c r="G569" s="5" t="s">
        <v>37</v>
      </c>
      <c r="H569">
        <v>37</v>
      </c>
      <c r="I569" s="4">
        <v>297813</v>
      </c>
      <c r="J569" s="4">
        <v>147629.99999999997</v>
      </c>
    </row>
    <row r="570" spans="2:10" x14ac:dyDescent="0.3">
      <c r="B570" s="7">
        <v>44652</v>
      </c>
      <c r="C570" s="3">
        <f t="shared" si="16"/>
        <v>2022</v>
      </c>
      <c r="D570" s="3">
        <f t="shared" si="17"/>
        <v>202204</v>
      </c>
      <c r="E570" s="5" t="s">
        <v>2</v>
      </c>
      <c r="F570" s="5" t="s">
        <v>11</v>
      </c>
      <c r="G570" s="5" t="s">
        <v>37</v>
      </c>
      <c r="H570">
        <v>68</v>
      </c>
      <c r="I570" s="4">
        <v>595952</v>
      </c>
      <c r="J570" s="4">
        <v>271319.99999999994</v>
      </c>
    </row>
    <row r="571" spans="2:10" x14ac:dyDescent="0.3">
      <c r="B571" s="7">
        <v>44682</v>
      </c>
      <c r="C571" s="3">
        <f t="shared" si="16"/>
        <v>2022</v>
      </c>
      <c r="D571" s="3">
        <f t="shared" si="17"/>
        <v>202205</v>
      </c>
      <c r="E571" s="5" t="s">
        <v>2</v>
      </c>
      <c r="F571" s="5" t="s">
        <v>11</v>
      </c>
      <c r="G571" s="5" t="s">
        <v>37</v>
      </c>
      <c r="H571">
        <v>87</v>
      </c>
      <c r="I571" s="4">
        <v>736542</v>
      </c>
      <c r="J571" s="4">
        <v>347129.99999999994</v>
      </c>
    </row>
    <row r="572" spans="2:10" x14ac:dyDescent="0.3">
      <c r="B572" s="7">
        <v>44713</v>
      </c>
      <c r="C572" s="3">
        <f t="shared" si="16"/>
        <v>2022</v>
      </c>
      <c r="D572" s="3">
        <f t="shared" si="17"/>
        <v>202206</v>
      </c>
      <c r="E572" s="5" t="s">
        <v>2</v>
      </c>
      <c r="F572" s="5" t="s">
        <v>11</v>
      </c>
      <c r="G572" s="5" t="s">
        <v>37</v>
      </c>
      <c r="H572">
        <v>82</v>
      </c>
      <c r="I572" s="4">
        <v>711350</v>
      </c>
      <c r="J572" s="4">
        <v>327179.99999999994</v>
      </c>
    </row>
    <row r="573" spans="2:10" x14ac:dyDescent="0.3">
      <c r="B573" s="7">
        <v>44743</v>
      </c>
      <c r="C573" s="3">
        <f t="shared" si="16"/>
        <v>2022</v>
      </c>
      <c r="D573" s="3">
        <f t="shared" si="17"/>
        <v>202207</v>
      </c>
      <c r="E573" s="5" t="s">
        <v>2</v>
      </c>
      <c r="F573" s="5" t="s">
        <v>11</v>
      </c>
      <c r="G573" s="5" t="s">
        <v>37</v>
      </c>
      <c r="H573">
        <v>87</v>
      </c>
      <c r="I573" s="4">
        <v>612567</v>
      </c>
      <c r="J573" s="4">
        <v>347129.99999999994</v>
      </c>
    </row>
    <row r="574" spans="2:10" x14ac:dyDescent="0.3">
      <c r="B574" s="7">
        <v>44774</v>
      </c>
      <c r="C574" s="3">
        <f t="shared" si="16"/>
        <v>2022</v>
      </c>
      <c r="D574" s="3">
        <f t="shared" si="17"/>
        <v>202208</v>
      </c>
      <c r="E574" s="5" t="s">
        <v>2</v>
      </c>
      <c r="F574" s="5" t="s">
        <v>11</v>
      </c>
      <c r="G574" s="5" t="s">
        <v>37</v>
      </c>
      <c r="H574">
        <v>73</v>
      </c>
      <c r="I574" s="4">
        <v>599841</v>
      </c>
      <c r="J574" s="4">
        <v>291269.99999999994</v>
      </c>
    </row>
    <row r="575" spans="2:10" x14ac:dyDescent="0.3">
      <c r="B575" s="7">
        <v>44805</v>
      </c>
      <c r="C575" s="3">
        <f t="shared" si="16"/>
        <v>2022</v>
      </c>
      <c r="D575" s="3">
        <f t="shared" si="17"/>
        <v>202209</v>
      </c>
      <c r="E575" s="5" t="s">
        <v>2</v>
      </c>
      <c r="F575" s="5" t="s">
        <v>11</v>
      </c>
      <c r="G575" s="5" t="s">
        <v>37</v>
      </c>
      <c r="H575">
        <v>78</v>
      </c>
      <c r="I575" s="4">
        <v>574002</v>
      </c>
      <c r="J575" s="4">
        <v>311219.99999999994</v>
      </c>
    </row>
    <row r="576" spans="2:10" x14ac:dyDescent="0.3">
      <c r="B576" s="7">
        <v>44835</v>
      </c>
      <c r="C576" s="3">
        <f t="shared" si="16"/>
        <v>2022</v>
      </c>
      <c r="D576" s="3">
        <f t="shared" si="17"/>
        <v>202210</v>
      </c>
      <c r="E576" s="5" t="s">
        <v>2</v>
      </c>
      <c r="F576" s="5" t="s">
        <v>11</v>
      </c>
      <c r="G576" s="5" t="s">
        <v>37</v>
      </c>
      <c r="H576">
        <v>64</v>
      </c>
      <c r="I576" s="4">
        <v>564032</v>
      </c>
      <c r="J576" s="4">
        <v>255359.99999999997</v>
      </c>
    </row>
    <row r="577" spans="2:10" x14ac:dyDescent="0.3">
      <c r="B577" s="7">
        <v>44866</v>
      </c>
      <c r="C577" s="3">
        <f t="shared" si="16"/>
        <v>2022</v>
      </c>
      <c r="D577" s="3">
        <f t="shared" si="17"/>
        <v>202211</v>
      </c>
      <c r="E577" s="5" t="s">
        <v>2</v>
      </c>
      <c r="F577" s="5" t="s">
        <v>11</v>
      </c>
      <c r="G577" s="5" t="s">
        <v>37</v>
      </c>
      <c r="H577">
        <v>46</v>
      </c>
      <c r="I577" s="4">
        <v>386538</v>
      </c>
      <c r="J577" s="4">
        <v>183539.99999999997</v>
      </c>
    </row>
    <row r="578" spans="2:10" x14ac:dyDescent="0.3">
      <c r="B578" s="7">
        <v>44896</v>
      </c>
      <c r="C578" s="3">
        <f t="shared" si="16"/>
        <v>2022</v>
      </c>
      <c r="D578" s="3">
        <f t="shared" si="17"/>
        <v>202212</v>
      </c>
      <c r="E578" s="5" t="s">
        <v>2</v>
      </c>
      <c r="F578" s="5" t="s">
        <v>11</v>
      </c>
      <c r="G578" s="5" t="s">
        <v>37</v>
      </c>
      <c r="H578">
        <v>55</v>
      </c>
      <c r="I578" s="4">
        <v>451715</v>
      </c>
      <c r="J578" s="4">
        <v>219449.99999999997</v>
      </c>
    </row>
    <row r="579" spans="2:10" x14ac:dyDescent="0.3">
      <c r="B579" s="7">
        <v>44197</v>
      </c>
      <c r="C579" s="3">
        <f t="shared" ref="C579:C642" si="18">YEAR(B579)</f>
        <v>2021</v>
      </c>
      <c r="D579" s="3">
        <f t="shared" ref="D579:D642" si="19">VALUE(TEXT(B579,"ГГГГММ"))</f>
        <v>202101</v>
      </c>
      <c r="E579" s="5" t="s">
        <v>2</v>
      </c>
      <c r="F579" s="5" t="s">
        <v>11</v>
      </c>
      <c r="G579" s="5" t="s">
        <v>38</v>
      </c>
      <c r="H579">
        <v>58</v>
      </c>
      <c r="I579" s="4">
        <v>591600</v>
      </c>
      <c r="J579" s="4">
        <v>241570</v>
      </c>
    </row>
    <row r="580" spans="2:10" x14ac:dyDescent="0.3">
      <c r="B580" s="7">
        <v>44228</v>
      </c>
      <c r="C580" s="3">
        <f t="shared" si="18"/>
        <v>2021</v>
      </c>
      <c r="D580" s="3">
        <f t="shared" si="19"/>
        <v>202102</v>
      </c>
      <c r="E580" s="5" t="s">
        <v>2</v>
      </c>
      <c r="F580" s="5" t="s">
        <v>11</v>
      </c>
      <c r="G580" s="5" t="s">
        <v>38</v>
      </c>
      <c r="H580">
        <v>36</v>
      </c>
      <c r="I580" s="4">
        <v>352980</v>
      </c>
      <c r="J580" s="4">
        <v>149940</v>
      </c>
    </row>
    <row r="581" spans="2:10" x14ac:dyDescent="0.3">
      <c r="B581" s="7">
        <v>44256</v>
      </c>
      <c r="C581" s="3">
        <f t="shared" si="18"/>
        <v>2021</v>
      </c>
      <c r="D581" s="3">
        <f t="shared" si="19"/>
        <v>202103</v>
      </c>
      <c r="E581" s="5" t="s">
        <v>2</v>
      </c>
      <c r="F581" s="5" t="s">
        <v>11</v>
      </c>
      <c r="G581" s="5" t="s">
        <v>38</v>
      </c>
      <c r="H581">
        <v>29</v>
      </c>
      <c r="I581" s="4">
        <v>247312</v>
      </c>
      <c r="J581" s="4">
        <v>120785</v>
      </c>
    </row>
    <row r="582" spans="2:10" x14ac:dyDescent="0.3">
      <c r="B582" s="7">
        <v>44287</v>
      </c>
      <c r="C582" s="3">
        <f t="shared" si="18"/>
        <v>2021</v>
      </c>
      <c r="D582" s="3">
        <f t="shared" si="19"/>
        <v>202104</v>
      </c>
      <c r="E582" s="5" t="s">
        <v>2</v>
      </c>
      <c r="F582" s="5" t="s">
        <v>11</v>
      </c>
      <c r="G582" s="5" t="s">
        <v>38</v>
      </c>
      <c r="H582">
        <v>54</v>
      </c>
      <c r="I582" s="4">
        <v>541080</v>
      </c>
      <c r="J582" s="4">
        <v>224910</v>
      </c>
    </row>
    <row r="583" spans="2:10" x14ac:dyDescent="0.3">
      <c r="B583" s="7">
        <v>44317</v>
      </c>
      <c r="C583" s="3">
        <f t="shared" si="18"/>
        <v>2021</v>
      </c>
      <c r="D583" s="3">
        <f t="shared" si="19"/>
        <v>202105</v>
      </c>
      <c r="E583" s="5" t="s">
        <v>2</v>
      </c>
      <c r="F583" s="5" t="s">
        <v>11</v>
      </c>
      <c r="G583" s="5" t="s">
        <v>38</v>
      </c>
      <c r="H583">
        <v>69</v>
      </c>
      <c r="I583" s="4">
        <v>710562</v>
      </c>
      <c r="J583" s="4">
        <v>287385</v>
      </c>
    </row>
    <row r="584" spans="2:10" x14ac:dyDescent="0.3">
      <c r="B584" s="7">
        <v>44348</v>
      </c>
      <c r="C584" s="3">
        <f t="shared" si="18"/>
        <v>2021</v>
      </c>
      <c r="D584" s="3">
        <f t="shared" si="19"/>
        <v>202106</v>
      </c>
      <c r="E584" s="5" t="s">
        <v>2</v>
      </c>
      <c r="F584" s="5" t="s">
        <v>11</v>
      </c>
      <c r="G584" s="5" t="s">
        <v>38</v>
      </c>
      <c r="H584">
        <v>65</v>
      </c>
      <c r="I584" s="4">
        <v>651365</v>
      </c>
      <c r="J584" s="4">
        <v>270725</v>
      </c>
    </row>
    <row r="585" spans="2:10" x14ac:dyDescent="0.3">
      <c r="B585" s="7">
        <v>44378</v>
      </c>
      <c r="C585" s="3">
        <f t="shared" si="18"/>
        <v>2021</v>
      </c>
      <c r="D585" s="3">
        <f t="shared" si="19"/>
        <v>202107</v>
      </c>
      <c r="E585" s="5" t="s">
        <v>2</v>
      </c>
      <c r="F585" s="5" t="s">
        <v>11</v>
      </c>
      <c r="G585" s="5" t="s">
        <v>38</v>
      </c>
      <c r="H585">
        <v>69</v>
      </c>
      <c r="I585" s="4">
        <v>578151</v>
      </c>
      <c r="J585" s="4">
        <v>287385</v>
      </c>
    </row>
    <row r="586" spans="2:10" x14ac:dyDescent="0.3">
      <c r="B586" s="7">
        <v>44409</v>
      </c>
      <c r="C586" s="3">
        <f t="shared" si="18"/>
        <v>2021</v>
      </c>
      <c r="D586" s="3">
        <f t="shared" si="19"/>
        <v>202108</v>
      </c>
      <c r="E586" s="5" t="s">
        <v>2</v>
      </c>
      <c r="F586" s="5" t="s">
        <v>11</v>
      </c>
      <c r="G586" s="5" t="s">
        <v>38</v>
      </c>
      <c r="H586">
        <v>58</v>
      </c>
      <c r="I586" s="4">
        <v>549260</v>
      </c>
      <c r="J586" s="4">
        <v>241570</v>
      </c>
    </row>
    <row r="587" spans="2:10" x14ac:dyDescent="0.3">
      <c r="B587" s="7">
        <v>44440</v>
      </c>
      <c r="C587" s="3">
        <f t="shared" si="18"/>
        <v>2021</v>
      </c>
      <c r="D587" s="3">
        <f t="shared" si="19"/>
        <v>202109</v>
      </c>
      <c r="E587" s="5" t="s">
        <v>2</v>
      </c>
      <c r="F587" s="5" t="s">
        <v>11</v>
      </c>
      <c r="G587" s="5" t="s">
        <v>38</v>
      </c>
      <c r="H587">
        <v>62</v>
      </c>
      <c r="I587" s="4">
        <v>564386</v>
      </c>
      <c r="J587" s="4">
        <v>258230</v>
      </c>
    </row>
    <row r="588" spans="2:10" x14ac:dyDescent="0.3">
      <c r="B588" s="7">
        <v>44470</v>
      </c>
      <c r="C588" s="3">
        <f t="shared" si="18"/>
        <v>2021</v>
      </c>
      <c r="D588" s="3">
        <f t="shared" si="19"/>
        <v>202110</v>
      </c>
      <c r="E588" s="5" t="s">
        <v>2</v>
      </c>
      <c r="F588" s="5" t="s">
        <v>11</v>
      </c>
      <c r="G588" s="5" t="s">
        <v>38</v>
      </c>
      <c r="H588">
        <v>51</v>
      </c>
      <c r="I588" s="4">
        <v>502299</v>
      </c>
      <c r="J588" s="4">
        <v>212415</v>
      </c>
    </row>
    <row r="589" spans="2:10" x14ac:dyDescent="0.3">
      <c r="B589" s="7">
        <v>44501</v>
      </c>
      <c r="C589" s="3">
        <f t="shared" si="18"/>
        <v>2021</v>
      </c>
      <c r="D589" s="3">
        <f t="shared" si="19"/>
        <v>202111</v>
      </c>
      <c r="E589" s="5" t="s">
        <v>2</v>
      </c>
      <c r="F589" s="5" t="s">
        <v>11</v>
      </c>
      <c r="G589" s="5" t="s">
        <v>38</v>
      </c>
      <c r="H589">
        <v>36</v>
      </c>
      <c r="I589" s="4">
        <v>349308</v>
      </c>
      <c r="J589" s="4">
        <v>149940</v>
      </c>
    </row>
    <row r="590" spans="2:10" x14ac:dyDescent="0.3">
      <c r="B590" s="7">
        <v>44531</v>
      </c>
      <c r="C590" s="3">
        <f t="shared" si="18"/>
        <v>2021</v>
      </c>
      <c r="D590" s="3">
        <f t="shared" si="19"/>
        <v>202112</v>
      </c>
      <c r="E590" s="5" t="s">
        <v>2</v>
      </c>
      <c r="F590" s="5" t="s">
        <v>11</v>
      </c>
      <c r="G590" s="5" t="s">
        <v>38</v>
      </c>
      <c r="H590">
        <v>44</v>
      </c>
      <c r="I590" s="4">
        <v>401412</v>
      </c>
      <c r="J590" s="4">
        <v>183260</v>
      </c>
    </row>
    <row r="591" spans="2:10" x14ac:dyDescent="0.3">
      <c r="B591" s="7">
        <v>44562</v>
      </c>
      <c r="C591" s="3">
        <f t="shared" si="18"/>
        <v>2022</v>
      </c>
      <c r="D591" s="3">
        <f t="shared" si="19"/>
        <v>202201</v>
      </c>
      <c r="E591" s="5" t="s">
        <v>2</v>
      </c>
      <c r="F591" s="5" t="s">
        <v>11</v>
      </c>
      <c r="G591" s="5" t="s">
        <v>38</v>
      </c>
      <c r="H591">
        <v>64</v>
      </c>
      <c r="I591" s="4">
        <v>635904</v>
      </c>
      <c r="J591" s="4">
        <v>266560</v>
      </c>
    </row>
    <row r="592" spans="2:10" x14ac:dyDescent="0.3">
      <c r="B592" s="7">
        <v>44593</v>
      </c>
      <c r="C592" s="3">
        <f t="shared" si="18"/>
        <v>2022</v>
      </c>
      <c r="D592" s="3">
        <f t="shared" si="19"/>
        <v>202202</v>
      </c>
      <c r="E592" s="5" t="s">
        <v>2</v>
      </c>
      <c r="F592" s="5" t="s">
        <v>11</v>
      </c>
      <c r="G592" s="5" t="s">
        <v>38</v>
      </c>
      <c r="H592">
        <v>40</v>
      </c>
      <c r="I592" s="4">
        <v>403080</v>
      </c>
      <c r="J592" s="4">
        <v>166600</v>
      </c>
    </row>
    <row r="593" spans="2:10" x14ac:dyDescent="0.3">
      <c r="B593" s="7">
        <v>44621</v>
      </c>
      <c r="C593" s="3">
        <f t="shared" si="18"/>
        <v>2022</v>
      </c>
      <c r="D593" s="3">
        <f t="shared" si="19"/>
        <v>202203</v>
      </c>
      <c r="E593" s="5" t="s">
        <v>2</v>
      </c>
      <c r="F593" s="5" t="s">
        <v>11</v>
      </c>
      <c r="G593" s="5" t="s">
        <v>38</v>
      </c>
      <c r="H593">
        <v>32</v>
      </c>
      <c r="I593" s="4">
        <v>296096</v>
      </c>
      <c r="J593" s="4">
        <v>133280</v>
      </c>
    </row>
    <row r="594" spans="2:10" x14ac:dyDescent="0.3">
      <c r="B594" s="7">
        <v>44652</v>
      </c>
      <c r="C594" s="3">
        <f t="shared" si="18"/>
        <v>2022</v>
      </c>
      <c r="D594" s="3">
        <f t="shared" si="19"/>
        <v>202204</v>
      </c>
      <c r="E594" s="5" t="s">
        <v>2</v>
      </c>
      <c r="F594" s="5" t="s">
        <v>11</v>
      </c>
      <c r="G594" s="5" t="s">
        <v>38</v>
      </c>
      <c r="H594">
        <v>60</v>
      </c>
      <c r="I594" s="4">
        <v>609960</v>
      </c>
      <c r="J594" s="4">
        <v>249900</v>
      </c>
    </row>
    <row r="595" spans="2:10" x14ac:dyDescent="0.3">
      <c r="B595" s="7">
        <v>44682</v>
      </c>
      <c r="C595" s="3">
        <f t="shared" si="18"/>
        <v>2022</v>
      </c>
      <c r="D595" s="3">
        <f t="shared" si="19"/>
        <v>202205</v>
      </c>
      <c r="E595" s="5" t="s">
        <v>2</v>
      </c>
      <c r="F595" s="5" t="s">
        <v>11</v>
      </c>
      <c r="G595" s="5" t="s">
        <v>38</v>
      </c>
      <c r="H595">
        <v>76</v>
      </c>
      <c r="I595" s="4">
        <v>786296</v>
      </c>
      <c r="J595" s="4">
        <v>316540</v>
      </c>
    </row>
    <row r="596" spans="2:10" x14ac:dyDescent="0.3">
      <c r="B596" s="7">
        <v>44713</v>
      </c>
      <c r="C596" s="3">
        <f t="shared" si="18"/>
        <v>2022</v>
      </c>
      <c r="D596" s="3">
        <f t="shared" si="19"/>
        <v>202206</v>
      </c>
      <c r="E596" s="5" t="s">
        <v>2</v>
      </c>
      <c r="F596" s="5" t="s">
        <v>11</v>
      </c>
      <c r="G596" s="5" t="s">
        <v>38</v>
      </c>
      <c r="H596">
        <v>72</v>
      </c>
      <c r="I596" s="4">
        <v>693144</v>
      </c>
      <c r="J596" s="4">
        <v>299880</v>
      </c>
    </row>
    <row r="597" spans="2:10" x14ac:dyDescent="0.3">
      <c r="B597" s="7">
        <v>44743</v>
      </c>
      <c r="C597" s="3">
        <f t="shared" si="18"/>
        <v>2022</v>
      </c>
      <c r="D597" s="3">
        <f t="shared" si="19"/>
        <v>202207</v>
      </c>
      <c r="E597" s="5" t="s">
        <v>2</v>
      </c>
      <c r="F597" s="5" t="s">
        <v>11</v>
      </c>
      <c r="G597" s="5" t="s">
        <v>38</v>
      </c>
      <c r="H597">
        <v>76</v>
      </c>
      <c r="I597" s="4">
        <v>635056</v>
      </c>
      <c r="J597" s="4">
        <v>316540</v>
      </c>
    </row>
    <row r="598" spans="2:10" x14ac:dyDescent="0.3">
      <c r="B598" s="7">
        <v>44774</v>
      </c>
      <c r="C598" s="3">
        <f t="shared" si="18"/>
        <v>2022</v>
      </c>
      <c r="D598" s="3">
        <f t="shared" si="19"/>
        <v>202208</v>
      </c>
      <c r="E598" s="5" t="s">
        <v>2</v>
      </c>
      <c r="F598" s="5" t="s">
        <v>11</v>
      </c>
      <c r="G598" s="5" t="s">
        <v>38</v>
      </c>
      <c r="H598">
        <v>64</v>
      </c>
      <c r="I598" s="4">
        <v>612672</v>
      </c>
      <c r="J598" s="4">
        <v>266560</v>
      </c>
    </row>
    <row r="599" spans="2:10" x14ac:dyDescent="0.3">
      <c r="B599" s="7">
        <v>44805</v>
      </c>
      <c r="C599" s="3">
        <f t="shared" si="18"/>
        <v>2022</v>
      </c>
      <c r="D599" s="3">
        <f t="shared" si="19"/>
        <v>202209</v>
      </c>
      <c r="E599" s="5" t="s">
        <v>2</v>
      </c>
      <c r="F599" s="5" t="s">
        <v>11</v>
      </c>
      <c r="G599" s="5" t="s">
        <v>38</v>
      </c>
      <c r="H599">
        <v>68</v>
      </c>
      <c r="I599" s="4">
        <v>625396</v>
      </c>
      <c r="J599" s="4">
        <v>283220</v>
      </c>
    </row>
    <row r="600" spans="2:10" x14ac:dyDescent="0.3">
      <c r="B600" s="7">
        <v>44835</v>
      </c>
      <c r="C600" s="3">
        <f t="shared" si="18"/>
        <v>2022</v>
      </c>
      <c r="D600" s="3">
        <f t="shared" si="19"/>
        <v>202210</v>
      </c>
      <c r="E600" s="5" t="s">
        <v>2</v>
      </c>
      <c r="F600" s="5" t="s">
        <v>11</v>
      </c>
      <c r="G600" s="5" t="s">
        <v>38</v>
      </c>
      <c r="H600">
        <v>56</v>
      </c>
      <c r="I600" s="4">
        <v>533120</v>
      </c>
      <c r="J600" s="4">
        <v>233240</v>
      </c>
    </row>
    <row r="601" spans="2:10" x14ac:dyDescent="0.3">
      <c r="B601" s="7">
        <v>44866</v>
      </c>
      <c r="C601" s="3">
        <f t="shared" si="18"/>
        <v>2022</v>
      </c>
      <c r="D601" s="3">
        <f t="shared" si="19"/>
        <v>202211</v>
      </c>
      <c r="E601" s="5" t="s">
        <v>2</v>
      </c>
      <c r="F601" s="5" t="s">
        <v>11</v>
      </c>
      <c r="G601" s="5" t="s">
        <v>38</v>
      </c>
      <c r="H601">
        <v>40</v>
      </c>
      <c r="I601" s="4">
        <v>410760</v>
      </c>
      <c r="J601" s="4">
        <v>166600</v>
      </c>
    </row>
    <row r="602" spans="2:10" x14ac:dyDescent="0.3">
      <c r="B602" s="7">
        <v>44896</v>
      </c>
      <c r="C602" s="3">
        <f t="shared" si="18"/>
        <v>2022</v>
      </c>
      <c r="D602" s="3">
        <f t="shared" si="19"/>
        <v>202212</v>
      </c>
      <c r="E602" s="5" t="s">
        <v>2</v>
      </c>
      <c r="F602" s="5" t="s">
        <v>11</v>
      </c>
      <c r="G602" s="5" t="s">
        <v>38</v>
      </c>
      <c r="H602">
        <v>48</v>
      </c>
      <c r="I602" s="4">
        <v>457872</v>
      </c>
      <c r="J602" s="4">
        <v>199920</v>
      </c>
    </row>
    <row r="603" spans="2:10" x14ac:dyDescent="0.3">
      <c r="B603" s="7">
        <v>44197</v>
      </c>
      <c r="C603" s="3">
        <f t="shared" si="18"/>
        <v>2021</v>
      </c>
      <c r="D603" s="3">
        <f t="shared" si="19"/>
        <v>202101</v>
      </c>
      <c r="E603" s="5" t="s">
        <v>2</v>
      </c>
      <c r="F603" s="5" t="s">
        <v>11</v>
      </c>
      <c r="G603" s="5" t="s">
        <v>39</v>
      </c>
      <c r="H603">
        <v>58</v>
      </c>
      <c r="I603" s="4">
        <v>438074</v>
      </c>
      <c r="J603" s="4">
        <v>177480</v>
      </c>
    </row>
    <row r="604" spans="2:10" x14ac:dyDescent="0.3">
      <c r="B604" s="7">
        <v>44228</v>
      </c>
      <c r="C604" s="3">
        <f t="shared" si="18"/>
        <v>2021</v>
      </c>
      <c r="D604" s="3">
        <f t="shared" si="19"/>
        <v>202102</v>
      </c>
      <c r="E604" s="5" t="s">
        <v>2</v>
      </c>
      <c r="F604" s="5" t="s">
        <v>11</v>
      </c>
      <c r="G604" s="5" t="s">
        <v>39</v>
      </c>
      <c r="H604">
        <v>36</v>
      </c>
      <c r="I604" s="4">
        <v>259956</v>
      </c>
      <c r="J604" s="4">
        <v>110160</v>
      </c>
    </row>
    <row r="605" spans="2:10" x14ac:dyDescent="0.3">
      <c r="B605" s="7">
        <v>44256</v>
      </c>
      <c r="C605" s="3">
        <f t="shared" si="18"/>
        <v>2021</v>
      </c>
      <c r="D605" s="3">
        <f t="shared" si="19"/>
        <v>202103</v>
      </c>
      <c r="E605" s="5" t="s">
        <v>2</v>
      </c>
      <c r="F605" s="5" t="s">
        <v>11</v>
      </c>
      <c r="G605" s="5" t="s">
        <v>39</v>
      </c>
      <c r="H605">
        <v>29</v>
      </c>
      <c r="I605" s="4">
        <v>205639</v>
      </c>
      <c r="J605" s="4">
        <v>88740</v>
      </c>
    </row>
    <row r="606" spans="2:10" x14ac:dyDescent="0.3">
      <c r="B606" s="7">
        <v>44287</v>
      </c>
      <c r="C606" s="3">
        <f t="shared" si="18"/>
        <v>2021</v>
      </c>
      <c r="D606" s="3">
        <f t="shared" si="19"/>
        <v>202104</v>
      </c>
      <c r="E606" s="5" t="s">
        <v>2</v>
      </c>
      <c r="F606" s="5" t="s">
        <v>11</v>
      </c>
      <c r="G606" s="5" t="s">
        <v>39</v>
      </c>
      <c r="H606">
        <v>54</v>
      </c>
      <c r="I606" s="4">
        <v>432162</v>
      </c>
      <c r="J606" s="4">
        <v>165240</v>
      </c>
    </row>
    <row r="607" spans="2:10" x14ac:dyDescent="0.3">
      <c r="B607" s="7">
        <v>44317</v>
      </c>
      <c r="C607" s="3">
        <f t="shared" si="18"/>
        <v>2021</v>
      </c>
      <c r="D607" s="3">
        <f t="shared" si="19"/>
        <v>202105</v>
      </c>
      <c r="E607" s="5" t="s">
        <v>2</v>
      </c>
      <c r="F607" s="5" t="s">
        <v>11</v>
      </c>
      <c r="G607" s="5" t="s">
        <v>39</v>
      </c>
      <c r="H607">
        <v>69</v>
      </c>
      <c r="I607" s="4">
        <v>566007</v>
      </c>
      <c r="J607" s="4">
        <v>211140</v>
      </c>
    </row>
    <row r="608" spans="2:10" x14ac:dyDescent="0.3">
      <c r="B608" s="7">
        <v>44348</v>
      </c>
      <c r="C608" s="3">
        <f t="shared" si="18"/>
        <v>2021</v>
      </c>
      <c r="D608" s="3">
        <f t="shared" si="19"/>
        <v>202106</v>
      </c>
      <c r="E608" s="5" t="s">
        <v>2</v>
      </c>
      <c r="F608" s="5" t="s">
        <v>11</v>
      </c>
      <c r="G608" s="5" t="s">
        <v>39</v>
      </c>
      <c r="H608">
        <v>65</v>
      </c>
      <c r="I608" s="4">
        <v>486980</v>
      </c>
      <c r="J608" s="4">
        <v>198900</v>
      </c>
    </row>
    <row r="609" spans="2:10" x14ac:dyDescent="0.3">
      <c r="B609" s="7">
        <v>44378</v>
      </c>
      <c r="C609" s="3">
        <f t="shared" si="18"/>
        <v>2021</v>
      </c>
      <c r="D609" s="3">
        <f t="shared" si="19"/>
        <v>202107</v>
      </c>
      <c r="E609" s="5" t="s">
        <v>2</v>
      </c>
      <c r="F609" s="5" t="s">
        <v>11</v>
      </c>
      <c r="G609" s="5" t="s">
        <v>39</v>
      </c>
      <c r="H609">
        <v>69</v>
      </c>
      <c r="I609" s="4">
        <v>360042</v>
      </c>
      <c r="J609" s="4">
        <v>211140</v>
      </c>
    </row>
    <row r="610" spans="2:10" x14ac:dyDescent="0.3">
      <c r="B610" s="7">
        <v>44409</v>
      </c>
      <c r="C610" s="3">
        <f t="shared" si="18"/>
        <v>2021</v>
      </c>
      <c r="D610" s="3">
        <f t="shared" si="19"/>
        <v>202108</v>
      </c>
      <c r="E610" s="5" t="s">
        <v>2</v>
      </c>
      <c r="F610" s="5" t="s">
        <v>11</v>
      </c>
      <c r="G610" s="5" t="s">
        <v>39</v>
      </c>
      <c r="H610">
        <v>58</v>
      </c>
      <c r="I610" s="4">
        <v>374738</v>
      </c>
      <c r="J610" s="4">
        <v>177480</v>
      </c>
    </row>
    <row r="611" spans="2:10" x14ac:dyDescent="0.3">
      <c r="B611" s="7">
        <v>44440</v>
      </c>
      <c r="C611" s="3">
        <f t="shared" si="18"/>
        <v>2021</v>
      </c>
      <c r="D611" s="3">
        <f t="shared" si="19"/>
        <v>202109</v>
      </c>
      <c r="E611" s="5" t="s">
        <v>2</v>
      </c>
      <c r="F611" s="5" t="s">
        <v>11</v>
      </c>
      <c r="G611" s="5" t="s">
        <v>39</v>
      </c>
      <c r="H611">
        <v>62</v>
      </c>
      <c r="I611" s="4">
        <v>442618</v>
      </c>
      <c r="J611" s="4">
        <v>189720</v>
      </c>
    </row>
    <row r="612" spans="2:10" x14ac:dyDescent="0.3">
      <c r="B612" s="7">
        <v>44470</v>
      </c>
      <c r="C612" s="3">
        <f t="shared" si="18"/>
        <v>2021</v>
      </c>
      <c r="D612" s="3">
        <f t="shared" si="19"/>
        <v>202110</v>
      </c>
      <c r="E612" s="5" t="s">
        <v>2</v>
      </c>
      <c r="F612" s="5" t="s">
        <v>11</v>
      </c>
      <c r="G612" s="5" t="s">
        <v>39</v>
      </c>
      <c r="H612">
        <v>51</v>
      </c>
      <c r="I612" s="4">
        <v>370260</v>
      </c>
      <c r="J612" s="4">
        <v>156060</v>
      </c>
    </row>
    <row r="613" spans="2:10" x14ac:dyDescent="0.3">
      <c r="B613" s="7">
        <v>44501</v>
      </c>
      <c r="C613" s="3">
        <f t="shared" si="18"/>
        <v>2021</v>
      </c>
      <c r="D613" s="3">
        <f t="shared" si="19"/>
        <v>202111</v>
      </c>
      <c r="E613" s="5" t="s">
        <v>2</v>
      </c>
      <c r="F613" s="5" t="s">
        <v>11</v>
      </c>
      <c r="G613" s="5" t="s">
        <v>39</v>
      </c>
      <c r="H613">
        <v>36</v>
      </c>
      <c r="I613" s="4">
        <v>256752</v>
      </c>
      <c r="J613" s="4">
        <v>110160</v>
      </c>
    </row>
    <row r="614" spans="2:10" x14ac:dyDescent="0.3">
      <c r="B614" s="7">
        <v>44531</v>
      </c>
      <c r="C614" s="3">
        <f t="shared" si="18"/>
        <v>2021</v>
      </c>
      <c r="D614" s="3">
        <f t="shared" si="19"/>
        <v>202112</v>
      </c>
      <c r="E614" s="5" t="s">
        <v>2</v>
      </c>
      <c r="F614" s="5" t="s">
        <v>11</v>
      </c>
      <c r="G614" s="5" t="s">
        <v>39</v>
      </c>
      <c r="H614">
        <v>44</v>
      </c>
      <c r="I614" s="4">
        <v>306240</v>
      </c>
      <c r="J614" s="4">
        <v>134640</v>
      </c>
    </row>
    <row r="615" spans="2:10" x14ac:dyDescent="0.3">
      <c r="B615" s="7">
        <v>44562</v>
      </c>
      <c r="C615" s="3">
        <f t="shared" si="18"/>
        <v>2022</v>
      </c>
      <c r="D615" s="3">
        <f t="shared" si="19"/>
        <v>202201</v>
      </c>
      <c r="E615" s="5" t="s">
        <v>2</v>
      </c>
      <c r="F615" s="5" t="s">
        <v>11</v>
      </c>
      <c r="G615" s="5" t="s">
        <v>39</v>
      </c>
      <c r="H615">
        <v>64</v>
      </c>
      <c r="I615" s="4">
        <v>445824</v>
      </c>
      <c r="J615" s="4">
        <v>195840</v>
      </c>
    </row>
    <row r="616" spans="2:10" x14ac:dyDescent="0.3">
      <c r="B616" s="7">
        <v>44593</v>
      </c>
      <c r="C616" s="3">
        <f t="shared" si="18"/>
        <v>2022</v>
      </c>
      <c r="D616" s="3">
        <f t="shared" si="19"/>
        <v>202202</v>
      </c>
      <c r="E616" s="5" t="s">
        <v>2</v>
      </c>
      <c r="F616" s="5" t="s">
        <v>11</v>
      </c>
      <c r="G616" s="5" t="s">
        <v>39</v>
      </c>
      <c r="H616">
        <v>40</v>
      </c>
      <c r="I616" s="4">
        <v>310760</v>
      </c>
      <c r="J616" s="4">
        <v>122400</v>
      </c>
    </row>
    <row r="617" spans="2:10" x14ac:dyDescent="0.3">
      <c r="B617" s="7">
        <v>44621</v>
      </c>
      <c r="C617" s="3">
        <f t="shared" si="18"/>
        <v>2022</v>
      </c>
      <c r="D617" s="3">
        <f t="shared" si="19"/>
        <v>202203</v>
      </c>
      <c r="E617" s="5" t="s">
        <v>2</v>
      </c>
      <c r="F617" s="5" t="s">
        <v>11</v>
      </c>
      <c r="G617" s="5" t="s">
        <v>39</v>
      </c>
      <c r="H617">
        <v>32</v>
      </c>
      <c r="I617" s="4">
        <v>218592</v>
      </c>
      <c r="J617" s="4">
        <v>97920</v>
      </c>
    </row>
    <row r="618" spans="2:10" x14ac:dyDescent="0.3">
      <c r="B618" s="7">
        <v>44652</v>
      </c>
      <c r="C618" s="3">
        <f t="shared" si="18"/>
        <v>2022</v>
      </c>
      <c r="D618" s="3">
        <f t="shared" si="19"/>
        <v>202204</v>
      </c>
      <c r="E618" s="5" t="s">
        <v>2</v>
      </c>
      <c r="F618" s="5" t="s">
        <v>11</v>
      </c>
      <c r="G618" s="5" t="s">
        <v>39</v>
      </c>
      <c r="H618">
        <v>60</v>
      </c>
      <c r="I618" s="4">
        <v>430500</v>
      </c>
      <c r="J618" s="4">
        <v>183600</v>
      </c>
    </row>
    <row r="619" spans="2:10" x14ac:dyDescent="0.3">
      <c r="B619" s="7">
        <v>44682</v>
      </c>
      <c r="C619" s="3">
        <f t="shared" si="18"/>
        <v>2022</v>
      </c>
      <c r="D619" s="3">
        <f t="shared" si="19"/>
        <v>202205</v>
      </c>
      <c r="E619" s="5" t="s">
        <v>2</v>
      </c>
      <c r="F619" s="5" t="s">
        <v>11</v>
      </c>
      <c r="G619" s="5" t="s">
        <v>39</v>
      </c>
      <c r="H619">
        <v>76</v>
      </c>
      <c r="I619" s="4">
        <v>555940</v>
      </c>
      <c r="J619" s="4">
        <v>232560</v>
      </c>
    </row>
    <row r="620" spans="2:10" x14ac:dyDescent="0.3">
      <c r="B620" s="7">
        <v>44713</v>
      </c>
      <c r="C620" s="3">
        <f t="shared" si="18"/>
        <v>2022</v>
      </c>
      <c r="D620" s="3">
        <f t="shared" si="19"/>
        <v>202206</v>
      </c>
      <c r="E620" s="5" t="s">
        <v>2</v>
      </c>
      <c r="F620" s="5" t="s">
        <v>11</v>
      </c>
      <c r="G620" s="5" t="s">
        <v>39</v>
      </c>
      <c r="H620">
        <v>72</v>
      </c>
      <c r="I620" s="4">
        <v>511704</v>
      </c>
      <c r="J620" s="4">
        <v>220320</v>
      </c>
    </row>
    <row r="621" spans="2:10" x14ac:dyDescent="0.3">
      <c r="B621" s="7">
        <v>44743</v>
      </c>
      <c r="C621" s="3">
        <f t="shared" si="18"/>
        <v>2022</v>
      </c>
      <c r="D621" s="3">
        <f t="shared" si="19"/>
        <v>202207</v>
      </c>
      <c r="E621" s="5" t="s">
        <v>2</v>
      </c>
      <c r="F621" s="5" t="s">
        <v>11</v>
      </c>
      <c r="G621" s="5" t="s">
        <v>39</v>
      </c>
      <c r="H621">
        <v>76</v>
      </c>
      <c r="I621" s="4">
        <v>413668</v>
      </c>
      <c r="J621" s="4">
        <v>232560</v>
      </c>
    </row>
    <row r="622" spans="2:10" x14ac:dyDescent="0.3">
      <c r="B622" s="7">
        <v>44774</v>
      </c>
      <c r="C622" s="3">
        <f t="shared" si="18"/>
        <v>2022</v>
      </c>
      <c r="D622" s="3">
        <f t="shared" si="19"/>
        <v>202208</v>
      </c>
      <c r="E622" s="5" t="s">
        <v>2</v>
      </c>
      <c r="F622" s="5" t="s">
        <v>11</v>
      </c>
      <c r="G622" s="5" t="s">
        <v>39</v>
      </c>
      <c r="H622">
        <v>64</v>
      </c>
      <c r="I622" s="4">
        <v>401856</v>
      </c>
      <c r="J622" s="4">
        <v>195840</v>
      </c>
    </row>
    <row r="623" spans="2:10" x14ac:dyDescent="0.3">
      <c r="B623" s="7">
        <v>44805</v>
      </c>
      <c r="C623" s="3">
        <f t="shared" si="18"/>
        <v>2022</v>
      </c>
      <c r="D623" s="3">
        <f t="shared" si="19"/>
        <v>202209</v>
      </c>
      <c r="E623" s="5" t="s">
        <v>2</v>
      </c>
      <c r="F623" s="5" t="s">
        <v>11</v>
      </c>
      <c r="G623" s="5" t="s">
        <v>39</v>
      </c>
      <c r="H623">
        <v>68</v>
      </c>
      <c r="I623" s="4">
        <v>459000</v>
      </c>
      <c r="J623" s="4">
        <v>208080</v>
      </c>
    </row>
    <row r="624" spans="2:10" x14ac:dyDescent="0.3">
      <c r="B624" s="7">
        <v>44835</v>
      </c>
      <c r="C624" s="3">
        <f t="shared" si="18"/>
        <v>2022</v>
      </c>
      <c r="D624" s="3">
        <f t="shared" si="19"/>
        <v>202210</v>
      </c>
      <c r="E624" s="5" t="s">
        <v>2</v>
      </c>
      <c r="F624" s="5" t="s">
        <v>11</v>
      </c>
      <c r="G624" s="5" t="s">
        <v>39</v>
      </c>
      <c r="H624">
        <v>56</v>
      </c>
      <c r="I624" s="4">
        <v>427168</v>
      </c>
      <c r="J624" s="4">
        <v>171360</v>
      </c>
    </row>
    <row r="625" spans="2:10" x14ac:dyDescent="0.3">
      <c r="B625" s="7">
        <v>44866</v>
      </c>
      <c r="C625" s="3">
        <f t="shared" si="18"/>
        <v>2022</v>
      </c>
      <c r="D625" s="3">
        <f t="shared" si="19"/>
        <v>202211</v>
      </c>
      <c r="E625" s="5" t="s">
        <v>2</v>
      </c>
      <c r="F625" s="5" t="s">
        <v>11</v>
      </c>
      <c r="G625" s="5" t="s">
        <v>39</v>
      </c>
      <c r="H625">
        <v>40</v>
      </c>
      <c r="I625" s="4">
        <v>283600</v>
      </c>
      <c r="J625" s="4">
        <v>122400</v>
      </c>
    </row>
    <row r="626" spans="2:10" x14ac:dyDescent="0.3">
      <c r="B626" s="7">
        <v>44896</v>
      </c>
      <c r="C626" s="3">
        <f t="shared" si="18"/>
        <v>2022</v>
      </c>
      <c r="D626" s="3">
        <f t="shared" si="19"/>
        <v>202212</v>
      </c>
      <c r="E626" s="5" t="s">
        <v>2</v>
      </c>
      <c r="F626" s="5" t="s">
        <v>11</v>
      </c>
      <c r="G626" s="5" t="s">
        <v>39</v>
      </c>
      <c r="H626">
        <v>48</v>
      </c>
      <c r="I626" s="4">
        <v>298512</v>
      </c>
      <c r="J626" s="4">
        <v>146880</v>
      </c>
    </row>
    <row r="627" spans="2:10" x14ac:dyDescent="0.3">
      <c r="B627" s="7">
        <v>44197</v>
      </c>
      <c r="C627" s="3">
        <f t="shared" si="18"/>
        <v>2021</v>
      </c>
      <c r="D627" s="3">
        <f t="shared" si="19"/>
        <v>202101</v>
      </c>
      <c r="E627" s="5" t="s">
        <v>2</v>
      </c>
      <c r="F627" s="5" t="s">
        <v>11</v>
      </c>
      <c r="G627" s="5" t="s">
        <v>40</v>
      </c>
      <c r="H627">
        <v>61</v>
      </c>
      <c r="I627" s="4">
        <v>525759</v>
      </c>
      <c r="J627" s="4">
        <v>210816</v>
      </c>
    </row>
    <row r="628" spans="2:10" x14ac:dyDescent="0.3">
      <c r="B628" s="7">
        <v>44228</v>
      </c>
      <c r="C628" s="3">
        <f t="shared" si="18"/>
        <v>2021</v>
      </c>
      <c r="D628" s="3">
        <f t="shared" si="19"/>
        <v>202102</v>
      </c>
      <c r="E628" s="5" t="s">
        <v>2</v>
      </c>
      <c r="F628" s="5" t="s">
        <v>11</v>
      </c>
      <c r="G628" s="5" t="s">
        <v>40</v>
      </c>
      <c r="H628">
        <v>38</v>
      </c>
      <c r="I628" s="4">
        <v>336034</v>
      </c>
      <c r="J628" s="4">
        <v>131328</v>
      </c>
    </row>
    <row r="629" spans="2:10" x14ac:dyDescent="0.3">
      <c r="B629" s="7">
        <v>44256</v>
      </c>
      <c r="C629" s="3">
        <f t="shared" si="18"/>
        <v>2021</v>
      </c>
      <c r="D629" s="3">
        <f t="shared" si="19"/>
        <v>202103</v>
      </c>
      <c r="E629" s="5" t="s">
        <v>2</v>
      </c>
      <c r="F629" s="5" t="s">
        <v>11</v>
      </c>
      <c r="G629" s="5" t="s">
        <v>40</v>
      </c>
      <c r="H629">
        <v>31</v>
      </c>
      <c r="I629" s="4">
        <v>259966</v>
      </c>
      <c r="J629" s="4">
        <v>107136</v>
      </c>
    </row>
    <row r="630" spans="2:10" x14ac:dyDescent="0.3">
      <c r="B630" s="7">
        <v>44287</v>
      </c>
      <c r="C630" s="3">
        <f t="shared" si="18"/>
        <v>2021</v>
      </c>
      <c r="D630" s="3">
        <f t="shared" si="19"/>
        <v>202104</v>
      </c>
      <c r="E630" s="5" t="s">
        <v>2</v>
      </c>
      <c r="F630" s="5" t="s">
        <v>11</v>
      </c>
      <c r="G630" s="5" t="s">
        <v>40</v>
      </c>
      <c r="H630">
        <v>57</v>
      </c>
      <c r="I630" s="4">
        <v>503595</v>
      </c>
      <c r="J630" s="4">
        <v>196992</v>
      </c>
    </row>
    <row r="631" spans="2:10" x14ac:dyDescent="0.3">
      <c r="B631" s="7">
        <v>44317</v>
      </c>
      <c r="C631" s="3">
        <f t="shared" si="18"/>
        <v>2021</v>
      </c>
      <c r="D631" s="3">
        <f t="shared" si="19"/>
        <v>202105</v>
      </c>
      <c r="E631" s="5" t="s">
        <v>2</v>
      </c>
      <c r="F631" s="5" t="s">
        <v>11</v>
      </c>
      <c r="G631" s="5" t="s">
        <v>40</v>
      </c>
      <c r="H631">
        <v>72</v>
      </c>
      <c r="I631" s="4">
        <v>655128</v>
      </c>
      <c r="J631" s="4">
        <v>248832</v>
      </c>
    </row>
    <row r="632" spans="2:10" x14ac:dyDescent="0.3">
      <c r="B632" s="7">
        <v>44348</v>
      </c>
      <c r="C632" s="3">
        <f t="shared" si="18"/>
        <v>2021</v>
      </c>
      <c r="D632" s="3">
        <f t="shared" si="19"/>
        <v>202106</v>
      </c>
      <c r="E632" s="5" t="s">
        <v>2</v>
      </c>
      <c r="F632" s="5" t="s">
        <v>11</v>
      </c>
      <c r="G632" s="5" t="s">
        <v>40</v>
      </c>
      <c r="H632">
        <v>68</v>
      </c>
      <c r="I632" s="4">
        <v>536724</v>
      </c>
      <c r="J632" s="4">
        <v>235008</v>
      </c>
    </row>
    <row r="633" spans="2:10" x14ac:dyDescent="0.3">
      <c r="B633" s="7">
        <v>44378</v>
      </c>
      <c r="C633" s="3">
        <f t="shared" si="18"/>
        <v>2021</v>
      </c>
      <c r="D633" s="3">
        <f t="shared" si="19"/>
        <v>202107</v>
      </c>
      <c r="E633" s="5" t="s">
        <v>2</v>
      </c>
      <c r="F633" s="5" t="s">
        <v>11</v>
      </c>
      <c r="G633" s="5" t="s">
        <v>40</v>
      </c>
      <c r="H633">
        <v>72</v>
      </c>
      <c r="I633" s="4">
        <v>507312</v>
      </c>
      <c r="J633" s="4">
        <v>248832</v>
      </c>
    </row>
    <row r="634" spans="2:10" x14ac:dyDescent="0.3">
      <c r="B634" s="7">
        <v>44409</v>
      </c>
      <c r="C634" s="3">
        <f t="shared" si="18"/>
        <v>2021</v>
      </c>
      <c r="D634" s="3">
        <f t="shared" si="19"/>
        <v>202108</v>
      </c>
      <c r="E634" s="5" t="s">
        <v>2</v>
      </c>
      <c r="F634" s="5" t="s">
        <v>11</v>
      </c>
      <c r="G634" s="5" t="s">
        <v>40</v>
      </c>
      <c r="H634">
        <v>61</v>
      </c>
      <c r="I634" s="4">
        <v>479765</v>
      </c>
      <c r="J634" s="4">
        <v>210816</v>
      </c>
    </row>
    <row r="635" spans="2:10" x14ac:dyDescent="0.3">
      <c r="B635" s="7">
        <v>44440</v>
      </c>
      <c r="C635" s="3">
        <f t="shared" si="18"/>
        <v>2021</v>
      </c>
      <c r="D635" s="3">
        <f t="shared" si="19"/>
        <v>202109</v>
      </c>
      <c r="E635" s="5" t="s">
        <v>2</v>
      </c>
      <c r="F635" s="5" t="s">
        <v>11</v>
      </c>
      <c r="G635" s="5" t="s">
        <v>40</v>
      </c>
      <c r="H635">
        <v>64</v>
      </c>
      <c r="I635" s="4">
        <v>519168</v>
      </c>
      <c r="J635" s="4">
        <v>221184</v>
      </c>
    </row>
    <row r="636" spans="2:10" x14ac:dyDescent="0.3">
      <c r="B636" s="7">
        <v>44470</v>
      </c>
      <c r="C636" s="3">
        <f t="shared" si="18"/>
        <v>2021</v>
      </c>
      <c r="D636" s="3">
        <f t="shared" si="19"/>
        <v>202110</v>
      </c>
      <c r="E636" s="5" t="s">
        <v>2</v>
      </c>
      <c r="F636" s="5" t="s">
        <v>11</v>
      </c>
      <c r="G636" s="5" t="s">
        <v>40</v>
      </c>
      <c r="H636">
        <v>53</v>
      </c>
      <c r="I636" s="4">
        <v>439635</v>
      </c>
      <c r="J636" s="4">
        <v>183168</v>
      </c>
    </row>
    <row r="637" spans="2:10" x14ac:dyDescent="0.3">
      <c r="B637" s="7">
        <v>44501</v>
      </c>
      <c r="C637" s="3">
        <f t="shared" si="18"/>
        <v>2021</v>
      </c>
      <c r="D637" s="3">
        <f t="shared" si="19"/>
        <v>202111</v>
      </c>
      <c r="E637" s="5" t="s">
        <v>2</v>
      </c>
      <c r="F637" s="5" t="s">
        <v>11</v>
      </c>
      <c r="G637" s="5" t="s">
        <v>40</v>
      </c>
      <c r="H637">
        <v>38</v>
      </c>
      <c r="I637" s="4">
        <v>304532</v>
      </c>
      <c r="J637" s="4">
        <v>131328</v>
      </c>
    </row>
    <row r="638" spans="2:10" x14ac:dyDescent="0.3">
      <c r="B638" s="7">
        <v>44531</v>
      </c>
      <c r="C638" s="3">
        <f t="shared" si="18"/>
        <v>2021</v>
      </c>
      <c r="D638" s="3">
        <f t="shared" si="19"/>
        <v>202112</v>
      </c>
      <c r="E638" s="5" t="s">
        <v>2</v>
      </c>
      <c r="F638" s="5" t="s">
        <v>11</v>
      </c>
      <c r="G638" s="5" t="s">
        <v>40</v>
      </c>
      <c r="H638">
        <v>46</v>
      </c>
      <c r="I638" s="4">
        <v>361606</v>
      </c>
      <c r="J638" s="4">
        <v>158976</v>
      </c>
    </row>
    <row r="639" spans="2:10" x14ac:dyDescent="0.3">
      <c r="B639" s="7">
        <v>44562</v>
      </c>
      <c r="C639" s="3">
        <f t="shared" si="18"/>
        <v>2022</v>
      </c>
      <c r="D639" s="3">
        <f t="shared" si="19"/>
        <v>202201</v>
      </c>
      <c r="E639" s="5" t="s">
        <v>2</v>
      </c>
      <c r="F639" s="5" t="s">
        <v>11</v>
      </c>
      <c r="G639" s="5" t="s">
        <v>40</v>
      </c>
      <c r="H639">
        <v>67</v>
      </c>
      <c r="I639" s="4">
        <v>544040</v>
      </c>
      <c r="J639" s="4">
        <v>231552</v>
      </c>
    </row>
    <row r="640" spans="2:10" x14ac:dyDescent="0.3">
      <c r="B640" s="7">
        <v>44593</v>
      </c>
      <c r="C640" s="3">
        <f t="shared" si="18"/>
        <v>2022</v>
      </c>
      <c r="D640" s="3">
        <f t="shared" si="19"/>
        <v>202202</v>
      </c>
      <c r="E640" s="5" t="s">
        <v>2</v>
      </c>
      <c r="F640" s="5" t="s">
        <v>11</v>
      </c>
      <c r="G640" s="5" t="s">
        <v>40</v>
      </c>
      <c r="H640">
        <v>42</v>
      </c>
      <c r="I640" s="4">
        <v>365820</v>
      </c>
      <c r="J640" s="4">
        <v>145152</v>
      </c>
    </row>
    <row r="641" spans="2:10" x14ac:dyDescent="0.3">
      <c r="B641" s="7">
        <v>44621</v>
      </c>
      <c r="C641" s="3">
        <f t="shared" si="18"/>
        <v>2022</v>
      </c>
      <c r="D641" s="3">
        <f t="shared" si="19"/>
        <v>202203</v>
      </c>
      <c r="E641" s="5" t="s">
        <v>2</v>
      </c>
      <c r="F641" s="5" t="s">
        <v>11</v>
      </c>
      <c r="G641" s="5" t="s">
        <v>40</v>
      </c>
      <c r="H641">
        <v>34</v>
      </c>
      <c r="I641" s="4">
        <v>284206</v>
      </c>
      <c r="J641" s="4">
        <v>117504</v>
      </c>
    </row>
    <row r="642" spans="2:10" x14ac:dyDescent="0.3">
      <c r="B642" s="7">
        <v>44652</v>
      </c>
      <c r="C642" s="3">
        <f t="shared" si="18"/>
        <v>2022</v>
      </c>
      <c r="D642" s="3">
        <f t="shared" si="19"/>
        <v>202204</v>
      </c>
      <c r="E642" s="5" t="s">
        <v>2</v>
      </c>
      <c r="F642" s="5" t="s">
        <v>11</v>
      </c>
      <c r="G642" s="5" t="s">
        <v>40</v>
      </c>
      <c r="H642">
        <v>63</v>
      </c>
      <c r="I642" s="4">
        <v>589491</v>
      </c>
      <c r="J642" s="4">
        <v>217728</v>
      </c>
    </row>
    <row r="643" spans="2:10" x14ac:dyDescent="0.3">
      <c r="B643" s="7">
        <v>44682</v>
      </c>
      <c r="C643" s="3">
        <f t="shared" ref="C643:C706" si="20">YEAR(B643)</f>
        <v>2022</v>
      </c>
      <c r="D643" s="3">
        <f t="shared" ref="D643:D706" si="21">VALUE(TEXT(B643,"ГГГГММ"))</f>
        <v>202205</v>
      </c>
      <c r="E643" s="5" t="s">
        <v>2</v>
      </c>
      <c r="F643" s="5" t="s">
        <v>11</v>
      </c>
      <c r="G643" s="5" t="s">
        <v>40</v>
      </c>
      <c r="H643">
        <v>79</v>
      </c>
      <c r="I643" s="4">
        <v>748209</v>
      </c>
      <c r="J643" s="4">
        <v>273024</v>
      </c>
    </row>
    <row r="644" spans="2:10" x14ac:dyDescent="0.3">
      <c r="B644" s="7">
        <v>44713</v>
      </c>
      <c r="C644" s="3">
        <f t="shared" si="20"/>
        <v>2022</v>
      </c>
      <c r="D644" s="3">
        <f t="shared" si="21"/>
        <v>202206</v>
      </c>
      <c r="E644" s="5" t="s">
        <v>2</v>
      </c>
      <c r="F644" s="5" t="s">
        <v>11</v>
      </c>
      <c r="G644" s="5" t="s">
        <v>40</v>
      </c>
      <c r="H644">
        <v>75</v>
      </c>
      <c r="I644" s="4">
        <v>631725</v>
      </c>
      <c r="J644" s="4">
        <v>259200</v>
      </c>
    </row>
    <row r="645" spans="2:10" x14ac:dyDescent="0.3">
      <c r="B645" s="7">
        <v>44743</v>
      </c>
      <c r="C645" s="3">
        <f t="shared" si="20"/>
        <v>2022</v>
      </c>
      <c r="D645" s="3">
        <f t="shared" si="21"/>
        <v>202207</v>
      </c>
      <c r="E645" s="5" t="s">
        <v>2</v>
      </c>
      <c r="F645" s="5" t="s">
        <v>11</v>
      </c>
      <c r="G645" s="5" t="s">
        <v>40</v>
      </c>
      <c r="H645">
        <v>79</v>
      </c>
      <c r="I645" s="4">
        <v>568879</v>
      </c>
      <c r="J645" s="4">
        <v>273024</v>
      </c>
    </row>
    <row r="646" spans="2:10" x14ac:dyDescent="0.3">
      <c r="B646" s="7">
        <v>44774</v>
      </c>
      <c r="C646" s="3">
        <f t="shared" si="20"/>
        <v>2022</v>
      </c>
      <c r="D646" s="3">
        <f t="shared" si="21"/>
        <v>202208</v>
      </c>
      <c r="E646" s="5" t="s">
        <v>2</v>
      </c>
      <c r="F646" s="5" t="s">
        <v>11</v>
      </c>
      <c r="G646" s="5" t="s">
        <v>40</v>
      </c>
      <c r="H646">
        <v>67</v>
      </c>
      <c r="I646" s="4">
        <v>487827</v>
      </c>
      <c r="J646" s="4">
        <v>231552</v>
      </c>
    </row>
    <row r="647" spans="2:10" x14ac:dyDescent="0.3">
      <c r="B647" s="7">
        <v>44805</v>
      </c>
      <c r="C647" s="3">
        <f t="shared" si="20"/>
        <v>2022</v>
      </c>
      <c r="D647" s="3">
        <f t="shared" si="21"/>
        <v>202209</v>
      </c>
      <c r="E647" s="5" t="s">
        <v>2</v>
      </c>
      <c r="F647" s="5" t="s">
        <v>11</v>
      </c>
      <c r="G647" s="5" t="s">
        <v>40</v>
      </c>
      <c r="H647">
        <v>71</v>
      </c>
      <c r="I647" s="4">
        <v>552096</v>
      </c>
      <c r="J647" s="4">
        <v>245376</v>
      </c>
    </row>
    <row r="648" spans="2:10" x14ac:dyDescent="0.3">
      <c r="B648" s="7">
        <v>44835</v>
      </c>
      <c r="C648" s="3">
        <f t="shared" si="20"/>
        <v>2022</v>
      </c>
      <c r="D648" s="3">
        <f t="shared" si="21"/>
        <v>202210</v>
      </c>
      <c r="E648" s="5" t="s">
        <v>2</v>
      </c>
      <c r="F648" s="5" t="s">
        <v>11</v>
      </c>
      <c r="G648" s="5" t="s">
        <v>40</v>
      </c>
      <c r="H648">
        <v>58</v>
      </c>
      <c r="I648" s="4">
        <v>503382</v>
      </c>
      <c r="J648" s="4">
        <v>200448</v>
      </c>
    </row>
    <row r="649" spans="2:10" x14ac:dyDescent="0.3">
      <c r="B649" s="7">
        <v>44866</v>
      </c>
      <c r="C649" s="3">
        <f t="shared" si="20"/>
        <v>2022</v>
      </c>
      <c r="D649" s="3">
        <f t="shared" si="21"/>
        <v>202211</v>
      </c>
      <c r="E649" s="5" t="s">
        <v>2</v>
      </c>
      <c r="F649" s="5" t="s">
        <v>11</v>
      </c>
      <c r="G649" s="5" t="s">
        <v>40</v>
      </c>
      <c r="H649">
        <v>42</v>
      </c>
      <c r="I649" s="4">
        <v>367164</v>
      </c>
      <c r="J649" s="4">
        <v>145152</v>
      </c>
    </row>
    <row r="650" spans="2:10" x14ac:dyDescent="0.3">
      <c r="B650" s="7">
        <v>44896</v>
      </c>
      <c r="C650" s="3">
        <f t="shared" si="20"/>
        <v>2022</v>
      </c>
      <c r="D650" s="3">
        <f t="shared" si="21"/>
        <v>202212</v>
      </c>
      <c r="E650" s="5" t="s">
        <v>2</v>
      </c>
      <c r="F650" s="5" t="s">
        <v>11</v>
      </c>
      <c r="G650" s="5" t="s">
        <v>40</v>
      </c>
      <c r="H650">
        <v>50</v>
      </c>
      <c r="I650" s="4">
        <v>370600</v>
      </c>
      <c r="J650" s="4">
        <v>172800</v>
      </c>
    </row>
    <row r="651" spans="2:10" x14ac:dyDescent="0.3">
      <c r="B651" s="7">
        <v>44197</v>
      </c>
      <c r="C651" s="3">
        <f t="shared" si="20"/>
        <v>2021</v>
      </c>
      <c r="D651" s="3">
        <f t="shared" si="21"/>
        <v>202101</v>
      </c>
      <c r="E651" s="5" t="s">
        <v>2</v>
      </c>
      <c r="F651" s="5" t="s">
        <v>11</v>
      </c>
      <c r="G651" s="5" t="s">
        <v>41</v>
      </c>
      <c r="H651">
        <v>63</v>
      </c>
      <c r="I651" s="4">
        <v>657090</v>
      </c>
      <c r="J651" s="4">
        <v>326781</v>
      </c>
    </row>
    <row r="652" spans="2:10" x14ac:dyDescent="0.3">
      <c r="B652" s="7">
        <v>44228</v>
      </c>
      <c r="C652" s="3">
        <f t="shared" si="20"/>
        <v>2021</v>
      </c>
      <c r="D652" s="3">
        <f t="shared" si="21"/>
        <v>202102</v>
      </c>
      <c r="E652" s="5" t="s">
        <v>2</v>
      </c>
      <c r="F652" s="5" t="s">
        <v>11</v>
      </c>
      <c r="G652" s="5" t="s">
        <v>41</v>
      </c>
      <c r="H652">
        <v>39</v>
      </c>
      <c r="I652" s="4">
        <v>415545</v>
      </c>
      <c r="J652" s="4">
        <v>202293</v>
      </c>
    </row>
    <row r="653" spans="2:10" x14ac:dyDescent="0.3">
      <c r="B653" s="7">
        <v>44256</v>
      </c>
      <c r="C653" s="3">
        <f t="shared" si="20"/>
        <v>2021</v>
      </c>
      <c r="D653" s="3">
        <f t="shared" si="21"/>
        <v>202103</v>
      </c>
      <c r="E653" s="5" t="s">
        <v>2</v>
      </c>
      <c r="F653" s="5" t="s">
        <v>11</v>
      </c>
      <c r="G653" s="5" t="s">
        <v>41</v>
      </c>
      <c r="H653">
        <v>32</v>
      </c>
      <c r="I653" s="4">
        <v>338528</v>
      </c>
      <c r="J653" s="4">
        <v>165984</v>
      </c>
    </row>
    <row r="654" spans="2:10" x14ac:dyDescent="0.3">
      <c r="B654" s="7">
        <v>44287</v>
      </c>
      <c r="C654" s="3">
        <f t="shared" si="20"/>
        <v>2021</v>
      </c>
      <c r="D654" s="3">
        <f t="shared" si="21"/>
        <v>202104</v>
      </c>
      <c r="E654" s="5" t="s">
        <v>2</v>
      </c>
      <c r="F654" s="5" t="s">
        <v>11</v>
      </c>
      <c r="G654" s="5" t="s">
        <v>41</v>
      </c>
      <c r="H654">
        <v>59</v>
      </c>
      <c r="I654" s="4">
        <v>624869</v>
      </c>
      <c r="J654" s="4">
        <v>306033</v>
      </c>
    </row>
    <row r="655" spans="2:10" x14ac:dyDescent="0.3">
      <c r="B655" s="7">
        <v>44317</v>
      </c>
      <c r="C655" s="3">
        <f t="shared" si="20"/>
        <v>2021</v>
      </c>
      <c r="D655" s="3">
        <f t="shared" si="21"/>
        <v>202105</v>
      </c>
      <c r="E655" s="5" t="s">
        <v>2</v>
      </c>
      <c r="F655" s="5" t="s">
        <v>11</v>
      </c>
      <c r="G655" s="5" t="s">
        <v>41</v>
      </c>
      <c r="H655">
        <v>74</v>
      </c>
      <c r="I655" s="4">
        <v>803344</v>
      </c>
      <c r="J655" s="4">
        <v>383838</v>
      </c>
    </row>
    <row r="656" spans="2:10" x14ac:dyDescent="0.3">
      <c r="B656" s="7">
        <v>44348</v>
      </c>
      <c r="C656" s="3">
        <f t="shared" si="20"/>
        <v>2021</v>
      </c>
      <c r="D656" s="3">
        <f t="shared" si="21"/>
        <v>202106</v>
      </c>
      <c r="E656" s="5" t="s">
        <v>2</v>
      </c>
      <c r="F656" s="5" t="s">
        <v>11</v>
      </c>
      <c r="G656" s="5" t="s">
        <v>41</v>
      </c>
      <c r="H656">
        <v>70</v>
      </c>
      <c r="I656" s="4">
        <v>729470</v>
      </c>
      <c r="J656" s="4">
        <v>363090</v>
      </c>
    </row>
    <row r="657" spans="2:10" x14ac:dyDescent="0.3">
      <c r="B657" s="7">
        <v>44378</v>
      </c>
      <c r="C657" s="3">
        <f t="shared" si="20"/>
        <v>2021</v>
      </c>
      <c r="D657" s="3">
        <f t="shared" si="21"/>
        <v>202107</v>
      </c>
      <c r="E657" s="5" t="s">
        <v>2</v>
      </c>
      <c r="F657" s="5" t="s">
        <v>11</v>
      </c>
      <c r="G657" s="5" t="s">
        <v>41</v>
      </c>
      <c r="H657">
        <v>74</v>
      </c>
      <c r="I657" s="4">
        <v>656676</v>
      </c>
      <c r="J657" s="4">
        <v>383838</v>
      </c>
    </row>
    <row r="658" spans="2:10" x14ac:dyDescent="0.3">
      <c r="B658" s="7">
        <v>44409</v>
      </c>
      <c r="C658" s="3">
        <f t="shared" si="20"/>
        <v>2021</v>
      </c>
      <c r="D658" s="3">
        <f t="shared" si="21"/>
        <v>202108</v>
      </c>
      <c r="E658" s="5" t="s">
        <v>2</v>
      </c>
      <c r="F658" s="5" t="s">
        <v>11</v>
      </c>
      <c r="G658" s="5" t="s">
        <v>41</v>
      </c>
      <c r="H658">
        <v>63</v>
      </c>
      <c r="I658" s="4">
        <v>615132</v>
      </c>
      <c r="J658" s="4">
        <v>326781</v>
      </c>
    </row>
    <row r="659" spans="2:10" x14ac:dyDescent="0.3">
      <c r="B659" s="7">
        <v>44440</v>
      </c>
      <c r="C659" s="3">
        <f t="shared" si="20"/>
        <v>2021</v>
      </c>
      <c r="D659" s="3">
        <f t="shared" si="21"/>
        <v>202109</v>
      </c>
      <c r="E659" s="5" t="s">
        <v>2</v>
      </c>
      <c r="F659" s="5" t="s">
        <v>11</v>
      </c>
      <c r="G659" s="5" t="s">
        <v>41</v>
      </c>
      <c r="H659">
        <v>66</v>
      </c>
      <c r="I659" s="4">
        <v>637230</v>
      </c>
      <c r="J659" s="4">
        <v>342342</v>
      </c>
    </row>
    <row r="660" spans="2:10" x14ac:dyDescent="0.3">
      <c r="B660" s="7">
        <v>44470</v>
      </c>
      <c r="C660" s="3">
        <f t="shared" si="20"/>
        <v>2021</v>
      </c>
      <c r="D660" s="3">
        <f t="shared" si="21"/>
        <v>202110</v>
      </c>
      <c r="E660" s="5" t="s">
        <v>2</v>
      </c>
      <c r="F660" s="5" t="s">
        <v>11</v>
      </c>
      <c r="G660" s="5" t="s">
        <v>41</v>
      </c>
      <c r="H660">
        <v>55</v>
      </c>
      <c r="I660" s="4">
        <v>599830</v>
      </c>
      <c r="J660" s="4">
        <v>285285</v>
      </c>
    </row>
    <row r="661" spans="2:10" x14ac:dyDescent="0.3">
      <c r="B661" s="7">
        <v>44501</v>
      </c>
      <c r="C661" s="3">
        <f t="shared" si="20"/>
        <v>2021</v>
      </c>
      <c r="D661" s="3">
        <f t="shared" si="21"/>
        <v>202111</v>
      </c>
      <c r="E661" s="5" t="s">
        <v>2</v>
      </c>
      <c r="F661" s="5" t="s">
        <v>11</v>
      </c>
      <c r="G661" s="5" t="s">
        <v>41</v>
      </c>
      <c r="H661">
        <v>39</v>
      </c>
      <c r="I661" s="4">
        <v>403026</v>
      </c>
      <c r="J661" s="4">
        <v>202293</v>
      </c>
    </row>
    <row r="662" spans="2:10" x14ac:dyDescent="0.3">
      <c r="B662" s="7">
        <v>44531</v>
      </c>
      <c r="C662" s="3">
        <f t="shared" si="20"/>
        <v>2021</v>
      </c>
      <c r="D662" s="3">
        <f t="shared" si="21"/>
        <v>202112</v>
      </c>
      <c r="E662" s="5" t="s">
        <v>2</v>
      </c>
      <c r="F662" s="5" t="s">
        <v>11</v>
      </c>
      <c r="G662" s="5" t="s">
        <v>41</v>
      </c>
      <c r="H662">
        <v>47</v>
      </c>
      <c r="I662" s="4">
        <v>449179</v>
      </c>
      <c r="J662" s="4">
        <v>243789</v>
      </c>
    </row>
    <row r="663" spans="2:10" x14ac:dyDescent="0.3">
      <c r="B663" s="7">
        <v>44562</v>
      </c>
      <c r="C663" s="3">
        <f t="shared" si="20"/>
        <v>2022</v>
      </c>
      <c r="D663" s="3">
        <f t="shared" si="21"/>
        <v>202201</v>
      </c>
      <c r="E663" s="5" t="s">
        <v>2</v>
      </c>
      <c r="F663" s="5" t="s">
        <v>11</v>
      </c>
      <c r="G663" s="5" t="s">
        <v>41</v>
      </c>
      <c r="H663">
        <v>69</v>
      </c>
      <c r="I663" s="4">
        <v>711321</v>
      </c>
      <c r="J663" s="4">
        <v>357903</v>
      </c>
    </row>
    <row r="664" spans="2:10" x14ac:dyDescent="0.3">
      <c r="B664" s="7">
        <v>44593</v>
      </c>
      <c r="C664" s="3">
        <f t="shared" si="20"/>
        <v>2022</v>
      </c>
      <c r="D664" s="3">
        <f t="shared" si="21"/>
        <v>202202</v>
      </c>
      <c r="E664" s="5" t="s">
        <v>2</v>
      </c>
      <c r="F664" s="5" t="s">
        <v>11</v>
      </c>
      <c r="G664" s="5" t="s">
        <v>41</v>
      </c>
      <c r="H664">
        <v>43</v>
      </c>
      <c r="I664" s="4">
        <v>432021</v>
      </c>
      <c r="J664" s="4">
        <v>223041</v>
      </c>
    </row>
    <row r="665" spans="2:10" x14ac:dyDescent="0.3">
      <c r="B665" s="7">
        <v>44621</v>
      </c>
      <c r="C665" s="3">
        <f t="shared" si="20"/>
        <v>2022</v>
      </c>
      <c r="D665" s="3">
        <f t="shared" si="21"/>
        <v>202203</v>
      </c>
      <c r="E665" s="5" t="s">
        <v>2</v>
      </c>
      <c r="F665" s="5" t="s">
        <v>11</v>
      </c>
      <c r="G665" s="5" t="s">
        <v>41</v>
      </c>
      <c r="H665">
        <v>35</v>
      </c>
      <c r="I665" s="4">
        <v>351540</v>
      </c>
      <c r="J665" s="4">
        <v>181545</v>
      </c>
    </row>
    <row r="666" spans="2:10" x14ac:dyDescent="0.3">
      <c r="B666" s="7">
        <v>44652</v>
      </c>
      <c r="C666" s="3">
        <f t="shared" si="20"/>
        <v>2022</v>
      </c>
      <c r="D666" s="3">
        <f t="shared" si="21"/>
        <v>202204</v>
      </c>
      <c r="E666" s="5" t="s">
        <v>2</v>
      </c>
      <c r="F666" s="5" t="s">
        <v>11</v>
      </c>
      <c r="G666" s="5" t="s">
        <v>41</v>
      </c>
      <c r="H666">
        <v>65</v>
      </c>
      <c r="I666" s="4">
        <v>740220</v>
      </c>
      <c r="J666" s="4">
        <v>337155</v>
      </c>
    </row>
    <row r="667" spans="2:10" x14ac:dyDescent="0.3">
      <c r="B667" s="7">
        <v>44682</v>
      </c>
      <c r="C667" s="3">
        <f t="shared" si="20"/>
        <v>2022</v>
      </c>
      <c r="D667" s="3">
        <f t="shared" si="21"/>
        <v>202205</v>
      </c>
      <c r="E667" s="5" t="s">
        <v>2</v>
      </c>
      <c r="F667" s="5" t="s">
        <v>11</v>
      </c>
      <c r="G667" s="5" t="s">
        <v>41</v>
      </c>
      <c r="H667">
        <v>82</v>
      </c>
      <c r="I667" s="4">
        <v>900606</v>
      </c>
      <c r="J667" s="4">
        <v>425334</v>
      </c>
    </row>
    <row r="668" spans="2:10" x14ac:dyDescent="0.3">
      <c r="B668" s="7">
        <v>44713</v>
      </c>
      <c r="C668" s="3">
        <f t="shared" si="20"/>
        <v>2022</v>
      </c>
      <c r="D668" s="3">
        <f t="shared" si="21"/>
        <v>202206</v>
      </c>
      <c r="E668" s="5" t="s">
        <v>2</v>
      </c>
      <c r="F668" s="5" t="s">
        <v>11</v>
      </c>
      <c r="G668" s="5" t="s">
        <v>41</v>
      </c>
      <c r="H668">
        <v>77</v>
      </c>
      <c r="I668" s="4">
        <v>806344</v>
      </c>
      <c r="J668" s="4">
        <v>399399</v>
      </c>
    </row>
    <row r="669" spans="2:10" x14ac:dyDescent="0.3">
      <c r="B669" s="7">
        <v>44743</v>
      </c>
      <c r="C669" s="3">
        <f t="shared" si="20"/>
        <v>2022</v>
      </c>
      <c r="D669" s="3">
        <f t="shared" si="21"/>
        <v>202207</v>
      </c>
      <c r="E669" s="5" t="s">
        <v>2</v>
      </c>
      <c r="F669" s="5" t="s">
        <v>11</v>
      </c>
      <c r="G669" s="5" t="s">
        <v>41</v>
      </c>
      <c r="H669">
        <v>82</v>
      </c>
      <c r="I669" s="4">
        <v>752842</v>
      </c>
      <c r="J669" s="4">
        <v>425334</v>
      </c>
    </row>
    <row r="670" spans="2:10" x14ac:dyDescent="0.3">
      <c r="B670" s="7">
        <v>44774</v>
      </c>
      <c r="C670" s="3">
        <f t="shared" si="20"/>
        <v>2022</v>
      </c>
      <c r="D670" s="3">
        <f t="shared" si="21"/>
        <v>202208</v>
      </c>
      <c r="E670" s="5" t="s">
        <v>2</v>
      </c>
      <c r="F670" s="5" t="s">
        <v>11</v>
      </c>
      <c r="G670" s="5" t="s">
        <v>41</v>
      </c>
      <c r="H670">
        <v>69</v>
      </c>
      <c r="I670" s="4">
        <v>695313</v>
      </c>
      <c r="J670" s="4">
        <v>357903</v>
      </c>
    </row>
    <row r="671" spans="2:10" x14ac:dyDescent="0.3">
      <c r="B671" s="7">
        <v>44805</v>
      </c>
      <c r="C671" s="3">
        <f t="shared" si="20"/>
        <v>2022</v>
      </c>
      <c r="D671" s="3">
        <f t="shared" si="21"/>
        <v>202209</v>
      </c>
      <c r="E671" s="5" t="s">
        <v>2</v>
      </c>
      <c r="F671" s="5" t="s">
        <v>11</v>
      </c>
      <c r="G671" s="5" t="s">
        <v>41</v>
      </c>
      <c r="H671">
        <v>73</v>
      </c>
      <c r="I671" s="4">
        <v>745403</v>
      </c>
      <c r="J671" s="4">
        <v>378651</v>
      </c>
    </row>
    <row r="672" spans="2:10" x14ac:dyDescent="0.3">
      <c r="B672" s="7">
        <v>44835</v>
      </c>
      <c r="C672" s="3">
        <f t="shared" si="20"/>
        <v>2022</v>
      </c>
      <c r="D672" s="3">
        <f t="shared" si="21"/>
        <v>202210</v>
      </c>
      <c r="E672" s="5" t="s">
        <v>2</v>
      </c>
      <c r="F672" s="5" t="s">
        <v>11</v>
      </c>
      <c r="G672" s="5" t="s">
        <v>41</v>
      </c>
      <c r="H672">
        <v>60</v>
      </c>
      <c r="I672" s="4">
        <v>629880</v>
      </c>
      <c r="J672" s="4">
        <v>311220</v>
      </c>
    </row>
    <row r="673" spans="2:10" x14ac:dyDescent="0.3">
      <c r="B673" s="7">
        <v>44866</v>
      </c>
      <c r="C673" s="3">
        <f t="shared" si="20"/>
        <v>2022</v>
      </c>
      <c r="D673" s="3">
        <f t="shared" si="21"/>
        <v>202211</v>
      </c>
      <c r="E673" s="5" t="s">
        <v>2</v>
      </c>
      <c r="F673" s="5" t="s">
        <v>11</v>
      </c>
      <c r="G673" s="5" t="s">
        <v>41</v>
      </c>
      <c r="H673">
        <v>43</v>
      </c>
      <c r="I673" s="4">
        <v>452704</v>
      </c>
      <c r="J673" s="4">
        <v>223041</v>
      </c>
    </row>
    <row r="674" spans="2:10" x14ac:dyDescent="0.3">
      <c r="B674" s="7">
        <v>44896</v>
      </c>
      <c r="C674" s="3">
        <f t="shared" si="20"/>
        <v>2022</v>
      </c>
      <c r="D674" s="3">
        <f t="shared" si="21"/>
        <v>202212</v>
      </c>
      <c r="E674" s="5" t="s">
        <v>2</v>
      </c>
      <c r="F674" s="5" t="s">
        <v>11</v>
      </c>
      <c r="G674" s="5" t="s">
        <v>41</v>
      </c>
      <c r="H674">
        <v>52</v>
      </c>
      <c r="I674" s="4">
        <v>500864</v>
      </c>
      <c r="J674" s="4">
        <v>269724</v>
      </c>
    </row>
    <row r="675" spans="2:10" x14ac:dyDescent="0.3">
      <c r="B675" s="7">
        <v>44197</v>
      </c>
      <c r="C675" s="3">
        <f t="shared" si="20"/>
        <v>2021</v>
      </c>
      <c r="D675" s="3">
        <f t="shared" si="21"/>
        <v>202101</v>
      </c>
      <c r="E675" s="5" t="s">
        <v>2</v>
      </c>
      <c r="F675" s="5" t="s">
        <v>12</v>
      </c>
      <c r="G675" s="5" t="s">
        <v>42</v>
      </c>
      <c r="H675">
        <v>67</v>
      </c>
      <c r="I675" s="4">
        <v>886879</v>
      </c>
      <c r="J675" s="4">
        <v>402000</v>
      </c>
    </row>
    <row r="676" spans="2:10" x14ac:dyDescent="0.3">
      <c r="B676" s="7">
        <v>44228</v>
      </c>
      <c r="C676" s="3">
        <f t="shared" si="20"/>
        <v>2021</v>
      </c>
      <c r="D676" s="3">
        <f t="shared" si="21"/>
        <v>202102</v>
      </c>
      <c r="E676" s="5" t="s">
        <v>2</v>
      </c>
      <c r="F676" s="5" t="s">
        <v>12</v>
      </c>
      <c r="G676" s="5" t="s">
        <v>42</v>
      </c>
      <c r="H676">
        <v>42</v>
      </c>
      <c r="I676" s="4">
        <v>555072</v>
      </c>
      <c r="J676" s="4">
        <v>252000</v>
      </c>
    </row>
    <row r="677" spans="2:10" x14ac:dyDescent="0.3">
      <c r="B677" s="7">
        <v>44256</v>
      </c>
      <c r="C677" s="3">
        <f t="shared" si="20"/>
        <v>2021</v>
      </c>
      <c r="D677" s="3">
        <f t="shared" si="21"/>
        <v>202103</v>
      </c>
      <c r="E677" s="5" t="s">
        <v>2</v>
      </c>
      <c r="F677" s="5" t="s">
        <v>12</v>
      </c>
      <c r="G677" s="5" t="s">
        <v>42</v>
      </c>
      <c r="H677">
        <v>34</v>
      </c>
      <c r="I677" s="4">
        <v>434520</v>
      </c>
      <c r="J677" s="4">
        <v>204000</v>
      </c>
    </row>
    <row r="678" spans="2:10" x14ac:dyDescent="0.3">
      <c r="B678" s="7">
        <v>44287</v>
      </c>
      <c r="C678" s="3">
        <f t="shared" si="20"/>
        <v>2021</v>
      </c>
      <c r="D678" s="3">
        <f t="shared" si="21"/>
        <v>202104</v>
      </c>
      <c r="E678" s="5" t="s">
        <v>2</v>
      </c>
      <c r="F678" s="5" t="s">
        <v>12</v>
      </c>
      <c r="G678" s="5" t="s">
        <v>42</v>
      </c>
      <c r="H678">
        <v>63</v>
      </c>
      <c r="I678" s="4">
        <v>856044</v>
      </c>
      <c r="J678" s="4">
        <v>378000</v>
      </c>
    </row>
    <row r="679" spans="2:10" x14ac:dyDescent="0.3">
      <c r="B679" s="7">
        <v>44317</v>
      </c>
      <c r="C679" s="3">
        <f t="shared" si="20"/>
        <v>2021</v>
      </c>
      <c r="D679" s="3">
        <f t="shared" si="21"/>
        <v>202105</v>
      </c>
      <c r="E679" s="5" t="s">
        <v>2</v>
      </c>
      <c r="F679" s="5" t="s">
        <v>12</v>
      </c>
      <c r="G679" s="5" t="s">
        <v>42</v>
      </c>
      <c r="H679">
        <v>80</v>
      </c>
      <c r="I679" s="4">
        <v>1080320</v>
      </c>
      <c r="J679" s="4">
        <v>480000</v>
      </c>
    </row>
    <row r="680" spans="2:10" x14ac:dyDescent="0.3">
      <c r="B680" s="7">
        <v>44348</v>
      </c>
      <c r="C680" s="3">
        <f t="shared" si="20"/>
        <v>2021</v>
      </c>
      <c r="D680" s="3">
        <f t="shared" si="21"/>
        <v>202106</v>
      </c>
      <c r="E680" s="5" t="s">
        <v>2</v>
      </c>
      <c r="F680" s="5" t="s">
        <v>12</v>
      </c>
      <c r="G680" s="5" t="s">
        <v>42</v>
      </c>
      <c r="H680">
        <v>75</v>
      </c>
      <c r="I680" s="4">
        <v>988200</v>
      </c>
      <c r="J680" s="4">
        <v>450000</v>
      </c>
    </row>
    <row r="681" spans="2:10" x14ac:dyDescent="0.3">
      <c r="B681" s="7">
        <v>44378</v>
      </c>
      <c r="C681" s="3">
        <f t="shared" si="20"/>
        <v>2021</v>
      </c>
      <c r="D681" s="3">
        <f t="shared" si="21"/>
        <v>202107</v>
      </c>
      <c r="E681" s="5" t="s">
        <v>2</v>
      </c>
      <c r="F681" s="5" t="s">
        <v>12</v>
      </c>
      <c r="G681" s="5" t="s">
        <v>42</v>
      </c>
      <c r="H681">
        <v>80</v>
      </c>
      <c r="I681" s="4">
        <v>950400</v>
      </c>
      <c r="J681" s="4">
        <v>480000</v>
      </c>
    </row>
    <row r="682" spans="2:10" x14ac:dyDescent="0.3">
      <c r="B682" s="7">
        <v>44409</v>
      </c>
      <c r="C682" s="3">
        <f t="shared" si="20"/>
        <v>2021</v>
      </c>
      <c r="D682" s="3">
        <f t="shared" si="21"/>
        <v>202108</v>
      </c>
      <c r="E682" s="5" t="s">
        <v>2</v>
      </c>
      <c r="F682" s="5" t="s">
        <v>12</v>
      </c>
      <c r="G682" s="5" t="s">
        <v>42</v>
      </c>
      <c r="H682">
        <v>67</v>
      </c>
      <c r="I682" s="4">
        <v>842860</v>
      </c>
      <c r="J682" s="4">
        <v>402000</v>
      </c>
    </row>
    <row r="683" spans="2:10" x14ac:dyDescent="0.3">
      <c r="B683" s="7">
        <v>44440</v>
      </c>
      <c r="C683" s="3">
        <f t="shared" si="20"/>
        <v>2021</v>
      </c>
      <c r="D683" s="3">
        <f t="shared" si="21"/>
        <v>202109</v>
      </c>
      <c r="E683" s="5" t="s">
        <v>2</v>
      </c>
      <c r="F683" s="5" t="s">
        <v>12</v>
      </c>
      <c r="G683" s="5" t="s">
        <v>42</v>
      </c>
      <c r="H683">
        <v>71</v>
      </c>
      <c r="I683" s="4">
        <v>870034</v>
      </c>
      <c r="J683" s="4">
        <v>426000</v>
      </c>
    </row>
    <row r="684" spans="2:10" x14ac:dyDescent="0.3">
      <c r="B684" s="7">
        <v>44470</v>
      </c>
      <c r="C684" s="3">
        <f t="shared" si="20"/>
        <v>2021</v>
      </c>
      <c r="D684" s="3">
        <f t="shared" si="21"/>
        <v>202110</v>
      </c>
      <c r="E684" s="5" t="s">
        <v>2</v>
      </c>
      <c r="F684" s="5" t="s">
        <v>12</v>
      </c>
      <c r="G684" s="5" t="s">
        <v>42</v>
      </c>
      <c r="H684">
        <v>59</v>
      </c>
      <c r="I684" s="4">
        <v>777207</v>
      </c>
      <c r="J684" s="4">
        <v>354000</v>
      </c>
    </row>
    <row r="685" spans="2:10" x14ac:dyDescent="0.3">
      <c r="B685" s="7">
        <v>44501</v>
      </c>
      <c r="C685" s="3">
        <f t="shared" si="20"/>
        <v>2021</v>
      </c>
      <c r="D685" s="3">
        <f t="shared" si="21"/>
        <v>202111</v>
      </c>
      <c r="E685" s="5" t="s">
        <v>2</v>
      </c>
      <c r="F685" s="5" t="s">
        <v>12</v>
      </c>
      <c r="G685" s="5" t="s">
        <v>42</v>
      </c>
      <c r="H685">
        <v>42</v>
      </c>
      <c r="I685" s="4">
        <v>550074</v>
      </c>
      <c r="J685" s="4">
        <v>252000</v>
      </c>
    </row>
    <row r="686" spans="2:10" x14ac:dyDescent="0.3">
      <c r="B686" s="7">
        <v>44531</v>
      </c>
      <c r="C686" s="3">
        <f t="shared" si="20"/>
        <v>2021</v>
      </c>
      <c r="D686" s="3">
        <f t="shared" si="21"/>
        <v>202112</v>
      </c>
      <c r="E686" s="5" t="s">
        <v>2</v>
      </c>
      <c r="F686" s="5" t="s">
        <v>12</v>
      </c>
      <c r="G686" s="5" t="s">
        <v>42</v>
      </c>
      <c r="H686">
        <v>50</v>
      </c>
      <c r="I686" s="4">
        <v>645550</v>
      </c>
      <c r="J686" s="4">
        <v>300000</v>
      </c>
    </row>
    <row r="687" spans="2:10" x14ac:dyDescent="0.3">
      <c r="B687" s="7">
        <v>44562</v>
      </c>
      <c r="C687" s="3">
        <f t="shared" si="20"/>
        <v>2022</v>
      </c>
      <c r="D687" s="3">
        <f t="shared" si="21"/>
        <v>202201</v>
      </c>
      <c r="E687" s="5" t="s">
        <v>2</v>
      </c>
      <c r="F687" s="5" t="s">
        <v>12</v>
      </c>
      <c r="G687" s="5" t="s">
        <v>42</v>
      </c>
      <c r="H687">
        <v>74</v>
      </c>
      <c r="I687" s="4">
        <v>956968</v>
      </c>
      <c r="J687" s="4">
        <v>444000</v>
      </c>
    </row>
    <row r="688" spans="2:10" x14ac:dyDescent="0.3">
      <c r="B688" s="7">
        <v>44593</v>
      </c>
      <c r="C688" s="3">
        <f t="shared" si="20"/>
        <v>2022</v>
      </c>
      <c r="D688" s="3">
        <f t="shared" si="21"/>
        <v>202202</v>
      </c>
      <c r="E688" s="5" t="s">
        <v>2</v>
      </c>
      <c r="F688" s="5" t="s">
        <v>12</v>
      </c>
      <c r="G688" s="5" t="s">
        <v>42</v>
      </c>
      <c r="H688">
        <v>46</v>
      </c>
      <c r="I688" s="4">
        <v>615572</v>
      </c>
      <c r="J688" s="4">
        <v>276000</v>
      </c>
    </row>
    <row r="689" spans="2:10" x14ac:dyDescent="0.3">
      <c r="B689" s="7">
        <v>44621</v>
      </c>
      <c r="C689" s="3">
        <f t="shared" si="20"/>
        <v>2022</v>
      </c>
      <c r="D689" s="3">
        <f t="shared" si="21"/>
        <v>202203</v>
      </c>
      <c r="E689" s="5" t="s">
        <v>2</v>
      </c>
      <c r="F689" s="5" t="s">
        <v>12</v>
      </c>
      <c r="G689" s="5" t="s">
        <v>42</v>
      </c>
      <c r="H689">
        <v>37</v>
      </c>
      <c r="I689" s="4">
        <v>483331</v>
      </c>
      <c r="J689" s="4">
        <v>222000</v>
      </c>
    </row>
    <row r="690" spans="2:10" x14ac:dyDescent="0.3">
      <c r="B690" s="7">
        <v>44652</v>
      </c>
      <c r="C690" s="3">
        <f t="shared" si="20"/>
        <v>2022</v>
      </c>
      <c r="D690" s="3">
        <f t="shared" si="21"/>
        <v>202204</v>
      </c>
      <c r="E690" s="5" t="s">
        <v>2</v>
      </c>
      <c r="F690" s="5" t="s">
        <v>12</v>
      </c>
      <c r="G690" s="5" t="s">
        <v>42</v>
      </c>
      <c r="H690">
        <v>69</v>
      </c>
      <c r="I690" s="4">
        <v>916941</v>
      </c>
      <c r="J690" s="4">
        <v>414000</v>
      </c>
    </row>
    <row r="691" spans="2:10" x14ac:dyDescent="0.3">
      <c r="B691" s="7">
        <v>44682</v>
      </c>
      <c r="C691" s="3">
        <f t="shared" si="20"/>
        <v>2022</v>
      </c>
      <c r="D691" s="3">
        <f t="shared" si="21"/>
        <v>202205</v>
      </c>
      <c r="E691" s="5" t="s">
        <v>2</v>
      </c>
      <c r="F691" s="5" t="s">
        <v>12</v>
      </c>
      <c r="G691" s="5" t="s">
        <v>42</v>
      </c>
      <c r="H691">
        <v>88</v>
      </c>
      <c r="I691" s="4">
        <v>1282864</v>
      </c>
      <c r="J691" s="4">
        <v>528000</v>
      </c>
    </row>
    <row r="692" spans="2:10" x14ac:dyDescent="0.3">
      <c r="B692" s="7">
        <v>44713</v>
      </c>
      <c r="C692" s="3">
        <f t="shared" si="20"/>
        <v>2022</v>
      </c>
      <c r="D692" s="3">
        <f t="shared" si="21"/>
        <v>202206</v>
      </c>
      <c r="E692" s="5" t="s">
        <v>2</v>
      </c>
      <c r="F692" s="5" t="s">
        <v>12</v>
      </c>
      <c r="G692" s="5" t="s">
        <v>42</v>
      </c>
      <c r="H692">
        <v>83</v>
      </c>
      <c r="I692" s="4">
        <v>1096015</v>
      </c>
      <c r="J692" s="4">
        <v>498000</v>
      </c>
    </row>
    <row r="693" spans="2:10" x14ac:dyDescent="0.3">
      <c r="B693" s="7">
        <v>44743</v>
      </c>
      <c r="C693" s="3">
        <f t="shared" si="20"/>
        <v>2022</v>
      </c>
      <c r="D693" s="3">
        <f t="shared" si="21"/>
        <v>202207</v>
      </c>
      <c r="E693" s="5" t="s">
        <v>2</v>
      </c>
      <c r="F693" s="5" t="s">
        <v>12</v>
      </c>
      <c r="G693" s="5" t="s">
        <v>42</v>
      </c>
      <c r="H693">
        <v>88</v>
      </c>
      <c r="I693" s="4">
        <v>1012088</v>
      </c>
      <c r="J693" s="4">
        <v>528000</v>
      </c>
    </row>
    <row r="694" spans="2:10" x14ac:dyDescent="0.3">
      <c r="B694" s="7">
        <v>44774</v>
      </c>
      <c r="C694" s="3">
        <f t="shared" si="20"/>
        <v>2022</v>
      </c>
      <c r="D694" s="3">
        <f t="shared" si="21"/>
        <v>202208</v>
      </c>
      <c r="E694" s="5" t="s">
        <v>2</v>
      </c>
      <c r="F694" s="5" t="s">
        <v>12</v>
      </c>
      <c r="G694" s="5" t="s">
        <v>42</v>
      </c>
      <c r="H694">
        <v>74</v>
      </c>
      <c r="I694" s="4">
        <v>922928</v>
      </c>
      <c r="J694" s="4">
        <v>444000</v>
      </c>
    </row>
    <row r="695" spans="2:10" x14ac:dyDescent="0.3">
      <c r="B695" s="7">
        <v>44805</v>
      </c>
      <c r="C695" s="3">
        <f t="shared" si="20"/>
        <v>2022</v>
      </c>
      <c r="D695" s="3">
        <f t="shared" si="21"/>
        <v>202209</v>
      </c>
      <c r="E695" s="5" t="s">
        <v>2</v>
      </c>
      <c r="F695" s="5" t="s">
        <v>12</v>
      </c>
      <c r="G695" s="5" t="s">
        <v>42</v>
      </c>
      <c r="H695">
        <v>78</v>
      </c>
      <c r="I695" s="4">
        <v>979680</v>
      </c>
      <c r="J695" s="4">
        <v>468000</v>
      </c>
    </row>
    <row r="696" spans="2:10" x14ac:dyDescent="0.3">
      <c r="B696" s="7">
        <v>44835</v>
      </c>
      <c r="C696" s="3">
        <f t="shared" si="20"/>
        <v>2022</v>
      </c>
      <c r="D696" s="3">
        <f t="shared" si="21"/>
        <v>202210</v>
      </c>
      <c r="E696" s="5" t="s">
        <v>2</v>
      </c>
      <c r="F696" s="5" t="s">
        <v>12</v>
      </c>
      <c r="G696" s="5" t="s">
        <v>42</v>
      </c>
      <c r="H696">
        <v>65</v>
      </c>
      <c r="I696" s="4">
        <v>909090</v>
      </c>
      <c r="J696" s="4">
        <v>390000</v>
      </c>
    </row>
    <row r="697" spans="2:10" x14ac:dyDescent="0.3">
      <c r="B697" s="7">
        <v>44866</v>
      </c>
      <c r="C697" s="3">
        <f t="shared" si="20"/>
        <v>2022</v>
      </c>
      <c r="D697" s="3">
        <f t="shared" si="21"/>
        <v>202211</v>
      </c>
      <c r="E697" s="5" t="s">
        <v>2</v>
      </c>
      <c r="F697" s="5" t="s">
        <v>12</v>
      </c>
      <c r="G697" s="5" t="s">
        <v>42</v>
      </c>
      <c r="H697">
        <v>46</v>
      </c>
      <c r="I697" s="4">
        <v>609546</v>
      </c>
      <c r="J697" s="4">
        <v>276000</v>
      </c>
    </row>
    <row r="698" spans="2:10" x14ac:dyDescent="0.3">
      <c r="B698" s="7">
        <v>44896</v>
      </c>
      <c r="C698" s="3">
        <f t="shared" si="20"/>
        <v>2022</v>
      </c>
      <c r="D698" s="3">
        <f t="shared" si="21"/>
        <v>202212</v>
      </c>
      <c r="E698" s="5" t="s">
        <v>2</v>
      </c>
      <c r="F698" s="5" t="s">
        <v>12</v>
      </c>
      <c r="G698" s="5" t="s">
        <v>42</v>
      </c>
      <c r="H698">
        <v>55</v>
      </c>
      <c r="I698" s="4">
        <v>682825</v>
      </c>
      <c r="J698" s="4">
        <v>330000</v>
      </c>
    </row>
    <row r="699" spans="2:10" x14ac:dyDescent="0.3">
      <c r="B699" s="7">
        <v>44197</v>
      </c>
      <c r="C699" s="3">
        <f t="shared" si="20"/>
        <v>2021</v>
      </c>
      <c r="D699" s="3">
        <f t="shared" si="21"/>
        <v>202101</v>
      </c>
      <c r="E699" s="5" t="s">
        <v>2</v>
      </c>
      <c r="F699" s="5" t="s">
        <v>12</v>
      </c>
      <c r="G699" s="5" t="s">
        <v>43</v>
      </c>
      <c r="H699">
        <v>49</v>
      </c>
      <c r="I699" s="4">
        <v>472017</v>
      </c>
      <c r="J699" s="4">
        <v>260190</v>
      </c>
    </row>
    <row r="700" spans="2:10" x14ac:dyDescent="0.3">
      <c r="B700" s="7">
        <v>44228</v>
      </c>
      <c r="C700" s="3">
        <f t="shared" si="20"/>
        <v>2021</v>
      </c>
      <c r="D700" s="3">
        <f t="shared" si="21"/>
        <v>202102</v>
      </c>
      <c r="E700" s="5" t="s">
        <v>2</v>
      </c>
      <c r="F700" s="5" t="s">
        <v>12</v>
      </c>
      <c r="G700" s="5" t="s">
        <v>43</v>
      </c>
      <c r="H700">
        <v>31</v>
      </c>
      <c r="I700" s="4">
        <v>316355</v>
      </c>
      <c r="J700" s="4">
        <v>164610</v>
      </c>
    </row>
    <row r="701" spans="2:10" x14ac:dyDescent="0.3">
      <c r="B701" s="7">
        <v>44256</v>
      </c>
      <c r="C701" s="3">
        <f t="shared" si="20"/>
        <v>2021</v>
      </c>
      <c r="D701" s="3">
        <f t="shared" si="21"/>
        <v>202103</v>
      </c>
      <c r="E701" s="5" t="s">
        <v>2</v>
      </c>
      <c r="F701" s="5" t="s">
        <v>12</v>
      </c>
      <c r="G701" s="5" t="s">
        <v>43</v>
      </c>
      <c r="H701">
        <v>25</v>
      </c>
      <c r="I701" s="4">
        <v>259275</v>
      </c>
      <c r="J701" s="4">
        <v>132750</v>
      </c>
    </row>
    <row r="702" spans="2:10" x14ac:dyDescent="0.3">
      <c r="B702" s="7">
        <v>44287</v>
      </c>
      <c r="C702" s="3">
        <f t="shared" si="20"/>
        <v>2021</v>
      </c>
      <c r="D702" s="3">
        <f t="shared" si="21"/>
        <v>202104</v>
      </c>
      <c r="E702" s="5" t="s">
        <v>2</v>
      </c>
      <c r="F702" s="5" t="s">
        <v>12</v>
      </c>
      <c r="G702" s="5" t="s">
        <v>43</v>
      </c>
      <c r="H702">
        <v>46</v>
      </c>
      <c r="I702" s="4">
        <v>511290</v>
      </c>
      <c r="J702" s="4">
        <v>244260</v>
      </c>
    </row>
    <row r="703" spans="2:10" x14ac:dyDescent="0.3">
      <c r="B703" s="7">
        <v>44317</v>
      </c>
      <c r="C703" s="3">
        <f t="shared" si="20"/>
        <v>2021</v>
      </c>
      <c r="D703" s="3">
        <f t="shared" si="21"/>
        <v>202105</v>
      </c>
      <c r="E703" s="5" t="s">
        <v>2</v>
      </c>
      <c r="F703" s="5" t="s">
        <v>12</v>
      </c>
      <c r="G703" s="5" t="s">
        <v>43</v>
      </c>
      <c r="H703">
        <v>58</v>
      </c>
      <c r="I703" s="4">
        <v>659170</v>
      </c>
      <c r="J703" s="4">
        <v>307980</v>
      </c>
    </row>
    <row r="704" spans="2:10" x14ac:dyDescent="0.3">
      <c r="B704" s="7">
        <v>44348</v>
      </c>
      <c r="C704" s="3">
        <f t="shared" si="20"/>
        <v>2021</v>
      </c>
      <c r="D704" s="3">
        <f t="shared" si="21"/>
        <v>202106</v>
      </c>
      <c r="E704" s="5" t="s">
        <v>2</v>
      </c>
      <c r="F704" s="5" t="s">
        <v>12</v>
      </c>
      <c r="G704" s="5" t="s">
        <v>43</v>
      </c>
      <c r="H704">
        <v>55</v>
      </c>
      <c r="I704" s="4">
        <v>590920</v>
      </c>
      <c r="J704" s="4">
        <v>292050</v>
      </c>
    </row>
    <row r="705" spans="2:10" x14ac:dyDescent="0.3">
      <c r="B705" s="7">
        <v>44378</v>
      </c>
      <c r="C705" s="3">
        <f t="shared" si="20"/>
        <v>2021</v>
      </c>
      <c r="D705" s="3">
        <f t="shared" si="21"/>
        <v>202107</v>
      </c>
      <c r="E705" s="5" t="s">
        <v>2</v>
      </c>
      <c r="F705" s="5" t="s">
        <v>12</v>
      </c>
      <c r="G705" s="5" t="s">
        <v>43</v>
      </c>
      <c r="H705">
        <v>58</v>
      </c>
      <c r="I705" s="4">
        <v>513242</v>
      </c>
      <c r="J705" s="4">
        <v>307980</v>
      </c>
    </row>
    <row r="706" spans="2:10" x14ac:dyDescent="0.3">
      <c r="B706" s="7">
        <v>44409</v>
      </c>
      <c r="C706" s="3">
        <f t="shared" si="20"/>
        <v>2021</v>
      </c>
      <c r="D706" s="3">
        <f t="shared" si="21"/>
        <v>202108</v>
      </c>
      <c r="E706" s="5" t="s">
        <v>2</v>
      </c>
      <c r="F706" s="5" t="s">
        <v>12</v>
      </c>
      <c r="G706" s="5" t="s">
        <v>43</v>
      </c>
      <c r="H706">
        <v>49</v>
      </c>
      <c r="I706" s="4">
        <v>470645</v>
      </c>
      <c r="J706" s="4">
        <v>260190</v>
      </c>
    </row>
    <row r="707" spans="2:10" x14ac:dyDescent="0.3">
      <c r="B707" s="7">
        <v>44440</v>
      </c>
      <c r="C707" s="3">
        <f t="shared" ref="C707:C770" si="22">YEAR(B707)</f>
        <v>2021</v>
      </c>
      <c r="D707" s="3">
        <f t="shared" ref="D707:D770" si="23">VALUE(TEXT(B707,"ГГГГММ"))</f>
        <v>202109</v>
      </c>
      <c r="E707" s="5" t="s">
        <v>2</v>
      </c>
      <c r="F707" s="5" t="s">
        <v>12</v>
      </c>
      <c r="G707" s="5" t="s">
        <v>43</v>
      </c>
      <c r="H707">
        <v>52</v>
      </c>
      <c r="I707" s="4">
        <v>481312</v>
      </c>
      <c r="J707" s="4">
        <v>276120</v>
      </c>
    </row>
    <row r="708" spans="2:10" x14ac:dyDescent="0.3">
      <c r="B708" s="7">
        <v>44470</v>
      </c>
      <c r="C708" s="3">
        <f t="shared" si="22"/>
        <v>2021</v>
      </c>
      <c r="D708" s="3">
        <f t="shared" si="23"/>
        <v>202110</v>
      </c>
      <c r="E708" s="5" t="s">
        <v>2</v>
      </c>
      <c r="F708" s="5" t="s">
        <v>12</v>
      </c>
      <c r="G708" s="5" t="s">
        <v>43</v>
      </c>
      <c r="H708">
        <v>43</v>
      </c>
      <c r="I708" s="4">
        <v>443588</v>
      </c>
      <c r="J708" s="4">
        <v>228330</v>
      </c>
    </row>
    <row r="709" spans="2:10" x14ac:dyDescent="0.3">
      <c r="B709" s="7">
        <v>44501</v>
      </c>
      <c r="C709" s="3">
        <f t="shared" si="22"/>
        <v>2021</v>
      </c>
      <c r="D709" s="3">
        <f t="shared" si="23"/>
        <v>202111</v>
      </c>
      <c r="E709" s="5" t="s">
        <v>2</v>
      </c>
      <c r="F709" s="5" t="s">
        <v>12</v>
      </c>
      <c r="G709" s="5" t="s">
        <v>43</v>
      </c>
      <c r="H709">
        <v>31</v>
      </c>
      <c r="I709" s="4">
        <v>325996</v>
      </c>
      <c r="J709" s="4">
        <v>164610</v>
      </c>
    </row>
    <row r="710" spans="2:10" x14ac:dyDescent="0.3">
      <c r="B710" s="7">
        <v>44531</v>
      </c>
      <c r="C710" s="3">
        <f t="shared" si="22"/>
        <v>2021</v>
      </c>
      <c r="D710" s="3">
        <f t="shared" si="23"/>
        <v>202112</v>
      </c>
      <c r="E710" s="5" t="s">
        <v>2</v>
      </c>
      <c r="F710" s="5" t="s">
        <v>12</v>
      </c>
      <c r="G710" s="5" t="s">
        <v>43</v>
      </c>
      <c r="H710">
        <v>37</v>
      </c>
      <c r="I710" s="4">
        <v>351611</v>
      </c>
      <c r="J710" s="4">
        <v>196470</v>
      </c>
    </row>
    <row r="711" spans="2:10" x14ac:dyDescent="0.3">
      <c r="B711" s="7">
        <v>44562</v>
      </c>
      <c r="C711" s="3">
        <f t="shared" si="22"/>
        <v>2022</v>
      </c>
      <c r="D711" s="3">
        <f t="shared" si="23"/>
        <v>202201</v>
      </c>
      <c r="E711" s="5" t="s">
        <v>2</v>
      </c>
      <c r="F711" s="5" t="s">
        <v>12</v>
      </c>
      <c r="G711" s="5" t="s">
        <v>43</v>
      </c>
      <c r="H711">
        <v>53</v>
      </c>
      <c r="I711" s="4">
        <v>516273</v>
      </c>
      <c r="J711" s="4">
        <v>281430</v>
      </c>
    </row>
    <row r="712" spans="2:10" x14ac:dyDescent="0.3">
      <c r="B712" s="7">
        <v>44593</v>
      </c>
      <c r="C712" s="3">
        <f t="shared" si="22"/>
        <v>2022</v>
      </c>
      <c r="D712" s="3">
        <f t="shared" si="23"/>
        <v>202202</v>
      </c>
      <c r="E712" s="5" t="s">
        <v>2</v>
      </c>
      <c r="F712" s="5" t="s">
        <v>12</v>
      </c>
      <c r="G712" s="5" t="s">
        <v>43</v>
      </c>
      <c r="H712">
        <v>34</v>
      </c>
      <c r="I712" s="4">
        <v>364888</v>
      </c>
      <c r="J712" s="4">
        <v>180540</v>
      </c>
    </row>
    <row r="713" spans="2:10" x14ac:dyDescent="0.3">
      <c r="B713" s="7">
        <v>44621</v>
      </c>
      <c r="C713" s="3">
        <f t="shared" si="22"/>
        <v>2022</v>
      </c>
      <c r="D713" s="3">
        <f t="shared" si="23"/>
        <v>202203</v>
      </c>
      <c r="E713" s="5" t="s">
        <v>2</v>
      </c>
      <c r="F713" s="5" t="s">
        <v>12</v>
      </c>
      <c r="G713" s="5" t="s">
        <v>43</v>
      </c>
      <c r="H713">
        <v>27</v>
      </c>
      <c r="I713" s="4">
        <v>253341</v>
      </c>
      <c r="J713" s="4">
        <v>143370</v>
      </c>
    </row>
    <row r="714" spans="2:10" x14ac:dyDescent="0.3">
      <c r="B714" s="7">
        <v>44652</v>
      </c>
      <c r="C714" s="3">
        <f t="shared" si="22"/>
        <v>2022</v>
      </c>
      <c r="D714" s="3">
        <f t="shared" si="23"/>
        <v>202204</v>
      </c>
      <c r="E714" s="5" t="s">
        <v>2</v>
      </c>
      <c r="F714" s="5" t="s">
        <v>12</v>
      </c>
      <c r="G714" s="5" t="s">
        <v>43</v>
      </c>
      <c r="H714">
        <v>50</v>
      </c>
      <c r="I714" s="4">
        <v>543200</v>
      </c>
      <c r="J714" s="4">
        <v>265500</v>
      </c>
    </row>
    <row r="715" spans="2:10" x14ac:dyDescent="0.3">
      <c r="B715" s="7">
        <v>44682</v>
      </c>
      <c r="C715" s="3">
        <f t="shared" si="22"/>
        <v>2022</v>
      </c>
      <c r="D715" s="3">
        <f t="shared" si="23"/>
        <v>202205</v>
      </c>
      <c r="E715" s="5" t="s">
        <v>2</v>
      </c>
      <c r="F715" s="5" t="s">
        <v>12</v>
      </c>
      <c r="G715" s="5" t="s">
        <v>43</v>
      </c>
      <c r="H715">
        <v>63</v>
      </c>
      <c r="I715" s="4">
        <v>659736</v>
      </c>
      <c r="J715" s="4">
        <v>334530</v>
      </c>
    </row>
    <row r="716" spans="2:10" x14ac:dyDescent="0.3">
      <c r="B716" s="7">
        <v>44713</v>
      </c>
      <c r="C716" s="3">
        <f t="shared" si="22"/>
        <v>2022</v>
      </c>
      <c r="D716" s="3">
        <f t="shared" si="23"/>
        <v>202206</v>
      </c>
      <c r="E716" s="5" t="s">
        <v>2</v>
      </c>
      <c r="F716" s="5" t="s">
        <v>12</v>
      </c>
      <c r="G716" s="5" t="s">
        <v>43</v>
      </c>
      <c r="H716">
        <v>60</v>
      </c>
      <c r="I716" s="4">
        <v>599640</v>
      </c>
      <c r="J716" s="4">
        <v>318600</v>
      </c>
    </row>
    <row r="717" spans="2:10" x14ac:dyDescent="0.3">
      <c r="B717" s="7">
        <v>44743</v>
      </c>
      <c r="C717" s="3">
        <f t="shared" si="22"/>
        <v>2022</v>
      </c>
      <c r="D717" s="3">
        <f t="shared" si="23"/>
        <v>202207</v>
      </c>
      <c r="E717" s="5" t="s">
        <v>2</v>
      </c>
      <c r="F717" s="5" t="s">
        <v>12</v>
      </c>
      <c r="G717" s="5" t="s">
        <v>43</v>
      </c>
      <c r="H717">
        <v>63</v>
      </c>
      <c r="I717" s="4">
        <v>575946</v>
      </c>
      <c r="J717" s="4">
        <v>334530</v>
      </c>
    </row>
    <row r="718" spans="2:10" x14ac:dyDescent="0.3">
      <c r="B718" s="7">
        <v>44774</v>
      </c>
      <c r="C718" s="3">
        <f t="shared" si="22"/>
        <v>2022</v>
      </c>
      <c r="D718" s="3">
        <f t="shared" si="23"/>
        <v>202208</v>
      </c>
      <c r="E718" s="5" t="s">
        <v>2</v>
      </c>
      <c r="F718" s="5" t="s">
        <v>12</v>
      </c>
      <c r="G718" s="5" t="s">
        <v>43</v>
      </c>
      <c r="H718">
        <v>53</v>
      </c>
      <c r="I718" s="4">
        <v>518022</v>
      </c>
      <c r="J718" s="4">
        <v>281430</v>
      </c>
    </row>
    <row r="719" spans="2:10" x14ac:dyDescent="0.3">
      <c r="B719" s="7">
        <v>44805</v>
      </c>
      <c r="C719" s="3">
        <f t="shared" si="22"/>
        <v>2022</v>
      </c>
      <c r="D719" s="3">
        <f t="shared" si="23"/>
        <v>202209</v>
      </c>
      <c r="E719" s="5" t="s">
        <v>2</v>
      </c>
      <c r="F719" s="5" t="s">
        <v>12</v>
      </c>
      <c r="G719" s="5" t="s">
        <v>43</v>
      </c>
      <c r="H719">
        <v>57</v>
      </c>
      <c r="I719" s="4">
        <v>560196</v>
      </c>
      <c r="J719" s="4">
        <v>302670</v>
      </c>
    </row>
    <row r="720" spans="2:10" x14ac:dyDescent="0.3">
      <c r="B720" s="7">
        <v>44835</v>
      </c>
      <c r="C720" s="3">
        <f t="shared" si="22"/>
        <v>2022</v>
      </c>
      <c r="D720" s="3">
        <f t="shared" si="23"/>
        <v>202210</v>
      </c>
      <c r="E720" s="5" t="s">
        <v>2</v>
      </c>
      <c r="F720" s="5" t="s">
        <v>12</v>
      </c>
      <c r="G720" s="5" t="s">
        <v>43</v>
      </c>
      <c r="H720">
        <v>47</v>
      </c>
      <c r="I720" s="4">
        <v>507083</v>
      </c>
      <c r="J720" s="4">
        <v>249570</v>
      </c>
    </row>
    <row r="721" spans="2:10" x14ac:dyDescent="0.3">
      <c r="B721" s="7">
        <v>44866</v>
      </c>
      <c r="C721" s="3">
        <f t="shared" si="22"/>
        <v>2022</v>
      </c>
      <c r="D721" s="3">
        <f t="shared" si="23"/>
        <v>202211</v>
      </c>
      <c r="E721" s="5" t="s">
        <v>2</v>
      </c>
      <c r="F721" s="5" t="s">
        <v>12</v>
      </c>
      <c r="G721" s="5" t="s">
        <v>43</v>
      </c>
      <c r="H721">
        <v>34</v>
      </c>
      <c r="I721" s="4">
        <v>343468</v>
      </c>
      <c r="J721" s="4">
        <v>180540</v>
      </c>
    </row>
    <row r="722" spans="2:10" x14ac:dyDescent="0.3">
      <c r="B722" s="7">
        <v>44896</v>
      </c>
      <c r="C722" s="3">
        <f t="shared" si="22"/>
        <v>2022</v>
      </c>
      <c r="D722" s="3">
        <f t="shared" si="23"/>
        <v>202212</v>
      </c>
      <c r="E722" s="5" t="s">
        <v>2</v>
      </c>
      <c r="F722" s="5" t="s">
        <v>12</v>
      </c>
      <c r="G722" s="5" t="s">
        <v>43</v>
      </c>
      <c r="H722">
        <v>40</v>
      </c>
      <c r="I722" s="4">
        <v>402120</v>
      </c>
      <c r="J722" s="4">
        <v>212400</v>
      </c>
    </row>
    <row r="723" spans="2:10" x14ac:dyDescent="0.3">
      <c r="B723" s="7">
        <v>44197</v>
      </c>
      <c r="C723" s="3">
        <f t="shared" si="22"/>
        <v>2021</v>
      </c>
      <c r="D723" s="3">
        <f t="shared" si="23"/>
        <v>202101</v>
      </c>
      <c r="E723" s="5" t="s">
        <v>2</v>
      </c>
      <c r="F723" s="5" t="s">
        <v>12</v>
      </c>
      <c r="G723" s="5" t="s">
        <v>44</v>
      </c>
      <c r="H723">
        <v>46</v>
      </c>
      <c r="I723" s="4">
        <v>369564</v>
      </c>
      <c r="J723" s="4">
        <v>148120</v>
      </c>
    </row>
    <row r="724" spans="2:10" x14ac:dyDescent="0.3">
      <c r="B724" s="7">
        <v>44228</v>
      </c>
      <c r="C724" s="3">
        <f t="shared" si="22"/>
        <v>2021</v>
      </c>
      <c r="D724" s="3">
        <f t="shared" si="23"/>
        <v>202102</v>
      </c>
      <c r="E724" s="5" t="s">
        <v>2</v>
      </c>
      <c r="F724" s="5" t="s">
        <v>12</v>
      </c>
      <c r="G724" s="5" t="s">
        <v>44</v>
      </c>
      <c r="H724">
        <v>29</v>
      </c>
      <c r="I724" s="4">
        <v>240207</v>
      </c>
      <c r="J724" s="4">
        <v>93380</v>
      </c>
    </row>
    <row r="725" spans="2:10" x14ac:dyDescent="0.3">
      <c r="B725" s="7">
        <v>44256</v>
      </c>
      <c r="C725" s="3">
        <f t="shared" si="22"/>
        <v>2021</v>
      </c>
      <c r="D725" s="3">
        <f t="shared" si="23"/>
        <v>202103</v>
      </c>
      <c r="E725" s="5" t="s">
        <v>2</v>
      </c>
      <c r="F725" s="5" t="s">
        <v>12</v>
      </c>
      <c r="G725" s="5" t="s">
        <v>44</v>
      </c>
      <c r="H725">
        <v>23</v>
      </c>
      <c r="I725" s="4">
        <v>161897</v>
      </c>
      <c r="J725" s="4">
        <v>74060</v>
      </c>
    </row>
    <row r="726" spans="2:10" x14ac:dyDescent="0.3">
      <c r="B726" s="7">
        <v>44287</v>
      </c>
      <c r="C726" s="3">
        <f t="shared" si="22"/>
        <v>2021</v>
      </c>
      <c r="D726" s="3">
        <f t="shared" si="23"/>
        <v>202104</v>
      </c>
      <c r="E726" s="5" t="s">
        <v>2</v>
      </c>
      <c r="F726" s="5" t="s">
        <v>12</v>
      </c>
      <c r="G726" s="5" t="s">
        <v>44</v>
      </c>
      <c r="H726">
        <v>44</v>
      </c>
      <c r="I726" s="4">
        <v>386936</v>
      </c>
      <c r="J726" s="4">
        <v>141680</v>
      </c>
    </row>
    <row r="727" spans="2:10" x14ac:dyDescent="0.3">
      <c r="B727" s="7">
        <v>44317</v>
      </c>
      <c r="C727" s="3">
        <f t="shared" si="22"/>
        <v>2021</v>
      </c>
      <c r="D727" s="3">
        <f t="shared" si="23"/>
        <v>202105</v>
      </c>
      <c r="E727" s="5" t="s">
        <v>2</v>
      </c>
      <c r="F727" s="5" t="s">
        <v>12</v>
      </c>
      <c r="G727" s="5" t="s">
        <v>44</v>
      </c>
      <c r="H727">
        <v>55</v>
      </c>
      <c r="I727" s="4">
        <v>493790</v>
      </c>
      <c r="J727" s="4">
        <v>177100</v>
      </c>
    </row>
    <row r="728" spans="2:10" x14ac:dyDescent="0.3">
      <c r="B728" s="7">
        <v>44348</v>
      </c>
      <c r="C728" s="3">
        <f t="shared" si="22"/>
        <v>2021</v>
      </c>
      <c r="D728" s="3">
        <f t="shared" si="23"/>
        <v>202106</v>
      </c>
      <c r="E728" s="5" t="s">
        <v>2</v>
      </c>
      <c r="F728" s="5" t="s">
        <v>12</v>
      </c>
      <c r="G728" s="5" t="s">
        <v>44</v>
      </c>
      <c r="H728">
        <v>52</v>
      </c>
      <c r="I728" s="4">
        <v>430768</v>
      </c>
      <c r="J728" s="4">
        <v>167440</v>
      </c>
    </row>
    <row r="729" spans="2:10" x14ac:dyDescent="0.3">
      <c r="B729" s="7">
        <v>44378</v>
      </c>
      <c r="C729" s="3">
        <f t="shared" si="22"/>
        <v>2021</v>
      </c>
      <c r="D729" s="3">
        <f t="shared" si="23"/>
        <v>202107</v>
      </c>
      <c r="E729" s="5" t="s">
        <v>2</v>
      </c>
      <c r="F729" s="5" t="s">
        <v>12</v>
      </c>
      <c r="G729" s="5" t="s">
        <v>44</v>
      </c>
      <c r="H729">
        <v>55</v>
      </c>
      <c r="I729" s="4">
        <v>390115</v>
      </c>
      <c r="J729" s="4">
        <v>177100</v>
      </c>
    </row>
    <row r="730" spans="2:10" x14ac:dyDescent="0.3">
      <c r="B730" s="7">
        <v>44409</v>
      </c>
      <c r="C730" s="3">
        <f t="shared" si="22"/>
        <v>2021</v>
      </c>
      <c r="D730" s="3">
        <f t="shared" si="23"/>
        <v>202108</v>
      </c>
      <c r="E730" s="5" t="s">
        <v>2</v>
      </c>
      <c r="F730" s="5" t="s">
        <v>12</v>
      </c>
      <c r="G730" s="5" t="s">
        <v>44</v>
      </c>
      <c r="H730">
        <v>46</v>
      </c>
      <c r="I730" s="4">
        <v>350474</v>
      </c>
      <c r="J730" s="4">
        <v>148120</v>
      </c>
    </row>
    <row r="731" spans="2:10" x14ac:dyDescent="0.3">
      <c r="B731" s="7">
        <v>44440</v>
      </c>
      <c r="C731" s="3">
        <f t="shared" si="22"/>
        <v>2021</v>
      </c>
      <c r="D731" s="3">
        <f t="shared" si="23"/>
        <v>202109</v>
      </c>
      <c r="E731" s="5" t="s">
        <v>2</v>
      </c>
      <c r="F731" s="5" t="s">
        <v>12</v>
      </c>
      <c r="G731" s="5" t="s">
        <v>44</v>
      </c>
      <c r="H731">
        <v>49</v>
      </c>
      <c r="I731" s="4">
        <v>398370</v>
      </c>
      <c r="J731" s="4">
        <v>157780</v>
      </c>
    </row>
    <row r="732" spans="2:10" x14ac:dyDescent="0.3">
      <c r="B732" s="7">
        <v>44470</v>
      </c>
      <c r="C732" s="3">
        <f t="shared" si="22"/>
        <v>2021</v>
      </c>
      <c r="D732" s="3">
        <f t="shared" si="23"/>
        <v>202110</v>
      </c>
      <c r="E732" s="5" t="s">
        <v>2</v>
      </c>
      <c r="F732" s="5" t="s">
        <v>12</v>
      </c>
      <c r="G732" s="5" t="s">
        <v>44</v>
      </c>
      <c r="H732">
        <v>41</v>
      </c>
      <c r="I732" s="4">
        <v>321030</v>
      </c>
      <c r="J732" s="4">
        <v>132020</v>
      </c>
    </row>
    <row r="733" spans="2:10" x14ac:dyDescent="0.3">
      <c r="B733" s="7">
        <v>44501</v>
      </c>
      <c r="C733" s="3">
        <f t="shared" si="22"/>
        <v>2021</v>
      </c>
      <c r="D733" s="3">
        <f t="shared" si="23"/>
        <v>202111</v>
      </c>
      <c r="E733" s="5" t="s">
        <v>2</v>
      </c>
      <c r="F733" s="5" t="s">
        <v>12</v>
      </c>
      <c r="G733" s="5" t="s">
        <v>44</v>
      </c>
      <c r="H733">
        <v>29</v>
      </c>
      <c r="I733" s="4">
        <v>230608</v>
      </c>
      <c r="J733" s="4">
        <v>93380</v>
      </c>
    </row>
    <row r="734" spans="2:10" x14ac:dyDescent="0.3">
      <c r="B734" s="7">
        <v>44531</v>
      </c>
      <c r="C734" s="3">
        <f t="shared" si="22"/>
        <v>2021</v>
      </c>
      <c r="D734" s="3">
        <f t="shared" si="23"/>
        <v>202112</v>
      </c>
      <c r="E734" s="5" t="s">
        <v>2</v>
      </c>
      <c r="F734" s="5" t="s">
        <v>12</v>
      </c>
      <c r="G734" s="5" t="s">
        <v>44</v>
      </c>
      <c r="H734">
        <v>35</v>
      </c>
      <c r="I734" s="4">
        <v>262640</v>
      </c>
      <c r="J734" s="4">
        <v>112700</v>
      </c>
    </row>
    <row r="735" spans="2:10" x14ac:dyDescent="0.3">
      <c r="B735" s="7">
        <v>44562</v>
      </c>
      <c r="C735" s="3">
        <f t="shared" si="22"/>
        <v>2022</v>
      </c>
      <c r="D735" s="3">
        <f t="shared" si="23"/>
        <v>202201</v>
      </c>
      <c r="E735" s="5" t="s">
        <v>2</v>
      </c>
      <c r="F735" s="5" t="s">
        <v>12</v>
      </c>
      <c r="G735" s="5" t="s">
        <v>44</v>
      </c>
      <c r="H735">
        <v>51</v>
      </c>
      <c r="I735" s="4">
        <v>416619</v>
      </c>
      <c r="J735" s="4">
        <v>164220</v>
      </c>
    </row>
    <row r="736" spans="2:10" x14ac:dyDescent="0.3">
      <c r="B736" s="7">
        <v>44593</v>
      </c>
      <c r="C736" s="3">
        <f t="shared" si="22"/>
        <v>2022</v>
      </c>
      <c r="D736" s="3">
        <f t="shared" si="23"/>
        <v>202202</v>
      </c>
      <c r="E736" s="5" t="s">
        <v>2</v>
      </c>
      <c r="F736" s="5" t="s">
        <v>12</v>
      </c>
      <c r="G736" s="5" t="s">
        <v>44</v>
      </c>
      <c r="H736">
        <v>32</v>
      </c>
      <c r="I736" s="4">
        <v>264256</v>
      </c>
      <c r="J736" s="4">
        <v>103040</v>
      </c>
    </row>
    <row r="737" spans="2:10" x14ac:dyDescent="0.3">
      <c r="B737" s="7">
        <v>44621</v>
      </c>
      <c r="C737" s="3">
        <f t="shared" si="22"/>
        <v>2022</v>
      </c>
      <c r="D737" s="3">
        <f t="shared" si="23"/>
        <v>202203</v>
      </c>
      <c r="E737" s="5" t="s">
        <v>2</v>
      </c>
      <c r="F737" s="5" t="s">
        <v>12</v>
      </c>
      <c r="G737" s="5" t="s">
        <v>44</v>
      </c>
      <c r="H737">
        <v>26</v>
      </c>
      <c r="I737" s="4">
        <v>185770</v>
      </c>
      <c r="J737" s="4">
        <v>83720</v>
      </c>
    </row>
    <row r="738" spans="2:10" x14ac:dyDescent="0.3">
      <c r="B738" s="7">
        <v>44652</v>
      </c>
      <c r="C738" s="3">
        <f t="shared" si="22"/>
        <v>2022</v>
      </c>
      <c r="D738" s="3">
        <f t="shared" si="23"/>
        <v>202204</v>
      </c>
      <c r="E738" s="5" t="s">
        <v>2</v>
      </c>
      <c r="F738" s="5" t="s">
        <v>12</v>
      </c>
      <c r="G738" s="5" t="s">
        <v>44</v>
      </c>
      <c r="H738">
        <v>48</v>
      </c>
      <c r="I738" s="4">
        <v>413424</v>
      </c>
      <c r="J738" s="4">
        <v>154560</v>
      </c>
    </row>
    <row r="739" spans="2:10" x14ac:dyDescent="0.3">
      <c r="B739" s="7">
        <v>44682</v>
      </c>
      <c r="C739" s="3">
        <f t="shared" si="22"/>
        <v>2022</v>
      </c>
      <c r="D739" s="3">
        <f t="shared" si="23"/>
        <v>202205</v>
      </c>
      <c r="E739" s="5" t="s">
        <v>2</v>
      </c>
      <c r="F739" s="5" t="s">
        <v>12</v>
      </c>
      <c r="G739" s="5" t="s">
        <v>44</v>
      </c>
      <c r="H739">
        <v>60</v>
      </c>
      <c r="I739" s="4">
        <v>551340</v>
      </c>
      <c r="J739" s="4">
        <v>193200</v>
      </c>
    </row>
    <row r="740" spans="2:10" x14ac:dyDescent="0.3">
      <c r="B740" s="7">
        <v>44713</v>
      </c>
      <c r="C740" s="3">
        <f t="shared" si="22"/>
        <v>2022</v>
      </c>
      <c r="D740" s="3">
        <f t="shared" si="23"/>
        <v>202206</v>
      </c>
      <c r="E740" s="5" t="s">
        <v>2</v>
      </c>
      <c r="F740" s="5" t="s">
        <v>12</v>
      </c>
      <c r="G740" s="5" t="s">
        <v>44</v>
      </c>
      <c r="H740">
        <v>57</v>
      </c>
      <c r="I740" s="4">
        <v>500004</v>
      </c>
      <c r="J740" s="4">
        <v>183540</v>
      </c>
    </row>
    <row r="741" spans="2:10" x14ac:dyDescent="0.3">
      <c r="B741" s="7">
        <v>44743</v>
      </c>
      <c r="C741" s="3">
        <f t="shared" si="22"/>
        <v>2022</v>
      </c>
      <c r="D741" s="3">
        <f t="shared" si="23"/>
        <v>202207</v>
      </c>
      <c r="E741" s="5" t="s">
        <v>2</v>
      </c>
      <c r="F741" s="5" t="s">
        <v>12</v>
      </c>
      <c r="G741" s="5" t="s">
        <v>44</v>
      </c>
      <c r="H741">
        <v>60</v>
      </c>
      <c r="I741" s="4">
        <v>403080</v>
      </c>
      <c r="J741" s="4">
        <v>193200</v>
      </c>
    </row>
    <row r="742" spans="2:10" x14ac:dyDescent="0.3">
      <c r="B742" s="7">
        <v>44774</v>
      </c>
      <c r="C742" s="3">
        <f t="shared" si="22"/>
        <v>2022</v>
      </c>
      <c r="D742" s="3">
        <f t="shared" si="23"/>
        <v>202208</v>
      </c>
      <c r="E742" s="5" t="s">
        <v>2</v>
      </c>
      <c r="F742" s="5" t="s">
        <v>12</v>
      </c>
      <c r="G742" s="5" t="s">
        <v>44</v>
      </c>
      <c r="H742">
        <v>51</v>
      </c>
      <c r="I742" s="4">
        <v>395352</v>
      </c>
      <c r="J742" s="4">
        <v>164220</v>
      </c>
    </row>
    <row r="743" spans="2:10" x14ac:dyDescent="0.3">
      <c r="B743" s="7">
        <v>44805</v>
      </c>
      <c r="C743" s="3">
        <f t="shared" si="22"/>
        <v>2022</v>
      </c>
      <c r="D743" s="3">
        <f t="shared" si="23"/>
        <v>202209</v>
      </c>
      <c r="E743" s="5" t="s">
        <v>2</v>
      </c>
      <c r="F743" s="5" t="s">
        <v>12</v>
      </c>
      <c r="G743" s="5" t="s">
        <v>44</v>
      </c>
      <c r="H743">
        <v>54</v>
      </c>
      <c r="I743" s="4">
        <v>444960</v>
      </c>
      <c r="J743" s="4">
        <v>173880</v>
      </c>
    </row>
    <row r="744" spans="2:10" x14ac:dyDescent="0.3">
      <c r="B744" s="7">
        <v>44835</v>
      </c>
      <c r="C744" s="3">
        <f t="shared" si="22"/>
        <v>2022</v>
      </c>
      <c r="D744" s="3">
        <f t="shared" si="23"/>
        <v>202210</v>
      </c>
      <c r="E744" s="5" t="s">
        <v>2</v>
      </c>
      <c r="F744" s="5" t="s">
        <v>12</v>
      </c>
      <c r="G744" s="5" t="s">
        <v>44</v>
      </c>
      <c r="H744">
        <v>45</v>
      </c>
      <c r="I744" s="4">
        <v>395145</v>
      </c>
      <c r="J744" s="4">
        <v>144900</v>
      </c>
    </row>
    <row r="745" spans="2:10" x14ac:dyDescent="0.3">
      <c r="B745" s="7">
        <v>44866</v>
      </c>
      <c r="C745" s="3">
        <f t="shared" si="22"/>
        <v>2022</v>
      </c>
      <c r="D745" s="3">
        <f t="shared" si="23"/>
        <v>202211</v>
      </c>
      <c r="E745" s="5" t="s">
        <v>2</v>
      </c>
      <c r="F745" s="5" t="s">
        <v>12</v>
      </c>
      <c r="G745" s="5" t="s">
        <v>44</v>
      </c>
      <c r="H745">
        <v>32</v>
      </c>
      <c r="I745" s="4">
        <v>283168</v>
      </c>
      <c r="J745" s="4">
        <v>103040</v>
      </c>
    </row>
    <row r="746" spans="2:10" x14ac:dyDescent="0.3">
      <c r="B746" s="7">
        <v>44896</v>
      </c>
      <c r="C746" s="3">
        <f t="shared" si="22"/>
        <v>2022</v>
      </c>
      <c r="D746" s="3">
        <f t="shared" si="23"/>
        <v>202212</v>
      </c>
      <c r="E746" s="5" t="s">
        <v>2</v>
      </c>
      <c r="F746" s="5" t="s">
        <v>12</v>
      </c>
      <c r="G746" s="5" t="s">
        <v>44</v>
      </c>
      <c r="H746">
        <v>38</v>
      </c>
      <c r="I746" s="4">
        <v>268166</v>
      </c>
      <c r="J746" s="4">
        <v>122360</v>
      </c>
    </row>
    <row r="747" spans="2:10" x14ac:dyDescent="0.3">
      <c r="B747" s="7">
        <v>44197</v>
      </c>
      <c r="C747" s="3">
        <f t="shared" si="22"/>
        <v>2021</v>
      </c>
      <c r="D747" s="3">
        <f t="shared" si="23"/>
        <v>202101</v>
      </c>
      <c r="E747" s="5" t="s">
        <v>2</v>
      </c>
      <c r="F747" s="5" t="s">
        <v>12</v>
      </c>
      <c r="G747" s="5" t="s">
        <v>45</v>
      </c>
      <c r="H747">
        <v>58</v>
      </c>
      <c r="I747" s="4">
        <v>450718</v>
      </c>
      <c r="J747" s="4">
        <v>192270</v>
      </c>
    </row>
    <row r="748" spans="2:10" x14ac:dyDescent="0.3">
      <c r="B748" s="7">
        <v>44228</v>
      </c>
      <c r="C748" s="3">
        <f t="shared" si="22"/>
        <v>2021</v>
      </c>
      <c r="D748" s="3">
        <f t="shared" si="23"/>
        <v>202102</v>
      </c>
      <c r="E748" s="5" t="s">
        <v>2</v>
      </c>
      <c r="F748" s="5" t="s">
        <v>12</v>
      </c>
      <c r="G748" s="5" t="s">
        <v>45</v>
      </c>
      <c r="H748">
        <v>36</v>
      </c>
      <c r="I748" s="4">
        <v>286092</v>
      </c>
      <c r="J748" s="4">
        <v>119340</v>
      </c>
    </row>
    <row r="749" spans="2:10" x14ac:dyDescent="0.3">
      <c r="B749" s="7">
        <v>44256</v>
      </c>
      <c r="C749" s="3">
        <f t="shared" si="22"/>
        <v>2021</v>
      </c>
      <c r="D749" s="3">
        <f t="shared" si="23"/>
        <v>202103</v>
      </c>
      <c r="E749" s="5" t="s">
        <v>2</v>
      </c>
      <c r="F749" s="5" t="s">
        <v>12</v>
      </c>
      <c r="G749" s="5" t="s">
        <v>45</v>
      </c>
      <c r="H749">
        <v>29</v>
      </c>
      <c r="I749" s="4">
        <v>197693</v>
      </c>
      <c r="J749" s="4">
        <v>96135</v>
      </c>
    </row>
    <row r="750" spans="2:10" x14ac:dyDescent="0.3">
      <c r="B750" s="7">
        <v>44287</v>
      </c>
      <c r="C750" s="3">
        <f t="shared" si="22"/>
        <v>2021</v>
      </c>
      <c r="D750" s="3">
        <f t="shared" si="23"/>
        <v>202104</v>
      </c>
      <c r="E750" s="5" t="s">
        <v>2</v>
      </c>
      <c r="F750" s="5" t="s">
        <v>12</v>
      </c>
      <c r="G750" s="5" t="s">
        <v>45</v>
      </c>
      <c r="H750">
        <v>54</v>
      </c>
      <c r="I750" s="4">
        <v>464076</v>
      </c>
      <c r="J750" s="4">
        <v>179010</v>
      </c>
    </row>
    <row r="751" spans="2:10" x14ac:dyDescent="0.3">
      <c r="B751" s="7">
        <v>44317</v>
      </c>
      <c r="C751" s="3">
        <f t="shared" si="22"/>
        <v>2021</v>
      </c>
      <c r="D751" s="3">
        <f t="shared" si="23"/>
        <v>202105</v>
      </c>
      <c r="E751" s="5" t="s">
        <v>2</v>
      </c>
      <c r="F751" s="5" t="s">
        <v>12</v>
      </c>
      <c r="G751" s="5" t="s">
        <v>45</v>
      </c>
      <c r="H751">
        <v>68</v>
      </c>
      <c r="I751" s="4">
        <v>610504</v>
      </c>
      <c r="J751" s="4">
        <v>225420</v>
      </c>
    </row>
    <row r="752" spans="2:10" x14ac:dyDescent="0.3">
      <c r="B752" s="7">
        <v>44348</v>
      </c>
      <c r="C752" s="3">
        <f t="shared" si="22"/>
        <v>2021</v>
      </c>
      <c r="D752" s="3">
        <f t="shared" si="23"/>
        <v>202106</v>
      </c>
      <c r="E752" s="5" t="s">
        <v>2</v>
      </c>
      <c r="F752" s="5" t="s">
        <v>12</v>
      </c>
      <c r="G752" s="5" t="s">
        <v>45</v>
      </c>
      <c r="H752">
        <v>65</v>
      </c>
      <c r="I752" s="4">
        <v>519415</v>
      </c>
      <c r="J752" s="4">
        <v>215475</v>
      </c>
    </row>
    <row r="753" spans="2:10" x14ac:dyDescent="0.3">
      <c r="B753" s="7">
        <v>44378</v>
      </c>
      <c r="C753" s="3">
        <f t="shared" si="22"/>
        <v>2021</v>
      </c>
      <c r="D753" s="3">
        <f t="shared" si="23"/>
        <v>202107</v>
      </c>
      <c r="E753" s="5" t="s">
        <v>2</v>
      </c>
      <c r="F753" s="5" t="s">
        <v>12</v>
      </c>
      <c r="G753" s="5" t="s">
        <v>45</v>
      </c>
      <c r="H753">
        <v>68</v>
      </c>
      <c r="I753" s="4">
        <v>465120</v>
      </c>
      <c r="J753" s="4">
        <v>225420</v>
      </c>
    </row>
    <row r="754" spans="2:10" x14ac:dyDescent="0.3">
      <c r="B754" s="7">
        <v>44409</v>
      </c>
      <c r="C754" s="3">
        <f t="shared" si="22"/>
        <v>2021</v>
      </c>
      <c r="D754" s="3">
        <f t="shared" si="23"/>
        <v>202108</v>
      </c>
      <c r="E754" s="5" t="s">
        <v>2</v>
      </c>
      <c r="F754" s="5" t="s">
        <v>12</v>
      </c>
      <c r="G754" s="5" t="s">
        <v>45</v>
      </c>
      <c r="H754">
        <v>58</v>
      </c>
      <c r="I754" s="4">
        <v>451762</v>
      </c>
      <c r="J754" s="4">
        <v>192270</v>
      </c>
    </row>
    <row r="755" spans="2:10" x14ac:dyDescent="0.3">
      <c r="B755" s="7">
        <v>44440</v>
      </c>
      <c r="C755" s="3">
        <f t="shared" si="22"/>
        <v>2021</v>
      </c>
      <c r="D755" s="3">
        <f t="shared" si="23"/>
        <v>202109</v>
      </c>
      <c r="E755" s="5" t="s">
        <v>2</v>
      </c>
      <c r="F755" s="5" t="s">
        <v>12</v>
      </c>
      <c r="G755" s="5" t="s">
        <v>45</v>
      </c>
      <c r="H755">
        <v>61</v>
      </c>
      <c r="I755" s="4">
        <v>440298</v>
      </c>
      <c r="J755" s="4">
        <v>202215</v>
      </c>
    </row>
    <row r="756" spans="2:10" x14ac:dyDescent="0.3">
      <c r="B756" s="7">
        <v>44470</v>
      </c>
      <c r="C756" s="3">
        <f t="shared" si="22"/>
        <v>2021</v>
      </c>
      <c r="D756" s="3">
        <f t="shared" si="23"/>
        <v>202110</v>
      </c>
      <c r="E756" s="5" t="s">
        <v>2</v>
      </c>
      <c r="F756" s="5" t="s">
        <v>12</v>
      </c>
      <c r="G756" s="5" t="s">
        <v>45</v>
      </c>
      <c r="H756">
        <v>50</v>
      </c>
      <c r="I756" s="4">
        <v>408350</v>
      </c>
      <c r="J756" s="4">
        <v>165750</v>
      </c>
    </row>
    <row r="757" spans="2:10" x14ac:dyDescent="0.3">
      <c r="B757" s="7">
        <v>44501</v>
      </c>
      <c r="C757" s="3">
        <f t="shared" si="22"/>
        <v>2021</v>
      </c>
      <c r="D757" s="3">
        <f t="shared" si="23"/>
        <v>202111</v>
      </c>
      <c r="E757" s="5" t="s">
        <v>2</v>
      </c>
      <c r="F757" s="5" t="s">
        <v>12</v>
      </c>
      <c r="G757" s="5" t="s">
        <v>45</v>
      </c>
      <c r="H757">
        <v>36</v>
      </c>
      <c r="I757" s="4">
        <v>272736</v>
      </c>
      <c r="J757" s="4">
        <v>119340</v>
      </c>
    </row>
    <row r="758" spans="2:10" x14ac:dyDescent="0.3">
      <c r="B758" s="7">
        <v>44531</v>
      </c>
      <c r="C758" s="3">
        <f t="shared" si="22"/>
        <v>2021</v>
      </c>
      <c r="D758" s="3">
        <f t="shared" si="23"/>
        <v>202112</v>
      </c>
      <c r="E758" s="5" t="s">
        <v>2</v>
      </c>
      <c r="F758" s="5" t="s">
        <v>12</v>
      </c>
      <c r="G758" s="5" t="s">
        <v>45</v>
      </c>
      <c r="H758">
        <v>43</v>
      </c>
      <c r="I758" s="4">
        <v>315319</v>
      </c>
      <c r="J758" s="4">
        <v>142545</v>
      </c>
    </row>
    <row r="759" spans="2:10" x14ac:dyDescent="0.3">
      <c r="B759" s="7">
        <v>44562</v>
      </c>
      <c r="C759" s="3">
        <f t="shared" si="22"/>
        <v>2022</v>
      </c>
      <c r="D759" s="3">
        <f t="shared" si="23"/>
        <v>202201</v>
      </c>
      <c r="E759" s="5" t="s">
        <v>2</v>
      </c>
      <c r="F759" s="5" t="s">
        <v>12</v>
      </c>
      <c r="G759" s="5" t="s">
        <v>45</v>
      </c>
      <c r="H759">
        <v>63</v>
      </c>
      <c r="I759" s="4">
        <v>484911</v>
      </c>
      <c r="J759" s="4">
        <v>208845</v>
      </c>
    </row>
    <row r="760" spans="2:10" x14ac:dyDescent="0.3">
      <c r="B760" s="7">
        <v>44593</v>
      </c>
      <c r="C760" s="3">
        <f t="shared" si="22"/>
        <v>2022</v>
      </c>
      <c r="D760" s="3">
        <f t="shared" si="23"/>
        <v>202202</v>
      </c>
      <c r="E760" s="5" t="s">
        <v>2</v>
      </c>
      <c r="F760" s="5" t="s">
        <v>12</v>
      </c>
      <c r="G760" s="5" t="s">
        <v>45</v>
      </c>
      <c r="H760">
        <v>40</v>
      </c>
      <c r="I760" s="4">
        <v>316920</v>
      </c>
      <c r="J760" s="4">
        <v>132600</v>
      </c>
    </row>
    <row r="761" spans="2:10" x14ac:dyDescent="0.3">
      <c r="B761" s="7">
        <v>44621</v>
      </c>
      <c r="C761" s="3">
        <f t="shared" si="22"/>
        <v>2022</v>
      </c>
      <c r="D761" s="3">
        <f t="shared" si="23"/>
        <v>202203</v>
      </c>
      <c r="E761" s="5" t="s">
        <v>2</v>
      </c>
      <c r="F761" s="5" t="s">
        <v>12</v>
      </c>
      <c r="G761" s="5" t="s">
        <v>45</v>
      </c>
      <c r="H761">
        <v>32</v>
      </c>
      <c r="I761" s="4">
        <v>239232</v>
      </c>
      <c r="J761" s="4">
        <v>106080</v>
      </c>
    </row>
    <row r="762" spans="2:10" x14ac:dyDescent="0.3">
      <c r="B762" s="7">
        <v>44652</v>
      </c>
      <c r="C762" s="3">
        <f t="shared" si="22"/>
        <v>2022</v>
      </c>
      <c r="D762" s="3">
        <f t="shared" si="23"/>
        <v>202204</v>
      </c>
      <c r="E762" s="5" t="s">
        <v>2</v>
      </c>
      <c r="F762" s="5" t="s">
        <v>12</v>
      </c>
      <c r="G762" s="5" t="s">
        <v>45</v>
      </c>
      <c r="H762">
        <v>59</v>
      </c>
      <c r="I762" s="4">
        <v>492296</v>
      </c>
      <c r="J762" s="4">
        <v>195585</v>
      </c>
    </row>
    <row r="763" spans="2:10" x14ac:dyDescent="0.3">
      <c r="B763" s="7">
        <v>44682</v>
      </c>
      <c r="C763" s="3">
        <f t="shared" si="22"/>
        <v>2022</v>
      </c>
      <c r="D763" s="3">
        <f t="shared" si="23"/>
        <v>202205</v>
      </c>
      <c r="E763" s="5" t="s">
        <v>2</v>
      </c>
      <c r="F763" s="5" t="s">
        <v>12</v>
      </c>
      <c r="G763" s="5" t="s">
        <v>45</v>
      </c>
      <c r="H763">
        <v>75</v>
      </c>
      <c r="I763" s="4">
        <v>645600</v>
      </c>
      <c r="J763" s="4">
        <v>248625</v>
      </c>
    </row>
    <row r="764" spans="2:10" x14ac:dyDescent="0.3">
      <c r="B764" s="7">
        <v>44713</v>
      </c>
      <c r="C764" s="3">
        <f t="shared" si="22"/>
        <v>2022</v>
      </c>
      <c r="D764" s="3">
        <f t="shared" si="23"/>
        <v>202206</v>
      </c>
      <c r="E764" s="5" t="s">
        <v>2</v>
      </c>
      <c r="F764" s="5" t="s">
        <v>12</v>
      </c>
      <c r="G764" s="5" t="s">
        <v>45</v>
      </c>
      <c r="H764">
        <v>71</v>
      </c>
      <c r="I764" s="4">
        <v>574674</v>
      </c>
      <c r="J764" s="4">
        <v>235365</v>
      </c>
    </row>
    <row r="765" spans="2:10" x14ac:dyDescent="0.3">
      <c r="B765" s="7">
        <v>44743</v>
      </c>
      <c r="C765" s="3">
        <f t="shared" si="22"/>
        <v>2022</v>
      </c>
      <c r="D765" s="3">
        <f t="shared" si="23"/>
        <v>202207</v>
      </c>
      <c r="E765" s="5" t="s">
        <v>2</v>
      </c>
      <c r="F765" s="5" t="s">
        <v>12</v>
      </c>
      <c r="G765" s="5" t="s">
        <v>45</v>
      </c>
      <c r="H765">
        <v>75</v>
      </c>
      <c r="I765" s="4">
        <v>454950</v>
      </c>
      <c r="J765" s="4">
        <v>248625</v>
      </c>
    </row>
    <row r="766" spans="2:10" x14ac:dyDescent="0.3">
      <c r="B766" s="7">
        <v>44774</v>
      </c>
      <c r="C766" s="3">
        <f t="shared" si="22"/>
        <v>2022</v>
      </c>
      <c r="D766" s="3">
        <f t="shared" si="23"/>
        <v>202208</v>
      </c>
      <c r="E766" s="5" t="s">
        <v>2</v>
      </c>
      <c r="F766" s="5" t="s">
        <v>12</v>
      </c>
      <c r="G766" s="5" t="s">
        <v>45</v>
      </c>
      <c r="H766">
        <v>63</v>
      </c>
      <c r="I766" s="4">
        <v>481887</v>
      </c>
      <c r="J766" s="4">
        <v>208845</v>
      </c>
    </row>
    <row r="767" spans="2:10" x14ac:dyDescent="0.3">
      <c r="B767" s="7">
        <v>44805</v>
      </c>
      <c r="C767" s="3">
        <f t="shared" si="22"/>
        <v>2022</v>
      </c>
      <c r="D767" s="3">
        <f t="shared" si="23"/>
        <v>202209</v>
      </c>
      <c r="E767" s="5" t="s">
        <v>2</v>
      </c>
      <c r="F767" s="5" t="s">
        <v>12</v>
      </c>
      <c r="G767" s="5" t="s">
        <v>45</v>
      </c>
      <c r="H767">
        <v>67</v>
      </c>
      <c r="I767" s="4">
        <v>490440</v>
      </c>
      <c r="J767" s="4">
        <v>222105</v>
      </c>
    </row>
    <row r="768" spans="2:10" x14ac:dyDescent="0.3">
      <c r="B768" s="7">
        <v>44835</v>
      </c>
      <c r="C768" s="3">
        <f t="shared" si="22"/>
        <v>2022</v>
      </c>
      <c r="D768" s="3">
        <f t="shared" si="23"/>
        <v>202210</v>
      </c>
      <c r="E768" s="5" t="s">
        <v>2</v>
      </c>
      <c r="F768" s="5" t="s">
        <v>12</v>
      </c>
      <c r="G768" s="5" t="s">
        <v>45</v>
      </c>
      <c r="H768">
        <v>55</v>
      </c>
      <c r="I768" s="4">
        <v>457050</v>
      </c>
      <c r="J768" s="4">
        <v>182325</v>
      </c>
    </row>
    <row r="769" spans="2:10" x14ac:dyDescent="0.3">
      <c r="B769" s="7">
        <v>44866</v>
      </c>
      <c r="C769" s="3">
        <f t="shared" si="22"/>
        <v>2022</v>
      </c>
      <c r="D769" s="3">
        <f t="shared" si="23"/>
        <v>202211</v>
      </c>
      <c r="E769" s="5" t="s">
        <v>2</v>
      </c>
      <c r="F769" s="5" t="s">
        <v>12</v>
      </c>
      <c r="G769" s="5" t="s">
        <v>45</v>
      </c>
      <c r="H769">
        <v>40</v>
      </c>
      <c r="I769" s="4">
        <v>324080</v>
      </c>
      <c r="J769" s="4">
        <v>132600</v>
      </c>
    </row>
    <row r="770" spans="2:10" x14ac:dyDescent="0.3">
      <c r="B770" s="7">
        <v>44896</v>
      </c>
      <c r="C770" s="3">
        <f t="shared" si="22"/>
        <v>2022</v>
      </c>
      <c r="D770" s="3">
        <f t="shared" si="23"/>
        <v>202212</v>
      </c>
      <c r="E770" s="5" t="s">
        <v>2</v>
      </c>
      <c r="F770" s="5" t="s">
        <v>12</v>
      </c>
      <c r="G770" s="5" t="s">
        <v>45</v>
      </c>
      <c r="H770">
        <v>48</v>
      </c>
      <c r="I770" s="4">
        <v>347760</v>
      </c>
      <c r="J770" s="4">
        <v>159120</v>
      </c>
    </row>
    <row r="771" spans="2:10" x14ac:dyDescent="0.3">
      <c r="B771" s="7">
        <v>44197</v>
      </c>
      <c r="C771" s="3">
        <f t="shared" ref="C771:C834" si="24">YEAR(B771)</f>
        <v>2021</v>
      </c>
      <c r="D771" s="3">
        <f t="shared" ref="D771:D834" si="25">VALUE(TEXT(B771,"ГГГГММ"))</f>
        <v>202101</v>
      </c>
      <c r="E771" s="5" t="s">
        <v>2</v>
      </c>
      <c r="F771" s="5" t="s">
        <v>12</v>
      </c>
      <c r="G771" s="5" t="s">
        <v>46</v>
      </c>
      <c r="H771">
        <v>63</v>
      </c>
      <c r="I771" s="4">
        <v>693882</v>
      </c>
      <c r="J771" s="4">
        <v>296100</v>
      </c>
    </row>
    <row r="772" spans="2:10" x14ac:dyDescent="0.3">
      <c r="B772" s="7">
        <v>44228</v>
      </c>
      <c r="C772" s="3">
        <f t="shared" si="24"/>
        <v>2021</v>
      </c>
      <c r="D772" s="3">
        <f t="shared" si="25"/>
        <v>202102</v>
      </c>
      <c r="E772" s="5" t="s">
        <v>2</v>
      </c>
      <c r="F772" s="5" t="s">
        <v>12</v>
      </c>
      <c r="G772" s="5" t="s">
        <v>46</v>
      </c>
      <c r="H772">
        <v>40</v>
      </c>
      <c r="I772" s="4">
        <v>445480</v>
      </c>
      <c r="J772" s="4">
        <v>188000</v>
      </c>
    </row>
    <row r="773" spans="2:10" x14ac:dyDescent="0.3">
      <c r="B773" s="7">
        <v>44256</v>
      </c>
      <c r="C773" s="3">
        <f t="shared" si="24"/>
        <v>2021</v>
      </c>
      <c r="D773" s="3">
        <f t="shared" si="25"/>
        <v>202103</v>
      </c>
      <c r="E773" s="5" t="s">
        <v>2</v>
      </c>
      <c r="F773" s="5" t="s">
        <v>12</v>
      </c>
      <c r="G773" s="5" t="s">
        <v>46</v>
      </c>
      <c r="H773">
        <v>32</v>
      </c>
      <c r="I773" s="4">
        <v>351936</v>
      </c>
      <c r="J773" s="4">
        <v>150400</v>
      </c>
    </row>
    <row r="774" spans="2:10" x14ac:dyDescent="0.3">
      <c r="B774" s="7">
        <v>44287</v>
      </c>
      <c r="C774" s="3">
        <f t="shared" si="24"/>
        <v>2021</v>
      </c>
      <c r="D774" s="3">
        <f t="shared" si="25"/>
        <v>202104</v>
      </c>
      <c r="E774" s="5" t="s">
        <v>2</v>
      </c>
      <c r="F774" s="5" t="s">
        <v>12</v>
      </c>
      <c r="G774" s="5" t="s">
        <v>46</v>
      </c>
      <c r="H774">
        <v>59</v>
      </c>
      <c r="I774" s="4">
        <v>700802</v>
      </c>
      <c r="J774" s="4">
        <v>277300</v>
      </c>
    </row>
    <row r="775" spans="2:10" x14ac:dyDescent="0.3">
      <c r="B775" s="7">
        <v>44317</v>
      </c>
      <c r="C775" s="3">
        <f t="shared" si="24"/>
        <v>2021</v>
      </c>
      <c r="D775" s="3">
        <f t="shared" si="25"/>
        <v>202105</v>
      </c>
      <c r="E775" s="5" t="s">
        <v>2</v>
      </c>
      <c r="F775" s="5" t="s">
        <v>12</v>
      </c>
      <c r="G775" s="5" t="s">
        <v>46</v>
      </c>
      <c r="H775">
        <v>75</v>
      </c>
      <c r="I775" s="4">
        <v>913575</v>
      </c>
      <c r="J775" s="4">
        <v>352500</v>
      </c>
    </row>
    <row r="776" spans="2:10" x14ac:dyDescent="0.3">
      <c r="B776" s="7">
        <v>44348</v>
      </c>
      <c r="C776" s="3">
        <f t="shared" si="24"/>
        <v>2021</v>
      </c>
      <c r="D776" s="3">
        <f t="shared" si="25"/>
        <v>202106</v>
      </c>
      <c r="E776" s="5" t="s">
        <v>2</v>
      </c>
      <c r="F776" s="5" t="s">
        <v>12</v>
      </c>
      <c r="G776" s="5" t="s">
        <v>46</v>
      </c>
      <c r="H776">
        <v>71</v>
      </c>
      <c r="I776" s="4">
        <v>802016</v>
      </c>
      <c r="J776" s="4">
        <v>333700</v>
      </c>
    </row>
    <row r="777" spans="2:10" x14ac:dyDescent="0.3">
      <c r="B777" s="7">
        <v>44378</v>
      </c>
      <c r="C777" s="3">
        <f t="shared" si="24"/>
        <v>2021</v>
      </c>
      <c r="D777" s="3">
        <f t="shared" si="25"/>
        <v>202107</v>
      </c>
      <c r="E777" s="5" t="s">
        <v>2</v>
      </c>
      <c r="F777" s="5" t="s">
        <v>12</v>
      </c>
      <c r="G777" s="5" t="s">
        <v>46</v>
      </c>
      <c r="H777">
        <v>75</v>
      </c>
      <c r="I777" s="4">
        <v>745650</v>
      </c>
      <c r="J777" s="4">
        <v>352500</v>
      </c>
    </row>
    <row r="778" spans="2:10" x14ac:dyDescent="0.3">
      <c r="B778" s="7">
        <v>44409</v>
      </c>
      <c r="C778" s="3">
        <f t="shared" si="24"/>
        <v>2021</v>
      </c>
      <c r="D778" s="3">
        <f t="shared" si="25"/>
        <v>202108</v>
      </c>
      <c r="E778" s="5" t="s">
        <v>2</v>
      </c>
      <c r="F778" s="5" t="s">
        <v>12</v>
      </c>
      <c r="G778" s="5" t="s">
        <v>46</v>
      </c>
      <c r="H778">
        <v>63</v>
      </c>
      <c r="I778" s="4">
        <v>701127</v>
      </c>
      <c r="J778" s="4">
        <v>296100</v>
      </c>
    </row>
    <row r="779" spans="2:10" x14ac:dyDescent="0.3">
      <c r="B779" s="7">
        <v>44440</v>
      </c>
      <c r="C779" s="3">
        <f t="shared" si="24"/>
        <v>2021</v>
      </c>
      <c r="D779" s="3">
        <f t="shared" si="25"/>
        <v>202109</v>
      </c>
      <c r="E779" s="5" t="s">
        <v>2</v>
      </c>
      <c r="F779" s="5" t="s">
        <v>12</v>
      </c>
      <c r="G779" s="5" t="s">
        <v>46</v>
      </c>
      <c r="H779">
        <v>67</v>
      </c>
      <c r="I779" s="4">
        <v>710602</v>
      </c>
      <c r="J779" s="4">
        <v>314900</v>
      </c>
    </row>
    <row r="780" spans="2:10" x14ac:dyDescent="0.3">
      <c r="B780" s="7">
        <v>44470</v>
      </c>
      <c r="C780" s="3">
        <f t="shared" si="24"/>
        <v>2021</v>
      </c>
      <c r="D780" s="3">
        <f t="shared" si="25"/>
        <v>202110</v>
      </c>
      <c r="E780" s="5" t="s">
        <v>2</v>
      </c>
      <c r="F780" s="5" t="s">
        <v>12</v>
      </c>
      <c r="G780" s="5" t="s">
        <v>46</v>
      </c>
      <c r="H780">
        <v>55</v>
      </c>
      <c r="I780" s="4">
        <v>648835</v>
      </c>
      <c r="J780" s="4">
        <v>258500</v>
      </c>
    </row>
    <row r="781" spans="2:10" x14ac:dyDescent="0.3">
      <c r="B781" s="7">
        <v>44501</v>
      </c>
      <c r="C781" s="3">
        <f t="shared" si="24"/>
        <v>2021</v>
      </c>
      <c r="D781" s="3">
        <f t="shared" si="25"/>
        <v>202111</v>
      </c>
      <c r="E781" s="5" t="s">
        <v>2</v>
      </c>
      <c r="F781" s="5" t="s">
        <v>12</v>
      </c>
      <c r="G781" s="5" t="s">
        <v>46</v>
      </c>
      <c r="H781">
        <v>40</v>
      </c>
      <c r="I781" s="4">
        <v>433280</v>
      </c>
      <c r="J781" s="4">
        <v>188000</v>
      </c>
    </row>
    <row r="782" spans="2:10" x14ac:dyDescent="0.3">
      <c r="B782" s="7">
        <v>44531</v>
      </c>
      <c r="C782" s="3">
        <f t="shared" si="24"/>
        <v>2021</v>
      </c>
      <c r="D782" s="3">
        <f t="shared" si="25"/>
        <v>202112</v>
      </c>
      <c r="E782" s="5" t="s">
        <v>2</v>
      </c>
      <c r="F782" s="5" t="s">
        <v>12</v>
      </c>
      <c r="G782" s="5" t="s">
        <v>46</v>
      </c>
      <c r="H782">
        <v>48</v>
      </c>
      <c r="I782" s="4">
        <v>494352</v>
      </c>
      <c r="J782" s="4">
        <v>225600</v>
      </c>
    </row>
    <row r="783" spans="2:10" x14ac:dyDescent="0.3">
      <c r="B783" s="7">
        <v>44562</v>
      </c>
      <c r="C783" s="3">
        <f t="shared" si="24"/>
        <v>2022</v>
      </c>
      <c r="D783" s="3">
        <f t="shared" si="25"/>
        <v>202201</v>
      </c>
      <c r="E783" s="5" t="s">
        <v>2</v>
      </c>
      <c r="F783" s="5" t="s">
        <v>12</v>
      </c>
      <c r="G783" s="5" t="s">
        <v>46</v>
      </c>
      <c r="H783">
        <v>69</v>
      </c>
      <c r="I783" s="4">
        <v>746580</v>
      </c>
      <c r="J783" s="4">
        <v>324300</v>
      </c>
    </row>
    <row r="784" spans="2:10" x14ac:dyDescent="0.3">
      <c r="B784" s="7">
        <v>44593</v>
      </c>
      <c r="C784" s="3">
        <f t="shared" si="24"/>
        <v>2022</v>
      </c>
      <c r="D784" s="3">
        <f t="shared" si="25"/>
        <v>202202</v>
      </c>
      <c r="E784" s="5" t="s">
        <v>2</v>
      </c>
      <c r="F784" s="5" t="s">
        <v>12</v>
      </c>
      <c r="G784" s="5" t="s">
        <v>46</v>
      </c>
      <c r="H784">
        <v>44</v>
      </c>
      <c r="I784" s="4">
        <v>481800</v>
      </c>
      <c r="J784" s="4">
        <v>206800</v>
      </c>
    </row>
    <row r="785" spans="2:10" x14ac:dyDescent="0.3">
      <c r="B785" s="7">
        <v>44621</v>
      </c>
      <c r="C785" s="3">
        <f t="shared" si="24"/>
        <v>2022</v>
      </c>
      <c r="D785" s="3">
        <f t="shared" si="25"/>
        <v>202203</v>
      </c>
      <c r="E785" s="5" t="s">
        <v>2</v>
      </c>
      <c r="F785" s="5" t="s">
        <v>12</v>
      </c>
      <c r="G785" s="5" t="s">
        <v>46</v>
      </c>
      <c r="H785">
        <v>35</v>
      </c>
      <c r="I785" s="4">
        <v>388255</v>
      </c>
      <c r="J785" s="4">
        <v>164500</v>
      </c>
    </row>
    <row r="786" spans="2:10" x14ac:dyDescent="0.3">
      <c r="B786" s="7">
        <v>44652</v>
      </c>
      <c r="C786" s="3">
        <f t="shared" si="24"/>
        <v>2022</v>
      </c>
      <c r="D786" s="3">
        <f t="shared" si="25"/>
        <v>202204</v>
      </c>
      <c r="E786" s="5" t="s">
        <v>2</v>
      </c>
      <c r="F786" s="5" t="s">
        <v>12</v>
      </c>
      <c r="G786" s="5" t="s">
        <v>46</v>
      </c>
      <c r="H786">
        <v>65</v>
      </c>
      <c r="I786" s="4">
        <v>749255</v>
      </c>
      <c r="J786" s="4">
        <v>305500</v>
      </c>
    </row>
    <row r="787" spans="2:10" x14ac:dyDescent="0.3">
      <c r="B787" s="7">
        <v>44682</v>
      </c>
      <c r="C787" s="3">
        <f t="shared" si="24"/>
        <v>2022</v>
      </c>
      <c r="D787" s="3">
        <f t="shared" si="25"/>
        <v>202205</v>
      </c>
      <c r="E787" s="5" t="s">
        <v>2</v>
      </c>
      <c r="F787" s="5" t="s">
        <v>12</v>
      </c>
      <c r="G787" s="5" t="s">
        <v>46</v>
      </c>
      <c r="H787">
        <v>82</v>
      </c>
      <c r="I787" s="4">
        <v>946854</v>
      </c>
      <c r="J787" s="4">
        <v>385400</v>
      </c>
    </row>
    <row r="788" spans="2:10" x14ac:dyDescent="0.3">
      <c r="B788" s="7">
        <v>44713</v>
      </c>
      <c r="C788" s="3">
        <f t="shared" si="24"/>
        <v>2022</v>
      </c>
      <c r="D788" s="3">
        <f t="shared" si="25"/>
        <v>202206</v>
      </c>
      <c r="E788" s="5" t="s">
        <v>2</v>
      </c>
      <c r="F788" s="5" t="s">
        <v>12</v>
      </c>
      <c r="G788" s="5" t="s">
        <v>46</v>
      </c>
      <c r="H788">
        <v>78</v>
      </c>
      <c r="I788" s="4">
        <v>855036</v>
      </c>
      <c r="J788" s="4">
        <v>366600</v>
      </c>
    </row>
    <row r="789" spans="2:10" x14ac:dyDescent="0.3">
      <c r="B789" s="7">
        <v>44743</v>
      </c>
      <c r="C789" s="3">
        <f t="shared" si="24"/>
        <v>2022</v>
      </c>
      <c r="D789" s="3">
        <f t="shared" si="25"/>
        <v>202207</v>
      </c>
      <c r="E789" s="5" t="s">
        <v>2</v>
      </c>
      <c r="F789" s="5" t="s">
        <v>12</v>
      </c>
      <c r="G789" s="5" t="s">
        <v>46</v>
      </c>
      <c r="H789">
        <v>82</v>
      </c>
      <c r="I789" s="4">
        <v>782690</v>
      </c>
      <c r="J789" s="4">
        <v>385400</v>
      </c>
    </row>
    <row r="790" spans="2:10" x14ac:dyDescent="0.3">
      <c r="B790" s="7">
        <v>44774</v>
      </c>
      <c r="C790" s="3">
        <f t="shared" si="24"/>
        <v>2022</v>
      </c>
      <c r="D790" s="3">
        <f t="shared" si="25"/>
        <v>202208</v>
      </c>
      <c r="E790" s="5" t="s">
        <v>2</v>
      </c>
      <c r="F790" s="5" t="s">
        <v>12</v>
      </c>
      <c r="G790" s="5" t="s">
        <v>46</v>
      </c>
      <c r="H790">
        <v>69</v>
      </c>
      <c r="I790" s="4">
        <v>752445</v>
      </c>
      <c r="J790" s="4">
        <v>324300</v>
      </c>
    </row>
    <row r="791" spans="2:10" x14ac:dyDescent="0.3">
      <c r="B791" s="7">
        <v>44805</v>
      </c>
      <c r="C791" s="3">
        <f t="shared" si="24"/>
        <v>2022</v>
      </c>
      <c r="D791" s="3">
        <f t="shared" si="25"/>
        <v>202209</v>
      </c>
      <c r="E791" s="5" t="s">
        <v>2</v>
      </c>
      <c r="F791" s="5" t="s">
        <v>12</v>
      </c>
      <c r="G791" s="5" t="s">
        <v>46</v>
      </c>
      <c r="H791">
        <v>74</v>
      </c>
      <c r="I791" s="4">
        <v>810818</v>
      </c>
      <c r="J791" s="4">
        <v>347800</v>
      </c>
    </row>
    <row r="792" spans="2:10" x14ac:dyDescent="0.3">
      <c r="B792" s="7">
        <v>44835</v>
      </c>
      <c r="C792" s="3">
        <f t="shared" si="24"/>
        <v>2022</v>
      </c>
      <c r="D792" s="3">
        <f t="shared" si="25"/>
        <v>202210</v>
      </c>
      <c r="E792" s="5" t="s">
        <v>2</v>
      </c>
      <c r="F792" s="5" t="s">
        <v>12</v>
      </c>
      <c r="G792" s="5" t="s">
        <v>46</v>
      </c>
      <c r="H792">
        <v>61</v>
      </c>
      <c r="I792" s="4">
        <v>685579</v>
      </c>
      <c r="J792" s="4">
        <v>286700</v>
      </c>
    </row>
    <row r="793" spans="2:10" x14ac:dyDescent="0.3">
      <c r="B793" s="7">
        <v>44866</v>
      </c>
      <c r="C793" s="3">
        <f t="shared" si="24"/>
        <v>2022</v>
      </c>
      <c r="D793" s="3">
        <f t="shared" si="25"/>
        <v>202211</v>
      </c>
      <c r="E793" s="5" t="s">
        <v>2</v>
      </c>
      <c r="F793" s="5" t="s">
        <v>12</v>
      </c>
      <c r="G793" s="5" t="s">
        <v>46</v>
      </c>
      <c r="H793">
        <v>44</v>
      </c>
      <c r="I793" s="4">
        <v>520564</v>
      </c>
      <c r="J793" s="4">
        <v>206800</v>
      </c>
    </row>
    <row r="794" spans="2:10" x14ac:dyDescent="0.3">
      <c r="B794" s="7">
        <v>44896</v>
      </c>
      <c r="C794" s="3">
        <f t="shared" si="24"/>
        <v>2022</v>
      </c>
      <c r="D794" s="3">
        <f t="shared" si="25"/>
        <v>202212</v>
      </c>
      <c r="E794" s="5" t="s">
        <v>2</v>
      </c>
      <c r="F794" s="5" t="s">
        <v>12</v>
      </c>
      <c r="G794" s="5" t="s">
        <v>46</v>
      </c>
      <c r="H794">
        <v>52</v>
      </c>
      <c r="I794" s="4">
        <v>542932</v>
      </c>
      <c r="J794" s="4">
        <v>244400</v>
      </c>
    </row>
    <row r="795" spans="2:10" x14ac:dyDescent="0.3">
      <c r="B795" s="7">
        <v>44197</v>
      </c>
      <c r="C795" s="3">
        <f t="shared" si="24"/>
        <v>2021</v>
      </c>
      <c r="D795" s="3">
        <f t="shared" si="25"/>
        <v>202101</v>
      </c>
      <c r="E795" s="5" t="s">
        <v>2</v>
      </c>
      <c r="F795" s="5" t="s">
        <v>12</v>
      </c>
      <c r="G795" s="5" t="s">
        <v>47</v>
      </c>
      <c r="H795">
        <v>67</v>
      </c>
      <c r="I795" s="4">
        <v>709262</v>
      </c>
      <c r="J795" s="4">
        <v>359723</v>
      </c>
    </row>
    <row r="796" spans="2:10" x14ac:dyDescent="0.3">
      <c r="B796" s="7">
        <v>44228</v>
      </c>
      <c r="C796" s="3">
        <f t="shared" si="24"/>
        <v>2021</v>
      </c>
      <c r="D796" s="3">
        <f t="shared" si="25"/>
        <v>202102</v>
      </c>
      <c r="E796" s="5" t="s">
        <v>2</v>
      </c>
      <c r="F796" s="5" t="s">
        <v>12</v>
      </c>
      <c r="G796" s="5" t="s">
        <v>47</v>
      </c>
      <c r="H796">
        <v>42</v>
      </c>
      <c r="I796" s="4">
        <v>453852</v>
      </c>
      <c r="J796" s="4">
        <v>225498</v>
      </c>
    </row>
    <row r="797" spans="2:10" x14ac:dyDescent="0.3">
      <c r="B797" s="7">
        <v>44256</v>
      </c>
      <c r="C797" s="3">
        <f t="shared" si="24"/>
        <v>2021</v>
      </c>
      <c r="D797" s="3">
        <f t="shared" si="25"/>
        <v>202103</v>
      </c>
      <c r="E797" s="5" t="s">
        <v>2</v>
      </c>
      <c r="F797" s="5" t="s">
        <v>12</v>
      </c>
      <c r="G797" s="5" t="s">
        <v>47</v>
      </c>
      <c r="H797">
        <v>34</v>
      </c>
      <c r="I797" s="4">
        <v>342720</v>
      </c>
      <c r="J797" s="4">
        <v>182546</v>
      </c>
    </row>
    <row r="798" spans="2:10" x14ac:dyDescent="0.3">
      <c r="B798" s="7">
        <v>44287</v>
      </c>
      <c r="C798" s="3">
        <f t="shared" si="24"/>
        <v>2021</v>
      </c>
      <c r="D798" s="3">
        <f t="shared" si="25"/>
        <v>202104</v>
      </c>
      <c r="E798" s="5" t="s">
        <v>2</v>
      </c>
      <c r="F798" s="5" t="s">
        <v>12</v>
      </c>
      <c r="G798" s="5" t="s">
        <v>47</v>
      </c>
      <c r="H798">
        <v>62</v>
      </c>
      <c r="I798" s="4">
        <v>654844</v>
      </c>
      <c r="J798" s="4">
        <v>332878</v>
      </c>
    </row>
    <row r="799" spans="2:10" x14ac:dyDescent="0.3">
      <c r="B799" s="7">
        <v>44317</v>
      </c>
      <c r="C799" s="3">
        <f t="shared" si="24"/>
        <v>2021</v>
      </c>
      <c r="D799" s="3">
        <f t="shared" si="25"/>
        <v>202105</v>
      </c>
      <c r="E799" s="5" t="s">
        <v>2</v>
      </c>
      <c r="F799" s="5" t="s">
        <v>12</v>
      </c>
      <c r="G799" s="5" t="s">
        <v>47</v>
      </c>
      <c r="H799">
        <v>79</v>
      </c>
      <c r="I799" s="4">
        <v>891673</v>
      </c>
      <c r="J799" s="4">
        <v>424151</v>
      </c>
    </row>
    <row r="800" spans="2:10" x14ac:dyDescent="0.3">
      <c r="B800" s="7">
        <v>44348</v>
      </c>
      <c r="C800" s="3">
        <f t="shared" si="24"/>
        <v>2021</v>
      </c>
      <c r="D800" s="3">
        <f t="shared" si="25"/>
        <v>202106</v>
      </c>
      <c r="E800" s="5" t="s">
        <v>2</v>
      </c>
      <c r="F800" s="5" t="s">
        <v>12</v>
      </c>
      <c r="G800" s="5" t="s">
        <v>47</v>
      </c>
      <c r="H800">
        <v>75</v>
      </c>
      <c r="I800" s="4">
        <v>804900</v>
      </c>
      <c r="J800" s="4">
        <v>402675</v>
      </c>
    </row>
    <row r="801" spans="2:10" x14ac:dyDescent="0.3">
      <c r="B801" s="7">
        <v>44378</v>
      </c>
      <c r="C801" s="3">
        <f t="shared" si="24"/>
        <v>2021</v>
      </c>
      <c r="D801" s="3">
        <f t="shared" si="25"/>
        <v>202107</v>
      </c>
      <c r="E801" s="5" t="s">
        <v>2</v>
      </c>
      <c r="F801" s="5" t="s">
        <v>12</v>
      </c>
      <c r="G801" s="5" t="s">
        <v>47</v>
      </c>
      <c r="H801">
        <v>79</v>
      </c>
      <c r="I801" s="4">
        <v>674107</v>
      </c>
      <c r="J801" s="4">
        <v>424151</v>
      </c>
    </row>
    <row r="802" spans="2:10" x14ac:dyDescent="0.3">
      <c r="B802" s="7">
        <v>44409</v>
      </c>
      <c r="C802" s="3">
        <f t="shared" si="24"/>
        <v>2021</v>
      </c>
      <c r="D802" s="3">
        <f t="shared" si="25"/>
        <v>202108</v>
      </c>
      <c r="E802" s="5" t="s">
        <v>2</v>
      </c>
      <c r="F802" s="5" t="s">
        <v>12</v>
      </c>
      <c r="G802" s="5" t="s">
        <v>47</v>
      </c>
      <c r="H802">
        <v>67</v>
      </c>
      <c r="I802" s="4">
        <v>661290</v>
      </c>
      <c r="J802" s="4">
        <v>359723</v>
      </c>
    </row>
    <row r="803" spans="2:10" x14ac:dyDescent="0.3">
      <c r="B803" s="7">
        <v>44440</v>
      </c>
      <c r="C803" s="3">
        <f t="shared" si="24"/>
        <v>2021</v>
      </c>
      <c r="D803" s="3">
        <f t="shared" si="25"/>
        <v>202109</v>
      </c>
      <c r="E803" s="5" t="s">
        <v>2</v>
      </c>
      <c r="F803" s="5" t="s">
        <v>12</v>
      </c>
      <c r="G803" s="5" t="s">
        <v>47</v>
      </c>
      <c r="H803">
        <v>71</v>
      </c>
      <c r="I803" s="4">
        <v>701622</v>
      </c>
      <c r="J803" s="4">
        <v>381199</v>
      </c>
    </row>
    <row r="804" spans="2:10" x14ac:dyDescent="0.3">
      <c r="B804" s="7">
        <v>44470</v>
      </c>
      <c r="C804" s="3">
        <f t="shared" si="24"/>
        <v>2021</v>
      </c>
      <c r="D804" s="3">
        <f t="shared" si="25"/>
        <v>202110</v>
      </c>
      <c r="E804" s="5" t="s">
        <v>2</v>
      </c>
      <c r="F804" s="5" t="s">
        <v>12</v>
      </c>
      <c r="G804" s="5" t="s">
        <v>47</v>
      </c>
      <c r="H804">
        <v>58</v>
      </c>
      <c r="I804" s="4">
        <v>579768</v>
      </c>
      <c r="J804" s="4">
        <v>311402</v>
      </c>
    </row>
    <row r="805" spans="2:10" x14ac:dyDescent="0.3">
      <c r="B805" s="7">
        <v>44501</v>
      </c>
      <c r="C805" s="3">
        <f t="shared" si="24"/>
        <v>2021</v>
      </c>
      <c r="D805" s="3">
        <f t="shared" si="25"/>
        <v>202111</v>
      </c>
      <c r="E805" s="5" t="s">
        <v>2</v>
      </c>
      <c r="F805" s="5" t="s">
        <v>12</v>
      </c>
      <c r="G805" s="5" t="s">
        <v>47</v>
      </c>
      <c r="H805">
        <v>42</v>
      </c>
      <c r="I805" s="4">
        <v>421554</v>
      </c>
      <c r="J805" s="4">
        <v>225498</v>
      </c>
    </row>
    <row r="806" spans="2:10" x14ac:dyDescent="0.3">
      <c r="B806" s="7">
        <v>44531</v>
      </c>
      <c r="C806" s="3">
        <f t="shared" si="24"/>
        <v>2021</v>
      </c>
      <c r="D806" s="3">
        <f t="shared" si="25"/>
        <v>202112</v>
      </c>
      <c r="E806" s="5" t="s">
        <v>2</v>
      </c>
      <c r="F806" s="5" t="s">
        <v>12</v>
      </c>
      <c r="G806" s="5" t="s">
        <v>47</v>
      </c>
      <c r="H806">
        <v>50</v>
      </c>
      <c r="I806" s="4">
        <v>514250</v>
      </c>
      <c r="J806" s="4">
        <v>268450</v>
      </c>
    </row>
    <row r="807" spans="2:10" x14ac:dyDescent="0.3">
      <c r="B807" s="7">
        <v>44562</v>
      </c>
      <c r="C807" s="3">
        <f t="shared" si="24"/>
        <v>2022</v>
      </c>
      <c r="D807" s="3">
        <f t="shared" si="25"/>
        <v>202201</v>
      </c>
      <c r="E807" s="5" t="s">
        <v>2</v>
      </c>
      <c r="F807" s="5" t="s">
        <v>12</v>
      </c>
      <c r="G807" s="5" t="s">
        <v>47</v>
      </c>
      <c r="H807">
        <v>73</v>
      </c>
      <c r="I807" s="4">
        <v>732190</v>
      </c>
      <c r="J807" s="4">
        <v>391937</v>
      </c>
    </row>
    <row r="808" spans="2:10" x14ac:dyDescent="0.3">
      <c r="B808" s="7">
        <v>44593</v>
      </c>
      <c r="C808" s="3">
        <f t="shared" si="24"/>
        <v>2022</v>
      </c>
      <c r="D808" s="3">
        <f t="shared" si="25"/>
        <v>202202</v>
      </c>
      <c r="E808" s="5" t="s">
        <v>2</v>
      </c>
      <c r="F808" s="5" t="s">
        <v>12</v>
      </c>
      <c r="G808" s="5" t="s">
        <v>47</v>
      </c>
      <c r="H808">
        <v>46</v>
      </c>
      <c r="I808" s="4">
        <v>463082</v>
      </c>
      <c r="J808" s="4">
        <v>246974</v>
      </c>
    </row>
    <row r="809" spans="2:10" x14ac:dyDescent="0.3">
      <c r="B809" s="7">
        <v>44621</v>
      </c>
      <c r="C809" s="3">
        <f t="shared" si="24"/>
        <v>2022</v>
      </c>
      <c r="D809" s="3">
        <f t="shared" si="25"/>
        <v>202203</v>
      </c>
      <c r="E809" s="5" t="s">
        <v>2</v>
      </c>
      <c r="F809" s="5" t="s">
        <v>12</v>
      </c>
      <c r="G809" s="5" t="s">
        <v>47</v>
      </c>
      <c r="H809">
        <v>37</v>
      </c>
      <c r="I809" s="4">
        <v>377955</v>
      </c>
      <c r="J809" s="4">
        <v>198653</v>
      </c>
    </row>
    <row r="810" spans="2:10" x14ac:dyDescent="0.3">
      <c r="B810" s="7">
        <v>44652</v>
      </c>
      <c r="C810" s="3">
        <f t="shared" si="24"/>
        <v>2022</v>
      </c>
      <c r="D810" s="3">
        <f t="shared" si="25"/>
        <v>202204</v>
      </c>
      <c r="E810" s="5" t="s">
        <v>2</v>
      </c>
      <c r="F810" s="5" t="s">
        <v>12</v>
      </c>
      <c r="G810" s="5" t="s">
        <v>47</v>
      </c>
      <c r="H810">
        <v>69</v>
      </c>
      <c r="I810" s="4">
        <v>713667</v>
      </c>
      <c r="J810" s="4">
        <v>370461</v>
      </c>
    </row>
    <row r="811" spans="2:10" x14ac:dyDescent="0.3">
      <c r="B811" s="7">
        <v>44682</v>
      </c>
      <c r="C811" s="3">
        <f t="shared" si="24"/>
        <v>2022</v>
      </c>
      <c r="D811" s="3">
        <f t="shared" si="25"/>
        <v>202205</v>
      </c>
      <c r="E811" s="5" t="s">
        <v>2</v>
      </c>
      <c r="F811" s="5" t="s">
        <v>12</v>
      </c>
      <c r="G811" s="5" t="s">
        <v>47</v>
      </c>
      <c r="H811">
        <v>87</v>
      </c>
      <c r="I811" s="4">
        <v>1008504</v>
      </c>
      <c r="J811" s="4">
        <v>467103</v>
      </c>
    </row>
    <row r="812" spans="2:10" x14ac:dyDescent="0.3">
      <c r="B812" s="7">
        <v>44713</v>
      </c>
      <c r="C812" s="3">
        <f t="shared" si="24"/>
        <v>2022</v>
      </c>
      <c r="D812" s="3">
        <f t="shared" si="25"/>
        <v>202206</v>
      </c>
      <c r="E812" s="5" t="s">
        <v>2</v>
      </c>
      <c r="F812" s="5" t="s">
        <v>12</v>
      </c>
      <c r="G812" s="5" t="s">
        <v>47</v>
      </c>
      <c r="H812">
        <v>82</v>
      </c>
      <c r="I812" s="4">
        <v>876170</v>
      </c>
      <c r="J812" s="4">
        <v>440258</v>
      </c>
    </row>
    <row r="813" spans="2:10" x14ac:dyDescent="0.3">
      <c r="B813" s="7">
        <v>44743</v>
      </c>
      <c r="C813" s="3">
        <f t="shared" si="24"/>
        <v>2022</v>
      </c>
      <c r="D813" s="3">
        <f t="shared" si="25"/>
        <v>202207</v>
      </c>
      <c r="E813" s="5" t="s">
        <v>2</v>
      </c>
      <c r="F813" s="5" t="s">
        <v>12</v>
      </c>
      <c r="G813" s="5" t="s">
        <v>47</v>
      </c>
      <c r="H813">
        <v>87</v>
      </c>
      <c r="I813" s="4">
        <v>819540</v>
      </c>
      <c r="J813" s="4">
        <v>467103</v>
      </c>
    </row>
    <row r="814" spans="2:10" x14ac:dyDescent="0.3">
      <c r="B814" s="7">
        <v>44774</v>
      </c>
      <c r="C814" s="3">
        <f t="shared" si="24"/>
        <v>2022</v>
      </c>
      <c r="D814" s="3">
        <f t="shared" si="25"/>
        <v>202208</v>
      </c>
      <c r="E814" s="5" t="s">
        <v>2</v>
      </c>
      <c r="F814" s="5" t="s">
        <v>12</v>
      </c>
      <c r="G814" s="5" t="s">
        <v>47</v>
      </c>
      <c r="H814">
        <v>73</v>
      </c>
      <c r="I814" s="4">
        <v>741169</v>
      </c>
      <c r="J814" s="4">
        <v>391937</v>
      </c>
    </row>
    <row r="815" spans="2:10" x14ac:dyDescent="0.3">
      <c r="B815" s="7">
        <v>44805</v>
      </c>
      <c r="C815" s="3">
        <f t="shared" si="24"/>
        <v>2022</v>
      </c>
      <c r="D815" s="3">
        <f t="shared" si="25"/>
        <v>202209</v>
      </c>
      <c r="E815" s="5" t="s">
        <v>2</v>
      </c>
      <c r="F815" s="5" t="s">
        <v>12</v>
      </c>
      <c r="G815" s="5" t="s">
        <v>47</v>
      </c>
      <c r="H815">
        <v>78</v>
      </c>
      <c r="I815" s="4">
        <v>811044</v>
      </c>
      <c r="J815" s="4">
        <v>418782</v>
      </c>
    </row>
    <row r="816" spans="2:10" x14ac:dyDescent="0.3">
      <c r="B816" s="7">
        <v>44835</v>
      </c>
      <c r="C816" s="3">
        <f t="shared" si="24"/>
        <v>2022</v>
      </c>
      <c r="D816" s="3">
        <f t="shared" si="25"/>
        <v>202210</v>
      </c>
      <c r="E816" s="5" t="s">
        <v>2</v>
      </c>
      <c r="F816" s="5" t="s">
        <v>12</v>
      </c>
      <c r="G816" s="5" t="s">
        <v>47</v>
      </c>
      <c r="H816">
        <v>64</v>
      </c>
      <c r="I816" s="4">
        <v>686464</v>
      </c>
      <c r="J816" s="4">
        <v>343616</v>
      </c>
    </row>
    <row r="817" spans="2:10" x14ac:dyDescent="0.3">
      <c r="B817" s="7">
        <v>44866</v>
      </c>
      <c r="C817" s="3">
        <f t="shared" si="24"/>
        <v>2022</v>
      </c>
      <c r="D817" s="3">
        <f t="shared" si="25"/>
        <v>202211</v>
      </c>
      <c r="E817" s="5" t="s">
        <v>2</v>
      </c>
      <c r="F817" s="5" t="s">
        <v>12</v>
      </c>
      <c r="G817" s="5" t="s">
        <v>47</v>
      </c>
      <c r="H817">
        <v>46</v>
      </c>
      <c r="I817" s="4">
        <v>480470</v>
      </c>
      <c r="J817" s="4">
        <v>246974</v>
      </c>
    </row>
    <row r="818" spans="2:10" x14ac:dyDescent="0.3">
      <c r="B818" s="7">
        <v>44896</v>
      </c>
      <c r="C818" s="3">
        <f t="shared" si="24"/>
        <v>2022</v>
      </c>
      <c r="D818" s="3">
        <f t="shared" si="25"/>
        <v>202212</v>
      </c>
      <c r="E818" s="5" t="s">
        <v>2</v>
      </c>
      <c r="F818" s="5" t="s">
        <v>12</v>
      </c>
      <c r="G818" s="5" t="s">
        <v>47</v>
      </c>
      <c r="H818">
        <v>55</v>
      </c>
      <c r="I818" s="4">
        <v>554565</v>
      </c>
      <c r="J818" s="4">
        <v>295295</v>
      </c>
    </row>
    <row r="819" spans="2:10" x14ac:dyDescent="0.3">
      <c r="B819" s="7">
        <v>44197</v>
      </c>
      <c r="C819" s="3">
        <f t="shared" si="24"/>
        <v>2021</v>
      </c>
      <c r="D819" s="3">
        <f t="shared" si="25"/>
        <v>202101</v>
      </c>
      <c r="E819" s="5" t="s">
        <v>2</v>
      </c>
      <c r="F819" s="5" t="s">
        <v>12</v>
      </c>
      <c r="G819" s="5" t="s">
        <v>48</v>
      </c>
      <c r="H819">
        <v>48</v>
      </c>
      <c r="I819" s="4">
        <v>598272</v>
      </c>
      <c r="J819" s="4">
        <v>264000</v>
      </c>
    </row>
    <row r="820" spans="2:10" x14ac:dyDescent="0.3">
      <c r="B820" s="7">
        <v>44228</v>
      </c>
      <c r="C820" s="3">
        <f t="shared" si="24"/>
        <v>2021</v>
      </c>
      <c r="D820" s="3">
        <f t="shared" si="25"/>
        <v>202102</v>
      </c>
      <c r="E820" s="5" t="s">
        <v>2</v>
      </c>
      <c r="F820" s="5" t="s">
        <v>12</v>
      </c>
      <c r="G820" s="5" t="s">
        <v>48</v>
      </c>
      <c r="H820">
        <v>30</v>
      </c>
      <c r="I820" s="4">
        <v>386610</v>
      </c>
      <c r="J820" s="4">
        <v>165000</v>
      </c>
    </row>
    <row r="821" spans="2:10" x14ac:dyDescent="0.3">
      <c r="B821" s="7">
        <v>44256</v>
      </c>
      <c r="C821" s="3">
        <f t="shared" si="24"/>
        <v>2021</v>
      </c>
      <c r="D821" s="3">
        <f t="shared" si="25"/>
        <v>202103</v>
      </c>
      <c r="E821" s="5" t="s">
        <v>2</v>
      </c>
      <c r="F821" s="5" t="s">
        <v>12</v>
      </c>
      <c r="G821" s="5" t="s">
        <v>48</v>
      </c>
      <c r="H821">
        <v>24</v>
      </c>
      <c r="I821" s="4">
        <v>288960</v>
      </c>
      <c r="J821" s="4">
        <v>132000</v>
      </c>
    </row>
    <row r="822" spans="2:10" x14ac:dyDescent="0.3">
      <c r="B822" s="7">
        <v>44287</v>
      </c>
      <c r="C822" s="3">
        <f t="shared" si="24"/>
        <v>2021</v>
      </c>
      <c r="D822" s="3">
        <f t="shared" si="25"/>
        <v>202104</v>
      </c>
      <c r="E822" s="5" t="s">
        <v>2</v>
      </c>
      <c r="F822" s="5" t="s">
        <v>12</v>
      </c>
      <c r="G822" s="5" t="s">
        <v>48</v>
      </c>
      <c r="H822">
        <v>45</v>
      </c>
      <c r="I822" s="4">
        <v>592290</v>
      </c>
      <c r="J822" s="4">
        <v>247500</v>
      </c>
    </row>
    <row r="823" spans="2:10" x14ac:dyDescent="0.3">
      <c r="B823" s="7">
        <v>44317</v>
      </c>
      <c r="C823" s="3">
        <f t="shared" si="24"/>
        <v>2021</v>
      </c>
      <c r="D823" s="3">
        <f t="shared" si="25"/>
        <v>202105</v>
      </c>
      <c r="E823" s="5" t="s">
        <v>2</v>
      </c>
      <c r="F823" s="5" t="s">
        <v>12</v>
      </c>
      <c r="G823" s="5" t="s">
        <v>48</v>
      </c>
      <c r="H823">
        <v>56</v>
      </c>
      <c r="I823" s="4">
        <v>704312</v>
      </c>
      <c r="J823" s="4">
        <v>308000</v>
      </c>
    </row>
    <row r="824" spans="2:10" x14ac:dyDescent="0.3">
      <c r="B824" s="7">
        <v>44348</v>
      </c>
      <c r="C824" s="3">
        <f t="shared" si="24"/>
        <v>2021</v>
      </c>
      <c r="D824" s="3">
        <f t="shared" si="25"/>
        <v>202106</v>
      </c>
      <c r="E824" s="5" t="s">
        <v>2</v>
      </c>
      <c r="F824" s="5" t="s">
        <v>12</v>
      </c>
      <c r="G824" s="5" t="s">
        <v>48</v>
      </c>
      <c r="H824">
        <v>53</v>
      </c>
      <c r="I824" s="4">
        <v>644798</v>
      </c>
      <c r="J824" s="4">
        <v>291500</v>
      </c>
    </row>
    <row r="825" spans="2:10" x14ac:dyDescent="0.3">
      <c r="B825" s="7">
        <v>44378</v>
      </c>
      <c r="C825" s="3">
        <f t="shared" si="24"/>
        <v>2021</v>
      </c>
      <c r="D825" s="3">
        <f t="shared" si="25"/>
        <v>202107</v>
      </c>
      <c r="E825" s="5" t="s">
        <v>2</v>
      </c>
      <c r="F825" s="5" t="s">
        <v>12</v>
      </c>
      <c r="G825" s="5" t="s">
        <v>48</v>
      </c>
      <c r="H825">
        <v>56</v>
      </c>
      <c r="I825" s="4">
        <v>593432</v>
      </c>
      <c r="J825" s="4">
        <v>308000</v>
      </c>
    </row>
    <row r="826" spans="2:10" x14ac:dyDescent="0.3">
      <c r="B826" s="7">
        <v>44409</v>
      </c>
      <c r="C826" s="3">
        <f t="shared" si="24"/>
        <v>2021</v>
      </c>
      <c r="D826" s="3">
        <f t="shared" si="25"/>
        <v>202108</v>
      </c>
      <c r="E826" s="5" t="s">
        <v>2</v>
      </c>
      <c r="F826" s="5" t="s">
        <v>12</v>
      </c>
      <c r="G826" s="5" t="s">
        <v>48</v>
      </c>
      <c r="H826">
        <v>48</v>
      </c>
      <c r="I826" s="4">
        <v>584544</v>
      </c>
      <c r="J826" s="4">
        <v>264000</v>
      </c>
    </row>
    <row r="827" spans="2:10" x14ac:dyDescent="0.3">
      <c r="B827" s="7">
        <v>44440</v>
      </c>
      <c r="C827" s="3">
        <f t="shared" si="24"/>
        <v>2021</v>
      </c>
      <c r="D827" s="3">
        <f t="shared" si="25"/>
        <v>202109</v>
      </c>
      <c r="E827" s="5" t="s">
        <v>2</v>
      </c>
      <c r="F827" s="5" t="s">
        <v>12</v>
      </c>
      <c r="G827" s="5" t="s">
        <v>48</v>
      </c>
      <c r="H827">
        <v>50</v>
      </c>
      <c r="I827" s="4">
        <v>608250</v>
      </c>
      <c r="J827" s="4">
        <v>275000</v>
      </c>
    </row>
    <row r="828" spans="2:10" x14ac:dyDescent="0.3">
      <c r="B828" s="7">
        <v>44470</v>
      </c>
      <c r="C828" s="3">
        <f t="shared" si="24"/>
        <v>2021</v>
      </c>
      <c r="D828" s="3">
        <f t="shared" si="25"/>
        <v>202110</v>
      </c>
      <c r="E828" s="5" t="s">
        <v>2</v>
      </c>
      <c r="F828" s="5" t="s">
        <v>12</v>
      </c>
      <c r="G828" s="5" t="s">
        <v>48</v>
      </c>
      <c r="H828">
        <v>42</v>
      </c>
      <c r="I828" s="4">
        <v>542304</v>
      </c>
      <c r="J828" s="4">
        <v>231000</v>
      </c>
    </row>
    <row r="829" spans="2:10" x14ac:dyDescent="0.3">
      <c r="B829" s="7">
        <v>44501</v>
      </c>
      <c r="C829" s="3">
        <f t="shared" si="24"/>
        <v>2021</v>
      </c>
      <c r="D829" s="3">
        <f t="shared" si="25"/>
        <v>202111</v>
      </c>
      <c r="E829" s="5" t="s">
        <v>2</v>
      </c>
      <c r="F829" s="5" t="s">
        <v>12</v>
      </c>
      <c r="G829" s="5" t="s">
        <v>48</v>
      </c>
      <c r="H829">
        <v>30</v>
      </c>
      <c r="I829" s="4">
        <v>365550</v>
      </c>
      <c r="J829" s="4">
        <v>165000</v>
      </c>
    </row>
    <row r="830" spans="2:10" x14ac:dyDescent="0.3">
      <c r="B830" s="7">
        <v>44531</v>
      </c>
      <c r="C830" s="3">
        <f t="shared" si="24"/>
        <v>2021</v>
      </c>
      <c r="D830" s="3">
        <f t="shared" si="25"/>
        <v>202112</v>
      </c>
      <c r="E830" s="5" t="s">
        <v>2</v>
      </c>
      <c r="F830" s="5" t="s">
        <v>12</v>
      </c>
      <c r="G830" s="5" t="s">
        <v>48</v>
      </c>
      <c r="H830">
        <v>36</v>
      </c>
      <c r="I830" s="4">
        <v>426960</v>
      </c>
      <c r="J830" s="4">
        <v>198000</v>
      </c>
    </row>
    <row r="831" spans="2:10" x14ac:dyDescent="0.3">
      <c r="B831" s="7">
        <v>44562</v>
      </c>
      <c r="C831" s="3">
        <f t="shared" si="24"/>
        <v>2022</v>
      </c>
      <c r="D831" s="3">
        <f t="shared" si="25"/>
        <v>202201</v>
      </c>
      <c r="E831" s="5" t="s">
        <v>2</v>
      </c>
      <c r="F831" s="5" t="s">
        <v>12</v>
      </c>
      <c r="G831" s="5" t="s">
        <v>48</v>
      </c>
      <c r="H831">
        <v>52</v>
      </c>
      <c r="I831" s="4">
        <v>617344</v>
      </c>
      <c r="J831" s="4">
        <v>286000</v>
      </c>
    </row>
    <row r="832" spans="2:10" x14ac:dyDescent="0.3">
      <c r="B832" s="7">
        <v>44593</v>
      </c>
      <c r="C832" s="3">
        <f t="shared" si="24"/>
        <v>2022</v>
      </c>
      <c r="D832" s="3">
        <f t="shared" si="25"/>
        <v>202202</v>
      </c>
      <c r="E832" s="5" t="s">
        <v>2</v>
      </c>
      <c r="F832" s="5" t="s">
        <v>12</v>
      </c>
      <c r="G832" s="5" t="s">
        <v>48</v>
      </c>
      <c r="H832">
        <v>33</v>
      </c>
      <c r="I832" s="4">
        <v>401742</v>
      </c>
      <c r="J832" s="4">
        <v>181500</v>
      </c>
    </row>
    <row r="833" spans="2:10" x14ac:dyDescent="0.3">
      <c r="B833" s="7">
        <v>44621</v>
      </c>
      <c r="C833" s="3">
        <f t="shared" si="24"/>
        <v>2022</v>
      </c>
      <c r="D833" s="3">
        <f t="shared" si="25"/>
        <v>202203</v>
      </c>
      <c r="E833" s="5" t="s">
        <v>2</v>
      </c>
      <c r="F833" s="5" t="s">
        <v>12</v>
      </c>
      <c r="G833" s="5" t="s">
        <v>48</v>
      </c>
      <c r="H833">
        <v>26</v>
      </c>
      <c r="I833" s="4">
        <v>305786</v>
      </c>
      <c r="J833" s="4">
        <v>143000</v>
      </c>
    </row>
    <row r="834" spans="2:10" x14ac:dyDescent="0.3">
      <c r="B834" s="7">
        <v>44652</v>
      </c>
      <c r="C834" s="3">
        <f t="shared" si="24"/>
        <v>2022</v>
      </c>
      <c r="D834" s="3">
        <f t="shared" si="25"/>
        <v>202204</v>
      </c>
      <c r="E834" s="5" t="s">
        <v>2</v>
      </c>
      <c r="F834" s="5" t="s">
        <v>12</v>
      </c>
      <c r="G834" s="5" t="s">
        <v>48</v>
      </c>
      <c r="H834">
        <v>49</v>
      </c>
      <c r="I834" s="4">
        <v>646996</v>
      </c>
      <c r="J834" s="4">
        <v>269500</v>
      </c>
    </row>
    <row r="835" spans="2:10" x14ac:dyDescent="0.3">
      <c r="B835" s="7">
        <v>44682</v>
      </c>
      <c r="C835" s="3">
        <f t="shared" ref="C835:C898" si="26">YEAR(B835)</f>
        <v>2022</v>
      </c>
      <c r="D835" s="3">
        <f t="shared" ref="D835:D898" si="27">VALUE(TEXT(B835,"ГГГГММ"))</f>
        <v>202205</v>
      </c>
      <c r="E835" s="5" t="s">
        <v>2</v>
      </c>
      <c r="F835" s="5" t="s">
        <v>12</v>
      </c>
      <c r="G835" s="5" t="s">
        <v>48</v>
      </c>
      <c r="H835">
        <v>62</v>
      </c>
      <c r="I835" s="4">
        <v>789136</v>
      </c>
      <c r="J835" s="4">
        <v>341000</v>
      </c>
    </row>
    <row r="836" spans="2:10" x14ac:dyDescent="0.3">
      <c r="B836" s="7">
        <v>44713</v>
      </c>
      <c r="C836" s="3">
        <f t="shared" si="26"/>
        <v>2022</v>
      </c>
      <c r="D836" s="3">
        <f t="shared" si="27"/>
        <v>202206</v>
      </c>
      <c r="E836" s="5" t="s">
        <v>2</v>
      </c>
      <c r="F836" s="5" t="s">
        <v>12</v>
      </c>
      <c r="G836" s="5" t="s">
        <v>48</v>
      </c>
      <c r="H836">
        <v>59</v>
      </c>
      <c r="I836" s="4">
        <v>712307</v>
      </c>
      <c r="J836" s="4">
        <v>324500</v>
      </c>
    </row>
    <row r="837" spans="2:10" x14ac:dyDescent="0.3">
      <c r="B837" s="7">
        <v>44743</v>
      </c>
      <c r="C837" s="3">
        <f t="shared" si="26"/>
        <v>2022</v>
      </c>
      <c r="D837" s="3">
        <f t="shared" si="27"/>
        <v>202207</v>
      </c>
      <c r="E837" s="5" t="s">
        <v>2</v>
      </c>
      <c r="F837" s="5" t="s">
        <v>12</v>
      </c>
      <c r="G837" s="5" t="s">
        <v>48</v>
      </c>
      <c r="H837">
        <v>62</v>
      </c>
      <c r="I837" s="4">
        <v>644242</v>
      </c>
      <c r="J837" s="4">
        <v>341000</v>
      </c>
    </row>
    <row r="838" spans="2:10" x14ac:dyDescent="0.3">
      <c r="B838" s="7">
        <v>44774</v>
      </c>
      <c r="C838" s="3">
        <f t="shared" si="26"/>
        <v>2022</v>
      </c>
      <c r="D838" s="3">
        <f t="shared" si="27"/>
        <v>202208</v>
      </c>
      <c r="E838" s="5" t="s">
        <v>2</v>
      </c>
      <c r="F838" s="5" t="s">
        <v>12</v>
      </c>
      <c r="G838" s="5" t="s">
        <v>48</v>
      </c>
      <c r="H838">
        <v>52</v>
      </c>
      <c r="I838" s="4">
        <v>636116</v>
      </c>
      <c r="J838" s="4">
        <v>286000</v>
      </c>
    </row>
    <row r="839" spans="2:10" x14ac:dyDescent="0.3">
      <c r="B839" s="7">
        <v>44805</v>
      </c>
      <c r="C839" s="3">
        <f t="shared" si="26"/>
        <v>2022</v>
      </c>
      <c r="D839" s="3">
        <f t="shared" si="27"/>
        <v>202209</v>
      </c>
      <c r="E839" s="5" t="s">
        <v>2</v>
      </c>
      <c r="F839" s="5" t="s">
        <v>12</v>
      </c>
      <c r="G839" s="5" t="s">
        <v>48</v>
      </c>
      <c r="H839">
        <v>55</v>
      </c>
      <c r="I839" s="4">
        <v>642125</v>
      </c>
      <c r="J839" s="4">
        <v>302500</v>
      </c>
    </row>
    <row r="840" spans="2:10" x14ac:dyDescent="0.3">
      <c r="B840" s="7">
        <v>44835</v>
      </c>
      <c r="C840" s="3">
        <f t="shared" si="26"/>
        <v>2022</v>
      </c>
      <c r="D840" s="3">
        <f t="shared" si="27"/>
        <v>202210</v>
      </c>
      <c r="E840" s="5" t="s">
        <v>2</v>
      </c>
      <c r="F840" s="5" t="s">
        <v>12</v>
      </c>
      <c r="G840" s="5" t="s">
        <v>48</v>
      </c>
      <c r="H840">
        <v>46</v>
      </c>
      <c r="I840" s="4">
        <v>599978</v>
      </c>
      <c r="J840" s="4">
        <v>253000</v>
      </c>
    </row>
    <row r="841" spans="2:10" x14ac:dyDescent="0.3">
      <c r="B841" s="7">
        <v>44866</v>
      </c>
      <c r="C841" s="3">
        <f t="shared" si="26"/>
        <v>2022</v>
      </c>
      <c r="D841" s="3">
        <f t="shared" si="27"/>
        <v>202211</v>
      </c>
      <c r="E841" s="5" t="s">
        <v>2</v>
      </c>
      <c r="F841" s="5" t="s">
        <v>12</v>
      </c>
      <c r="G841" s="5" t="s">
        <v>48</v>
      </c>
      <c r="H841">
        <v>33</v>
      </c>
      <c r="I841" s="4">
        <v>401973</v>
      </c>
      <c r="J841" s="4">
        <v>181500</v>
      </c>
    </row>
    <row r="842" spans="2:10" x14ac:dyDescent="0.3">
      <c r="B842" s="7">
        <v>44896</v>
      </c>
      <c r="C842" s="3">
        <f t="shared" si="26"/>
        <v>2022</v>
      </c>
      <c r="D842" s="3">
        <f t="shared" si="27"/>
        <v>202212</v>
      </c>
      <c r="E842" s="5" t="s">
        <v>2</v>
      </c>
      <c r="F842" s="5" t="s">
        <v>12</v>
      </c>
      <c r="G842" s="5" t="s">
        <v>48</v>
      </c>
      <c r="H842">
        <v>39</v>
      </c>
      <c r="I842" s="4">
        <v>461331</v>
      </c>
      <c r="J842" s="4">
        <v>214500</v>
      </c>
    </row>
    <row r="843" spans="2:10" x14ac:dyDescent="0.3">
      <c r="B843" s="7">
        <v>44197</v>
      </c>
      <c r="C843" s="3">
        <f t="shared" si="26"/>
        <v>2021</v>
      </c>
      <c r="D843" s="3">
        <f t="shared" si="27"/>
        <v>202101</v>
      </c>
      <c r="E843" s="5" t="s">
        <v>2</v>
      </c>
      <c r="F843" s="5" t="s">
        <v>13</v>
      </c>
      <c r="G843" s="5" t="s">
        <v>49</v>
      </c>
      <c r="H843">
        <v>15</v>
      </c>
      <c r="I843" s="4">
        <v>63225</v>
      </c>
      <c r="J843" s="4">
        <v>22680</v>
      </c>
    </row>
    <row r="844" spans="2:10" x14ac:dyDescent="0.3">
      <c r="B844" s="7">
        <v>44228</v>
      </c>
      <c r="C844" s="3">
        <f t="shared" si="26"/>
        <v>2021</v>
      </c>
      <c r="D844" s="3">
        <f t="shared" si="27"/>
        <v>202102</v>
      </c>
      <c r="E844" s="5" t="s">
        <v>2</v>
      </c>
      <c r="F844" s="5" t="s">
        <v>13</v>
      </c>
      <c r="G844" s="5" t="s">
        <v>49</v>
      </c>
      <c r="H844">
        <v>9</v>
      </c>
      <c r="I844" s="4">
        <v>31905</v>
      </c>
      <c r="J844" s="4">
        <v>13608</v>
      </c>
    </row>
    <row r="845" spans="2:10" x14ac:dyDescent="0.3">
      <c r="B845" s="7">
        <v>44256</v>
      </c>
      <c r="C845" s="3">
        <f t="shared" si="26"/>
        <v>2021</v>
      </c>
      <c r="D845" s="3">
        <f t="shared" si="27"/>
        <v>202103</v>
      </c>
      <c r="E845" s="5" t="s">
        <v>2</v>
      </c>
      <c r="F845" s="5" t="s">
        <v>13</v>
      </c>
      <c r="G845" s="5" t="s">
        <v>49</v>
      </c>
      <c r="H845">
        <v>8</v>
      </c>
      <c r="I845" s="4">
        <v>23648</v>
      </c>
      <c r="J845" s="4">
        <v>12096</v>
      </c>
    </row>
    <row r="846" spans="2:10" x14ac:dyDescent="0.3">
      <c r="B846" s="7">
        <v>44287</v>
      </c>
      <c r="C846" s="3">
        <f t="shared" si="26"/>
        <v>2021</v>
      </c>
      <c r="D846" s="3">
        <f t="shared" si="27"/>
        <v>202104</v>
      </c>
      <c r="E846" s="5" t="s">
        <v>2</v>
      </c>
      <c r="F846" s="5" t="s">
        <v>13</v>
      </c>
      <c r="G846" s="5" t="s">
        <v>49</v>
      </c>
      <c r="H846">
        <v>14</v>
      </c>
      <c r="I846" s="4">
        <v>63336</v>
      </c>
      <c r="J846" s="4">
        <v>21168</v>
      </c>
    </row>
    <row r="847" spans="2:10" x14ac:dyDescent="0.3">
      <c r="B847" s="7">
        <v>44317</v>
      </c>
      <c r="C847" s="3">
        <f t="shared" si="26"/>
        <v>2021</v>
      </c>
      <c r="D847" s="3">
        <f t="shared" si="27"/>
        <v>202105</v>
      </c>
      <c r="E847" s="5" t="s">
        <v>2</v>
      </c>
      <c r="F847" s="5" t="s">
        <v>13</v>
      </c>
      <c r="G847" s="5" t="s">
        <v>49</v>
      </c>
      <c r="H847">
        <v>18</v>
      </c>
      <c r="I847" s="4">
        <v>86544</v>
      </c>
      <c r="J847" s="4">
        <v>27216</v>
      </c>
    </row>
    <row r="848" spans="2:10" x14ac:dyDescent="0.3">
      <c r="B848" s="7">
        <v>44348</v>
      </c>
      <c r="C848" s="3">
        <f t="shared" si="26"/>
        <v>2021</v>
      </c>
      <c r="D848" s="3">
        <f t="shared" si="27"/>
        <v>202106</v>
      </c>
      <c r="E848" s="5" t="s">
        <v>2</v>
      </c>
      <c r="F848" s="5" t="s">
        <v>13</v>
      </c>
      <c r="G848" s="5" t="s">
        <v>49</v>
      </c>
      <c r="H848">
        <v>17</v>
      </c>
      <c r="I848" s="4">
        <v>82025</v>
      </c>
      <c r="J848" s="4">
        <v>25704</v>
      </c>
    </row>
    <row r="849" spans="2:10" x14ac:dyDescent="0.3">
      <c r="B849" s="7">
        <v>44378</v>
      </c>
      <c r="C849" s="3">
        <f t="shared" si="26"/>
        <v>2021</v>
      </c>
      <c r="D849" s="3">
        <f t="shared" si="27"/>
        <v>202107</v>
      </c>
      <c r="E849" s="5" t="s">
        <v>2</v>
      </c>
      <c r="F849" s="5" t="s">
        <v>13</v>
      </c>
      <c r="G849" s="5" t="s">
        <v>49</v>
      </c>
      <c r="H849">
        <v>18</v>
      </c>
      <c r="I849" s="4">
        <v>40734</v>
      </c>
      <c r="J849" s="4">
        <v>27216</v>
      </c>
    </row>
    <row r="850" spans="2:10" x14ac:dyDescent="0.3">
      <c r="B850" s="7">
        <v>44409</v>
      </c>
      <c r="C850" s="3">
        <f t="shared" si="26"/>
        <v>2021</v>
      </c>
      <c r="D850" s="3">
        <f t="shared" si="27"/>
        <v>202108</v>
      </c>
      <c r="E850" s="5" t="s">
        <v>2</v>
      </c>
      <c r="F850" s="5" t="s">
        <v>13</v>
      </c>
      <c r="G850" s="5" t="s">
        <v>49</v>
      </c>
      <c r="H850">
        <v>15</v>
      </c>
      <c r="I850" s="4">
        <v>48495</v>
      </c>
      <c r="J850" s="4">
        <v>22680</v>
      </c>
    </row>
    <row r="851" spans="2:10" x14ac:dyDescent="0.3">
      <c r="B851" s="7">
        <v>44440</v>
      </c>
      <c r="C851" s="3">
        <f t="shared" si="26"/>
        <v>2021</v>
      </c>
      <c r="D851" s="3">
        <f t="shared" si="27"/>
        <v>202109</v>
      </c>
      <c r="E851" s="5" t="s">
        <v>2</v>
      </c>
      <c r="F851" s="5" t="s">
        <v>13</v>
      </c>
      <c r="G851" s="5" t="s">
        <v>49</v>
      </c>
      <c r="H851">
        <v>16</v>
      </c>
      <c r="I851" s="4">
        <v>61376</v>
      </c>
      <c r="J851" s="4">
        <v>24192</v>
      </c>
    </row>
    <row r="852" spans="2:10" x14ac:dyDescent="0.3">
      <c r="B852" s="7">
        <v>44470</v>
      </c>
      <c r="C852" s="3">
        <f t="shared" si="26"/>
        <v>2021</v>
      </c>
      <c r="D852" s="3">
        <f t="shared" si="27"/>
        <v>202110</v>
      </c>
      <c r="E852" s="5" t="s">
        <v>2</v>
      </c>
      <c r="F852" s="5" t="s">
        <v>13</v>
      </c>
      <c r="G852" s="5" t="s">
        <v>49</v>
      </c>
      <c r="H852">
        <v>13</v>
      </c>
      <c r="I852" s="4">
        <v>52702</v>
      </c>
      <c r="J852" s="4">
        <v>19656</v>
      </c>
    </row>
    <row r="853" spans="2:10" x14ac:dyDescent="0.3">
      <c r="B853" s="7">
        <v>44501</v>
      </c>
      <c r="C853" s="3">
        <f t="shared" si="26"/>
        <v>2021</v>
      </c>
      <c r="D853" s="3">
        <f t="shared" si="27"/>
        <v>202111</v>
      </c>
      <c r="E853" s="5" t="s">
        <v>2</v>
      </c>
      <c r="F853" s="5" t="s">
        <v>13</v>
      </c>
      <c r="G853" s="5" t="s">
        <v>49</v>
      </c>
      <c r="H853">
        <v>9</v>
      </c>
      <c r="I853" s="4">
        <v>40023</v>
      </c>
      <c r="J853" s="4">
        <v>13608</v>
      </c>
    </row>
    <row r="854" spans="2:10" x14ac:dyDescent="0.3">
      <c r="B854" s="7">
        <v>44531</v>
      </c>
      <c r="C854" s="3">
        <f t="shared" si="26"/>
        <v>2021</v>
      </c>
      <c r="D854" s="3">
        <f t="shared" si="27"/>
        <v>202112</v>
      </c>
      <c r="E854" s="5" t="s">
        <v>2</v>
      </c>
      <c r="F854" s="5" t="s">
        <v>13</v>
      </c>
      <c r="G854" s="5" t="s">
        <v>49</v>
      </c>
      <c r="H854">
        <v>11</v>
      </c>
      <c r="I854" s="4">
        <v>36091</v>
      </c>
      <c r="J854" s="4">
        <v>16632</v>
      </c>
    </row>
    <row r="855" spans="2:10" x14ac:dyDescent="0.3">
      <c r="B855" s="7">
        <v>44562</v>
      </c>
      <c r="C855" s="3">
        <f t="shared" si="26"/>
        <v>2022</v>
      </c>
      <c r="D855" s="3">
        <f t="shared" si="27"/>
        <v>202201</v>
      </c>
      <c r="E855" s="5" t="s">
        <v>2</v>
      </c>
      <c r="F855" s="5" t="s">
        <v>13</v>
      </c>
      <c r="G855" s="5" t="s">
        <v>49</v>
      </c>
      <c r="H855">
        <v>16</v>
      </c>
      <c r="I855" s="4">
        <v>59280</v>
      </c>
      <c r="J855" s="4">
        <v>24192</v>
      </c>
    </row>
    <row r="856" spans="2:10" x14ac:dyDescent="0.3">
      <c r="B856" s="7">
        <v>44593</v>
      </c>
      <c r="C856" s="3">
        <f t="shared" si="26"/>
        <v>2022</v>
      </c>
      <c r="D856" s="3">
        <f t="shared" si="27"/>
        <v>202202</v>
      </c>
      <c r="E856" s="5" t="s">
        <v>2</v>
      </c>
      <c r="F856" s="5" t="s">
        <v>13</v>
      </c>
      <c r="G856" s="5" t="s">
        <v>49</v>
      </c>
      <c r="H856">
        <v>10</v>
      </c>
      <c r="I856" s="4">
        <v>39890</v>
      </c>
      <c r="J856" s="4">
        <v>15120</v>
      </c>
    </row>
    <row r="857" spans="2:10" x14ac:dyDescent="0.3">
      <c r="B857" s="7">
        <v>44621</v>
      </c>
      <c r="C857" s="3">
        <f t="shared" si="26"/>
        <v>2022</v>
      </c>
      <c r="D857" s="3">
        <f t="shared" si="27"/>
        <v>202203</v>
      </c>
      <c r="E857" s="5" t="s">
        <v>2</v>
      </c>
      <c r="F857" s="5" t="s">
        <v>13</v>
      </c>
      <c r="G857" s="5" t="s">
        <v>49</v>
      </c>
      <c r="H857">
        <v>8</v>
      </c>
      <c r="I857" s="4">
        <v>30600</v>
      </c>
      <c r="J857" s="4">
        <v>12096</v>
      </c>
    </row>
    <row r="858" spans="2:10" x14ac:dyDescent="0.3">
      <c r="B858" s="7">
        <v>44652</v>
      </c>
      <c r="C858" s="3">
        <f t="shared" si="26"/>
        <v>2022</v>
      </c>
      <c r="D858" s="3">
        <f t="shared" si="27"/>
        <v>202204</v>
      </c>
      <c r="E858" s="5" t="s">
        <v>2</v>
      </c>
      <c r="F858" s="5" t="s">
        <v>13</v>
      </c>
      <c r="G858" s="5" t="s">
        <v>49</v>
      </c>
      <c r="H858">
        <v>15</v>
      </c>
      <c r="I858" s="4">
        <v>69420</v>
      </c>
      <c r="J858" s="4">
        <v>22680</v>
      </c>
    </row>
    <row r="859" spans="2:10" x14ac:dyDescent="0.3">
      <c r="B859" s="7">
        <v>44682</v>
      </c>
      <c r="C859" s="3">
        <f t="shared" si="26"/>
        <v>2022</v>
      </c>
      <c r="D859" s="3">
        <f t="shared" si="27"/>
        <v>202205</v>
      </c>
      <c r="E859" s="5" t="s">
        <v>2</v>
      </c>
      <c r="F859" s="5" t="s">
        <v>13</v>
      </c>
      <c r="G859" s="5" t="s">
        <v>49</v>
      </c>
      <c r="H859">
        <v>19</v>
      </c>
      <c r="I859" s="4">
        <v>97964</v>
      </c>
      <c r="J859" s="4">
        <v>28728</v>
      </c>
    </row>
    <row r="860" spans="2:10" x14ac:dyDescent="0.3">
      <c r="B860" s="7">
        <v>44713</v>
      </c>
      <c r="C860" s="3">
        <f t="shared" si="26"/>
        <v>2022</v>
      </c>
      <c r="D860" s="3">
        <f t="shared" si="27"/>
        <v>202206</v>
      </c>
      <c r="E860" s="5" t="s">
        <v>2</v>
      </c>
      <c r="F860" s="5" t="s">
        <v>13</v>
      </c>
      <c r="G860" s="5" t="s">
        <v>49</v>
      </c>
      <c r="H860">
        <v>18</v>
      </c>
      <c r="I860" s="4">
        <v>72882</v>
      </c>
      <c r="J860" s="4">
        <v>27216</v>
      </c>
    </row>
    <row r="861" spans="2:10" x14ac:dyDescent="0.3">
      <c r="B861" s="7">
        <v>44743</v>
      </c>
      <c r="C861" s="3">
        <f t="shared" si="26"/>
        <v>2022</v>
      </c>
      <c r="D861" s="3">
        <f t="shared" si="27"/>
        <v>202207</v>
      </c>
      <c r="E861" s="5" t="s">
        <v>2</v>
      </c>
      <c r="F861" s="5" t="s">
        <v>13</v>
      </c>
      <c r="G861" s="5" t="s">
        <v>49</v>
      </c>
      <c r="H861">
        <v>19</v>
      </c>
      <c r="I861" s="4">
        <v>42788</v>
      </c>
      <c r="J861" s="4">
        <v>28728</v>
      </c>
    </row>
    <row r="862" spans="2:10" x14ac:dyDescent="0.3">
      <c r="B862" s="7">
        <v>44774</v>
      </c>
      <c r="C862" s="3">
        <f t="shared" si="26"/>
        <v>2022</v>
      </c>
      <c r="D862" s="3">
        <f t="shared" si="27"/>
        <v>202208</v>
      </c>
      <c r="E862" s="5" t="s">
        <v>2</v>
      </c>
      <c r="F862" s="5" t="s">
        <v>13</v>
      </c>
      <c r="G862" s="5" t="s">
        <v>49</v>
      </c>
      <c r="H862">
        <v>16</v>
      </c>
      <c r="I862" s="4">
        <v>59680</v>
      </c>
      <c r="J862" s="4">
        <v>24192</v>
      </c>
    </row>
    <row r="863" spans="2:10" x14ac:dyDescent="0.3">
      <c r="B863" s="7">
        <v>44805</v>
      </c>
      <c r="C863" s="3">
        <f t="shared" si="26"/>
        <v>2022</v>
      </c>
      <c r="D863" s="3">
        <f t="shared" si="27"/>
        <v>202209</v>
      </c>
      <c r="E863" s="5" t="s">
        <v>2</v>
      </c>
      <c r="F863" s="5" t="s">
        <v>13</v>
      </c>
      <c r="G863" s="5" t="s">
        <v>49</v>
      </c>
      <c r="H863">
        <v>17</v>
      </c>
      <c r="I863" s="4">
        <v>74562</v>
      </c>
      <c r="J863" s="4">
        <v>25704</v>
      </c>
    </row>
    <row r="864" spans="2:10" x14ac:dyDescent="0.3">
      <c r="B864" s="7">
        <v>44835</v>
      </c>
      <c r="C864" s="3">
        <f t="shared" si="26"/>
        <v>2022</v>
      </c>
      <c r="D864" s="3">
        <f t="shared" si="27"/>
        <v>202210</v>
      </c>
      <c r="E864" s="5" t="s">
        <v>2</v>
      </c>
      <c r="F864" s="5" t="s">
        <v>13</v>
      </c>
      <c r="G864" s="5" t="s">
        <v>49</v>
      </c>
      <c r="H864">
        <v>14</v>
      </c>
      <c r="I864" s="4">
        <v>55006</v>
      </c>
      <c r="J864" s="4">
        <v>21168</v>
      </c>
    </row>
    <row r="865" spans="2:10" x14ac:dyDescent="0.3">
      <c r="B865" s="7">
        <v>44866</v>
      </c>
      <c r="C865" s="3">
        <f t="shared" si="26"/>
        <v>2022</v>
      </c>
      <c r="D865" s="3">
        <f t="shared" si="27"/>
        <v>202211</v>
      </c>
      <c r="E865" s="5" t="s">
        <v>2</v>
      </c>
      <c r="F865" s="5" t="s">
        <v>13</v>
      </c>
      <c r="G865" s="5" t="s">
        <v>49</v>
      </c>
      <c r="H865">
        <v>10</v>
      </c>
      <c r="I865" s="4">
        <v>36300</v>
      </c>
      <c r="J865" s="4">
        <v>15120</v>
      </c>
    </row>
    <row r="866" spans="2:10" x14ac:dyDescent="0.3">
      <c r="B866" s="7">
        <v>44896</v>
      </c>
      <c r="C866" s="3">
        <f t="shared" si="26"/>
        <v>2022</v>
      </c>
      <c r="D866" s="3">
        <f t="shared" si="27"/>
        <v>202212</v>
      </c>
      <c r="E866" s="5" t="s">
        <v>2</v>
      </c>
      <c r="F866" s="5" t="s">
        <v>13</v>
      </c>
      <c r="G866" s="5" t="s">
        <v>49</v>
      </c>
      <c r="H866">
        <v>12</v>
      </c>
      <c r="I866" s="4">
        <v>43896</v>
      </c>
      <c r="J866" s="4">
        <v>18144</v>
      </c>
    </row>
    <row r="867" spans="2:10" x14ac:dyDescent="0.3">
      <c r="B867" s="7">
        <v>44197</v>
      </c>
      <c r="C867" s="3">
        <f t="shared" si="26"/>
        <v>2021</v>
      </c>
      <c r="D867" s="3">
        <f t="shared" si="27"/>
        <v>202101</v>
      </c>
      <c r="E867" s="5" t="s">
        <v>2</v>
      </c>
      <c r="F867" s="5" t="s">
        <v>13</v>
      </c>
      <c r="G867" s="5" t="s">
        <v>50</v>
      </c>
      <c r="H867">
        <v>18</v>
      </c>
      <c r="I867" s="4">
        <v>57294</v>
      </c>
      <c r="J867" s="4">
        <v>14076</v>
      </c>
    </row>
    <row r="868" spans="2:10" x14ac:dyDescent="0.3">
      <c r="B868" s="7">
        <v>44228</v>
      </c>
      <c r="C868" s="3">
        <f t="shared" si="26"/>
        <v>2021</v>
      </c>
      <c r="D868" s="3">
        <f t="shared" si="27"/>
        <v>202102</v>
      </c>
      <c r="E868" s="5" t="s">
        <v>2</v>
      </c>
      <c r="F868" s="5" t="s">
        <v>13</v>
      </c>
      <c r="G868" s="5" t="s">
        <v>50</v>
      </c>
      <c r="H868">
        <v>12</v>
      </c>
      <c r="I868" s="4">
        <v>32760</v>
      </c>
      <c r="J868" s="4">
        <v>9384</v>
      </c>
    </row>
    <row r="869" spans="2:10" x14ac:dyDescent="0.3">
      <c r="B869" s="7">
        <v>44256</v>
      </c>
      <c r="C869" s="3">
        <f t="shared" si="26"/>
        <v>2021</v>
      </c>
      <c r="D869" s="3">
        <f t="shared" si="27"/>
        <v>202103</v>
      </c>
      <c r="E869" s="5" t="s">
        <v>2</v>
      </c>
      <c r="F869" s="5" t="s">
        <v>13</v>
      </c>
      <c r="G869" s="5" t="s">
        <v>50</v>
      </c>
      <c r="H869">
        <v>9</v>
      </c>
      <c r="I869" s="4">
        <v>16560</v>
      </c>
      <c r="J869" s="4">
        <v>7038</v>
      </c>
    </row>
    <row r="870" spans="2:10" x14ac:dyDescent="0.3">
      <c r="B870" s="7">
        <v>44287</v>
      </c>
      <c r="C870" s="3">
        <f t="shared" si="26"/>
        <v>2021</v>
      </c>
      <c r="D870" s="3">
        <f t="shared" si="27"/>
        <v>202104</v>
      </c>
      <c r="E870" s="5" t="s">
        <v>2</v>
      </c>
      <c r="F870" s="5" t="s">
        <v>13</v>
      </c>
      <c r="G870" s="5" t="s">
        <v>50</v>
      </c>
      <c r="H870">
        <v>17</v>
      </c>
      <c r="I870" s="4">
        <v>62713</v>
      </c>
      <c r="J870" s="4">
        <v>13294</v>
      </c>
    </row>
    <row r="871" spans="2:10" x14ac:dyDescent="0.3">
      <c r="B871" s="7">
        <v>44317</v>
      </c>
      <c r="C871" s="3">
        <f t="shared" si="26"/>
        <v>2021</v>
      </c>
      <c r="D871" s="3">
        <f t="shared" si="27"/>
        <v>202105</v>
      </c>
      <c r="E871" s="5" t="s">
        <v>2</v>
      </c>
      <c r="F871" s="5" t="s">
        <v>13</v>
      </c>
      <c r="G871" s="5" t="s">
        <v>50</v>
      </c>
      <c r="H871">
        <v>22</v>
      </c>
      <c r="I871" s="4">
        <v>72358</v>
      </c>
      <c r="J871" s="4">
        <v>17204</v>
      </c>
    </row>
    <row r="872" spans="2:10" x14ac:dyDescent="0.3">
      <c r="B872" s="7">
        <v>44348</v>
      </c>
      <c r="C872" s="3">
        <f t="shared" si="26"/>
        <v>2021</v>
      </c>
      <c r="D872" s="3">
        <f t="shared" si="27"/>
        <v>202106</v>
      </c>
      <c r="E872" s="5" t="s">
        <v>2</v>
      </c>
      <c r="F872" s="5" t="s">
        <v>13</v>
      </c>
      <c r="G872" s="5" t="s">
        <v>50</v>
      </c>
      <c r="H872">
        <v>20</v>
      </c>
      <c r="I872" s="4">
        <v>67560</v>
      </c>
      <c r="J872" s="4">
        <v>15640</v>
      </c>
    </row>
    <row r="873" spans="2:10" x14ac:dyDescent="0.3">
      <c r="B873" s="7">
        <v>44378</v>
      </c>
      <c r="C873" s="3">
        <f t="shared" si="26"/>
        <v>2021</v>
      </c>
      <c r="D873" s="3">
        <f t="shared" si="27"/>
        <v>202107</v>
      </c>
      <c r="E873" s="5" t="s">
        <v>2</v>
      </c>
      <c r="F873" s="5" t="s">
        <v>13</v>
      </c>
      <c r="G873" s="5" t="s">
        <v>50</v>
      </c>
      <c r="H873">
        <v>22</v>
      </c>
      <c r="I873" s="4">
        <v>34606</v>
      </c>
      <c r="J873" s="4">
        <v>17204</v>
      </c>
    </row>
    <row r="874" spans="2:10" x14ac:dyDescent="0.3">
      <c r="B874" s="7">
        <v>44409</v>
      </c>
      <c r="C874" s="3">
        <f t="shared" si="26"/>
        <v>2021</v>
      </c>
      <c r="D874" s="3">
        <f t="shared" si="27"/>
        <v>202108</v>
      </c>
      <c r="E874" s="5" t="s">
        <v>2</v>
      </c>
      <c r="F874" s="5" t="s">
        <v>13</v>
      </c>
      <c r="G874" s="5" t="s">
        <v>50</v>
      </c>
      <c r="H874">
        <v>18</v>
      </c>
      <c r="I874" s="4">
        <v>41508</v>
      </c>
      <c r="J874" s="4">
        <v>14076</v>
      </c>
    </row>
    <row r="875" spans="2:10" x14ac:dyDescent="0.3">
      <c r="B875" s="7">
        <v>44440</v>
      </c>
      <c r="C875" s="3">
        <f t="shared" si="26"/>
        <v>2021</v>
      </c>
      <c r="D875" s="3">
        <f t="shared" si="27"/>
        <v>202109</v>
      </c>
      <c r="E875" s="5" t="s">
        <v>2</v>
      </c>
      <c r="F875" s="5" t="s">
        <v>13</v>
      </c>
      <c r="G875" s="5" t="s">
        <v>50</v>
      </c>
      <c r="H875">
        <v>19</v>
      </c>
      <c r="I875" s="4">
        <v>50654</v>
      </c>
      <c r="J875" s="4">
        <v>14858</v>
      </c>
    </row>
    <row r="876" spans="2:10" x14ac:dyDescent="0.3">
      <c r="B876" s="7">
        <v>44470</v>
      </c>
      <c r="C876" s="3">
        <f t="shared" si="26"/>
        <v>2021</v>
      </c>
      <c r="D876" s="3">
        <f t="shared" si="27"/>
        <v>202110</v>
      </c>
      <c r="E876" s="5" t="s">
        <v>2</v>
      </c>
      <c r="F876" s="5" t="s">
        <v>13</v>
      </c>
      <c r="G876" s="5" t="s">
        <v>50</v>
      </c>
      <c r="H876">
        <v>16</v>
      </c>
      <c r="I876" s="4">
        <v>58128</v>
      </c>
      <c r="J876" s="4">
        <v>12512</v>
      </c>
    </row>
    <row r="877" spans="2:10" x14ac:dyDescent="0.3">
      <c r="B877" s="7">
        <v>44501</v>
      </c>
      <c r="C877" s="3">
        <f t="shared" si="26"/>
        <v>2021</v>
      </c>
      <c r="D877" s="3">
        <f t="shared" si="27"/>
        <v>202111</v>
      </c>
      <c r="E877" s="5" t="s">
        <v>2</v>
      </c>
      <c r="F877" s="5" t="s">
        <v>13</v>
      </c>
      <c r="G877" s="5" t="s">
        <v>50</v>
      </c>
      <c r="H877">
        <v>12</v>
      </c>
      <c r="I877" s="4">
        <v>34500</v>
      </c>
      <c r="J877" s="4">
        <v>9384</v>
      </c>
    </row>
    <row r="878" spans="2:10" x14ac:dyDescent="0.3">
      <c r="B878" s="7">
        <v>44531</v>
      </c>
      <c r="C878" s="3">
        <f t="shared" si="26"/>
        <v>2021</v>
      </c>
      <c r="D878" s="3">
        <f t="shared" si="27"/>
        <v>202112</v>
      </c>
      <c r="E878" s="5" t="s">
        <v>2</v>
      </c>
      <c r="F878" s="5" t="s">
        <v>13</v>
      </c>
      <c r="G878" s="5" t="s">
        <v>50</v>
      </c>
      <c r="H878">
        <v>14</v>
      </c>
      <c r="I878" s="4">
        <v>35238</v>
      </c>
      <c r="J878" s="4">
        <v>10948</v>
      </c>
    </row>
    <row r="879" spans="2:10" x14ac:dyDescent="0.3">
      <c r="B879" s="7">
        <v>44562</v>
      </c>
      <c r="C879" s="3">
        <f t="shared" si="26"/>
        <v>2022</v>
      </c>
      <c r="D879" s="3">
        <f t="shared" si="27"/>
        <v>202201</v>
      </c>
      <c r="E879" s="5" t="s">
        <v>2</v>
      </c>
      <c r="F879" s="5" t="s">
        <v>13</v>
      </c>
      <c r="G879" s="5" t="s">
        <v>50</v>
      </c>
      <c r="H879">
        <v>20</v>
      </c>
      <c r="I879" s="4">
        <v>47820</v>
      </c>
      <c r="J879" s="4">
        <v>15640</v>
      </c>
    </row>
    <row r="880" spans="2:10" x14ac:dyDescent="0.3">
      <c r="B880" s="7">
        <v>44593</v>
      </c>
      <c r="C880" s="3">
        <f t="shared" si="26"/>
        <v>2022</v>
      </c>
      <c r="D880" s="3">
        <f t="shared" si="27"/>
        <v>202202</v>
      </c>
      <c r="E880" s="5" t="s">
        <v>2</v>
      </c>
      <c r="F880" s="5" t="s">
        <v>13</v>
      </c>
      <c r="G880" s="5" t="s">
        <v>50</v>
      </c>
      <c r="H880">
        <v>13</v>
      </c>
      <c r="I880" s="4">
        <v>43992</v>
      </c>
      <c r="J880" s="4">
        <v>10166</v>
      </c>
    </row>
    <row r="881" spans="2:10" x14ac:dyDescent="0.3">
      <c r="B881" s="7">
        <v>44621</v>
      </c>
      <c r="C881" s="3">
        <f t="shared" si="26"/>
        <v>2022</v>
      </c>
      <c r="D881" s="3">
        <f t="shared" si="27"/>
        <v>202203</v>
      </c>
      <c r="E881" s="5" t="s">
        <v>2</v>
      </c>
      <c r="F881" s="5" t="s">
        <v>13</v>
      </c>
      <c r="G881" s="5" t="s">
        <v>50</v>
      </c>
      <c r="H881">
        <v>10</v>
      </c>
      <c r="I881" s="4">
        <v>24930</v>
      </c>
      <c r="J881" s="4">
        <v>7820</v>
      </c>
    </row>
    <row r="882" spans="2:10" x14ac:dyDescent="0.3">
      <c r="B882" s="7">
        <v>44652</v>
      </c>
      <c r="C882" s="3">
        <f t="shared" si="26"/>
        <v>2022</v>
      </c>
      <c r="D882" s="3">
        <f t="shared" si="27"/>
        <v>202204</v>
      </c>
      <c r="E882" s="5" t="s">
        <v>2</v>
      </c>
      <c r="F882" s="5" t="s">
        <v>13</v>
      </c>
      <c r="G882" s="5" t="s">
        <v>50</v>
      </c>
      <c r="H882">
        <v>19</v>
      </c>
      <c r="I882" s="4">
        <v>73492</v>
      </c>
      <c r="J882" s="4">
        <v>14858</v>
      </c>
    </row>
    <row r="883" spans="2:10" x14ac:dyDescent="0.3">
      <c r="B883" s="7">
        <v>44682</v>
      </c>
      <c r="C883" s="3">
        <f t="shared" si="26"/>
        <v>2022</v>
      </c>
      <c r="D883" s="3">
        <f t="shared" si="27"/>
        <v>202205</v>
      </c>
      <c r="E883" s="5" t="s">
        <v>2</v>
      </c>
      <c r="F883" s="5" t="s">
        <v>13</v>
      </c>
      <c r="G883" s="5" t="s">
        <v>50</v>
      </c>
      <c r="H883">
        <v>24</v>
      </c>
      <c r="I883" s="4">
        <v>80784</v>
      </c>
      <c r="J883" s="4">
        <v>18768</v>
      </c>
    </row>
    <row r="884" spans="2:10" x14ac:dyDescent="0.3">
      <c r="B884" s="7">
        <v>44713</v>
      </c>
      <c r="C884" s="3">
        <f t="shared" si="26"/>
        <v>2022</v>
      </c>
      <c r="D884" s="3">
        <f t="shared" si="27"/>
        <v>202206</v>
      </c>
      <c r="E884" s="5" t="s">
        <v>2</v>
      </c>
      <c r="F884" s="5" t="s">
        <v>13</v>
      </c>
      <c r="G884" s="5" t="s">
        <v>50</v>
      </c>
      <c r="H884">
        <v>22</v>
      </c>
      <c r="I884" s="4">
        <v>62612</v>
      </c>
      <c r="J884" s="4">
        <v>17204</v>
      </c>
    </row>
    <row r="885" spans="2:10" x14ac:dyDescent="0.3">
      <c r="B885" s="7">
        <v>44743</v>
      </c>
      <c r="C885" s="3">
        <f t="shared" si="26"/>
        <v>2022</v>
      </c>
      <c r="D885" s="3">
        <f t="shared" si="27"/>
        <v>202207</v>
      </c>
      <c r="E885" s="5" t="s">
        <v>2</v>
      </c>
      <c r="F885" s="5" t="s">
        <v>13</v>
      </c>
      <c r="G885" s="5" t="s">
        <v>50</v>
      </c>
      <c r="H885">
        <v>24</v>
      </c>
      <c r="I885" s="4">
        <v>23520</v>
      </c>
      <c r="J885" s="4">
        <v>18768</v>
      </c>
    </row>
    <row r="886" spans="2:10" x14ac:dyDescent="0.3">
      <c r="B886" s="7">
        <v>44774</v>
      </c>
      <c r="C886" s="3">
        <f t="shared" si="26"/>
        <v>2022</v>
      </c>
      <c r="D886" s="3">
        <f t="shared" si="27"/>
        <v>202208</v>
      </c>
      <c r="E886" s="5" t="s">
        <v>2</v>
      </c>
      <c r="F886" s="5" t="s">
        <v>13</v>
      </c>
      <c r="G886" s="5" t="s">
        <v>50</v>
      </c>
      <c r="H886">
        <v>20</v>
      </c>
      <c r="I886" s="4">
        <v>41960</v>
      </c>
      <c r="J886" s="4">
        <v>15640</v>
      </c>
    </row>
    <row r="887" spans="2:10" x14ac:dyDescent="0.3">
      <c r="B887" s="7">
        <v>44805</v>
      </c>
      <c r="C887" s="3">
        <f t="shared" si="26"/>
        <v>2022</v>
      </c>
      <c r="D887" s="3">
        <f t="shared" si="27"/>
        <v>202209</v>
      </c>
      <c r="E887" s="5" t="s">
        <v>2</v>
      </c>
      <c r="F887" s="5" t="s">
        <v>13</v>
      </c>
      <c r="G887" s="5" t="s">
        <v>50</v>
      </c>
      <c r="H887">
        <v>21</v>
      </c>
      <c r="I887" s="4">
        <v>61740</v>
      </c>
      <c r="J887" s="4">
        <v>16422</v>
      </c>
    </row>
    <row r="888" spans="2:10" x14ac:dyDescent="0.3">
      <c r="B888" s="7">
        <v>44835</v>
      </c>
      <c r="C888" s="3">
        <f t="shared" si="26"/>
        <v>2022</v>
      </c>
      <c r="D888" s="3">
        <f t="shared" si="27"/>
        <v>202210</v>
      </c>
      <c r="E888" s="5" t="s">
        <v>2</v>
      </c>
      <c r="F888" s="5" t="s">
        <v>13</v>
      </c>
      <c r="G888" s="5" t="s">
        <v>50</v>
      </c>
      <c r="H888">
        <v>18</v>
      </c>
      <c r="I888" s="4">
        <v>50742</v>
      </c>
      <c r="J888" s="4">
        <v>14076</v>
      </c>
    </row>
    <row r="889" spans="2:10" x14ac:dyDescent="0.3">
      <c r="B889" s="7">
        <v>44866</v>
      </c>
      <c r="C889" s="3">
        <f t="shared" si="26"/>
        <v>2022</v>
      </c>
      <c r="D889" s="3">
        <f t="shared" si="27"/>
        <v>202211</v>
      </c>
      <c r="E889" s="5" t="s">
        <v>2</v>
      </c>
      <c r="F889" s="5" t="s">
        <v>13</v>
      </c>
      <c r="G889" s="5" t="s">
        <v>50</v>
      </c>
      <c r="H889">
        <v>13</v>
      </c>
      <c r="I889" s="4">
        <v>35386</v>
      </c>
      <c r="J889" s="4">
        <v>10166</v>
      </c>
    </row>
    <row r="890" spans="2:10" x14ac:dyDescent="0.3">
      <c r="B890" s="7">
        <v>44896</v>
      </c>
      <c r="C890" s="3">
        <f t="shared" si="26"/>
        <v>2022</v>
      </c>
      <c r="D890" s="3">
        <f t="shared" si="27"/>
        <v>202212</v>
      </c>
      <c r="E890" s="5" t="s">
        <v>2</v>
      </c>
      <c r="F890" s="5" t="s">
        <v>13</v>
      </c>
      <c r="G890" s="5" t="s">
        <v>50</v>
      </c>
      <c r="H890">
        <v>15</v>
      </c>
      <c r="I890" s="4">
        <v>30600</v>
      </c>
      <c r="J890" s="4">
        <v>11730</v>
      </c>
    </row>
    <row r="891" spans="2:10" x14ac:dyDescent="0.3">
      <c r="B891" s="7">
        <v>44197</v>
      </c>
      <c r="C891" s="3">
        <f t="shared" si="26"/>
        <v>2021</v>
      </c>
      <c r="D891" s="3">
        <f t="shared" si="27"/>
        <v>202101</v>
      </c>
      <c r="E891" s="5" t="s">
        <v>2</v>
      </c>
      <c r="F891" s="5" t="s">
        <v>13</v>
      </c>
      <c r="G891" s="5" t="s">
        <v>51</v>
      </c>
      <c r="H891">
        <v>16</v>
      </c>
      <c r="I891" s="4">
        <v>78800</v>
      </c>
      <c r="J891" s="4">
        <v>28000</v>
      </c>
    </row>
    <row r="892" spans="2:10" x14ac:dyDescent="0.3">
      <c r="B892" s="7">
        <v>44228</v>
      </c>
      <c r="C892" s="3">
        <f t="shared" si="26"/>
        <v>2021</v>
      </c>
      <c r="D892" s="3">
        <f t="shared" si="27"/>
        <v>202102</v>
      </c>
      <c r="E892" s="5" t="s">
        <v>2</v>
      </c>
      <c r="F892" s="5" t="s">
        <v>13</v>
      </c>
      <c r="G892" s="5" t="s">
        <v>51</v>
      </c>
      <c r="H892">
        <v>10</v>
      </c>
      <c r="I892" s="4">
        <v>45630</v>
      </c>
      <c r="J892" s="4">
        <v>17500</v>
      </c>
    </row>
    <row r="893" spans="2:10" x14ac:dyDescent="0.3">
      <c r="B893" s="7">
        <v>44256</v>
      </c>
      <c r="C893" s="3">
        <f t="shared" si="26"/>
        <v>2021</v>
      </c>
      <c r="D893" s="3">
        <f t="shared" si="27"/>
        <v>202103</v>
      </c>
      <c r="E893" s="5" t="s">
        <v>2</v>
      </c>
      <c r="F893" s="5" t="s">
        <v>13</v>
      </c>
      <c r="G893" s="5" t="s">
        <v>51</v>
      </c>
      <c r="H893">
        <v>8</v>
      </c>
      <c r="I893" s="4">
        <v>36480</v>
      </c>
      <c r="J893" s="4">
        <v>14000</v>
      </c>
    </row>
    <row r="894" spans="2:10" x14ac:dyDescent="0.3">
      <c r="B894" s="7">
        <v>44287</v>
      </c>
      <c r="C894" s="3">
        <f t="shared" si="26"/>
        <v>2021</v>
      </c>
      <c r="D894" s="3">
        <f t="shared" si="27"/>
        <v>202104</v>
      </c>
      <c r="E894" s="5" t="s">
        <v>2</v>
      </c>
      <c r="F894" s="5" t="s">
        <v>13</v>
      </c>
      <c r="G894" s="5" t="s">
        <v>51</v>
      </c>
      <c r="H894">
        <v>15</v>
      </c>
      <c r="I894" s="4">
        <v>80730</v>
      </c>
      <c r="J894" s="4">
        <v>26250</v>
      </c>
    </row>
    <row r="895" spans="2:10" x14ac:dyDescent="0.3">
      <c r="B895" s="7">
        <v>44317</v>
      </c>
      <c r="C895" s="3">
        <f t="shared" si="26"/>
        <v>2021</v>
      </c>
      <c r="D895" s="3">
        <f t="shared" si="27"/>
        <v>202105</v>
      </c>
      <c r="E895" s="5" t="s">
        <v>2</v>
      </c>
      <c r="F895" s="5" t="s">
        <v>13</v>
      </c>
      <c r="G895" s="5" t="s">
        <v>51</v>
      </c>
      <c r="H895">
        <v>19</v>
      </c>
      <c r="I895" s="4">
        <v>107806</v>
      </c>
      <c r="J895" s="4">
        <v>33250</v>
      </c>
    </row>
    <row r="896" spans="2:10" x14ac:dyDescent="0.3">
      <c r="B896" s="7">
        <v>44348</v>
      </c>
      <c r="C896" s="3">
        <f t="shared" si="26"/>
        <v>2021</v>
      </c>
      <c r="D896" s="3">
        <f t="shared" si="27"/>
        <v>202106</v>
      </c>
      <c r="E896" s="5" t="s">
        <v>2</v>
      </c>
      <c r="F896" s="5" t="s">
        <v>13</v>
      </c>
      <c r="G896" s="5" t="s">
        <v>51</v>
      </c>
      <c r="H896">
        <v>18</v>
      </c>
      <c r="I896" s="4">
        <v>88776</v>
      </c>
      <c r="J896" s="4">
        <v>31500</v>
      </c>
    </row>
    <row r="897" spans="2:10" x14ac:dyDescent="0.3">
      <c r="B897" s="7">
        <v>44378</v>
      </c>
      <c r="C897" s="3">
        <f t="shared" si="26"/>
        <v>2021</v>
      </c>
      <c r="D897" s="3">
        <f t="shared" si="27"/>
        <v>202107</v>
      </c>
      <c r="E897" s="5" t="s">
        <v>2</v>
      </c>
      <c r="F897" s="5" t="s">
        <v>13</v>
      </c>
      <c r="G897" s="5" t="s">
        <v>51</v>
      </c>
      <c r="H897">
        <v>19</v>
      </c>
      <c r="I897" s="4">
        <v>73682</v>
      </c>
      <c r="J897" s="4">
        <v>33250</v>
      </c>
    </row>
    <row r="898" spans="2:10" x14ac:dyDescent="0.3">
      <c r="B898" s="7">
        <v>44409</v>
      </c>
      <c r="C898" s="3">
        <f t="shared" si="26"/>
        <v>2021</v>
      </c>
      <c r="D898" s="3">
        <f t="shared" si="27"/>
        <v>202108</v>
      </c>
      <c r="E898" s="5" t="s">
        <v>2</v>
      </c>
      <c r="F898" s="5" t="s">
        <v>13</v>
      </c>
      <c r="G898" s="5" t="s">
        <v>51</v>
      </c>
      <c r="H898">
        <v>16</v>
      </c>
      <c r="I898" s="4">
        <v>62384</v>
      </c>
      <c r="J898" s="4">
        <v>28000</v>
      </c>
    </row>
    <row r="899" spans="2:10" x14ac:dyDescent="0.3">
      <c r="B899" s="7">
        <v>44440</v>
      </c>
      <c r="C899" s="3">
        <f t="shared" ref="C899:C962" si="28">YEAR(B899)</f>
        <v>2021</v>
      </c>
      <c r="D899" s="3">
        <f t="shared" ref="D899:D962" si="29">VALUE(TEXT(B899,"ГГГГММ"))</f>
        <v>202109</v>
      </c>
      <c r="E899" s="5" t="s">
        <v>2</v>
      </c>
      <c r="F899" s="5" t="s">
        <v>13</v>
      </c>
      <c r="G899" s="5" t="s">
        <v>51</v>
      </c>
      <c r="H899">
        <v>17</v>
      </c>
      <c r="I899" s="4">
        <v>82093</v>
      </c>
      <c r="J899" s="4">
        <v>29750</v>
      </c>
    </row>
    <row r="900" spans="2:10" x14ac:dyDescent="0.3">
      <c r="B900" s="7">
        <v>44470</v>
      </c>
      <c r="C900" s="3">
        <f t="shared" si="28"/>
        <v>2021</v>
      </c>
      <c r="D900" s="3">
        <f t="shared" si="29"/>
        <v>202110</v>
      </c>
      <c r="E900" s="5" t="s">
        <v>2</v>
      </c>
      <c r="F900" s="5" t="s">
        <v>13</v>
      </c>
      <c r="G900" s="5" t="s">
        <v>51</v>
      </c>
      <c r="H900">
        <v>14</v>
      </c>
      <c r="I900" s="4">
        <v>78974</v>
      </c>
      <c r="J900" s="4">
        <v>24500</v>
      </c>
    </row>
    <row r="901" spans="2:10" x14ac:dyDescent="0.3">
      <c r="B901" s="7">
        <v>44501</v>
      </c>
      <c r="C901" s="3">
        <f t="shared" si="28"/>
        <v>2021</v>
      </c>
      <c r="D901" s="3">
        <f t="shared" si="29"/>
        <v>202111</v>
      </c>
      <c r="E901" s="5" t="s">
        <v>2</v>
      </c>
      <c r="F901" s="5" t="s">
        <v>13</v>
      </c>
      <c r="G901" s="5" t="s">
        <v>51</v>
      </c>
      <c r="H901">
        <v>10</v>
      </c>
      <c r="I901" s="4">
        <v>50090</v>
      </c>
      <c r="J901" s="4">
        <v>17500</v>
      </c>
    </row>
    <row r="902" spans="2:10" x14ac:dyDescent="0.3">
      <c r="B902" s="7">
        <v>44531</v>
      </c>
      <c r="C902" s="3">
        <f t="shared" si="28"/>
        <v>2021</v>
      </c>
      <c r="D902" s="3">
        <f t="shared" si="29"/>
        <v>202112</v>
      </c>
      <c r="E902" s="5" t="s">
        <v>2</v>
      </c>
      <c r="F902" s="5" t="s">
        <v>13</v>
      </c>
      <c r="G902" s="5" t="s">
        <v>51</v>
      </c>
      <c r="H902">
        <v>12</v>
      </c>
      <c r="I902" s="4">
        <v>52584</v>
      </c>
      <c r="J902" s="4">
        <v>21000</v>
      </c>
    </row>
    <row r="903" spans="2:10" x14ac:dyDescent="0.3">
      <c r="B903" s="7">
        <v>44562</v>
      </c>
      <c r="C903" s="3">
        <f t="shared" si="28"/>
        <v>2022</v>
      </c>
      <c r="D903" s="3">
        <f t="shared" si="29"/>
        <v>202201</v>
      </c>
      <c r="E903" s="5" t="s">
        <v>2</v>
      </c>
      <c r="F903" s="5" t="s">
        <v>13</v>
      </c>
      <c r="G903" s="5" t="s">
        <v>51</v>
      </c>
      <c r="H903">
        <v>18</v>
      </c>
      <c r="I903" s="4">
        <v>92574</v>
      </c>
      <c r="J903" s="4">
        <v>31500</v>
      </c>
    </row>
    <row r="904" spans="2:10" x14ac:dyDescent="0.3">
      <c r="B904" s="7">
        <v>44593</v>
      </c>
      <c r="C904" s="3">
        <f t="shared" si="28"/>
        <v>2022</v>
      </c>
      <c r="D904" s="3">
        <f t="shared" si="29"/>
        <v>202202</v>
      </c>
      <c r="E904" s="5" t="s">
        <v>2</v>
      </c>
      <c r="F904" s="5" t="s">
        <v>13</v>
      </c>
      <c r="G904" s="5" t="s">
        <v>51</v>
      </c>
      <c r="H904">
        <v>11</v>
      </c>
      <c r="I904" s="4">
        <v>47124</v>
      </c>
      <c r="J904" s="4">
        <v>19250</v>
      </c>
    </row>
    <row r="905" spans="2:10" x14ac:dyDescent="0.3">
      <c r="B905" s="7">
        <v>44621</v>
      </c>
      <c r="C905" s="3">
        <f t="shared" si="28"/>
        <v>2022</v>
      </c>
      <c r="D905" s="3">
        <f t="shared" si="29"/>
        <v>202203</v>
      </c>
      <c r="E905" s="5" t="s">
        <v>2</v>
      </c>
      <c r="F905" s="5" t="s">
        <v>13</v>
      </c>
      <c r="G905" s="5" t="s">
        <v>51</v>
      </c>
      <c r="H905">
        <v>9</v>
      </c>
      <c r="I905" s="4">
        <v>43830</v>
      </c>
      <c r="J905" s="4">
        <v>15750</v>
      </c>
    </row>
    <row r="906" spans="2:10" x14ac:dyDescent="0.3">
      <c r="B906" s="7">
        <v>44652</v>
      </c>
      <c r="C906" s="3">
        <f t="shared" si="28"/>
        <v>2022</v>
      </c>
      <c r="D906" s="3">
        <f t="shared" si="29"/>
        <v>202204</v>
      </c>
      <c r="E906" s="5" t="s">
        <v>2</v>
      </c>
      <c r="F906" s="5" t="s">
        <v>13</v>
      </c>
      <c r="G906" s="5" t="s">
        <v>51</v>
      </c>
      <c r="H906">
        <v>17</v>
      </c>
      <c r="I906" s="4">
        <v>90202</v>
      </c>
      <c r="J906" s="4">
        <v>29750</v>
      </c>
    </row>
    <row r="907" spans="2:10" x14ac:dyDescent="0.3">
      <c r="B907" s="7">
        <v>44682</v>
      </c>
      <c r="C907" s="3">
        <f t="shared" si="28"/>
        <v>2022</v>
      </c>
      <c r="D907" s="3">
        <f t="shared" si="29"/>
        <v>202205</v>
      </c>
      <c r="E907" s="5" t="s">
        <v>2</v>
      </c>
      <c r="F907" s="5" t="s">
        <v>13</v>
      </c>
      <c r="G907" s="5" t="s">
        <v>51</v>
      </c>
      <c r="H907">
        <v>21</v>
      </c>
      <c r="I907" s="4">
        <v>118020</v>
      </c>
      <c r="J907" s="4">
        <v>36750</v>
      </c>
    </row>
    <row r="908" spans="2:10" x14ac:dyDescent="0.3">
      <c r="B908" s="7">
        <v>44713</v>
      </c>
      <c r="C908" s="3">
        <f t="shared" si="28"/>
        <v>2022</v>
      </c>
      <c r="D908" s="3">
        <f t="shared" si="29"/>
        <v>202206</v>
      </c>
      <c r="E908" s="5" t="s">
        <v>2</v>
      </c>
      <c r="F908" s="5" t="s">
        <v>13</v>
      </c>
      <c r="G908" s="5" t="s">
        <v>51</v>
      </c>
      <c r="H908">
        <v>20</v>
      </c>
      <c r="I908" s="4">
        <v>101520</v>
      </c>
      <c r="J908" s="4">
        <v>35000</v>
      </c>
    </row>
    <row r="909" spans="2:10" x14ac:dyDescent="0.3">
      <c r="B909" s="7">
        <v>44743</v>
      </c>
      <c r="C909" s="3">
        <f t="shared" si="28"/>
        <v>2022</v>
      </c>
      <c r="D909" s="3">
        <f t="shared" si="29"/>
        <v>202207</v>
      </c>
      <c r="E909" s="5" t="s">
        <v>2</v>
      </c>
      <c r="F909" s="5" t="s">
        <v>13</v>
      </c>
      <c r="G909" s="5" t="s">
        <v>51</v>
      </c>
      <c r="H909">
        <v>21</v>
      </c>
      <c r="I909" s="4">
        <v>65079</v>
      </c>
      <c r="J909" s="4">
        <v>36750</v>
      </c>
    </row>
    <row r="910" spans="2:10" x14ac:dyDescent="0.3">
      <c r="B910" s="7">
        <v>44774</v>
      </c>
      <c r="C910" s="3">
        <f t="shared" si="28"/>
        <v>2022</v>
      </c>
      <c r="D910" s="3">
        <f t="shared" si="29"/>
        <v>202208</v>
      </c>
      <c r="E910" s="5" t="s">
        <v>2</v>
      </c>
      <c r="F910" s="5" t="s">
        <v>13</v>
      </c>
      <c r="G910" s="5" t="s">
        <v>51</v>
      </c>
      <c r="H910">
        <v>18</v>
      </c>
      <c r="I910" s="4">
        <v>76752</v>
      </c>
      <c r="J910" s="4">
        <v>31500</v>
      </c>
    </row>
    <row r="911" spans="2:10" x14ac:dyDescent="0.3">
      <c r="B911" s="7">
        <v>44805</v>
      </c>
      <c r="C911" s="3">
        <f t="shared" si="28"/>
        <v>2022</v>
      </c>
      <c r="D911" s="3">
        <f t="shared" si="29"/>
        <v>202209</v>
      </c>
      <c r="E911" s="5" t="s">
        <v>2</v>
      </c>
      <c r="F911" s="5" t="s">
        <v>13</v>
      </c>
      <c r="G911" s="5" t="s">
        <v>51</v>
      </c>
      <c r="H911">
        <v>19</v>
      </c>
      <c r="I911" s="4">
        <v>91105</v>
      </c>
      <c r="J911" s="4">
        <v>33250</v>
      </c>
    </row>
    <row r="912" spans="2:10" x14ac:dyDescent="0.3">
      <c r="B912" s="7">
        <v>44835</v>
      </c>
      <c r="C912" s="3">
        <f t="shared" si="28"/>
        <v>2022</v>
      </c>
      <c r="D912" s="3">
        <f t="shared" si="29"/>
        <v>202210</v>
      </c>
      <c r="E912" s="5" t="s">
        <v>2</v>
      </c>
      <c r="F912" s="5" t="s">
        <v>13</v>
      </c>
      <c r="G912" s="5" t="s">
        <v>51</v>
      </c>
      <c r="H912">
        <v>16</v>
      </c>
      <c r="I912" s="4">
        <v>77264</v>
      </c>
      <c r="J912" s="4">
        <v>28000</v>
      </c>
    </row>
    <row r="913" spans="2:10" x14ac:dyDescent="0.3">
      <c r="B913" s="7">
        <v>44866</v>
      </c>
      <c r="C913" s="3">
        <f t="shared" si="28"/>
        <v>2022</v>
      </c>
      <c r="D913" s="3">
        <f t="shared" si="29"/>
        <v>202211</v>
      </c>
      <c r="E913" s="5" t="s">
        <v>2</v>
      </c>
      <c r="F913" s="5" t="s">
        <v>13</v>
      </c>
      <c r="G913" s="5" t="s">
        <v>51</v>
      </c>
      <c r="H913">
        <v>11</v>
      </c>
      <c r="I913" s="4">
        <v>48312</v>
      </c>
      <c r="J913" s="4">
        <v>19250</v>
      </c>
    </row>
    <row r="914" spans="2:10" x14ac:dyDescent="0.3">
      <c r="B914" s="7">
        <v>44896</v>
      </c>
      <c r="C914" s="3">
        <f t="shared" si="28"/>
        <v>2022</v>
      </c>
      <c r="D914" s="3">
        <f t="shared" si="29"/>
        <v>202212</v>
      </c>
      <c r="E914" s="5" t="s">
        <v>2</v>
      </c>
      <c r="F914" s="5" t="s">
        <v>13</v>
      </c>
      <c r="G914" s="5" t="s">
        <v>51</v>
      </c>
      <c r="H914">
        <v>14</v>
      </c>
      <c r="I914" s="4">
        <v>64736</v>
      </c>
      <c r="J914" s="4">
        <v>24500</v>
      </c>
    </row>
    <row r="915" spans="2:10" x14ac:dyDescent="0.3">
      <c r="B915" s="7">
        <v>44197</v>
      </c>
      <c r="C915" s="3">
        <f t="shared" si="28"/>
        <v>2021</v>
      </c>
      <c r="D915" s="3">
        <f t="shared" si="29"/>
        <v>202101</v>
      </c>
      <c r="E915" s="5" t="s">
        <v>2</v>
      </c>
      <c r="F915" s="5" t="s">
        <v>13</v>
      </c>
      <c r="G915" s="5" t="s">
        <v>52</v>
      </c>
      <c r="H915">
        <v>15</v>
      </c>
      <c r="I915" s="4">
        <v>84585</v>
      </c>
      <c r="J915" s="4">
        <v>37800</v>
      </c>
    </row>
    <row r="916" spans="2:10" x14ac:dyDescent="0.3">
      <c r="B916" s="7">
        <v>44228</v>
      </c>
      <c r="C916" s="3">
        <f t="shared" si="28"/>
        <v>2021</v>
      </c>
      <c r="D916" s="3">
        <f t="shared" si="29"/>
        <v>202102</v>
      </c>
      <c r="E916" s="5" t="s">
        <v>2</v>
      </c>
      <c r="F916" s="5" t="s">
        <v>13</v>
      </c>
      <c r="G916" s="5" t="s">
        <v>52</v>
      </c>
      <c r="H916">
        <v>9</v>
      </c>
      <c r="I916" s="4">
        <v>47088</v>
      </c>
      <c r="J916" s="4">
        <v>22680</v>
      </c>
    </row>
    <row r="917" spans="2:10" x14ac:dyDescent="0.3">
      <c r="B917" s="7">
        <v>44256</v>
      </c>
      <c r="C917" s="3">
        <f t="shared" si="28"/>
        <v>2021</v>
      </c>
      <c r="D917" s="3">
        <f t="shared" si="29"/>
        <v>202103</v>
      </c>
      <c r="E917" s="5" t="s">
        <v>2</v>
      </c>
      <c r="F917" s="5" t="s">
        <v>13</v>
      </c>
      <c r="G917" s="5" t="s">
        <v>52</v>
      </c>
      <c r="H917">
        <v>8</v>
      </c>
      <c r="I917" s="4">
        <v>36824</v>
      </c>
      <c r="J917" s="4">
        <v>20160</v>
      </c>
    </row>
    <row r="918" spans="2:10" x14ac:dyDescent="0.3">
      <c r="B918" s="7">
        <v>44287</v>
      </c>
      <c r="C918" s="3">
        <f t="shared" si="28"/>
        <v>2021</v>
      </c>
      <c r="D918" s="3">
        <f t="shared" si="29"/>
        <v>202104</v>
      </c>
      <c r="E918" s="5" t="s">
        <v>2</v>
      </c>
      <c r="F918" s="5" t="s">
        <v>13</v>
      </c>
      <c r="G918" s="5" t="s">
        <v>52</v>
      </c>
      <c r="H918">
        <v>14</v>
      </c>
      <c r="I918" s="4">
        <v>87682</v>
      </c>
      <c r="J918" s="4">
        <v>35280</v>
      </c>
    </row>
    <row r="919" spans="2:10" x14ac:dyDescent="0.3">
      <c r="B919" s="7">
        <v>44317</v>
      </c>
      <c r="C919" s="3">
        <f t="shared" si="28"/>
        <v>2021</v>
      </c>
      <c r="D919" s="3">
        <f t="shared" si="29"/>
        <v>202105</v>
      </c>
      <c r="E919" s="5" t="s">
        <v>2</v>
      </c>
      <c r="F919" s="5" t="s">
        <v>13</v>
      </c>
      <c r="G919" s="5" t="s">
        <v>52</v>
      </c>
      <c r="H919">
        <v>18</v>
      </c>
      <c r="I919" s="4">
        <v>111978</v>
      </c>
      <c r="J919" s="4">
        <v>45360</v>
      </c>
    </row>
    <row r="920" spans="2:10" x14ac:dyDescent="0.3">
      <c r="B920" s="7">
        <v>44348</v>
      </c>
      <c r="C920" s="3">
        <f t="shared" si="28"/>
        <v>2021</v>
      </c>
      <c r="D920" s="3">
        <f t="shared" si="29"/>
        <v>202106</v>
      </c>
      <c r="E920" s="5" t="s">
        <v>2</v>
      </c>
      <c r="F920" s="5" t="s">
        <v>13</v>
      </c>
      <c r="G920" s="5" t="s">
        <v>52</v>
      </c>
      <c r="H920">
        <v>17</v>
      </c>
      <c r="I920" s="4">
        <v>104295</v>
      </c>
      <c r="J920" s="4">
        <v>42840</v>
      </c>
    </row>
    <row r="921" spans="2:10" x14ac:dyDescent="0.3">
      <c r="B921" s="7">
        <v>44378</v>
      </c>
      <c r="C921" s="3">
        <f t="shared" si="28"/>
        <v>2021</v>
      </c>
      <c r="D921" s="3">
        <f t="shared" si="29"/>
        <v>202107</v>
      </c>
      <c r="E921" s="5" t="s">
        <v>2</v>
      </c>
      <c r="F921" s="5" t="s">
        <v>13</v>
      </c>
      <c r="G921" s="5" t="s">
        <v>52</v>
      </c>
      <c r="H921">
        <v>18</v>
      </c>
      <c r="I921" s="4">
        <v>77868</v>
      </c>
      <c r="J921" s="4">
        <v>45360</v>
      </c>
    </row>
    <row r="922" spans="2:10" x14ac:dyDescent="0.3">
      <c r="B922" s="7">
        <v>44409</v>
      </c>
      <c r="C922" s="3">
        <f t="shared" si="28"/>
        <v>2021</v>
      </c>
      <c r="D922" s="3">
        <f t="shared" si="29"/>
        <v>202108</v>
      </c>
      <c r="E922" s="5" t="s">
        <v>2</v>
      </c>
      <c r="F922" s="5" t="s">
        <v>13</v>
      </c>
      <c r="G922" s="5" t="s">
        <v>52</v>
      </c>
      <c r="H922">
        <v>15</v>
      </c>
      <c r="I922" s="4">
        <v>69690</v>
      </c>
      <c r="J922" s="4">
        <v>37800</v>
      </c>
    </row>
    <row r="923" spans="2:10" x14ac:dyDescent="0.3">
      <c r="B923" s="7">
        <v>44440</v>
      </c>
      <c r="C923" s="3">
        <f t="shared" si="28"/>
        <v>2021</v>
      </c>
      <c r="D923" s="3">
        <f t="shared" si="29"/>
        <v>202109</v>
      </c>
      <c r="E923" s="5" t="s">
        <v>2</v>
      </c>
      <c r="F923" s="5" t="s">
        <v>13</v>
      </c>
      <c r="G923" s="5" t="s">
        <v>52</v>
      </c>
      <c r="H923">
        <v>16</v>
      </c>
      <c r="I923" s="4">
        <v>84000</v>
      </c>
      <c r="J923" s="4">
        <v>40320</v>
      </c>
    </row>
    <row r="924" spans="2:10" x14ac:dyDescent="0.3">
      <c r="B924" s="7">
        <v>44470</v>
      </c>
      <c r="C924" s="3">
        <f t="shared" si="28"/>
        <v>2021</v>
      </c>
      <c r="D924" s="3">
        <f t="shared" si="29"/>
        <v>202110</v>
      </c>
      <c r="E924" s="5" t="s">
        <v>2</v>
      </c>
      <c r="F924" s="5" t="s">
        <v>13</v>
      </c>
      <c r="G924" s="5" t="s">
        <v>52</v>
      </c>
      <c r="H924">
        <v>13</v>
      </c>
      <c r="I924" s="4">
        <v>75569</v>
      </c>
      <c r="J924" s="4">
        <v>32760</v>
      </c>
    </row>
    <row r="925" spans="2:10" x14ac:dyDescent="0.3">
      <c r="B925" s="7">
        <v>44501</v>
      </c>
      <c r="C925" s="3">
        <f t="shared" si="28"/>
        <v>2021</v>
      </c>
      <c r="D925" s="3">
        <f t="shared" si="29"/>
        <v>202111</v>
      </c>
      <c r="E925" s="5" t="s">
        <v>2</v>
      </c>
      <c r="F925" s="5" t="s">
        <v>13</v>
      </c>
      <c r="G925" s="5" t="s">
        <v>52</v>
      </c>
      <c r="H925">
        <v>9</v>
      </c>
      <c r="I925" s="4">
        <v>47322</v>
      </c>
      <c r="J925" s="4">
        <v>22680</v>
      </c>
    </row>
    <row r="926" spans="2:10" x14ac:dyDescent="0.3">
      <c r="B926" s="7">
        <v>44531</v>
      </c>
      <c r="C926" s="3">
        <f t="shared" si="28"/>
        <v>2021</v>
      </c>
      <c r="D926" s="3">
        <f t="shared" si="29"/>
        <v>202112</v>
      </c>
      <c r="E926" s="5" t="s">
        <v>2</v>
      </c>
      <c r="F926" s="5" t="s">
        <v>13</v>
      </c>
      <c r="G926" s="5" t="s">
        <v>52</v>
      </c>
      <c r="H926">
        <v>11</v>
      </c>
      <c r="I926" s="4">
        <v>51337</v>
      </c>
      <c r="J926" s="4">
        <v>27720</v>
      </c>
    </row>
    <row r="927" spans="2:10" x14ac:dyDescent="0.3">
      <c r="B927" s="7">
        <v>44562</v>
      </c>
      <c r="C927" s="3">
        <f t="shared" si="28"/>
        <v>2022</v>
      </c>
      <c r="D927" s="3">
        <f t="shared" si="29"/>
        <v>202201</v>
      </c>
      <c r="E927" s="5" t="s">
        <v>2</v>
      </c>
      <c r="F927" s="5" t="s">
        <v>13</v>
      </c>
      <c r="G927" s="5" t="s">
        <v>52</v>
      </c>
      <c r="H927">
        <v>16</v>
      </c>
      <c r="I927" s="4">
        <v>89200</v>
      </c>
      <c r="J927" s="4">
        <v>40320</v>
      </c>
    </row>
    <row r="928" spans="2:10" x14ac:dyDescent="0.3">
      <c r="B928" s="7">
        <v>44593</v>
      </c>
      <c r="C928" s="3">
        <f t="shared" si="28"/>
        <v>2022</v>
      </c>
      <c r="D928" s="3">
        <f t="shared" si="29"/>
        <v>202202</v>
      </c>
      <c r="E928" s="5" t="s">
        <v>2</v>
      </c>
      <c r="F928" s="5" t="s">
        <v>13</v>
      </c>
      <c r="G928" s="5" t="s">
        <v>52</v>
      </c>
      <c r="H928">
        <v>10</v>
      </c>
      <c r="I928" s="4">
        <v>49540</v>
      </c>
      <c r="J928" s="4">
        <v>25200</v>
      </c>
    </row>
    <row r="929" spans="2:10" x14ac:dyDescent="0.3">
      <c r="B929" s="7">
        <v>44621</v>
      </c>
      <c r="C929" s="3">
        <f t="shared" si="28"/>
        <v>2022</v>
      </c>
      <c r="D929" s="3">
        <f t="shared" si="29"/>
        <v>202203</v>
      </c>
      <c r="E929" s="5" t="s">
        <v>2</v>
      </c>
      <c r="F929" s="5" t="s">
        <v>13</v>
      </c>
      <c r="G929" s="5" t="s">
        <v>52</v>
      </c>
      <c r="H929">
        <v>8</v>
      </c>
      <c r="I929" s="4">
        <v>40136</v>
      </c>
      <c r="J929" s="4">
        <v>20160</v>
      </c>
    </row>
    <row r="930" spans="2:10" x14ac:dyDescent="0.3">
      <c r="B930" s="7">
        <v>44652</v>
      </c>
      <c r="C930" s="3">
        <f t="shared" si="28"/>
        <v>2022</v>
      </c>
      <c r="D930" s="3">
        <f t="shared" si="29"/>
        <v>202204</v>
      </c>
      <c r="E930" s="5" t="s">
        <v>2</v>
      </c>
      <c r="F930" s="5" t="s">
        <v>13</v>
      </c>
      <c r="G930" s="5" t="s">
        <v>52</v>
      </c>
      <c r="H930">
        <v>15</v>
      </c>
      <c r="I930" s="4">
        <v>90585</v>
      </c>
      <c r="J930" s="4">
        <v>37800</v>
      </c>
    </row>
    <row r="931" spans="2:10" x14ac:dyDescent="0.3">
      <c r="B931" s="7">
        <v>44682</v>
      </c>
      <c r="C931" s="3">
        <f t="shared" si="28"/>
        <v>2022</v>
      </c>
      <c r="D931" s="3">
        <f t="shared" si="29"/>
        <v>202205</v>
      </c>
      <c r="E931" s="5" t="s">
        <v>2</v>
      </c>
      <c r="F931" s="5" t="s">
        <v>13</v>
      </c>
      <c r="G931" s="5" t="s">
        <v>52</v>
      </c>
      <c r="H931">
        <v>19</v>
      </c>
      <c r="I931" s="4">
        <v>125609</v>
      </c>
      <c r="J931" s="4">
        <v>47880</v>
      </c>
    </row>
    <row r="932" spans="2:10" x14ac:dyDescent="0.3">
      <c r="B932" s="7">
        <v>44713</v>
      </c>
      <c r="C932" s="3">
        <f t="shared" si="28"/>
        <v>2022</v>
      </c>
      <c r="D932" s="3">
        <f t="shared" si="29"/>
        <v>202206</v>
      </c>
      <c r="E932" s="5" t="s">
        <v>2</v>
      </c>
      <c r="F932" s="5" t="s">
        <v>13</v>
      </c>
      <c r="G932" s="5" t="s">
        <v>52</v>
      </c>
      <c r="H932">
        <v>18</v>
      </c>
      <c r="I932" s="4">
        <v>104904</v>
      </c>
      <c r="J932" s="4">
        <v>45360</v>
      </c>
    </row>
    <row r="933" spans="2:10" x14ac:dyDescent="0.3">
      <c r="B933" s="7">
        <v>44743</v>
      </c>
      <c r="C933" s="3">
        <f t="shared" si="28"/>
        <v>2022</v>
      </c>
      <c r="D933" s="3">
        <f t="shared" si="29"/>
        <v>202207</v>
      </c>
      <c r="E933" s="5" t="s">
        <v>2</v>
      </c>
      <c r="F933" s="5" t="s">
        <v>13</v>
      </c>
      <c r="G933" s="5" t="s">
        <v>52</v>
      </c>
      <c r="H933">
        <v>19</v>
      </c>
      <c r="I933" s="4">
        <v>83885</v>
      </c>
      <c r="J933" s="4">
        <v>47880</v>
      </c>
    </row>
    <row r="934" spans="2:10" x14ac:dyDescent="0.3">
      <c r="B934" s="7">
        <v>44774</v>
      </c>
      <c r="C934" s="3">
        <f t="shared" si="28"/>
        <v>2022</v>
      </c>
      <c r="D934" s="3">
        <f t="shared" si="29"/>
        <v>202208</v>
      </c>
      <c r="E934" s="5" t="s">
        <v>2</v>
      </c>
      <c r="F934" s="5" t="s">
        <v>13</v>
      </c>
      <c r="G934" s="5" t="s">
        <v>52</v>
      </c>
      <c r="H934">
        <v>16</v>
      </c>
      <c r="I934" s="4">
        <v>72096</v>
      </c>
      <c r="J934" s="4">
        <v>40320</v>
      </c>
    </row>
    <row r="935" spans="2:10" x14ac:dyDescent="0.3">
      <c r="B935" s="7">
        <v>44805</v>
      </c>
      <c r="C935" s="3">
        <f t="shared" si="28"/>
        <v>2022</v>
      </c>
      <c r="D935" s="3">
        <f t="shared" si="29"/>
        <v>202209</v>
      </c>
      <c r="E935" s="5" t="s">
        <v>2</v>
      </c>
      <c r="F935" s="5" t="s">
        <v>13</v>
      </c>
      <c r="G935" s="5" t="s">
        <v>52</v>
      </c>
      <c r="H935">
        <v>17</v>
      </c>
      <c r="I935" s="4">
        <v>91749</v>
      </c>
      <c r="J935" s="4">
        <v>42840</v>
      </c>
    </row>
    <row r="936" spans="2:10" x14ac:dyDescent="0.3">
      <c r="B936" s="7">
        <v>44835</v>
      </c>
      <c r="C936" s="3">
        <f t="shared" si="28"/>
        <v>2022</v>
      </c>
      <c r="D936" s="3">
        <f t="shared" si="29"/>
        <v>202210</v>
      </c>
      <c r="E936" s="5" t="s">
        <v>2</v>
      </c>
      <c r="F936" s="5" t="s">
        <v>13</v>
      </c>
      <c r="G936" s="5" t="s">
        <v>52</v>
      </c>
      <c r="H936">
        <v>14</v>
      </c>
      <c r="I936" s="4">
        <v>75530</v>
      </c>
      <c r="J936" s="4">
        <v>35280</v>
      </c>
    </row>
    <row r="937" spans="2:10" x14ac:dyDescent="0.3">
      <c r="B937" s="7">
        <v>44866</v>
      </c>
      <c r="C937" s="3">
        <f t="shared" si="28"/>
        <v>2022</v>
      </c>
      <c r="D937" s="3">
        <f t="shared" si="29"/>
        <v>202211</v>
      </c>
      <c r="E937" s="5" t="s">
        <v>2</v>
      </c>
      <c r="F937" s="5" t="s">
        <v>13</v>
      </c>
      <c r="G937" s="5" t="s">
        <v>52</v>
      </c>
      <c r="H937">
        <v>10</v>
      </c>
      <c r="I937" s="4">
        <v>52380</v>
      </c>
      <c r="J937" s="4">
        <v>25200</v>
      </c>
    </row>
    <row r="938" spans="2:10" x14ac:dyDescent="0.3">
      <c r="B938" s="7">
        <v>44896</v>
      </c>
      <c r="C938" s="3">
        <f t="shared" si="28"/>
        <v>2022</v>
      </c>
      <c r="D938" s="3">
        <f t="shared" si="29"/>
        <v>202212</v>
      </c>
      <c r="E938" s="5" t="s">
        <v>2</v>
      </c>
      <c r="F938" s="5" t="s">
        <v>13</v>
      </c>
      <c r="G938" s="5" t="s">
        <v>52</v>
      </c>
      <c r="H938">
        <v>12</v>
      </c>
      <c r="I938" s="4">
        <v>61944</v>
      </c>
      <c r="J938" s="4">
        <v>30240</v>
      </c>
    </row>
    <row r="939" spans="2:10" x14ac:dyDescent="0.3">
      <c r="B939" s="7">
        <v>44197</v>
      </c>
      <c r="C939" s="3">
        <f t="shared" si="28"/>
        <v>2021</v>
      </c>
      <c r="D939" s="3">
        <f t="shared" si="29"/>
        <v>202101</v>
      </c>
      <c r="E939" s="5" t="s">
        <v>2</v>
      </c>
      <c r="F939" s="5" t="s">
        <v>13</v>
      </c>
      <c r="G939" s="5" t="s">
        <v>53</v>
      </c>
      <c r="H939">
        <v>19</v>
      </c>
      <c r="I939" s="4">
        <v>65018</v>
      </c>
      <c r="J939" s="4">
        <v>17556</v>
      </c>
    </row>
    <row r="940" spans="2:10" x14ac:dyDescent="0.3">
      <c r="B940" s="7">
        <v>44228</v>
      </c>
      <c r="C940" s="3">
        <f t="shared" si="28"/>
        <v>2021</v>
      </c>
      <c r="D940" s="3">
        <f t="shared" si="29"/>
        <v>202102</v>
      </c>
      <c r="E940" s="5" t="s">
        <v>2</v>
      </c>
      <c r="F940" s="5" t="s">
        <v>13</v>
      </c>
      <c r="G940" s="5" t="s">
        <v>53</v>
      </c>
      <c r="H940">
        <v>12</v>
      </c>
      <c r="I940" s="4">
        <v>42768</v>
      </c>
      <c r="J940" s="4">
        <v>11088</v>
      </c>
    </row>
    <row r="941" spans="2:10" x14ac:dyDescent="0.3">
      <c r="B941" s="7">
        <v>44256</v>
      </c>
      <c r="C941" s="3">
        <f t="shared" si="28"/>
        <v>2021</v>
      </c>
      <c r="D941" s="3">
        <f t="shared" si="29"/>
        <v>202103</v>
      </c>
      <c r="E941" s="5" t="s">
        <v>2</v>
      </c>
      <c r="F941" s="5" t="s">
        <v>13</v>
      </c>
      <c r="G941" s="5" t="s">
        <v>53</v>
      </c>
      <c r="H941">
        <v>10</v>
      </c>
      <c r="I941" s="4">
        <v>28580</v>
      </c>
      <c r="J941" s="4">
        <v>9240</v>
      </c>
    </row>
    <row r="942" spans="2:10" x14ac:dyDescent="0.3">
      <c r="B942" s="7">
        <v>44287</v>
      </c>
      <c r="C942" s="3">
        <f t="shared" si="28"/>
        <v>2021</v>
      </c>
      <c r="D942" s="3">
        <f t="shared" si="29"/>
        <v>202104</v>
      </c>
      <c r="E942" s="5" t="s">
        <v>2</v>
      </c>
      <c r="F942" s="5" t="s">
        <v>13</v>
      </c>
      <c r="G942" s="5" t="s">
        <v>53</v>
      </c>
      <c r="H942">
        <v>18</v>
      </c>
      <c r="I942" s="4">
        <v>66204</v>
      </c>
      <c r="J942" s="4">
        <v>16632</v>
      </c>
    </row>
    <row r="943" spans="2:10" x14ac:dyDescent="0.3">
      <c r="B943" s="7">
        <v>44317</v>
      </c>
      <c r="C943" s="3">
        <f t="shared" si="28"/>
        <v>2021</v>
      </c>
      <c r="D943" s="3">
        <f t="shared" si="29"/>
        <v>202105</v>
      </c>
      <c r="E943" s="5" t="s">
        <v>2</v>
      </c>
      <c r="F943" s="5" t="s">
        <v>13</v>
      </c>
      <c r="G943" s="5" t="s">
        <v>53</v>
      </c>
      <c r="H943">
        <v>22</v>
      </c>
      <c r="I943" s="4">
        <v>90442</v>
      </c>
      <c r="J943" s="4">
        <v>20328</v>
      </c>
    </row>
    <row r="944" spans="2:10" x14ac:dyDescent="0.3">
      <c r="B944" s="7">
        <v>44348</v>
      </c>
      <c r="C944" s="3">
        <f t="shared" si="28"/>
        <v>2021</v>
      </c>
      <c r="D944" s="3">
        <f t="shared" si="29"/>
        <v>202106</v>
      </c>
      <c r="E944" s="5" t="s">
        <v>2</v>
      </c>
      <c r="F944" s="5" t="s">
        <v>13</v>
      </c>
      <c r="G944" s="5" t="s">
        <v>53</v>
      </c>
      <c r="H944">
        <v>21</v>
      </c>
      <c r="I944" s="4">
        <v>78981</v>
      </c>
      <c r="J944" s="4">
        <v>19404</v>
      </c>
    </row>
    <row r="945" spans="2:10" x14ac:dyDescent="0.3">
      <c r="B945" s="7">
        <v>44378</v>
      </c>
      <c r="C945" s="3">
        <f t="shared" si="28"/>
        <v>2021</v>
      </c>
      <c r="D945" s="3">
        <f t="shared" si="29"/>
        <v>202107</v>
      </c>
      <c r="E945" s="5" t="s">
        <v>2</v>
      </c>
      <c r="F945" s="5" t="s">
        <v>13</v>
      </c>
      <c r="G945" s="5" t="s">
        <v>53</v>
      </c>
      <c r="H945">
        <v>22</v>
      </c>
      <c r="I945" s="4">
        <v>46926</v>
      </c>
      <c r="J945" s="4">
        <v>20328</v>
      </c>
    </row>
    <row r="946" spans="2:10" x14ac:dyDescent="0.3">
      <c r="B946" s="7">
        <v>44409</v>
      </c>
      <c r="C946" s="3">
        <f t="shared" si="28"/>
        <v>2021</v>
      </c>
      <c r="D946" s="3">
        <f t="shared" si="29"/>
        <v>202108</v>
      </c>
      <c r="E946" s="5" t="s">
        <v>2</v>
      </c>
      <c r="F946" s="5" t="s">
        <v>13</v>
      </c>
      <c r="G946" s="5" t="s">
        <v>53</v>
      </c>
      <c r="H946">
        <v>19</v>
      </c>
      <c r="I946" s="4">
        <v>45182</v>
      </c>
      <c r="J946" s="4">
        <v>17556</v>
      </c>
    </row>
    <row r="947" spans="2:10" x14ac:dyDescent="0.3">
      <c r="B947" s="7">
        <v>44440</v>
      </c>
      <c r="C947" s="3">
        <f t="shared" si="28"/>
        <v>2021</v>
      </c>
      <c r="D947" s="3">
        <f t="shared" si="29"/>
        <v>202109</v>
      </c>
      <c r="E947" s="5" t="s">
        <v>2</v>
      </c>
      <c r="F947" s="5" t="s">
        <v>13</v>
      </c>
      <c r="G947" s="5" t="s">
        <v>53</v>
      </c>
      <c r="H947">
        <v>20</v>
      </c>
      <c r="I947" s="4">
        <v>68420</v>
      </c>
      <c r="J947" s="4">
        <v>18480</v>
      </c>
    </row>
    <row r="948" spans="2:10" x14ac:dyDescent="0.3">
      <c r="B948" s="7">
        <v>44470</v>
      </c>
      <c r="C948" s="3">
        <f t="shared" si="28"/>
        <v>2021</v>
      </c>
      <c r="D948" s="3">
        <f t="shared" si="29"/>
        <v>202110</v>
      </c>
      <c r="E948" s="5" t="s">
        <v>2</v>
      </c>
      <c r="F948" s="5" t="s">
        <v>13</v>
      </c>
      <c r="G948" s="5" t="s">
        <v>53</v>
      </c>
      <c r="H948">
        <v>17</v>
      </c>
      <c r="I948" s="4">
        <v>68204</v>
      </c>
      <c r="J948" s="4">
        <v>15708</v>
      </c>
    </row>
    <row r="949" spans="2:10" x14ac:dyDescent="0.3">
      <c r="B949" s="7">
        <v>44501</v>
      </c>
      <c r="C949" s="3">
        <f t="shared" si="28"/>
        <v>2021</v>
      </c>
      <c r="D949" s="3">
        <f t="shared" si="29"/>
        <v>202111</v>
      </c>
      <c r="E949" s="5" t="s">
        <v>2</v>
      </c>
      <c r="F949" s="5" t="s">
        <v>13</v>
      </c>
      <c r="G949" s="5" t="s">
        <v>53</v>
      </c>
      <c r="H949">
        <v>12</v>
      </c>
      <c r="I949" s="4">
        <v>44664</v>
      </c>
      <c r="J949" s="4">
        <v>11088</v>
      </c>
    </row>
    <row r="950" spans="2:10" x14ac:dyDescent="0.3">
      <c r="B950" s="7">
        <v>44531</v>
      </c>
      <c r="C950" s="3">
        <f t="shared" si="28"/>
        <v>2021</v>
      </c>
      <c r="D950" s="3">
        <f t="shared" si="29"/>
        <v>202112</v>
      </c>
      <c r="E950" s="5" t="s">
        <v>2</v>
      </c>
      <c r="F950" s="5" t="s">
        <v>13</v>
      </c>
      <c r="G950" s="5" t="s">
        <v>53</v>
      </c>
      <c r="H950">
        <v>14</v>
      </c>
      <c r="I950" s="4">
        <v>36274</v>
      </c>
      <c r="J950" s="4">
        <v>12936</v>
      </c>
    </row>
    <row r="951" spans="2:10" x14ac:dyDescent="0.3">
      <c r="B951" s="7">
        <v>44562</v>
      </c>
      <c r="C951" s="3">
        <f t="shared" si="28"/>
        <v>2022</v>
      </c>
      <c r="D951" s="3">
        <f t="shared" si="29"/>
        <v>202201</v>
      </c>
      <c r="E951" s="5" t="s">
        <v>2</v>
      </c>
      <c r="F951" s="5" t="s">
        <v>13</v>
      </c>
      <c r="G951" s="5" t="s">
        <v>53</v>
      </c>
      <c r="H951">
        <v>21</v>
      </c>
      <c r="I951" s="4">
        <v>70581</v>
      </c>
      <c r="J951" s="4">
        <v>19404</v>
      </c>
    </row>
    <row r="952" spans="2:10" x14ac:dyDescent="0.3">
      <c r="B952" s="7">
        <v>44593</v>
      </c>
      <c r="C952" s="3">
        <f t="shared" si="28"/>
        <v>2022</v>
      </c>
      <c r="D952" s="3">
        <f t="shared" si="29"/>
        <v>202202</v>
      </c>
      <c r="E952" s="5" t="s">
        <v>2</v>
      </c>
      <c r="F952" s="5" t="s">
        <v>13</v>
      </c>
      <c r="G952" s="5" t="s">
        <v>53</v>
      </c>
      <c r="H952">
        <v>13</v>
      </c>
      <c r="I952" s="4">
        <v>49257</v>
      </c>
      <c r="J952" s="4">
        <v>12012</v>
      </c>
    </row>
    <row r="953" spans="2:10" x14ac:dyDescent="0.3">
      <c r="B953" s="7">
        <v>44621</v>
      </c>
      <c r="C953" s="3">
        <f t="shared" si="28"/>
        <v>2022</v>
      </c>
      <c r="D953" s="3">
        <f t="shared" si="29"/>
        <v>202203</v>
      </c>
      <c r="E953" s="5" t="s">
        <v>2</v>
      </c>
      <c r="F953" s="5" t="s">
        <v>13</v>
      </c>
      <c r="G953" s="5" t="s">
        <v>53</v>
      </c>
      <c r="H953">
        <v>11</v>
      </c>
      <c r="I953" s="4">
        <v>30723</v>
      </c>
      <c r="J953" s="4">
        <v>10164</v>
      </c>
    </row>
    <row r="954" spans="2:10" x14ac:dyDescent="0.3">
      <c r="B954" s="7">
        <v>44652</v>
      </c>
      <c r="C954" s="3">
        <f t="shared" si="28"/>
        <v>2022</v>
      </c>
      <c r="D954" s="3">
        <f t="shared" si="29"/>
        <v>202204</v>
      </c>
      <c r="E954" s="5" t="s">
        <v>2</v>
      </c>
      <c r="F954" s="5" t="s">
        <v>13</v>
      </c>
      <c r="G954" s="5" t="s">
        <v>53</v>
      </c>
      <c r="H954">
        <v>19</v>
      </c>
      <c r="I954" s="4">
        <v>74005</v>
      </c>
      <c r="J954" s="4">
        <v>17556</v>
      </c>
    </row>
    <row r="955" spans="2:10" x14ac:dyDescent="0.3">
      <c r="B955" s="7">
        <v>44682</v>
      </c>
      <c r="C955" s="3">
        <f t="shared" si="28"/>
        <v>2022</v>
      </c>
      <c r="D955" s="3">
        <f t="shared" si="29"/>
        <v>202205</v>
      </c>
      <c r="E955" s="5" t="s">
        <v>2</v>
      </c>
      <c r="F955" s="5" t="s">
        <v>13</v>
      </c>
      <c r="G955" s="5" t="s">
        <v>53</v>
      </c>
      <c r="H955">
        <v>25</v>
      </c>
      <c r="I955" s="4">
        <v>101000</v>
      </c>
      <c r="J955" s="4">
        <v>23100</v>
      </c>
    </row>
    <row r="956" spans="2:10" x14ac:dyDescent="0.3">
      <c r="B956" s="7">
        <v>44713</v>
      </c>
      <c r="C956" s="3">
        <f t="shared" si="28"/>
        <v>2022</v>
      </c>
      <c r="D956" s="3">
        <f t="shared" si="29"/>
        <v>202206</v>
      </c>
      <c r="E956" s="5" t="s">
        <v>2</v>
      </c>
      <c r="F956" s="5" t="s">
        <v>13</v>
      </c>
      <c r="G956" s="5" t="s">
        <v>53</v>
      </c>
      <c r="H956">
        <v>23</v>
      </c>
      <c r="I956" s="4">
        <v>76705</v>
      </c>
      <c r="J956" s="4">
        <v>21252</v>
      </c>
    </row>
    <row r="957" spans="2:10" x14ac:dyDescent="0.3">
      <c r="B957" s="7">
        <v>44743</v>
      </c>
      <c r="C957" s="3">
        <f t="shared" si="28"/>
        <v>2022</v>
      </c>
      <c r="D957" s="3">
        <f t="shared" si="29"/>
        <v>202207</v>
      </c>
      <c r="E957" s="5" t="s">
        <v>2</v>
      </c>
      <c r="F957" s="5" t="s">
        <v>13</v>
      </c>
      <c r="G957" s="5" t="s">
        <v>53</v>
      </c>
      <c r="H957">
        <v>25</v>
      </c>
      <c r="I957" s="4">
        <v>41975</v>
      </c>
      <c r="J957" s="4">
        <v>23100</v>
      </c>
    </row>
    <row r="958" spans="2:10" x14ac:dyDescent="0.3">
      <c r="B958" s="7">
        <v>44774</v>
      </c>
      <c r="C958" s="3">
        <f t="shared" si="28"/>
        <v>2022</v>
      </c>
      <c r="D958" s="3">
        <f t="shared" si="29"/>
        <v>202208</v>
      </c>
      <c r="E958" s="5" t="s">
        <v>2</v>
      </c>
      <c r="F958" s="5" t="s">
        <v>13</v>
      </c>
      <c r="G958" s="5" t="s">
        <v>53</v>
      </c>
      <c r="H958">
        <v>21</v>
      </c>
      <c r="I958" s="4">
        <v>50190</v>
      </c>
      <c r="J958" s="4">
        <v>19404</v>
      </c>
    </row>
    <row r="959" spans="2:10" x14ac:dyDescent="0.3">
      <c r="B959" s="7">
        <v>44805</v>
      </c>
      <c r="C959" s="3">
        <f t="shared" si="28"/>
        <v>2022</v>
      </c>
      <c r="D959" s="3">
        <f t="shared" si="29"/>
        <v>202209</v>
      </c>
      <c r="E959" s="5" t="s">
        <v>2</v>
      </c>
      <c r="F959" s="5" t="s">
        <v>13</v>
      </c>
      <c r="G959" s="5" t="s">
        <v>53</v>
      </c>
      <c r="H959">
        <v>22</v>
      </c>
      <c r="I959" s="4">
        <v>70114</v>
      </c>
      <c r="J959" s="4">
        <v>20328</v>
      </c>
    </row>
    <row r="960" spans="2:10" x14ac:dyDescent="0.3">
      <c r="B960" s="7">
        <v>44835</v>
      </c>
      <c r="C960" s="3">
        <f t="shared" si="28"/>
        <v>2022</v>
      </c>
      <c r="D960" s="3">
        <f t="shared" si="29"/>
        <v>202210</v>
      </c>
      <c r="E960" s="5" t="s">
        <v>2</v>
      </c>
      <c r="F960" s="5" t="s">
        <v>13</v>
      </c>
      <c r="G960" s="5" t="s">
        <v>53</v>
      </c>
      <c r="H960">
        <v>18</v>
      </c>
      <c r="I960" s="4">
        <v>75060</v>
      </c>
      <c r="J960" s="4">
        <v>16632</v>
      </c>
    </row>
    <row r="961" spans="2:10" x14ac:dyDescent="0.3">
      <c r="B961" s="7">
        <v>44866</v>
      </c>
      <c r="C961" s="3">
        <f t="shared" si="28"/>
        <v>2022</v>
      </c>
      <c r="D961" s="3">
        <f t="shared" si="29"/>
        <v>202211</v>
      </c>
      <c r="E961" s="5" t="s">
        <v>2</v>
      </c>
      <c r="F961" s="5" t="s">
        <v>13</v>
      </c>
      <c r="G961" s="5" t="s">
        <v>53</v>
      </c>
      <c r="H961">
        <v>13</v>
      </c>
      <c r="I961" s="4">
        <v>38389</v>
      </c>
      <c r="J961" s="4">
        <v>12012</v>
      </c>
    </row>
    <row r="962" spans="2:10" x14ac:dyDescent="0.3">
      <c r="B962" s="7">
        <v>44896</v>
      </c>
      <c r="C962" s="3">
        <f t="shared" si="28"/>
        <v>2022</v>
      </c>
      <c r="D962" s="3">
        <f t="shared" si="29"/>
        <v>202212</v>
      </c>
      <c r="E962" s="5" t="s">
        <v>2</v>
      </c>
      <c r="F962" s="5" t="s">
        <v>13</v>
      </c>
      <c r="G962" s="5" t="s">
        <v>53</v>
      </c>
      <c r="H962">
        <v>16</v>
      </c>
      <c r="I962" s="4">
        <v>44704</v>
      </c>
      <c r="J962" s="4">
        <v>14784</v>
      </c>
    </row>
    <row r="963" spans="2:10" x14ac:dyDescent="0.3">
      <c r="B963" s="7">
        <v>44197</v>
      </c>
      <c r="C963" s="3">
        <f t="shared" ref="C963:C1026" si="30">YEAR(B963)</f>
        <v>2021</v>
      </c>
      <c r="D963" s="3">
        <f t="shared" ref="D963:D1026" si="31">VALUE(TEXT(B963,"ГГГГММ"))</f>
        <v>202101</v>
      </c>
      <c r="E963" s="5" t="s">
        <v>2</v>
      </c>
      <c r="F963" s="5" t="s">
        <v>13</v>
      </c>
      <c r="G963" s="5" t="s">
        <v>54</v>
      </c>
      <c r="H963">
        <v>15</v>
      </c>
      <c r="I963" s="4">
        <v>66870</v>
      </c>
      <c r="J963" s="4">
        <v>16380</v>
      </c>
    </row>
    <row r="964" spans="2:10" x14ac:dyDescent="0.3">
      <c r="B964" s="7">
        <v>44228</v>
      </c>
      <c r="C964" s="3">
        <f t="shared" si="30"/>
        <v>2021</v>
      </c>
      <c r="D964" s="3">
        <f t="shared" si="31"/>
        <v>202102</v>
      </c>
      <c r="E964" s="5" t="s">
        <v>2</v>
      </c>
      <c r="F964" s="5" t="s">
        <v>13</v>
      </c>
      <c r="G964" s="5" t="s">
        <v>54</v>
      </c>
      <c r="H964">
        <v>10</v>
      </c>
      <c r="I964" s="4">
        <v>37790</v>
      </c>
      <c r="J964" s="4">
        <v>10920</v>
      </c>
    </row>
    <row r="965" spans="2:10" x14ac:dyDescent="0.3">
      <c r="B965" s="7">
        <v>44256</v>
      </c>
      <c r="C965" s="3">
        <f t="shared" si="30"/>
        <v>2021</v>
      </c>
      <c r="D965" s="3">
        <f t="shared" si="31"/>
        <v>202103</v>
      </c>
      <c r="E965" s="5" t="s">
        <v>2</v>
      </c>
      <c r="F965" s="5" t="s">
        <v>13</v>
      </c>
      <c r="G965" s="5" t="s">
        <v>54</v>
      </c>
      <c r="H965">
        <v>8</v>
      </c>
      <c r="I965" s="4">
        <v>22040</v>
      </c>
      <c r="J965" s="4">
        <v>8736</v>
      </c>
    </row>
    <row r="966" spans="2:10" x14ac:dyDescent="0.3">
      <c r="B966" s="7">
        <v>44287</v>
      </c>
      <c r="C966" s="3">
        <f t="shared" si="30"/>
        <v>2021</v>
      </c>
      <c r="D966" s="3">
        <f t="shared" si="31"/>
        <v>202104</v>
      </c>
      <c r="E966" s="5" t="s">
        <v>2</v>
      </c>
      <c r="F966" s="5" t="s">
        <v>13</v>
      </c>
      <c r="G966" s="5" t="s">
        <v>54</v>
      </c>
      <c r="H966">
        <v>14</v>
      </c>
      <c r="I966" s="4">
        <v>59178</v>
      </c>
      <c r="J966" s="4">
        <v>15288</v>
      </c>
    </row>
    <row r="967" spans="2:10" x14ac:dyDescent="0.3">
      <c r="B967" s="7">
        <v>44317</v>
      </c>
      <c r="C967" s="3">
        <f t="shared" si="30"/>
        <v>2021</v>
      </c>
      <c r="D967" s="3">
        <f t="shared" si="31"/>
        <v>202105</v>
      </c>
      <c r="E967" s="5" t="s">
        <v>2</v>
      </c>
      <c r="F967" s="5" t="s">
        <v>13</v>
      </c>
      <c r="G967" s="5" t="s">
        <v>54</v>
      </c>
      <c r="H967">
        <v>18</v>
      </c>
      <c r="I967" s="4">
        <v>88938</v>
      </c>
      <c r="J967" s="4">
        <v>19656</v>
      </c>
    </row>
    <row r="968" spans="2:10" x14ac:dyDescent="0.3">
      <c r="B968" s="7">
        <v>44348</v>
      </c>
      <c r="C968" s="3">
        <f t="shared" si="30"/>
        <v>2021</v>
      </c>
      <c r="D968" s="3">
        <f t="shared" si="31"/>
        <v>202106</v>
      </c>
      <c r="E968" s="5" t="s">
        <v>2</v>
      </c>
      <c r="F968" s="5" t="s">
        <v>13</v>
      </c>
      <c r="G968" s="5" t="s">
        <v>54</v>
      </c>
      <c r="H968">
        <v>17</v>
      </c>
      <c r="I968" s="4">
        <v>68204</v>
      </c>
      <c r="J968" s="4">
        <v>18564</v>
      </c>
    </row>
    <row r="969" spans="2:10" x14ac:dyDescent="0.3">
      <c r="B969" s="7">
        <v>44378</v>
      </c>
      <c r="C969" s="3">
        <f t="shared" si="30"/>
        <v>2021</v>
      </c>
      <c r="D969" s="3">
        <f t="shared" si="31"/>
        <v>202107</v>
      </c>
      <c r="E969" s="5" t="s">
        <v>2</v>
      </c>
      <c r="F969" s="5" t="s">
        <v>13</v>
      </c>
      <c r="G969" s="5" t="s">
        <v>54</v>
      </c>
      <c r="H969">
        <v>18</v>
      </c>
      <c r="I969" s="4">
        <v>50004</v>
      </c>
      <c r="J969" s="4">
        <v>19656</v>
      </c>
    </row>
    <row r="970" spans="2:10" x14ac:dyDescent="0.3">
      <c r="B970" s="7">
        <v>44409</v>
      </c>
      <c r="C970" s="3">
        <f t="shared" si="30"/>
        <v>2021</v>
      </c>
      <c r="D970" s="3">
        <f t="shared" si="31"/>
        <v>202108</v>
      </c>
      <c r="E970" s="5" t="s">
        <v>2</v>
      </c>
      <c r="F970" s="5" t="s">
        <v>13</v>
      </c>
      <c r="G970" s="5" t="s">
        <v>54</v>
      </c>
      <c r="H970">
        <v>15</v>
      </c>
      <c r="I970" s="4">
        <v>47700</v>
      </c>
      <c r="J970" s="4">
        <v>16380</v>
      </c>
    </row>
    <row r="971" spans="2:10" x14ac:dyDescent="0.3">
      <c r="B971" s="7">
        <v>44440</v>
      </c>
      <c r="C971" s="3">
        <f t="shared" si="30"/>
        <v>2021</v>
      </c>
      <c r="D971" s="3">
        <f t="shared" si="31"/>
        <v>202109</v>
      </c>
      <c r="E971" s="5" t="s">
        <v>2</v>
      </c>
      <c r="F971" s="5" t="s">
        <v>13</v>
      </c>
      <c r="G971" s="5" t="s">
        <v>54</v>
      </c>
      <c r="H971">
        <v>16</v>
      </c>
      <c r="I971" s="4">
        <v>57936</v>
      </c>
      <c r="J971" s="4">
        <v>17472</v>
      </c>
    </row>
    <row r="972" spans="2:10" x14ac:dyDescent="0.3">
      <c r="B972" s="7">
        <v>44470</v>
      </c>
      <c r="C972" s="3">
        <f t="shared" si="30"/>
        <v>2021</v>
      </c>
      <c r="D972" s="3">
        <f t="shared" si="31"/>
        <v>202110</v>
      </c>
      <c r="E972" s="5" t="s">
        <v>2</v>
      </c>
      <c r="F972" s="5" t="s">
        <v>13</v>
      </c>
      <c r="G972" s="5" t="s">
        <v>54</v>
      </c>
      <c r="H972">
        <v>13</v>
      </c>
      <c r="I972" s="4">
        <v>53924</v>
      </c>
      <c r="J972" s="4">
        <v>14196</v>
      </c>
    </row>
    <row r="973" spans="2:10" x14ac:dyDescent="0.3">
      <c r="B973" s="7">
        <v>44501</v>
      </c>
      <c r="C973" s="3">
        <f t="shared" si="30"/>
        <v>2021</v>
      </c>
      <c r="D973" s="3">
        <f t="shared" si="31"/>
        <v>202111</v>
      </c>
      <c r="E973" s="5" t="s">
        <v>2</v>
      </c>
      <c r="F973" s="5" t="s">
        <v>13</v>
      </c>
      <c r="G973" s="5" t="s">
        <v>54</v>
      </c>
      <c r="H973">
        <v>10</v>
      </c>
      <c r="I973" s="4">
        <v>40190</v>
      </c>
      <c r="J973" s="4">
        <v>10920</v>
      </c>
    </row>
    <row r="974" spans="2:10" x14ac:dyDescent="0.3">
      <c r="B974" s="7">
        <v>44531</v>
      </c>
      <c r="C974" s="3">
        <f t="shared" si="30"/>
        <v>2021</v>
      </c>
      <c r="D974" s="3">
        <f t="shared" si="31"/>
        <v>202112</v>
      </c>
      <c r="E974" s="5" t="s">
        <v>2</v>
      </c>
      <c r="F974" s="5" t="s">
        <v>13</v>
      </c>
      <c r="G974" s="5" t="s">
        <v>54</v>
      </c>
      <c r="H974">
        <v>12</v>
      </c>
      <c r="I974" s="4">
        <v>42552</v>
      </c>
      <c r="J974" s="4">
        <v>13104</v>
      </c>
    </row>
    <row r="975" spans="2:10" x14ac:dyDescent="0.3">
      <c r="B975" s="7">
        <v>44562</v>
      </c>
      <c r="C975" s="3">
        <f t="shared" si="30"/>
        <v>2022</v>
      </c>
      <c r="D975" s="3">
        <f t="shared" si="31"/>
        <v>202201</v>
      </c>
      <c r="E975" s="5" t="s">
        <v>2</v>
      </c>
      <c r="F975" s="5" t="s">
        <v>13</v>
      </c>
      <c r="G975" s="5" t="s">
        <v>54</v>
      </c>
      <c r="H975">
        <v>17</v>
      </c>
      <c r="I975" s="4">
        <v>69836</v>
      </c>
      <c r="J975" s="4">
        <v>18564</v>
      </c>
    </row>
    <row r="976" spans="2:10" x14ac:dyDescent="0.3">
      <c r="B976" s="7">
        <v>44593</v>
      </c>
      <c r="C976" s="3">
        <f t="shared" si="30"/>
        <v>2022</v>
      </c>
      <c r="D976" s="3">
        <f t="shared" si="31"/>
        <v>202202</v>
      </c>
      <c r="E976" s="5" t="s">
        <v>2</v>
      </c>
      <c r="F976" s="5" t="s">
        <v>13</v>
      </c>
      <c r="G976" s="5" t="s">
        <v>54</v>
      </c>
      <c r="H976">
        <v>11</v>
      </c>
      <c r="I976" s="4">
        <v>37851</v>
      </c>
      <c r="J976" s="4">
        <v>12012</v>
      </c>
    </row>
    <row r="977" spans="2:10" x14ac:dyDescent="0.3">
      <c r="B977" s="7">
        <v>44621</v>
      </c>
      <c r="C977" s="3">
        <f t="shared" si="30"/>
        <v>2022</v>
      </c>
      <c r="D977" s="3">
        <f t="shared" si="31"/>
        <v>202203</v>
      </c>
      <c r="E977" s="5" t="s">
        <v>2</v>
      </c>
      <c r="F977" s="5" t="s">
        <v>13</v>
      </c>
      <c r="G977" s="5" t="s">
        <v>54</v>
      </c>
      <c r="H977">
        <v>9</v>
      </c>
      <c r="I977" s="4">
        <v>23625</v>
      </c>
      <c r="J977" s="4">
        <v>9828</v>
      </c>
    </row>
    <row r="978" spans="2:10" x14ac:dyDescent="0.3">
      <c r="B978" s="7">
        <v>44652</v>
      </c>
      <c r="C978" s="3">
        <f t="shared" si="30"/>
        <v>2022</v>
      </c>
      <c r="D978" s="3">
        <f t="shared" si="31"/>
        <v>202204</v>
      </c>
      <c r="E978" s="5" t="s">
        <v>2</v>
      </c>
      <c r="F978" s="5" t="s">
        <v>13</v>
      </c>
      <c r="G978" s="5" t="s">
        <v>54</v>
      </c>
      <c r="H978">
        <v>16</v>
      </c>
      <c r="I978" s="4">
        <v>63504</v>
      </c>
      <c r="J978" s="4">
        <v>17472</v>
      </c>
    </row>
    <row r="979" spans="2:10" x14ac:dyDescent="0.3">
      <c r="B979" s="7">
        <v>44682</v>
      </c>
      <c r="C979" s="3">
        <f t="shared" si="30"/>
        <v>2022</v>
      </c>
      <c r="D979" s="3">
        <f t="shared" si="31"/>
        <v>202205</v>
      </c>
      <c r="E979" s="5" t="s">
        <v>2</v>
      </c>
      <c r="F979" s="5" t="s">
        <v>13</v>
      </c>
      <c r="G979" s="5" t="s">
        <v>54</v>
      </c>
      <c r="H979">
        <v>20</v>
      </c>
      <c r="I979" s="4">
        <v>97780</v>
      </c>
      <c r="J979" s="4">
        <v>21840</v>
      </c>
    </row>
    <row r="980" spans="2:10" x14ac:dyDescent="0.3">
      <c r="B980" s="7">
        <v>44713</v>
      </c>
      <c r="C980" s="3">
        <f t="shared" si="30"/>
        <v>2022</v>
      </c>
      <c r="D980" s="3">
        <f t="shared" si="31"/>
        <v>202206</v>
      </c>
      <c r="E980" s="5" t="s">
        <v>2</v>
      </c>
      <c r="F980" s="5" t="s">
        <v>13</v>
      </c>
      <c r="G980" s="5" t="s">
        <v>54</v>
      </c>
      <c r="H980">
        <v>19</v>
      </c>
      <c r="I980" s="4">
        <v>67735</v>
      </c>
      <c r="J980" s="4">
        <v>20748</v>
      </c>
    </row>
    <row r="981" spans="2:10" x14ac:dyDescent="0.3">
      <c r="B981" s="7">
        <v>44743</v>
      </c>
      <c r="C981" s="3">
        <f t="shared" si="30"/>
        <v>2022</v>
      </c>
      <c r="D981" s="3">
        <f t="shared" si="31"/>
        <v>202207</v>
      </c>
      <c r="E981" s="5" t="s">
        <v>2</v>
      </c>
      <c r="F981" s="5" t="s">
        <v>13</v>
      </c>
      <c r="G981" s="5" t="s">
        <v>54</v>
      </c>
      <c r="H981">
        <v>20</v>
      </c>
      <c r="I981" s="4">
        <v>42280</v>
      </c>
      <c r="J981" s="4">
        <v>21840</v>
      </c>
    </row>
    <row r="982" spans="2:10" x14ac:dyDescent="0.3">
      <c r="B982" s="7">
        <v>44774</v>
      </c>
      <c r="C982" s="3">
        <f t="shared" si="30"/>
        <v>2022</v>
      </c>
      <c r="D982" s="3">
        <f t="shared" si="31"/>
        <v>202208</v>
      </c>
      <c r="E982" s="5" t="s">
        <v>2</v>
      </c>
      <c r="F982" s="5" t="s">
        <v>13</v>
      </c>
      <c r="G982" s="5" t="s">
        <v>54</v>
      </c>
      <c r="H982">
        <v>17</v>
      </c>
      <c r="I982" s="4">
        <v>52020</v>
      </c>
      <c r="J982" s="4">
        <v>18564</v>
      </c>
    </row>
    <row r="983" spans="2:10" x14ac:dyDescent="0.3">
      <c r="B983" s="7">
        <v>44805</v>
      </c>
      <c r="C983" s="3">
        <f t="shared" si="30"/>
        <v>2022</v>
      </c>
      <c r="D983" s="3">
        <f t="shared" si="31"/>
        <v>202209</v>
      </c>
      <c r="E983" s="5" t="s">
        <v>2</v>
      </c>
      <c r="F983" s="5" t="s">
        <v>13</v>
      </c>
      <c r="G983" s="5" t="s">
        <v>54</v>
      </c>
      <c r="H983">
        <v>18</v>
      </c>
      <c r="I983" s="4">
        <v>66276</v>
      </c>
      <c r="J983" s="4">
        <v>19656</v>
      </c>
    </row>
    <row r="984" spans="2:10" x14ac:dyDescent="0.3">
      <c r="B984" s="7">
        <v>44835</v>
      </c>
      <c r="C984" s="3">
        <f t="shared" si="30"/>
        <v>2022</v>
      </c>
      <c r="D984" s="3">
        <f t="shared" si="31"/>
        <v>202210</v>
      </c>
      <c r="E984" s="5" t="s">
        <v>2</v>
      </c>
      <c r="F984" s="5" t="s">
        <v>13</v>
      </c>
      <c r="G984" s="5" t="s">
        <v>54</v>
      </c>
      <c r="H984">
        <v>15</v>
      </c>
      <c r="I984" s="4">
        <v>68580</v>
      </c>
      <c r="J984" s="4">
        <v>16380</v>
      </c>
    </row>
    <row r="985" spans="2:10" x14ac:dyDescent="0.3">
      <c r="B985" s="7">
        <v>44866</v>
      </c>
      <c r="C985" s="3">
        <f t="shared" si="30"/>
        <v>2022</v>
      </c>
      <c r="D985" s="3">
        <f t="shared" si="31"/>
        <v>202211</v>
      </c>
      <c r="E985" s="5" t="s">
        <v>2</v>
      </c>
      <c r="F985" s="5" t="s">
        <v>13</v>
      </c>
      <c r="G985" s="5" t="s">
        <v>54</v>
      </c>
      <c r="H985">
        <v>11</v>
      </c>
      <c r="I985" s="4">
        <v>38742</v>
      </c>
      <c r="J985" s="4">
        <v>12012</v>
      </c>
    </row>
    <row r="986" spans="2:10" x14ac:dyDescent="0.3">
      <c r="B986" s="7">
        <v>44896</v>
      </c>
      <c r="C986" s="3">
        <f t="shared" si="30"/>
        <v>2022</v>
      </c>
      <c r="D986" s="3">
        <f t="shared" si="31"/>
        <v>202212</v>
      </c>
      <c r="E986" s="5" t="s">
        <v>2</v>
      </c>
      <c r="F986" s="5" t="s">
        <v>13</v>
      </c>
      <c r="G986" s="5" t="s">
        <v>54</v>
      </c>
      <c r="H986">
        <v>13</v>
      </c>
      <c r="I986" s="4">
        <v>38792</v>
      </c>
      <c r="J986" s="4">
        <v>14196</v>
      </c>
    </row>
    <row r="987" spans="2:10" x14ac:dyDescent="0.3">
      <c r="B987" s="7">
        <v>44197</v>
      </c>
      <c r="C987" s="3">
        <f t="shared" si="30"/>
        <v>2021</v>
      </c>
      <c r="D987" s="3">
        <f t="shared" si="31"/>
        <v>202101</v>
      </c>
      <c r="E987" s="5" t="s">
        <v>2</v>
      </c>
      <c r="F987" s="5" t="s">
        <v>13</v>
      </c>
      <c r="G987" s="5" t="s">
        <v>55</v>
      </c>
      <c r="H987">
        <v>19</v>
      </c>
      <c r="I987" s="4">
        <v>67678</v>
      </c>
      <c r="J987" s="4">
        <v>16606</v>
      </c>
    </row>
    <row r="988" spans="2:10" x14ac:dyDescent="0.3">
      <c r="B988" s="7">
        <v>44228</v>
      </c>
      <c r="C988" s="3">
        <f t="shared" si="30"/>
        <v>2021</v>
      </c>
      <c r="D988" s="3">
        <f t="shared" si="31"/>
        <v>202102</v>
      </c>
      <c r="E988" s="5" t="s">
        <v>2</v>
      </c>
      <c r="F988" s="5" t="s">
        <v>13</v>
      </c>
      <c r="G988" s="5" t="s">
        <v>55</v>
      </c>
      <c r="H988">
        <v>12</v>
      </c>
      <c r="I988" s="4">
        <v>47124</v>
      </c>
      <c r="J988" s="4">
        <v>10488</v>
      </c>
    </row>
    <row r="989" spans="2:10" x14ac:dyDescent="0.3">
      <c r="B989" s="7">
        <v>44256</v>
      </c>
      <c r="C989" s="3">
        <f t="shared" si="30"/>
        <v>2021</v>
      </c>
      <c r="D989" s="3">
        <f t="shared" si="31"/>
        <v>202103</v>
      </c>
      <c r="E989" s="5" t="s">
        <v>2</v>
      </c>
      <c r="F989" s="5" t="s">
        <v>13</v>
      </c>
      <c r="G989" s="5" t="s">
        <v>55</v>
      </c>
      <c r="H989">
        <v>10</v>
      </c>
      <c r="I989" s="4">
        <v>24370</v>
      </c>
      <c r="J989" s="4">
        <v>8740</v>
      </c>
    </row>
    <row r="990" spans="2:10" x14ac:dyDescent="0.3">
      <c r="B990" s="7">
        <v>44287</v>
      </c>
      <c r="C990" s="3">
        <f t="shared" si="30"/>
        <v>2021</v>
      </c>
      <c r="D990" s="3">
        <f t="shared" si="31"/>
        <v>202104</v>
      </c>
      <c r="E990" s="5" t="s">
        <v>2</v>
      </c>
      <c r="F990" s="5" t="s">
        <v>13</v>
      </c>
      <c r="G990" s="5" t="s">
        <v>55</v>
      </c>
      <c r="H990">
        <v>18</v>
      </c>
      <c r="I990" s="4">
        <v>62334</v>
      </c>
      <c r="J990" s="4">
        <v>15732</v>
      </c>
    </row>
    <row r="991" spans="2:10" x14ac:dyDescent="0.3">
      <c r="B991" s="7">
        <v>44317</v>
      </c>
      <c r="C991" s="3">
        <f t="shared" si="30"/>
        <v>2021</v>
      </c>
      <c r="D991" s="3">
        <f t="shared" si="31"/>
        <v>202105</v>
      </c>
      <c r="E991" s="5" t="s">
        <v>2</v>
      </c>
      <c r="F991" s="5" t="s">
        <v>13</v>
      </c>
      <c r="G991" s="5" t="s">
        <v>55</v>
      </c>
      <c r="H991">
        <v>23</v>
      </c>
      <c r="I991" s="4">
        <v>93219</v>
      </c>
      <c r="J991" s="4">
        <v>20102</v>
      </c>
    </row>
    <row r="992" spans="2:10" x14ac:dyDescent="0.3">
      <c r="B992" s="7">
        <v>44348</v>
      </c>
      <c r="C992" s="3">
        <f t="shared" si="30"/>
        <v>2021</v>
      </c>
      <c r="D992" s="3">
        <f t="shared" si="31"/>
        <v>202106</v>
      </c>
      <c r="E992" s="5" t="s">
        <v>2</v>
      </c>
      <c r="F992" s="5" t="s">
        <v>13</v>
      </c>
      <c r="G992" s="5" t="s">
        <v>55</v>
      </c>
      <c r="H992">
        <v>22</v>
      </c>
      <c r="I992" s="4">
        <v>74228</v>
      </c>
      <c r="J992" s="4">
        <v>19228</v>
      </c>
    </row>
    <row r="993" spans="2:10" x14ac:dyDescent="0.3">
      <c r="B993" s="7">
        <v>44378</v>
      </c>
      <c r="C993" s="3">
        <f t="shared" si="30"/>
        <v>2021</v>
      </c>
      <c r="D993" s="3">
        <f t="shared" si="31"/>
        <v>202107</v>
      </c>
      <c r="E993" s="5" t="s">
        <v>2</v>
      </c>
      <c r="F993" s="5" t="s">
        <v>13</v>
      </c>
      <c r="G993" s="5" t="s">
        <v>55</v>
      </c>
      <c r="H993">
        <v>23</v>
      </c>
      <c r="I993" s="4">
        <v>43631</v>
      </c>
      <c r="J993" s="4">
        <v>20102</v>
      </c>
    </row>
    <row r="994" spans="2:10" x14ac:dyDescent="0.3">
      <c r="B994" s="7">
        <v>44409</v>
      </c>
      <c r="C994" s="3">
        <f t="shared" si="30"/>
        <v>2021</v>
      </c>
      <c r="D994" s="3">
        <f t="shared" si="31"/>
        <v>202108</v>
      </c>
      <c r="E994" s="5" t="s">
        <v>2</v>
      </c>
      <c r="F994" s="5" t="s">
        <v>13</v>
      </c>
      <c r="G994" s="5" t="s">
        <v>55</v>
      </c>
      <c r="H994">
        <v>19</v>
      </c>
      <c r="I994" s="4">
        <v>55385</v>
      </c>
      <c r="J994" s="4">
        <v>16606</v>
      </c>
    </row>
    <row r="995" spans="2:10" x14ac:dyDescent="0.3">
      <c r="B995" s="7">
        <v>44440</v>
      </c>
      <c r="C995" s="3">
        <f t="shared" si="30"/>
        <v>2021</v>
      </c>
      <c r="D995" s="3">
        <f t="shared" si="31"/>
        <v>202109</v>
      </c>
      <c r="E995" s="5" t="s">
        <v>2</v>
      </c>
      <c r="F995" s="5" t="s">
        <v>13</v>
      </c>
      <c r="G995" s="5" t="s">
        <v>55</v>
      </c>
      <c r="H995">
        <v>21</v>
      </c>
      <c r="I995" s="4">
        <v>62832</v>
      </c>
      <c r="J995" s="4">
        <v>18354</v>
      </c>
    </row>
    <row r="996" spans="2:10" x14ac:dyDescent="0.3">
      <c r="B996" s="7">
        <v>44470</v>
      </c>
      <c r="C996" s="3">
        <f t="shared" si="30"/>
        <v>2021</v>
      </c>
      <c r="D996" s="3">
        <f t="shared" si="31"/>
        <v>202110</v>
      </c>
      <c r="E996" s="5" t="s">
        <v>2</v>
      </c>
      <c r="F996" s="5" t="s">
        <v>13</v>
      </c>
      <c r="G996" s="5" t="s">
        <v>55</v>
      </c>
      <c r="H996">
        <v>17</v>
      </c>
      <c r="I996" s="4">
        <v>53380</v>
      </c>
      <c r="J996" s="4">
        <v>14858</v>
      </c>
    </row>
    <row r="997" spans="2:10" x14ac:dyDescent="0.3">
      <c r="B997" s="7">
        <v>44501</v>
      </c>
      <c r="C997" s="3">
        <f t="shared" si="30"/>
        <v>2021</v>
      </c>
      <c r="D997" s="3">
        <f t="shared" si="31"/>
        <v>202111</v>
      </c>
      <c r="E997" s="5" t="s">
        <v>2</v>
      </c>
      <c r="F997" s="5" t="s">
        <v>13</v>
      </c>
      <c r="G997" s="5" t="s">
        <v>55</v>
      </c>
      <c r="H997">
        <v>12</v>
      </c>
      <c r="I997" s="4">
        <v>32292</v>
      </c>
      <c r="J997" s="4">
        <v>10488</v>
      </c>
    </row>
    <row r="998" spans="2:10" x14ac:dyDescent="0.3">
      <c r="B998" s="7">
        <v>44531</v>
      </c>
      <c r="C998" s="3">
        <f t="shared" si="30"/>
        <v>2021</v>
      </c>
      <c r="D998" s="3">
        <f t="shared" si="31"/>
        <v>202112</v>
      </c>
      <c r="E998" s="5" t="s">
        <v>2</v>
      </c>
      <c r="F998" s="5" t="s">
        <v>13</v>
      </c>
      <c r="G998" s="5" t="s">
        <v>55</v>
      </c>
      <c r="H998">
        <v>15</v>
      </c>
      <c r="I998" s="4">
        <v>39765</v>
      </c>
      <c r="J998" s="4">
        <v>13110</v>
      </c>
    </row>
    <row r="999" spans="2:10" x14ac:dyDescent="0.3">
      <c r="B999" s="7">
        <v>44562</v>
      </c>
      <c r="C999" s="3">
        <f t="shared" si="30"/>
        <v>2022</v>
      </c>
      <c r="D999" s="3">
        <f t="shared" si="31"/>
        <v>202201</v>
      </c>
      <c r="E999" s="5" t="s">
        <v>2</v>
      </c>
      <c r="F999" s="5" t="s">
        <v>13</v>
      </c>
      <c r="G999" s="5" t="s">
        <v>55</v>
      </c>
      <c r="H999">
        <v>21</v>
      </c>
      <c r="I999" s="4">
        <v>53697</v>
      </c>
      <c r="J999" s="4">
        <v>18354</v>
      </c>
    </row>
    <row r="1000" spans="2:10" x14ac:dyDescent="0.3">
      <c r="B1000" s="7">
        <v>44593</v>
      </c>
      <c r="C1000" s="3">
        <f t="shared" si="30"/>
        <v>2022</v>
      </c>
      <c r="D1000" s="3">
        <f t="shared" si="31"/>
        <v>202202</v>
      </c>
      <c r="E1000" s="5" t="s">
        <v>2</v>
      </c>
      <c r="F1000" s="5" t="s">
        <v>13</v>
      </c>
      <c r="G1000" s="5" t="s">
        <v>55</v>
      </c>
      <c r="H1000">
        <v>13</v>
      </c>
      <c r="I1000" s="4">
        <v>43654</v>
      </c>
      <c r="J1000" s="4">
        <v>11362</v>
      </c>
    </row>
    <row r="1001" spans="2:10" x14ac:dyDescent="0.3">
      <c r="B1001" s="7">
        <v>44621</v>
      </c>
      <c r="C1001" s="3">
        <f t="shared" si="30"/>
        <v>2022</v>
      </c>
      <c r="D1001" s="3">
        <f t="shared" si="31"/>
        <v>202203</v>
      </c>
      <c r="E1001" s="5" t="s">
        <v>2</v>
      </c>
      <c r="F1001" s="5" t="s">
        <v>13</v>
      </c>
      <c r="G1001" s="5" t="s">
        <v>55</v>
      </c>
      <c r="H1001">
        <v>11</v>
      </c>
      <c r="I1001" s="4">
        <v>30778</v>
      </c>
      <c r="J1001" s="4">
        <v>9614</v>
      </c>
    </row>
    <row r="1002" spans="2:10" x14ac:dyDescent="0.3">
      <c r="B1002" s="7">
        <v>44652</v>
      </c>
      <c r="C1002" s="3">
        <f t="shared" si="30"/>
        <v>2022</v>
      </c>
      <c r="D1002" s="3">
        <f t="shared" si="31"/>
        <v>202204</v>
      </c>
      <c r="E1002" s="5" t="s">
        <v>2</v>
      </c>
      <c r="F1002" s="5" t="s">
        <v>13</v>
      </c>
      <c r="G1002" s="5" t="s">
        <v>55</v>
      </c>
      <c r="H1002">
        <v>20</v>
      </c>
      <c r="I1002" s="4">
        <v>68340</v>
      </c>
      <c r="J1002" s="4">
        <v>17480</v>
      </c>
    </row>
    <row r="1003" spans="2:10" x14ac:dyDescent="0.3">
      <c r="B1003" s="7">
        <v>44682</v>
      </c>
      <c r="C1003" s="3">
        <f t="shared" si="30"/>
        <v>2022</v>
      </c>
      <c r="D1003" s="3">
        <f t="shared" si="31"/>
        <v>202205</v>
      </c>
      <c r="E1003" s="5" t="s">
        <v>2</v>
      </c>
      <c r="F1003" s="5" t="s">
        <v>13</v>
      </c>
      <c r="G1003" s="5" t="s">
        <v>55</v>
      </c>
      <c r="H1003">
        <v>25</v>
      </c>
      <c r="I1003" s="4">
        <v>84600</v>
      </c>
      <c r="J1003" s="4">
        <v>21850</v>
      </c>
    </row>
    <row r="1004" spans="2:10" x14ac:dyDescent="0.3">
      <c r="B1004" s="7">
        <v>44713</v>
      </c>
      <c r="C1004" s="3">
        <f t="shared" si="30"/>
        <v>2022</v>
      </c>
      <c r="D1004" s="3">
        <f t="shared" si="31"/>
        <v>202206</v>
      </c>
      <c r="E1004" s="5" t="s">
        <v>2</v>
      </c>
      <c r="F1004" s="5" t="s">
        <v>13</v>
      </c>
      <c r="G1004" s="5" t="s">
        <v>55</v>
      </c>
      <c r="H1004">
        <v>24</v>
      </c>
      <c r="I1004" s="4">
        <v>63888</v>
      </c>
      <c r="J1004" s="4">
        <v>20976</v>
      </c>
    </row>
    <row r="1005" spans="2:10" x14ac:dyDescent="0.3">
      <c r="B1005" s="7">
        <v>44743</v>
      </c>
      <c r="C1005" s="3">
        <f t="shared" si="30"/>
        <v>2022</v>
      </c>
      <c r="D1005" s="3">
        <f t="shared" si="31"/>
        <v>202207</v>
      </c>
      <c r="E1005" s="5" t="s">
        <v>2</v>
      </c>
      <c r="F1005" s="5" t="s">
        <v>13</v>
      </c>
      <c r="G1005" s="5" t="s">
        <v>55</v>
      </c>
      <c r="H1005">
        <v>25</v>
      </c>
      <c r="I1005" s="4">
        <v>40700</v>
      </c>
      <c r="J1005" s="4">
        <v>21850</v>
      </c>
    </row>
    <row r="1006" spans="2:10" x14ac:dyDescent="0.3">
      <c r="B1006" s="7">
        <v>44774</v>
      </c>
      <c r="C1006" s="3">
        <f t="shared" si="30"/>
        <v>2022</v>
      </c>
      <c r="D1006" s="3">
        <f t="shared" si="31"/>
        <v>202208</v>
      </c>
      <c r="E1006" s="5" t="s">
        <v>2</v>
      </c>
      <c r="F1006" s="5" t="s">
        <v>13</v>
      </c>
      <c r="G1006" s="5" t="s">
        <v>55</v>
      </c>
      <c r="H1006">
        <v>21</v>
      </c>
      <c r="I1006" s="4">
        <v>48300</v>
      </c>
      <c r="J1006" s="4">
        <v>18354</v>
      </c>
    </row>
    <row r="1007" spans="2:10" x14ac:dyDescent="0.3">
      <c r="B1007" s="7">
        <v>44805</v>
      </c>
      <c r="C1007" s="3">
        <f t="shared" si="30"/>
        <v>2022</v>
      </c>
      <c r="D1007" s="3">
        <f t="shared" si="31"/>
        <v>202209</v>
      </c>
      <c r="E1007" s="5" t="s">
        <v>2</v>
      </c>
      <c r="F1007" s="5" t="s">
        <v>13</v>
      </c>
      <c r="G1007" s="5" t="s">
        <v>55</v>
      </c>
      <c r="H1007">
        <v>23</v>
      </c>
      <c r="I1007" s="4">
        <v>54878</v>
      </c>
      <c r="J1007" s="4">
        <v>20102</v>
      </c>
    </row>
    <row r="1008" spans="2:10" x14ac:dyDescent="0.3">
      <c r="B1008" s="7">
        <v>44835</v>
      </c>
      <c r="C1008" s="3">
        <f t="shared" si="30"/>
        <v>2022</v>
      </c>
      <c r="D1008" s="3">
        <f t="shared" si="31"/>
        <v>202210</v>
      </c>
      <c r="E1008" s="5" t="s">
        <v>2</v>
      </c>
      <c r="F1008" s="5" t="s">
        <v>13</v>
      </c>
      <c r="G1008" s="5" t="s">
        <v>55</v>
      </c>
      <c r="H1008">
        <v>19</v>
      </c>
      <c r="I1008" s="4">
        <v>58140</v>
      </c>
      <c r="J1008" s="4">
        <v>16606</v>
      </c>
    </row>
    <row r="1009" spans="2:10" x14ac:dyDescent="0.3">
      <c r="B1009" s="7">
        <v>44866</v>
      </c>
      <c r="C1009" s="3">
        <f t="shared" si="30"/>
        <v>2022</v>
      </c>
      <c r="D1009" s="3">
        <f t="shared" si="31"/>
        <v>202211</v>
      </c>
      <c r="E1009" s="5" t="s">
        <v>2</v>
      </c>
      <c r="F1009" s="5" t="s">
        <v>13</v>
      </c>
      <c r="G1009" s="5" t="s">
        <v>55</v>
      </c>
      <c r="H1009">
        <v>13</v>
      </c>
      <c r="I1009" s="4">
        <v>45448</v>
      </c>
      <c r="J1009" s="4">
        <v>11362</v>
      </c>
    </row>
    <row r="1010" spans="2:10" x14ac:dyDescent="0.3">
      <c r="B1010" s="7">
        <v>44896</v>
      </c>
      <c r="C1010" s="3">
        <f t="shared" si="30"/>
        <v>2022</v>
      </c>
      <c r="D1010" s="3">
        <f t="shared" si="31"/>
        <v>202212</v>
      </c>
      <c r="E1010" s="5" t="s">
        <v>2</v>
      </c>
      <c r="F1010" s="5" t="s">
        <v>13</v>
      </c>
      <c r="G1010" s="5" t="s">
        <v>55</v>
      </c>
      <c r="H1010">
        <v>16</v>
      </c>
      <c r="I1010" s="4">
        <v>38080</v>
      </c>
      <c r="J1010" s="4">
        <v>13984</v>
      </c>
    </row>
    <row r="1011" spans="2:10" x14ac:dyDescent="0.3">
      <c r="B1011" s="7">
        <v>44197</v>
      </c>
      <c r="C1011" s="3">
        <f t="shared" si="30"/>
        <v>2021</v>
      </c>
      <c r="D1011" s="3">
        <f t="shared" si="31"/>
        <v>202101</v>
      </c>
      <c r="E1011" s="5" t="s">
        <v>3</v>
      </c>
      <c r="F1011" s="5" t="s">
        <v>56</v>
      </c>
      <c r="G1011" s="5" t="s">
        <v>14</v>
      </c>
      <c r="H1011">
        <v>67</v>
      </c>
      <c r="I1011" s="4">
        <v>763398</v>
      </c>
      <c r="J1011" s="4">
        <v>402000</v>
      </c>
    </row>
    <row r="1012" spans="2:10" x14ac:dyDescent="0.3">
      <c r="B1012" s="7">
        <v>44228</v>
      </c>
      <c r="C1012" s="3">
        <f t="shared" si="30"/>
        <v>2021</v>
      </c>
      <c r="D1012" s="3">
        <f t="shared" si="31"/>
        <v>202102</v>
      </c>
      <c r="E1012" s="5" t="s">
        <v>3</v>
      </c>
      <c r="F1012" s="5" t="s">
        <v>56</v>
      </c>
      <c r="G1012" s="5" t="s">
        <v>14</v>
      </c>
      <c r="H1012">
        <v>42</v>
      </c>
      <c r="I1012" s="4">
        <v>484008</v>
      </c>
      <c r="J1012" s="4">
        <v>252000</v>
      </c>
    </row>
    <row r="1013" spans="2:10" x14ac:dyDescent="0.3">
      <c r="B1013" s="7">
        <v>44256</v>
      </c>
      <c r="C1013" s="3">
        <f t="shared" si="30"/>
        <v>2021</v>
      </c>
      <c r="D1013" s="3">
        <f t="shared" si="31"/>
        <v>202103</v>
      </c>
      <c r="E1013" s="5" t="s">
        <v>3</v>
      </c>
      <c r="F1013" s="5" t="s">
        <v>56</v>
      </c>
      <c r="G1013" s="5" t="s">
        <v>14</v>
      </c>
      <c r="H1013">
        <v>34</v>
      </c>
      <c r="I1013" s="4">
        <v>383078</v>
      </c>
      <c r="J1013" s="4">
        <v>204000</v>
      </c>
    </row>
    <row r="1014" spans="2:10" x14ac:dyDescent="0.3">
      <c r="B1014" s="7">
        <v>44287</v>
      </c>
      <c r="C1014" s="3">
        <f t="shared" si="30"/>
        <v>2021</v>
      </c>
      <c r="D1014" s="3">
        <f t="shared" si="31"/>
        <v>202104</v>
      </c>
      <c r="E1014" s="5" t="s">
        <v>3</v>
      </c>
      <c r="F1014" s="5" t="s">
        <v>56</v>
      </c>
      <c r="G1014" s="5" t="s">
        <v>14</v>
      </c>
      <c r="H1014">
        <v>62</v>
      </c>
      <c r="I1014" s="4">
        <v>722982</v>
      </c>
      <c r="J1014" s="4">
        <v>372000</v>
      </c>
    </row>
    <row r="1015" spans="2:10" x14ac:dyDescent="0.3">
      <c r="B1015" s="7">
        <v>44317</v>
      </c>
      <c r="C1015" s="3">
        <f t="shared" si="30"/>
        <v>2021</v>
      </c>
      <c r="D1015" s="3">
        <f t="shared" si="31"/>
        <v>202105</v>
      </c>
      <c r="E1015" s="5" t="s">
        <v>3</v>
      </c>
      <c r="F1015" s="5" t="s">
        <v>56</v>
      </c>
      <c r="G1015" s="5" t="s">
        <v>14</v>
      </c>
      <c r="H1015">
        <v>79</v>
      </c>
      <c r="I1015" s="4">
        <v>982207</v>
      </c>
      <c r="J1015" s="4">
        <v>474000</v>
      </c>
    </row>
    <row r="1016" spans="2:10" x14ac:dyDescent="0.3">
      <c r="B1016" s="7">
        <v>44348</v>
      </c>
      <c r="C1016" s="3">
        <f t="shared" si="30"/>
        <v>2021</v>
      </c>
      <c r="D1016" s="3">
        <f t="shared" si="31"/>
        <v>202106</v>
      </c>
      <c r="E1016" s="5" t="s">
        <v>3</v>
      </c>
      <c r="F1016" s="5" t="s">
        <v>56</v>
      </c>
      <c r="G1016" s="5" t="s">
        <v>14</v>
      </c>
      <c r="H1016">
        <v>75</v>
      </c>
      <c r="I1016" s="4">
        <v>869100</v>
      </c>
      <c r="J1016" s="4">
        <v>450000</v>
      </c>
    </row>
    <row r="1017" spans="2:10" x14ac:dyDescent="0.3">
      <c r="B1017" s="7">
        <v>44378</v>
      </c>
      <c r="C1017" s="3">
        <f t="shared" si="30"/>
        <v>2021</v>
      </c>
      <c r="D1017" s="3">
        <f t="shared" si="31"/>
        <v>202107</v>
      </c>
      <c r="E1017" s="5" t="s">
        <v>3</v>
      </c>
      <c r="F1017" s="5" t="s">
        <v>56</v>
      </c>
      <c r="G1017" s="5" t="s">
        <v>14</v>
      </c>
      <c r="H1017">
        <v>79</v>
      </c>
      <c r="I1017" s="4">
        <v>813463</v>
      </c>
      <c r="J1017" s="4">
        <v>474000</v>
      </c>
    </row>
    <row r="1018" spans="2:10" x14ac:dyDescent="0.3">
      <c r="B1018" s="7">
        <v>44409</v>
      </c>
      <c r="C1018" s="3">
        <f t="shared" si="30"/>
        <v>2021</v>
      </c>
      <c r="D1018" s="3">
        <f t="shared" si="31"/>
        <v>202108</v>
      </c>
      <c r="E1018" s="5" t="s">
        <v>3</v>
      </c>
      <c r="F1018" s="5" t="s">
        <v>56</v>
      </c>
      <c r="G1018" s="5" t="s">
        <v>14</v>
      </c>
      <c r="H1018">
        <v>67</v>
      </c>
      <c r="I1018" s="4">
        <v>727017</v>
      </c>
      <c r="J1018" s="4">
        <v>402000</v>
      </c>
    </row>
    <row r="1019" spans="2:10" x14ac:dyDescent="0.3">
      <c r="B1019" s="7">
        <v>44440</v>
      </c>
      <c r="C1019" s="3">
        <f t="shared" si="30"/>
        <v>2021</v>
      </c>
      <c r="D1019" s="3">
        <f t="shared" si="31"/>
        <v>202109</v>
      </c>
      <c r="E1019" s="5" t="s">
        <v>3</v>
      </c>
      <c r="F1019" s="5" t="s">
        <v>56</v>
      </c>
      <c r="G1019" s="5" t="s">
        <v>14</v>
      </c>
      <c r="H1019">
        <v>71</v>
      </c>
      <c r="I1019" s="4">
        <v>767013</v>
      </c>
      <c r="J1019" s="4">
        <v>426000</v>
      </c>
    </row>
    <row r="1020" spans="2:10" x14ac:dyDescent="0.3">
      <c r="B1020" s="7">
        <v>44470</v>
      </c>
      <c r="C1020" s="3">
        <f t="shared" si="30"/>
        <v>2021</v>
      </c>
      <c r="D1020" s="3">
        <f t="shared" si="31"/>
        <v>202110</v>
      </c>
      <c r="E1020" s="5" t="s">
        <v>3</v>
      </c>
      <c r="F1020" s="5" t="s">
        <v>56</v>
      </c>
      <c r="G1020" s="5" t="s">
        <v>14</v>
      </c>
      <c r="H1020">
        <v>58</v>
      </c>
      <c r="I1020" s="4">
        <v>635738</v>
      </c>
      <c r="J1020" s="4">
        <v>348000</v>
      </c>
    </row>
    <row r="1021" spans="2:10" x14ac:dyDescent="0.3">
      <c r="B1021" s="7">
        <v>44501</v>
      </c>
      <c r="C1021" s="3">
        <f t="shared" si="30"/>
        <v>2021</v>
      </c>
      <c r="D1021" s="3">
        <f t="shared" si="31"/>
        <v>202111</v>
      </c>
      <c r="E1021" s="5" t="s">
        <v>3</v>
      </c>
      <c r="F1021" s="5" t="s">
        <v>56</v>
      </c>
      <c r="G1021" s="5" t="s">
        <v>14</v>
      </c>
      <c r="H1021">
        <v>42</v>
      </c>
      <c r="I1021" s="4">
        <v>455658</v>
      </c>
      <c r="J1021" s="4">
        <v>252000</v>
      </c>
    </row>
    <row r="1022" spans="2:10" x14ac:dyDescent="0.3">
      <c r="B1022" s="7">
        <v>44531</v>
      </c>
      <c r="C1022" s="3">
        <f t="shared" si="30"/>
        <v>2021</v>
      </c>
      <c r="D1022" s="3">
        <f t="shared" si="31"/>
        <v>202112</v>
      </c>
      <c r="E1022" s="5" t="s">
        <v>3</v>
      </c>
      <c r="F1022" s="5" t="s">
        <v>56</v>
      </c>
      <c r="G1022" s="5" t="s">
        <v>14</v>
      </c>
      <c r="H1022">
        <v>50</v>
      </c>
      <c r="I1022" s="4">
        <v>572300</v>
      </c>
      <c r="J1022" s="4">
        <v>300000</v>
      </c>
    </row>
    <row r="1023" spans="2:10" x14ac:dyDescent="0.3">
      <c r="B1023" s="7">
        <v>44562</v>
      </c>
      <c r="C1023" s="3">
        <f t="shared" si="30"/>
        <v>2022</v>
      </c>
      <c r="D1023" s="3">
        <f t="shared" si="31"/>
        <v>202201</v>
      </c>
      <c r="E1023" s="5" t="s">
        <v>3</v>
      </c>
      <c r="F1023" s="5" t="s">
        <v>56</v>
      </c>
      <c r="G1023" s="5" t="s">
        <v>14</v>
      </c>
      <c r="H1023">
        <v>73</v>
      </c>
      <c r="I1023" s="4">
        <v>825922</v>
      </c>
      <c r="J1023" s="4">
        <v>438000</v>
      </c>
    </row>
    <row r="1024" spans="2:10" x14ac:dyDescent="0.3">
      <c r="B1024" s="7">
        <v>44593</v>
      </c>
      <c r="C1024" s="3">
        <f t="shared" si="30"/>
        <v>2022</v>
      </c>
      <c r="D1024" s="3">
        <f t="shared" si="31"/>
        <v>202202</v>
      </c>
      <c r="E1024" s="5" t="s">
        <v>3</v>
      </c>
      <c r="F1024" s="5" t="s">
        <v>56</v>
      </c>
      <c r="G1024" s="5" t="s">
        <v>14</v>
      </c>
      <c r="H1024">
        <v>46</v>
      </c>
      <c r="I1024" s="4">
        <v>540776</v>
      </c>
      <c r="J1024" s="4">
        <v>276000</v>
      </c>
    </row>
    <row r="1025" spans="2:10" x14ac:dyDescent="0.3">
      <c r="B1025" s="7">
        <v>44621</v>
      </c>
      <c r="C1025" s="3">
        <f t="shared" si="30"/>
        <v>2022</v>
      </c>
      <c r="D1025" s="3">
        <f t="shared" si="31"/>
        <v>202203</v>
      </c>
      <c r="E1025" s="5" t="s">
        <v>3</v>
      </c>
      <c r="F1025" s="5" t="s">
        <v>56</v>
      </c>
      <c r="G1025" s="5" t="s">
        <v>14</v>
      </c>
      <c r="H1025">
        <v>37</v>
      </c>
      <c r="I1025" s="4">
        <v>401857</v>
      </c>
      <c r="J1025" s="4">
        <v>222000</v>
      </c>
    </row>
    <row r="1026" spans="2:10" x14ac:dyDescent="0.3">
      <c r="B1026" s="7">
        <v>44652</v>
      </c>
      <c r="C1026" s="3">
        <f t="shared" si="30"/>
        <v>2022</v>
      </c>
      <c r="D1026" s="3">
        <f t="shared" si="31"/>
        <v>202204</v>
      </c>
      <c r="E1026" s="5" t="s">
        <v>3</v>
      </c>
      <c r="F1026" s="5" t="s">
        <v>56</v>
      </c>
      <c r="G1026" s="5" t="s">
        <v>14</v>
      </c>
      <c r="H1026">
        <v>69</v>
      </c>
      <c r="I1026" s="4">
        <v>817719</v>
      </c>
      <c r="J1026" s="4">
        <v>414000</v>
      </c>
    </row>
    <row r="1027" spans="2:10" x14ac:dyDescent="0.3">
      <c r="B1027" s="7">
        <v>44682</v>
      </c>
      <c r="C1027" s="3">
        <f t="shared" ref="C1027:C1090" si="32">YEAR(B1027)</f>
        <v>2022</v>
      </c>
      <c r="D1027" s="3">
        <f t="shared" ref="D1027:D1090" si="33">VALUE(TEXT(B1027,"ГГГГММ"))</f>
        <v>202205</v>
      </c>
      <c r="E1027" s="5" t="s">
        <v>3</v>
      </c>
      <c r="F1027" s="5" t="s">
        <v>56</v>
      </c>
      <c r="G1027" s="5" t="s">
        <v>14</v>
      </c>
      <c r="H1027">
        <v>87</v>
      </c>
      <c r="I1027" s="4">
        <v>1039041</v>
      </c>
      <c r="J1027" s="4">
        <v>522000</v>
      </c>
    </row>
    <row r="1028" spans="2:10" x14ac:dyDescent="0.3">
      <c r="B1028" s="7">
        <v>44713</v>
      </c>
      <c r="C1028" s="3">
        <f t="shared" si="32"/>
        <v>2022</v>
      </c>
      <c r="D1028" s="3">
        <f t="shared" si="33"/>
        <v>202206</v>
      </c>
      <c r="E1028" s="5" t="s">
        <v>3</v>
      </c>
      <c r="F1028" s="5" t="s">
        <v>56</v>
      </c>
      <c r="G1028" s="5" t="s">
        <v>14</v>
      </c>
      <c r="H1028">
        <v>82</v>
      </c>
      <c r="I1028" s="4">
        <v>977686</v>
      </c>
      <c r="J1028" s="4">
        <v>492000</v>
      </c>
    </row>
    <row r="1029" spans="2:10" x14ac:dyDescent="0.3">
      <c r="B1029" s="7">
        <v>44743</v>
      </c>
      <c r="C1029" s="3">
        <f t="shared" si="32"/>
        <v>2022</v>
      </c>
      <c r="D1029" s="3">
        <f t="shared" si="33"/>
        <v>202207</v>
      </c>
      <c r="E1029" s="5" t="s">
        <v>3</v>
      </c>
      <c r="F1029" s="5" t="s">
        <v>56</v>
      </c>
      <c r="G1029" s="5" t="s">
        <v>14</v>
      </c>
      <c r="H1029">
        <v>87</v>
      </c>
      <c r="I1029" s="4">
        <v>813102</v>
      </c>
      <c r="J1029" s="4">
        <v>522000</v>
      </c>
    </row>
    <row r="1030" spans="2:10" x14ac:dyDescent="0.3">
      <c r="B1030" s="7">
        <v>44774</v>
      </c>
      <c r="C1030" s="3">
        <f t="shared" si="32"/>
        <v>2022</v>
      </c>
      <c r="D1030" s="3">
        <f t="shared" si="33"/>
        <v>202208</v>
      </c>
      <c r="E1030" s="5" t="s">
        <v>3</v>
      </c>
      <c r="F1030" s="5" t="s">
        <v>56</v>
      </c>
      <c r="G1030" s="5" t="s">
        <v>14</v>
      </c>
      <c r="H1030">
        <v>73</v>
      </c>
      <c r="I1030" s="4">
        <v>796722</v>
      </c>
      <c r="J1030" s="4">
        <v>438000</v>
      </c>
    </row>
    <row r="1031" spans="2:10" x14ac:dyDescent="0.3">
      <c r="B1031" s="7">
        <v>44805</v>
      </c>
      <c r="C1031" s="3">
        <f t="shared" si="32"/>
        <v>2022</v>
      </c>
      <c r="D1031" s="3">
        <f t="shared" si="33"/>
        <v>202209</v>
      </c>
      <c r="E1031" s="5" t="s">
        <v>3</v>
      </c>
      <c r="F1031" s="5" t="s">
        <v>56</v>
      </c>
      <c r="G1031" s="5" t="s">
        <v>14</v>
      </c>
      <c r="H1031">
        <v>78</v>
      </c>
      <c r="I1031" s="4">
        <v>828828</v>
      </c>
      <c r="J1031" s="4">
        <v>468000</v>
      </c>
    </row>
    <row r="1032" spans="2:10" x14ac:dyDescent="0.3">
      <c r="B1032" s="7">
        <v>44835</v>
      </c>
      <c r="C1032" s="3">
        <f t="shared" si="32"/>
        <v>2022</v>
      </c>
      <c r="D1032" s="3">
        <f t="shared" si="33"/>
        <v>202210</v>
      </c>
      <c r="E1032" s="5" t="s">
        <v>3</v>
      </c>
      <c r="F1032" s="5" t="s">
        <v>56</v>
      </c>
      <c r="G1032" s="5" t="s">
        <v>14</v>
      </c>
      <c r="H1032">
        <v>64</v>
      </c>
      <c r="I1032" s="4">
        <v>731776</v>
      </c>
      <c r="J1032" s="4">
        <v>384000</v>
      </c>
    </row>
    <row r="1033" spans="2:10" x14ac:dyDescent="0.3">
      <c r="B1033" s="7">
        <v>44866</v>
      </c>
      <c r="C1033" s="3">
        <f t="shared" si="32"/>
        <v>2022</v>
      </c>
      <c r="D1033" s="3">
        <f t="shared" si="33"/>
        <v>202211</v>
      </c>
      <c r="E1033" s="5" t="s">
        <v>3</v>
      </c>
      <c r="F1033" s="5" t="s">
        <v>56</v>
      </c>
      <c r="G1033" s="5" t="s">
        <v>14</v>
      </c>
      <c r="H1033">
        <v>46</v>
      </c>
      <c r="I1033" s="4">
        <v>533002</v>
      </c>
      <c r="J1033" s="4">
        <v>276000</v>
      </c>
    </row>
    <row r="1034" spans="2:10" x14ac:dyDescent="0.3">
      <c r="B1034" s="7">
        <v>44896</v>
      </c>
      <c r="C1034" s="3">
        <f t="shared" si="32"/>
        <v>2022</v>
      </c>
      <c r="D1034" s="3">
        <f t="shared" si="33"/>
        <v>202212</v>
      </c>
      <c r="E1034" s="5" t="s">
        <v>3</v>
      </c>
      <c r="F1034" s="5" t="s">
        <v>56</v>
      </c>
      <c r="G1034" s="5" t="s">
        <v>14</v>
      </c>
      <c r="H1034">
        <v>55</v>
      </c>
      <c r="I1034" s="4">
        <v>561275</v>
      </c>
      <c r="J1034" s="4">
        <v>330000</v>
      </c>
    </row>
    <row r="1035" spans="2:10" x14ac:dyDescent="0.3">
      <c r="B1035" s="7">
        <v>44197</v>
      </c>
      <c r="C1035" s="3">
        <f t="shared" si="32"/>
        <v>2021</v>
      </c>
      <c r="D1035" s="3">
        <f t="shared" si="33"/>
        <v>202101</v>
      </c>
      <c r="E1035" s="5" t="s">
        <v>3</v>
      </c>
      <c r="F1035" s="5" t="s">
        <v>56</v>
      </c>
      <c r="G1035" s="5" t="s">
        <v>15</v>
      </c>
      <c r="H1035">
        <v>61</v>
      </c>
      <c r="I1035" s="4">
        <v>782691</v>
      </c>
      <c r="J1035" s="4">
        <v>431880</v>
      </c>
    </row>
    <row r="1036" spans="2:10" x14ac:dyDescent="0.3">
      <c r="B1036" s="7">
        <v>44228</v>
      </c>
      <c r="C1036" s="3">
        <f t="shared" si="32"/>
        <v>2021</v>
      </c>
      <c r="D1036" s="3">
        <f t="shared" si="33"/>
        <v>202102</v>
      </c>
      <c r="E1036" s="5" t="s">
        <v>3</v>
      </c>
      <c r="F1036" s="5" t="s">
        <v>56</v>
      </c>
      <c r="G1036" s="5" t="s">
        <v>15</v>
      </c>
      <c r="H1036">
        <v>38</v>
      </c>
      <c r="I1036" s="4">
        <v>491606</v>
      </c>
      <c r="J1036" s="4">
        <v>269040</v>
      </c>
    </row>
    <row r="1037" spans="2:10" x14ac:dyDescent="0.3">
      <c r="B1037" s="7">
        <v>44256</v>
      </c>
      <c r="C1037" s="3">
        <f t="shared" si="32"/>
        <v>2021</v>
      </c>
      <c r="D1037" s="3">
        <f t="shared" si="33"/>
        <v>202103</v>
      </c>
      <c r="E1037" s="5" t="s">
        <v>3</v>
      </c>
      <c r="F1037" s="5" t="s">
        <v>56</v>
      </c>
      <c r="G1037" s="5" t="s">
        <v>15</v>
      </c>
      <c r="H1037">
        <v>31</v>
      </c>
      <c r="I1037" s="4">
        <v>380153</v>
      </c>
      <c r="J1037" s="4">
        <v>219480</v>
      </c>
    </row>
    <row r="1038" spans="2:10" x14ac:dyDescent="0.3">
      <c r="B1038" s="7">
        <v>44287</v>
      </c>
      <c r="C1038" s="3">
        <f t="shared" si="32"/>
        <v>2021</v>
      </c>
      <c r="D1038" s="3">
        <f t="shared" si="33"/>
        <v>202104</v>
      </c>
      <c r="E1038" s="5" t="s">
        <v>3</v>
      </c>
      <c r="F1038" s="5" t="s">
        <v>56</v>
      </c>
      <c r="G1038" s="5" t="s">
        <v>15</v>
      </c>
      <c r="H1038">
        <v>57</v>
      </c>
      <c r="I1038" s="4">
        <v>793383</v>
      </c>
      <c r="J1038" s="4">
        <v>403560</v>
      </c>
    </row>
    <row r="1039" spans="2:10" x14ac:dyDescent="0.3">
      <c r="B1039" s="7">
        <v>44317</v>
      </c>
      <c r="C1039" s="3">
        <f t="shared" si="32"/>
        <v>2021</v>
      </c>
      <c r="D1039" s="3">
        <f t="shared" si="33"/>
        <v>202105</v>
      </c>
      <c r="E1039" s="5" t="s">
        <v>3</v>
      </c>
      <c r="F1039" s="5" t="s">
        <v>56</v>
      </c>
      <c r="G1039" s="5" t="s">
        <v>15</v>
      </c>
      <c r="H1039">
        <v>72</v>
      </c>
      <c r="I1039" s="4">
        <v>953928</v>
      </c>
      <c r="J1039" s="4">
        <v>509760</v>
      </c>
    </row>
    <row r="1040" spans="2:10" x14ac:dyDescent="0.3">
      <c r="B1040" s="7">
        <v>44348</v>
      </c>
      <c r="C1040" s="3">
        <f t="shared" si="32"/>
        <v>2021</v>
      </c>
      <c r="D1040" s="3">
        <f t="shared" si="33"/>
        <v>202106</v>
      </c>
      <c r="E1040" s="5" t="s">
        <v>3</v>
      </c>
      <c r="F1040" s="5" t="s">
        <v>56</v>
      </c>
      <c r="G1040" s="5" t="s">
        <v>15</v>
      </c>
      <c r="H1040">
        <v>69</v>
      </c>
      <c r="I1040" s="4">
        <v>904314</v>
      </c>
      <c r="J1040" s="4">
        <v>488520</v>
      </c>
    </row>
    <row r="1041" spans="2:10" x14ac:dyDescent="0.3">
      <c r="B1041" s="7">
        <v>44378</v>
      </c>
      <c r="C1041" s="3">
        <f t="shared" si="32"/>
        <v>2021</v>
      </c>
      <c r="D1041" s="3">
        <f t="shared" si="33"/>
        <v>202107</v>
      </c>
      <c r="E1041" s="5" t="s">
        <v>3</v>
      </c>
      <c r="F1041" s="5" t="s">
        <v>56</v>
      </c>
      <c r="G1041" s="5" t="s">
        <v>15</v>
      </c>
      <c r="H1041">
        <v>72</v>
      </c>
      <c r="I1041" s="4">
        <v>826632</v>
      </c>
      <c r="J1041" s="4">
        <v>509760</v>
      </c>
    </row>
    <row r="1042" spans="2:10" x14ac:dyDescent="0.3">
      <c r="B1042" s="7">
        <v>44409</v>
      </c>
      <c r="C1042" s="3">
        <f t="shared" si="32"/>
        <v>2021</v>
      </c>
      <c r="D1042" s="3">
        <f t="shared" si="33"/>
        <v>202108</v>
      </c>
      <c r="E1042" s="5" t="s">
        <v>3</v>
      </c>
      <c r="F1042" s="5" t="s">
        <v>56</v>
      </c>
      <c r="G1042" s="5" t="s">
        <v>15</v>
      </c>
      <c r="H1042">
        <v>61</v>
      </c>
      <c r="I1042" s="4">
        <v>776347</v>
      </c>
      <c r="J1042" s="4">
        <v>431880</v>
      </c>
    </row>
    <row r="1043" spans="2:10" x14ac:dyDescent="0.3">
      <c r="B1043" s="7">
        <v>44440</v>
      </c>
      <c r="C1043" s="3">
        <f t="shared" si="32"/>
        <v>2021</v>
      </c>
      <c r="D1043" s="3">
        <f t="shared" si="33"/>
        <v>202109</v>
      </c>
      <c r="E1043" s="5" t="s">
        <v>3</v>
      </c>
      <c r="F1043" s="5" t="s">
        <v>56</v>
      </c>
      <c r="G1043" s="5" t="s">
        <v>15</v>
      </c>
      <c r="H1043">
        <v>65</v>
      </c>
      <c r="I1043" s="4">
        <v>868010</v>
      </c>
      <c r="J1043" s="4">
        <v>460200</v>
      </c>
    </row>
    <row r="1044" spans="2:10" x14ac:dyDescent="0.3">
      <c r="B1044" s="7">
        <v>44470</v>
      </c>
      <c r="C1044" s="3">
        <f t="shared" si="32"/>
        <v>2021</v>
      </c>
      <c r="D1044" s="3">
        <f t="shared" si="33"/>
        <v>202110</v>
      </c>
      <c r="E1044" s="5" t="s">
        <v>3</v>
      </c>
      <c r="F1044" s="5" t="s">
        <v>56</v>
      </c>
      <c r="G1044" s="5" t="s">
        <v>15</v>
      </c>
      <c r="H1044">
        <v>53</v>
      </c>
      <c r="I1044" s="4">
        <v>717461</v>
      </c>
      <c r="J1044" s="4">
        <v>375240</v>
      </c>
    </row>
    <row r="1045" spans="2:10" x14ac:dyDescent="0.3">
      <c r="B1045" s="7">
        <v>44501</v>
      </c>
      <c r="C1045" s="3">
        <f t="shared" si="32"/>
        <v>2021</v>
      </c>
      <c r="D1045" s="3">
        <f t="shared" si="33"/>
        <v>202111</v>
      </c>
      <c r="E1045" s="5" t="s">
        <v>3</v>
      </c>
      <c r="F1045" s="5" t="s">
        <v>56</v>
      </c>
      <c r="G1045" s="5" t="s">
        <v>15</v>
      </c>
      <c r="H1045">
        <v>38</v>
      </c>
      <c r="I1045" s="4">
        <v>515432</v>
      </c>
      <c r="J1045" s="4">
        <v>269040</v>
      </c>
    </row>
    <row r="1046" spans="2:10" x14ac:dyDescent="0.3">
      <c r="B1046" s="7">
        <v>44531</v>
      </c>
      <c r="C1046" s="3">
        <f t="shared" si="32"/>
        <v>2021</v>
      </c>
      <c r="D1046" s="3">
        <f t="shared" si="33"/>
        <v>202112</v>
      </c>
      <c r="E1046" s="5" t="s">
        <v>3</v>
      </c>
      <c r="F1046" s="5" t="s">
        <v>56</v>
      </c>
      <c r="G1046" s="5" t="s">
        <v>15</v>
      </c>
      <c r="H1046">
        <v>46</v>
      </c>
      <c r="I1046" s="4">
        <v>572976</v>
      </c>
      <c r="J1046" s="4">
        <v>325680</v>
      </c>
    </row>
    <row r="1047" spans="2:10" x14ac:dyDescent="0.3">
      <c r="B1047" s="7">
        <v>44562</v>
      </c>
      <c r="C1047" s="3">
        <f t="shared" si="32"/>
        <v>2022</v>
      </c>
      <c r="D1047" s="3">
        <f t="shared" si="33"/>
        <v>202201</v>
      </c>
      <c r="E1047" s="5" t="s">
        <v>3</v>
      </c>
      <c r="F1047" s="5" t="s">
        <v>56</v>
      </c>
      <c r="G1047" s="5" t="s">
        <v>15</v>
      </c>
      <c r="H1047">
        <v>67</v>
      </c>
      <c r="I1047" s="4">
        <v>875824</v>
      </c>
      <c r="J1047" s="4">
        <v>474360</v>
      </c>
    </row>
    <row r="1048" spans="2:10" x14ac:dyDescent="0.3">
      <c r="B1048" s="7">
        <v>44593</v>
      </c>
      <c r="C1048" s="3">
        <f t="shared" si="32"/>
        <v>2022</v>
      </c>
      <c r="D1048" s="3">
        <f t="shared" si="33"/>
        <v>202202</v>
      </c>
      <c r="E1048" s="5" t="s">
        <v>3</v>
      </c>
      <c r="F1048" s="5" t="s">
        <v>56</v>
      </c>
      <c r="G1048" s="5" t="s">
        <v>15</v>
      </c>
      <c r="H1048">
        <v>42</v>
      </c>
      <c r="I1048" s="4">
        <v>564102</v>
      </c>
      <c r="J1048" s="4">
        <v>297360</v>
      </c>
    </row>
    <row r="1049" spans="2:10" x14ac:dyDescent="0.3">
      <c r="B1049" s="7">
        <v>44621</v>
      </c>
      <c r="C1049" s="3">
        <f t="shared" si="32"/>
        <v>2022</v>
      </c>
      <c r="D1049" s="3">
        <f t="shared" si="33"/>
        <v>202203</v>
      </c>
      <c r="E1049" s="5" t="s">
        <v>3</v>
      </c>
      <c r="F1049" s="5" t="s">
        <v>56</v>
      </c>
      <c r="G1049" s="5" t="s">
        <v>15</v>
      </c>
      <c r="H1049">
        <v>34</v>
      </c>
      <c r="I1049" s="4">
        <v>420478</v>
      </c>
      <c r="J1049" s="4">
        <v>240720</v>
      </c>
    </row>
    <row r="1050" spans="2:10" x14ac:dyDescent="0.3">
      <c r="B1050" s="7">
        <v>44652</v>
      </c>
      <c r="C1050" s="3">
        <f t="shared" si="32"/>
        <v>2022</v>
      </c>
      <c r="D1050" s="3">
        <f t="shared" si="33"/>
        <v>202204</v>
      </c>
      <c r="E1050" s="5" t="s">
        <v>3</v>
      </c>
      <c r="F1050" s="5" t="s">
        <v>56</v>
      </c>
      <c r="G1050" s="5" t="s">
        <v>15</v>
      </c>
      <c r="H1050">
        <v>63</v>
      </c>
      <c r="I1050" s="4">
        <v>848106</v>
      </c>
      <c r="J1050" s="4">
        <v>446040</v>
      </c>
    </row>
    <row r="1051" spans="2:10" x14ac:dyDescent="0.3">
      <c r="B1051" s="7">
        <v>44682</v>
      </c>
      <c r="C1051" s="3">
        <f t="shared" si="32"/>
        <v>2022</v>
      </c>
      <c r="D1051" s="3">
        <f t="shared" si="33"/>
        <v>202205</v>
      </c>
      <c r="E1051" s="5" t="s">
        <v>3</v>
      </c>
      <c r="F1051" s="5" t="s">
        <v>56</v>
      </c>
      <c r="G1051" s="5" t="s">
        <v>15</v>
      </c>
      <c r="H1051">
        <v>80</v>
      </c>
      <c r="I1051" s="4">
        <v>1134160</v>
      </c>
      <c r="J1051" s="4">
        <v>566400</v>
      </c>
    </row>
    <row r="1052" spans="2:10" x14ac:dyDescent="0.3">
      <c r="B1052" s="7">
        <v>44713</v>
      </c>
      <c r="C1052" s="3">
        <f t="shared" si="32"/>
        <v>2022</v>
      </c>
      <c r="D1052" s="3">
        <f t="shared" si="33"/>
        <v>202206</v>
      </c>
      <c r="E1052" s="5" t="s">
        <v>3</v>
      </c>
      <c r="F1052" s="5" t="s">
        <v>56</v>
      </c>
      <c r="G1052" s="5" t="s">
        <v>15</v>
      </c>
      <c r="H1052">
        <v>75</v>
      </c>
      <c r="I1052" s="4">
        <v>1019325</v>
      </c>
      <c r="J1052" s="4">
        <v>531000</v>
      </c>
    </row>
    <row r="1053" spans="2:10" x14ac:dyDescent="0.3">
      <c r="B1053" s="7">
        <v>44743</v>
      </c>
      <c r="C1053" s="3">
        <f t="shared" si="32"/>
        <v>2022</v>
      </c>
      <c r="D1053" s="3">
        <f t="shared" si="33"/>
        <v>202207</v>
      </c>
      <c r="E1053" s="5" t="s">
        <v>3</v>
      </c>
      <c r="F1053" s="5" t="s">
        <v>56</v>
      </c>
      <c r="G1053" s="5" t="s">
        <v>15</v>
      </c>
      <c r="H1053">
        <v>80</v>
      </c>
      <c r="I1053" s="4">
        <v>956720</v>
      </c>
      <c r="J1053" s="4">
        <v>566400</v>
      </c>
    </row>
    <row r="1054" spans="2:10" x14ac:dyDescent="0.3">
      <c r="B1054" s="7">
        <v>44774</v>
      </c>
      <c r="C1054" s="3">
        <f t="shared" si="32"/>
        <v>2022</v>
      </c>
      <c r="D1054" s="3">
        <f t="shared" si="33"/>
        <v>202208</v>
      </c>
      <c r="E1054" s="5" t="s">
        <v>3</v>
      </c>
      <c r="F1054" s="5" t="s">
        <v>56</v>
      </c>
      <c r="G1054" s="5" t="s">
        <v>15</v>
      </c>
      <c r="H1054">
        <v>67</v>
      </c>
      <c r="I1054" s="4">
        <v>858940</v>
      </c>
      <c r="J1054" s="4">
        <v>474360</v>
      </c>
    </row>
    <row r="1055" spans="2:10" x14ac:dyDescent="0.3">
      <c r="B1055" s="7">
        <v>44805</v>
      </c>
      <c r="C1055" s="3">
        <f t="shared" si="32"/>
        <v>2022</v>
      </c>
      <c r="D1055" s="3">
        <f t="shared" si="33"/>
        <v>202209</v>
      </c>
      <c r="E1055" s="5" t="s">
        <v>3</v>
      </c>
      <c r="F1055" s="5" t="s">
        <v>56</v>
      </c>
      <c r="G1055" s="5" t="s">
        <v>15</v>
      </c>
      <c r="H1055">
        <v>71</v>
      </c>
      <c r="I1055" s="4">
        <v>917746</v>
      </c>
      <c r="J1055" s="4">
        <v>502680</v>
      </c>
    </row>
    <row r="1056" spans="2:10" x14ac:dyDescent="0.3">
      <c r="B1056" s="7">
        <v>44835</v>
      </c>
      <c r="C1056" s="3">
        <f t="shared" si="32"/>
        <v>2022</v>
      </c>
      <c r="D1056" s="3">
        <f t="shared" si="33"/>
        <v>202210</v>
      </c>
      <c r="E1056" s="5" t="s">
        <v>3</v>
      </c>
      <c r="F1056" s="5" t="s">
        <v>56</v>
      </c>
      <c r="G1056" s="5" t="s">
        <v>15</v>
      </c>
      <c r="H1056">
        <v>59</v>
      </c>
      <c r="I1056" s="4">
        <v>798801</v>
      </c>
      <c r="J1056" s="4">
        <v>417720</v>
      </c>
    </row>
    <row r="1057" spans="2:10" x14ac:dyDescent="0.3">
      <c r="B1057" s="7">
        <v>44866</v>
      </c>
      <c r="C1057" s="3">
        <f t="shared" si="32"/>
        <v>2022</v>
      </c>
      <c r="D1057" s="3">
        <f t="shared" si="33"/>
        <v>202211</v>
      </c>
      <c r="E1057" s="5" t="s">
        <v>3</v>
      </c>
      <c r="F1057" s="5" t="s">
        <v>56</v>
      </c>
      <c r="G1057" s="5" t="s">
        <v>15</v>
      </c>
      <c r="H1057">
        <v>42</v>
      </c>
      <c r="I1057" s="4">
        <v>558768</v>
      </c>
      <c r="J1057" s="4">
        <v>297360</v>
      </c>
    </row>
    <row r="1058" spans="2:10" x14ac:dyDescent="0.3">
      <c r="B1058" s="7">
        <v>44896</v>
      </c>
      <c r="C1058" s="3">
        <f t="shared" si="32"/>
        <v>2022</v>
      </c>
      <c r="D1058" s="3">
        <f t="shared" si="33"/>
        <v>202212</v>
      </c>
      <c r="E1058" s="5" t="s">
        <v>3</v>
      </c>
      <c r="F1058" s="5" t="s">
        <v>56</v>
      </c>
      <c r="G1058" s="5" t="s">
        <v>15</v>
      </c>
      <c r="H1058">
        <v>50</v>
      </c>
      <c r="I1058" s="4">
        <v>630450</v>
      </c>
      <c r="J1058" s="4">
        <v>354000</v>
      </c>
    </row>
    <row r="1059" spans="2:10" x14ac:dyDescent="0.3">
      <c r="B1059" s="7">
        <v>44197</v>
      </c>
      <c r="C1059" s="3">
        <f t="shared" si="32"/>
        <v>2021</v>
      </c>
      <c r="D1059" s="3">
        <f t="shared" si="33"/>
        <v>202101</v>
      </c>
      <c r="E1059" s="5" t="s">
        <v>3</v>
      </c>
      <c r="F1059" s="5" t="s">
        <v>56</v>
      </c>
      <c r="G1059" s="5" t="s">
        <v>16</v>
      </c>
      <c r="H1059">
        <v>61</v>
      </c>
      <c r="I1059" s="4">
        <v>1628700</v>
      </c>
      <c r="J1059" s="4">
        <v>640500</v>
      </c>
    </row>
    <row r="1060" spans="2:10" x14ac:dyDescent="0.3">
      <c r="B1060" s="7">
        <v>44228</v>
      </c>
      <c r="C1060" s="3">
        <f t="shared" si="32"/>
        <v>2021</v>
      </c>
      <c r="D1060" s="3">
        <f t="shared" si="33"/>
        <v>202102</v>
      </c>
      <c r="E1060" s="5" t="s">
        <v>3</v>
      </c>
      <c r="F1060" s="5" t="s">
        <v>56</v>
      </c>
      <c r="G1060" s="5" t="s">
        <v>16</v>
      </c>
      <c r="H1060">
        <v>38</v>
      </c>
      <c r="I1060" s="4">
        <v>1003922</v>
      </c>
      <c r="J1060" s="4">
        <v>399000</v>
      </c>
    </row>
    <row r="1061" spans="2:10" x14ac:dyDescent="0.3">
      <c r="B1061" s="7">
        <v>44256</v>
      </c>
      <c r="C1061" s="3">
        <f t="shared" si="32"/>
        <v>2021</v>
      </c>
      <c r="D1061" s="3">
        <f t="shared" si="33"/>
        <v>202103</v>
      </c>
      <c r="E1061" s="5" t="s">
        <v>3</v>
      </c>
      <c r="F1061" s="5" t="s">
        <v>56</v>
      </c>
      <c r="G1061" s="5" t="s">
        <v>16</v>
      </c>
      <c r="H1061">
        <v>31</v>
      </c>
      <c r="I1061" s="4">
        <v>778627</v>
      </c>
      <c r="J1061" s="4">
        <v>325500</v>
      </c>
    </row>
    <row r="1062" spans="2:10" x14ac:dyDescent="0.3">
      <c r="B1062" s="7">
        <v>44287</v>
      </c>
      <c r="C1062" s="3">
        <f t="shared" si="32"/>
        <v>2021</v>
      </c>
      <c r="D1062" s="3">
        <f t="shared" si="33"/>
        <v>202104</v>
      </c>
      <c r="E1062" s="5" t="s">
        <v>3</v>
      </c>
      <c r="F1062" s="5" t="s">
        <v>56</v>
      </c>
      <c r="G1062" s="5" t="s">
        <v>16</v>
      </c>
      <c r="H1062">
        <v>57</v>
      </c>
      <c r="I1062" s="4">
        <v>1544301</v>
      </c>
      <c r="J1062" s="4">
        <v>598500</v>
      </c>
    </row>
    <row r="1063" spans="2:10" x14ac:dyDescent="0.3">
      <c r="B1063" s="7">
        <v>44317</v>
      </c>
      <c r="C1063" s="3">
        <f t="shared" si="32"/>
        <v>2021</v>
      </c>
      <c r="D1063" s="3">
        <f t="shared" si="33"/>
        <v>202105</v>
      </c>
      <c r="E1063" s="5" t="s">
        <v>3</v>
      </c>
      <c r="F1063" s="5" t="s">
        <v>56</v>
      </c>
      <c r="G1063" s="5" t="s">
        <v>16</v>
      </c>
      <c r="H1063">
        <v>72</v>
      </c>
      <c r="I1063" s="4">
        <v>1948032</v>
      </c>
      <c r="J1063" s="4">
        <v>756000</v>
      </c>
    </row>
    <row r="1064" spans="2:10" x14ac:dyDescent="0.3">
      <c r="B1064" s="7">
        <v>44348</v>
      </c>
      <c r="C1064" s="3">
        <f t="shared" si="32"/>
        <v>2021</v>
      </c>
      <c r="D1064" s="3">
        <f t="shared" si="33"/>
        <v>202106</v>
      </c>
      <c r="E1064" s="5" t="s">
        <v>3</v>
      </c>
      <c r="F1064" s="5" t="s">
        <v>56</v>
      </c>
      <c r="G1064" s="5" t="s">
        <v>16</v>
      </c>
      <c r="H1064">
        <v>69</v>
      </c>
      <c r="I1064" s="4">
        <v>1816287</v>
      </c>
      <c r="J1064" s="4">
        <v>724500</v>
      </c>
    </row>
    <row r="1065" spans="2:10" x14ac:dyDescent="0.3">
      <c r="B1065" s="7">
        <v>44378</v>
      </c>
      <c r="C1065" s="3">
        <f t="shared" si="32"/>
        <v>2021</v>
      </c>
      <c r="D1065" s="3">
        <f t="shared" si="33"/>
        <v>202107</v>
      </c>
      <c r="E1065" s="5" t="s">
        <v>3</v>
      </c>
      <c r="F1065" s="5" t="s">
        <v>56</v>
      </c>
      <c r="G1065" s="5" t="s">
        <v>16</v>
      </c>
      <c r="H1065">
        <v>72</v>
      </c>
      <c r="I1065" s="4">
        <v>1798344</v>
      </c>
      <c r="J1065" s="4">
        <v>756000</v>
      </c>
    </row>
    <row r="1066" spans="2:10" x14ac:dyDescent="0.3">
      <c r="B1066" s="7">
        <v>44409</v>
      </c>
      <c r="C1066" s="3">
        <f t="shared" si="32"/>
        <v>2021</v>
      </c>
      <c r="D1066" s="3">
        <f t="shared" si="33"/>
        <v>202108</v>
      </c>
      <c r="E1066" s="5" t="s">
        <v>3</v>
      </c>
      <c r="F1066" s="5" t="s">
        <v>56</v>
      </c>
      <c r="G1066" s="5" t="s">
        <v>16</v>
      </c>
      <c r="H1066">
        <v>61</v>
      </c>
      <c r="I1066" s="4">
        <v>1597895</v>
      </c>
      <c r="J1066" s="4">
        <v>640500</v>
      </c>
    </row>
    <row r="1067" spans="2:10" x14ac:dyDescent="0.3">
      <c r="B1067" s="7">
        <v>44440</v>
      </c>
      <c r="C1067" s="3">
        <f t="shared" si="32"/>
        <v>2021</v>
      </c>
      <c r="D1067" s="3">
        <f t="shared" si="33"/>
        <v>202109</v>
      </c>
      <c r="E1067" s="5" t="s">
        <v>3</v>
      </c>
      <c r="F1067" s="5" t="s">
        <v>56</v>
      </c>
      <c r="G1067" s="5" t="s">
        <v>16</v>
      </c>
      <c r="H1067">
        <v>65</v>
      </c>
      <c r="I1067" s="4">
        <v>1691560</v>
      </c>
      <c r="J1067" s="4">
        <v>682500</v>
      </c>
    </row>
    <row r="1068" spans="2:10" x14ac:dyDescent="0.3">
      <c r="B1068" s="7">
        <v>44470</v>
      </c>
      <c r="C1068" s="3">
        <f t="shared" si="32"/>
        <v>2021</v>
      </c>
      <c r="D1068" s="3">
        <f t="shared" si="33"/>
        <v>202110</v>
      </c>
      <c r="E1068" s="5" t="s">
        <v>3</v>
      </c>
      <c r="F1068" s="5" t="s">
        <v>56</v>
      </c>
      <c r="G1068" s="5" t="s">
        <v>16</v>
      </c>
      <c r="H1068">
        <v>53</v>
      </c>
      <c r="I1068" s="4">
        <v>1395861</v>
      </c>
      <c r="J1068" s="4">
        <v>556500</v>
      </c>
    </row>
    <row r="1069" spans="2:10" x14ac:dyDescent="0.3">
      <c r="B1069" s="7">
        <v>44501</v>
      </c>
      <c r="C1069" s="3">
        <f t="shared" si="32"/>
        <v>2021</v>
      </c>
      <c r="D1069" s="3">
        <f t="shared" si="33"/>
        <v>202111</v>
      </c>
      <c r="E1069" s="5" t="s">
        <v>3</v>
      </c>
      <c r="F1069" s="5" t="s">
        <v>56</v>
      </c>
      <c r="G1069" s="5" t="s">
        <v>16</v>
      </c>
      <c r="H1069">
        <v>38</v>
      </c>
      <c r="I1069" s="4">
        <v>1006620</v>
      </c>
      <c r="J1069" s="4">
        <v>399000</v>
      </c>
    </row>
    <row r="1070" spans="2:10" x14ac:dyDescent="0.3">
      <c r="B1070" s="7">
        <v>44531</v>
      </c>
      <c r="C1070" s="3">
        <f t="shared" si="32"/>
        <v>2021</v>
      </c>
      <c r="D1070" s="3">
        <f t="shared" si="33"/>
        <v>202112</v>
      </c>
      <c r="E1070" s="5" t="s">
        <v>3</v>
      </c>
      <c r="F1070" s="5" t="s">
        <v>56</v>
      </c>
      <c r="G1070" s="5" t="s">
        <v>16</v>
      </c>
      <c r="H1070">
        <v>46</v>
      </c>
      <c r="I1070" s="4">
        <v>1198530</v>
      </c>
      <c r="J1070" s="4">
        <v>483000</v>
      </c>
    </row>
    <row r="1071" spans="2:10" x14ac:dyDescent="0.3">
      <c r="B1071" s="7">
        <v>44562</v>
      </c>
      <c r="C1071" s="3">
        <f t="shared" si="32"/>
        <v>2022</v>
      </c>
      <c r="D1071" s="3">
        <f t="shared" si="33"/>
        <v>202201</v>
      </c>
      <c r="E1071" s="5" t="s">
        <v>3</v>
      </c>
      <c r="F1071" s="5" t="s">
        <v>56</v>
      </c>
      <c r="G1071" s="5" t="s">
        <v>16</v>
      </c>
      <c r="H1071">
        <v>67</v>
      </c>
      <c r="I1071" s="4">
        <v>1770140</v>
      </c>
      <c r="J1071" s="4">
        <v>703500</v>
      </c>
    </row>
    <row r="1072" spans="2:10" x14ac:dyDescent="0.3">
      <c r="B1072" s="7">
        <v>44593</v>
      </c>
      <c r="C1072" s="3">
        <f t="shared" si="32"/>
        <v>2022</v>
      </c>
      <c r="D1072" s="3">
        <f t="shared" si="33"/>
        <v>202202</v>
      </c>
      <c r="E1072" s="5" t="s">
        <v>3</v>
      </c>
      <c r="F1072" s="5" t="s">
        <v>56</v>
      </c>
      <c r="G1072" s="5" t="s">
        <v>16</v>
      </c>
      <c r="H1072">
        <v>42</v>
      </c>
      <c r="I1072" s="4">
        <v>1117704</v>
      </c>
      <c r="J1072" s="4">
        <v>441000</v>
      </c>
    </row>
    <row r="1073" spans="2:10" x14ac:dyDescent="0.3">
      <c r="B1073" s="7">
        <v>44621</v>
      </c>
      <c r="C1073" s="3">
        <f t="shared" si="32"/>
        <v>2022</v>
      </c>
      <c r="D1073" s="3">
        <f t="shared" si="33"/>
        <v>202203</v>
      </c>
      <c r="E1073" s="5" t="s">
        <v>3</v>
      </c>
      <c r="F1073" s="5" t="s">
        <v>56</v>
      </c>
      <c r="G1073" s="5" t="s">
        <v>16</v>
      </c>
      <c r="H1073">
        <v>34</v>
      </c>
      <c r="I1073" s="4">
        <v>877166</v>
      </c>
      <c r="J1073" s="4">
        <v>357000</v>
      </c>
    </row>
    <row r="1074" spans="2:10" x14ac:dyDescent="0.3">
      <c r="B1074" s="7">
        <v>44652</v>
      </c>
      <c r="C1074" s="3">
        <f t="shared" si="32"/>
        <v>2022</v>
      </c>
      <c r="D1074" s="3">
        <f t="shared" si="33"/>
        <v>202204</v>
      </c>
      <c r="E1074" s="5" t="s">
        <v>3</v>
      </c>
      <c r="F1074" s="5" t="s">
        <v>56</v>
      </c>
      <c r="G1074" s="5" t="s">
        <v>16</v>
      </c>
      <c r="H1074">
        <v>63</v>
      </c>
      <c r="I1074" s="4">
        <v>1654758</v>
      </c>
      <c r="J1074" s="4">
        <v>661500</v>
      </c>
    </row>
    <row r="1075" spans="2:10" x14ac:dyDescent="0.3">
      <c r="B1075" s="7">
        <v>44682</v>
      </c>
      <c r="C1075" s="3">
        <f t="shared" si="32"/>
        <v>2022</v>
      </c>
      <c r="D1075" s="3">
        <f t="shared" si="33"/>
        <v>202205</v>
      </c>
      <c r="E1075" s="5" t="s">
        <v>3</v>
      </c>
      <c r="F1075" s="5" t="s">
        <v>56</v>
      </c>
      <c r="G1075" s="5" t="s">
        <v>16</v>
      </c>
      <c r="H1075">
        <v>80</v>
      </c>
      <c r="I1075" s="4">
        <v>2181840</v>
      </c>
      <c r="J1075" s="4">
        <v>840000</v>
      </c>
    </row>
    <row r="1076" spans="2:10" x14ac:dyDescent="0.3">
      <c r="B1076" s="7">
        <v>44713</v>
      </c>
      <c r="C1076" s="3">
        <f t="shared" si="32"/>
        <v>2022</v>
      </c>
      <c r="D1076" s="3">
        <f t="shared" si="33"/>
        <v>202206</v>
      </c>
      <c r="E1076" s="5" t="s">
        <v>3</v>
      </c>
      <c r="F1076" s="5" t="s">
        <v>56</v>
      </c>
      <c r="G1076" s="5" t="s">
        <v>16</v>
      </c>
      <c r="H1076">
        <v>75</v>
      </c>
      <c r="I1076" s="4">
        <v>1982025</v>
      </c>
      <c r="J1076" s="4">
        <v>787500</v>
      </c>
    </row>
    <row r="1077" spans="2:10" x14ac:dyDescent="0.3">
      <c r="B1077" s="7">
        <v>44743</v>
      </c>
      <c r="C1077" s="3">
        <f t="shared" si="32"/>
        <v>2022</v>
      </c>
      <c r="D1077" s="3">
        <f t="shared" si="33"/>
        <v>202207</v>
      </c>
      <c r="E1077" s="5" t="s">
        <v>3</v>
      </c>
      <c r="F1077" s="5" t="s">
        <v>56</v>
      </c>
      <c r="G1077" s="5" t="s">
        <v>16</v>
      </c>
      <c r="H1077">
        <v>80</v>
      </c>
      <c r="I1077" s="4">
        <v>1997840</v>
      </c>
      <c r="J1077" s="4">
        <v>840000</v>
      </c>
    </row>
    <row r="1078" spans="2:10" x14ac:dyDescent="0.3">
      <c r="B1078" s="7">
        <v>44774</v>
      </c>
      <c r="C1078" s="3">
        <f t="shared" si="32"/>
        <v>2022</v>
      </c>
      <c r="D1078" s="3">
        <f t="shared" si="33"/>
        <v>202208</v>
      </c>
      <c r="E1078" s="5" t="s">
        <v>3</v>
      </c>
      <c r="F1078" s="5" t="s">
        <v>56</v>
      </c>
      <c r="G1078" s="5" t="s">
        <v>16</v>
      </c>
      <c r="H1078">
        <v>67</v>
      </c>
      <c r="I1078" s="4">
        <v>1724111</v>
      </c>
      <c r="J1078" s="4">
        <v>703500</v>
      </c>
    </row>
    <row r="1079" spans="2:10" x14ac:dyDescent="0.3">
      <c r="B1079" s="7">
        <v>44805</v>
      </c>
      <c r="C1079" s="3">
        <f t="shared" si="32"/>
        <v>2022</v>
      </c>
      <c r="D1079" s="3">
        <f t="shared" si="33"/>
        <v>202209</v>
      </c>
      <c r="E1079" s="5" t="s">
        <v>3</v>
      </c>
      <c r="F1079" s="5" t="s">
        <v>56</v>
      </c>
      <c r="G1079" s="5" t="s">
        <v>16</v>
      </c>
      <c r="H1079">
        <v>71</v>
      </c>
      <c r="I1079" s="4">
        <v>1836841</v>
      </c>
      <c r="J1079" s="4">
        <v>745500</v>
      </c>
    </row>
    <row r="1080" spans="2:10" x14ac:dyDescent="0.3">
      <c r="B1080" s="7">
        <v>44835</v>
      </c>
      <c r="C1080" s="3">
        <f t="shared" si="32"/>
        <v>2022</v>
      </c>
      <c r="D1080" s="3">
        <f t="shared" si="33"/>
        <v>202210</v>
      </c>
      <c r="E1080" s="5" t="s">
        <v>3</v>
      </c>
      <c r="F1080" s="5" t="s">
        <v>56</v>
      </c>
      <c r="G1080" s="5" t="s">
        <v>16</v>
      </c>
      <c r="H1080">
        <v>59</v>
      </c>
      <c r="I1080" s="4">
        <v>1564621</v>
      </c>
      <c r="J1080" s="4">
        <v>619500</v>
      </c>
    </row>
    <row r="1081" spans="2:10" x14ac:dyDescent="0.3">
      <c r="B1081" s="7">
        <v>44866</v>
      </c>
      <c r="C1081" s="3">
        <f t="shared" si="32"/>
        <v>2022</v>
      </c>
      <c r="D1081" s="3">
        <f t="shared" si="33"/>
        <v>202211</v>
      </c>
      <c r="E1081" s="5" t="s">
        <v>3</v>
      </c>
      <c r="F1081" s="5" t="s">
        <v>56</v>
      </c>
      <c r="G1081" s="5" t="s">
        <v>16</v>
      </c>
      <c r="H1081">
        <v>42</v>
      </c>
      <c r="I1081" s="4">
        <v>1100442</v>
      </c>
      <c r="J1081" s="4">
        <v>441000</v>
      </c>
    </row>
    <row r="1082" spans="2:10" x14ac:dyDescent="0.3">
      <c r="B1082" s="7">
        <v>44896</v>
      </c>
      <c r="C1082" s="3">
        <f t="shared" si="32"/>
        <v>2022</v>
      </c>
      <c r="D1082" s="3">
        <f t="shared" si="33"/>
        <v>202212</v>
      </c>
      <c r="E1082" s="5" t="s">
        <v>3</v>
      </c>
      <c r="F1082" s="5" t="s">
        <v>56</v>
      </c>
      <c r="G1082" s="5" t="s">
        <v>16</v>
      </c>
      <c r="H1082">
        <v>50</v>
      </c>
      <c r="I1082" s="4">
        <v>1301550</v>
      </c>
      <c r="J1082" s="4">
        <v>525000</v>
      </c>
    </row>
    <row r="1083" spans="2:10" x14ac:dyDescent="0.3">
      <c r="B1083" s="7">
        <v>44197</v>
      </c>
      <c r="C1083" s="3">
        <f t="shared" si="32"/>
        <v>2021</v>
      </c>
      <c r="D1083" s="3">
        <f t="shared" si="33"/>
        <v>202101</v>
      </c>
      <c r="E1083" s="5" t="s">
        <v>3</v>
      </c>
      <c r="F1083" s="5" t="s">
        <v>56</v>
      </c>
      <c r="G1083" s="5" t="s">
        <v>17</v>
      </c>
      <c r="H1083">
        <v>66</v>
      </c>
      <c r="I1083" s="4">
        <v>1221264</v>
      </c>
      <c r="J1083" s="4">
        <v>493680</v>
      </c>
    </row>
    <row r="1084" spans="2:10" x14ac:dyDescent="0.3">
      <c r="B1084" s="7">
        <v>44228</v>
      </c>
      <c r="C1084" s="3">
        <f t="shared" si="32"/>
        <v>2021</v>
      </c>
      <c r="D1084" s="3">
        <f t="shared" si="33"/>
        <v>202102</v>
      </c>
      <c r="E1084" s="5" t="s">
        <v>3</v>
      </c>
      <c r="F1084" s="5" t="s">
        <v>56</v>
      </c>
      <c r="G1084" s="5" t="s">
        <v>17</v>
      </c>
      <c r="H1084">
        <v>41</v>
      </c>
      <c r="I1084" s="4">
        <v>748701</v>
      </c>
      <c r="J1084" s="4">
        <v>306680</v>
      </c>
    </row>
    <row r="1085" spans="2:10" x14ac:dyDescent="0.3">
      <c r="B1085" s="7">
        <v>44256</v>
      </c>
      <c r="C1085" s="3">
        <f t="shared" si="32"/>
        <v>2021</v>
      </c>
      <c r="D1085" s="3">
        <f t="shared" si="33"/>
        <v>202103</v>
      </c>
      <c r="E1085" s="5" t="s">
        <v>3</v>
      </c>
      <c r="F1085" s="5" t="s">
        <v>56</v>
      </c>
      <c r="G1085" s="5" t="s">
        <v>17</v>
      </c>
      <c r="H1085">
        <v>33</v>
      </c>
      <c r="I1085" s="4">
        <v>577401</v>
      </c>
      <c r="J1085" s="4">
        <v>246840</v>
      </c>
    </row>
    <row r="1086" spans="2:10" x14ac:dyDescent="0.3">
      <c r="B1086" s="7">
        <v>44287</v>
      </c>
      <c r="C1086" s="3">
        <f t="shared" si="32"/>
        <v>2021</v>
      </c>
      <c r="D1086" s="3">
        <f t="shared" si="33"/>
        <v>202104</v>
      </c>
      <c r="E1086" s="5" t="s">
        <v>3</v>
      </c>
      <c r="F1086" s="5" t="s">
        <v>56</v>
      </c>
      <c r="G1086" s="5" t="s">
        <v>17</v>
      </c>
      <c r="H1086">
        <v>62</v>
      </c>
      <c r="I1086" s="4">
        <v>1172854</v>
      </c>
      <c r="J1086" s="4">
        <v>463760</v>
      </c>
    </row>
    <row r="1087" spans="2:10" x14ac:dyDescent="0.3">
      <c r="B1087" s="7">
        <v>44317</v>
      </c>
      <c r="C1087" s="3">
        <f t="shared" si="32"/>
        <v>2021</v>
      </c>
      <c r="D1087" s="3">
        <f t="shared" si="33"/>
        <v>202105</v>
      </c>
      <c r="E1087" s="5" t="s">
        <v>3</v>
      </c>
      <c r="F1087" s="5" t="s">
        <v>56</v>
      </c>
      <c r="G1087" s="5" t="s">
        <v>17</v>
      </c>
      <c r="H1087">
        <v>78</v>
      </c>
      <c r="I1087" s="4">
        <v>1480050</v>
      </c>
      <c r="J1087" s="4">
        <v>583440</v>
      </c>
    </row>
    <row r="1088" spans="2:10" x14ac:dyDescent="0.3">
      <c r="B1088" s="7">
        <v>44348</v>
      </c>
      <c r="C1088" s="3">
        <f t="shared" si="32"/>
        <v>2021</v>
      </c>
      <c r="D1088" s="3">
        <f t="shared" si="33"/>
        <v>202106</v>
      </c>
      <c r="E1088" s="5" t="s">
        <v>3</v>
      </c>
      <c r="F1088" s="5" t="s">
        <v>56</v>
      </c>
      <c r="G1088" s="5" t="s">
        <v>17</v>
      </c>
      <c r="H1088">
        <v>74</v>
      </c>
      <c r="I1088" s="4">
        <v>1311946</v>
      </c>
      <c r="J1088" s="4">
        <v>553520</v>
      </c>
    </row>
    <row r="1089" spans="2:10" x14ac:dyDescent="0.3">
      <c r="B1089" s="7">
        <v>44378</v>
      </c>
      <c r="C1089" s="3">
        <f t="shared" si="32"/>
        <v>2021</v>
      </c>
      <c r="D1089" s="3">
        <f t="shared" si="33"/>
        <v>202107</v>
      </c>
      <c r="E1089" s="5" t="s">
        <v>3</v>
      </c>
      <c r="F1089" s="5" t="s">
        <v>56</v>
      </c>
      <c r="G1089" s="5" t="s">
        <v>17</v>
      </c>
      <c r="H1089">
        <v>78</v>
      </c>
      <c r="I1089" s="4">
        <v>1327014</v>
      </c>
      <c r="J1089" s="4">
        <v>583440</v>
      </c>
    </row>
    <row r="1090" spans="2:10" x14ac:dyDescent="0.3">
      <c r="B1090" s="7">
        <v>44409</v>
      </c>
      <c r="C1090" s="3">
        <f t="shared" si="32"/>
        <v>2021</v>
      </c>
      <c r="D1090" s="3">
        <f t="shared" si="33"/>
        <v>202108</v>
      </c>
      <c r="E1090" s="5" t="s">
        <v>3</v>
      </c>
      <c r="F1090" s="5" t="s">
        <v>56</v>
      </c>
      <c r="G1090" s="5" t="s">
        <v>17</v>
      </c>
      <c r="H1090">
        <v>66</v>
      </c>
      <c r="I1090" s="4">
        <v>1217106</v>
      </c>
      <c r="J1090" s="4">
        <v>493680</v>
      </c>
    </row>
    <row r="1091" spans="2:10" x14ac:dyDescent="0.3">
      <c r="B1091" s="7">
        <v>44440</v>
      </c>
      <c r="C1091" s="3">
        <f t="shared" ref="C1091:C1154" si="34">YEAR(B1091)</f>
        <v>2021</v>
      </c>
      <c r="D1091" s="3">
        <f t="shared" ref="D1091:D1154" si="35">VALUE(TEXT(B1091,"ГГГГММ"))</f>
        <v>202109</v>
      </c>
      <c r="E1091" s="5" t="s">
        <v>3</v>
      </c>
      <c r="F1091" s="5" t="s">
        <v>56</v>
      </c>
      <c r="G1091" s="5" t="s">
        <v>17</v>
      </c>
      <c r="H1091">
        <v>70</v>
      </c>
      <c r="I1091" s="4">
        <v>1269660</v>
      </c>
      <c r="J1091" s="4">
        <v>523600</v>
      </c>
    </row>
    <row r="1092" spans="2:10" x14ac:dyDescent="0.3">
      <c r="B1092" s="7">
        <v>44470</v>
      </c>
      <c r="C1092" s="3">
        <f t="shared" si="34"/>
        <v>2021</v>
      </c>
      <c r="D1092" s="3">
        <f t="shared" si="35"/>
        <v>202110</v>
      </c>
      <c r="E1092" s="5" t="s">
        <v>3</v>
      </c>
      <c r="F1092" s="5" t="s">
        <v>56</v>
      </c>
      <c r="G1092" s="5" t="s">
        <v>17</v>
      </c>
      <c r="H1092">
        <v>58</v>
      </c>
      <c r="I1092" s="4">
        <v>1092430</v>
      </c>
      <c r="J1092" s="4">
        <v>433840</v>
      </c>
    </row>
    <row r="1093" spans="2:10" x14ac:dyDescent="0.3">
      <c r="B1093" s="7">
        <v>44501</v>
      </c>
      <c r="C1093" s="3">
        <f t="shared" si="34"/>
        <v>2021</v>
      </c>
      <c r="D1093" s="3">
        <f t="shared" si="35"/>
        <v>202111</v>
      </c>
      <c r="E1093" s="5" t="s">
        <v>3</v>
      </c>
      <c r="F1093" s="5" t="s">
        <v>56</v>
      </c>
      <c r="G1093" s="5" t="s">
        <v>17</v>
      </c>
      <c r="H1093">
        <v>41</v>
      </c>
      <c r="I1093" s="4">
        <v>763092</v>
      </c>
      <c r="J1093" s="4">
        <v>306680</v>
      </c>
    </row>
    <row r="1094" spans="2:10" x14ac:dyDescent="0.3">
      <c r="B1094" s="7">
        <v>44531</v>
      </c>
      <c r="C1094" s="3">
        <f t="shared" si="34"/>
        <v>2021</v>
      </c>
      <c r="D1094" s="3">
        <f t="shared" si="35"/>
        <v>202112</v>
      </c>
      <c r="E1094" s="5" t="s">
        <v>3</v>
      </c>
      <c r="F1094" s="5" t="s">
        <v>56</v>
      </c>
      <c r="G1094" s="5" t="s">
        <v>17</v>
      </c>
      <c r="H1094">
        <v>50</v>
      </c>
      <c r="I1094" s="4">
        <v>894200</v>
      </c>
      <c r="J1094" s="4">
        <v>374000</v>
      </c>
    </row>
    <row r="1095" spans="2:10" x14ac:dyDescent="0.3">
      <c r="B1095" s="7">
        <v>44562</v>
      </c>
      <c r="C1095" s="3">
        <f t="shared" si="34"/>
        <v>2022</v>
      </c>
      <c r="D1095" s="3">
        <f t="shared" si="35"/>
        <v>202201</v>
      </c>
      <c r="E1095" s="5" t="s">
        <v>3</v>
      </c>
      <c r="F1095" s="5" t="s">
        <v>56</v>
      </c>
      <c r="G1095" s="5" t="s">
        <v>17</v>
      </c>
      <c r="H1095">
        <v>73</v>
      </c>
      <c r="I1095" s="4">
        <v>1313270</v>
      </c>
      <c r="J1095" s="4">
        <v>546040</v>
      </c>
    </row>
    <row r="1096" spans="2:10" x14ac:dyDescent="0.3">
      <c r="B1096" s="7">
        <v>44593</v>
      </c>
      <c r="C1096" s="3">
        <f t="shared" si="34"/>
        <v>2022</v>
      </c>
      <c r="D1096" s="3">
        <f t="shared" si="35"/>
        <v>202202</v>
      </c>
      <c r="E1096" s="5" t="s">
        <v>3</v>
      </c>
      <c r="F1096" s="5" t="s">
        <v>56</v>
      </c>
      <c r="G1096" s="5" t="s">
        <v>17</v>
      </c>
      <c r="H1096">
        <v>46</v>
      </c>
      <c r="I1096" s="4">
        <v>837798</v>
      </c>
      <c r="J1096" s="4">
        <v>344080</v>
      </c>
    </row>
    <row r="1097" spans="2:10" x14ac:dyDescent="0.3">
      <c r="B1097" s="7">
        <v>44621</v>
      </c>
      <c r="C1097" s="3">
        <f t="shared" si="34"/>
        <v>2022</v>
      </c>
      <c r="D1097" s="3">
        <f t="shared" si="35"/>
        <v>202203</v>
      </c>
      <c r="E1097" s="5" t="s">
        <v>3</v>
      </c>
      <c r="F1097" s="5" t="s">
        <v>56</v>
      </c>
      <c r="G1097" s="5" t="s">
        <v>17</v>
      </c>
      <c r="H1097">
        <v>37</v>
      </c>
      <c r="I1097" s="4">
        <v>664705</v>
      </c>
      <c r="J1097" s="4">
        <v>276760</v>
      </c>
    </row>
    <row r="1098" spans="2:10" x14ac:dyDescent="0.3">
      <c r="B1098" s="7">
        <v>44652</v>
      </c>
      <c r="C1098" s="3">
        <f t="shared" si="34"/>
        <v>2022</v>
      </c>
      <c r="D1098" s="3">
        <f t="shared" si="35"/>
        <v>202204</v>
      </c>
      <c r="E1098" s="5" t="s">
        <v>3</v>
      </c>
      <c r="F1098" s="5" t="s">
        <v>56</v>
      </c>
      <c r="G1098" s="5" t="s">
        <v>17</v>
      </c>
      <c r="H1098">
        <v>68</v>
      </c>
      <c r="I1098" s="4">
        <v>1244672</v>
      </c>
      <c r="J1098" s="4">
        <v>508640</v>
      </c>
    </row>
    <row r="1099" spans="2:10" x14ac:dyDescent="0.3">
      <c r="B1099" s="7">
        <v>44682</v>
      </c>
      <c r="C1099" s="3">
        <f t="shared" si="34"/>
        <v>2022</v>
      </c>
      <c r="D1099" s="3">
        <f t="shared" si="35"/>
        <v>202205</v>
      </c>
      <c r="E1099" s="5" t="s">
        <v>3</v>
      </c>
      <c r="F1099" s="5" t="s">
        <v>56</v>
      </c>
      <c r="G1099" s="5" t="s">
        <v>17</v>
      </c>
      <c r="H1099">
        <v>86</v>
      </c>
      <c r="I1099" s="4">
        <v>1646900</v>
      </c>
      <c r="J1099" s="4">
        <v>643280</v>
      </c>
    </row>
    <row r="1100" spans="2:10" x14ac:dyDescent="0.3">
      <c r="B1100" s="7">
        <v>44713</v>
      </c>
      <c r="C1100" s="3">
        <f t="shared" si="34"/>
        <v>2022</v>
      </c>
      <c r="D1100" s="3">
        <f t="shared" si="35"/>
        <v>202206</v>
      </c>
      <c r="E1100" s="5" t="s">
        <v>3</v>
      </c>
      <c r="F1100" s="5" t="s">
        <v>56</v>
      </c>
      <c r="G1100" s="5" t="s">
        <v>17</v>
      </c>
      <c r="H1100">
        <v>82</v>
      </c>
      <c r="I1100" s="4">
        <v>1537992</v>
      </c>
      <c r="J1100" s="4">
        <v>613360</v>
      </c>
    </row>
    <row r="1101" spans="2:10" x14ac:dyDescent="0.3">
      <c r="B1101" s="7">
        <v>44743</v>
      </c>
      <c r="C1101" s="3">
        <f t="shared" si="34"/>
        <v>2022</v>
      </c>
      <c r="D1101" s="3">
        <f t="shared" si="35"/>
        <v>202207</v>
      </c>
      <c r="E1101" s="5" t="s">
        <v>3</v>
      </c>
      <c r="F1101" s="5" t="s">
        <v>56</v>
      </c>
      <c r="G1101" s="5" t="s">
        <v>17</v>
      </c>
      <c r="H1101">
        <v>86</v>
      </c>
      <c r="I1101" s="4">
        <v>1483586</v>
      </c>
      <c r="J1101" s="4">
        <v>643280</v>
      </c>
    </row>
    <row r="1102" spans="2:10" x14ac:dyDescent="0.3">
      <c r="B1102" s="7">
        <v>44774</v>
      </c>
      <c r="C1102" s="3">
        <f t="shared" si="34"/>
        <v>2022</v>
      </c>
      <c r="D1102" s="3">
        <f t="shared" si="35"/>
        <v>202208</v>
      </c>
      <c r="E1102" s="5" t="s">
        <v>3</v>
      </c>
      <c r="F1102" s="5" t="s">
        <v>56</v>
      </c>
      <c r="G1102" s="5" t="s">
        <v>17</v>
      </c>
      <c r="H1102">
        <v>73</v>
      </c>
      <c r="I1102" s="4">
        <v>1268229</v>
      </c>
      <c r="J1102" s="4">
        <v>546040</v>
      </c>
    </row>
    <row r="1103" spans="2:10" x14ac:dyDescent="0.3">
      <c r="B1103" s="7">
        <v>44805</v>
      </c>
      <c r="C1103" s="3">
        <f t="shared" si="34"/>
        <v>2022</v>
      </c>
      <c r="D1103" s="3">
        <f t="shared" si="35"/>
        <v>202209</v>
      </c>
      <c r="E1103" s="5" t="s">
        <v>3</v>
      </c>
      <c r="F1103" s="5" t="s">
        <v>56</v>
      </c>
      <c r="G1103" s="5" t="s">
        <v>17</v>
      </c>
      <c r="H1103">
        <v>77</v>
      </c>
      <c r="I1103" s="4">
        <v>1415876</v>
      </c>
      <c r="J1103" s="4">
        <v>575960</v>
      </c>
    </row>
    <row r="1104" spans="2:10" x14ac:dyDescent="0.3">
      <c r="B1104" s="7">
        <v>44835</v>
      </c>
      <c r="C1104" s="3">
        <f t="shared" si="34"/>
        <v>2022</v>
      </c>
      <c r="D1104" s="3">
        <f t="shared" si="35"/>
        <v>202210</v>
      </c>
      <c r="E1104" s="5" t="s">
        <v>3</v>
      </c>
      <c r="F1104" s="5" t="s">
        <v>56</v>
      </c>
      <c r="G1104" s="5" t="s">
        <v>17</v>
      </c>
      <c r="H1104">
        <v>64</v>
      </c>
      <c r="I1104" s="4">
        <v>1145664</v>
      </c>
      <c r="J1104" s="4">
        <v>478720</v>
      </c>
    </row>
    <row r="1105" spans="2:10" x14ac:dyDescent="0.3">
      <c r="B1105" s="7">
        <v>44866</v>
      </c>
      <c r="C1105" s="3">
        <f t="shared" si="34"/>
        <v>2022</v>
      </c>
      <c r="D1105" s="3">
        <f t="shared" si="35"/>
        <v>202211</v>
      </c>
      <c r="E1105" s="5" t="s">
        <v>3</v>
      </c>
      <c r="F1105" s="5" t="s">
        <v>56</v>
      </c>
      <c r="G1105" s="5" t="s">
        <v>17</v>
      </c>
      <c r="H1105">
        <v>46</v>
      </c>
      <c r="I1105" s="4">
        <v>852334</v>
      </c>
      <c r="J1105" s="4">
        <v>344080</v>
      </c>
    </row>
    <row r="1106" spans="2:10" x14ac:dyDescent="0.3">
      <c r="B1106" s="7">
        <v>44896</v>
      </c>
      <c r="C1106" s="3">
        <f t="shared" si="34"/>
        <v>2022</v>
      </c>
      <c r="D1106" s="3">
        <f t="shared" si="35"/>
        <v>202212</v>
      </c>
      <c r="E1106" s="5" t="s">
        <v>3</v>
      </c>
      <c r="F1106" s="5" t="s">
        <v>56</v>
      </c>
      <c r="G1106" s="5" t="s">
        <v>17</v>
      </c>
      <c r="H1106">
        <v>55</v>
      </c>
      <c r="I1106" s="4">
        <v>984830</v>
      </c>
      <c r="J1106" s="4">
        <v>411400</v>
      </c>
    </row>
    <row r="1107" spans="2:10" x14ac:dyDescent="0.3">
      <c r="B1107" s="7">
        <v>44197</v>
      </c>
      <c r="C1107" s="3">
        <f t="shared" si="34"/>
        <v>2021</v>
      </c>
      <c r="D1107" s="3">
        <f t="shared" si="35"/>
        <v>202101</v>
      </c>
      <c r="E1107" s="5" t="s">
        <v>3</v>
      </c>
      <c r="F1107" s="5" t="s">
        <v>56</v>
      </c>
      <c r="G1107" s="5" t="s">
        <v>18</v>
      </c>
      <c r="H1107">
        <v>51</v>
      </c>
      <c r="I1107" s="4">
        <v>1604970</v>
      </c>
      <c r="J1107" s="4">
        <v>856800</v>
      </c>
    </row>
    <row r="1108" spans="2:10" x14ac:dyDescent="0.3">
      <c r="B1108" s="7">
        <v>44228</v>
      </c>
      <c r="C1108" s="3">
        <f t="shared" si="34"/>
        <v>2021</v>
      </c>
      <c r="D1108" s="3">
        <f t="shared" si="35"/>
        <v>202102</v>
      </c>
      <c r="E1108" s="5" t="s">
        <v>3</v>
      </c>
      <c r="F1108" s="5" t="s">
        <v>56</v>
      </c>
      <c r="G1108" s="5" t="s">
        <v>18</v>
      </c>
      <c r="H1108">
        <v>32</v>
      </c>
      <c r="I1108" s="4">
        <v>990496</v>
      </c>
      <c r="J1108" s="4">
        <v>537600</v>
      </c>
    </row>
    <row r="1109" spans="2:10" x14ac:dyDescent="0.3">
      <c r="B1109" s="7">
        <v>44256</v>
      </c>
      <c r="C1109" s="3">
        <f t="shared" si="34"/>
        <v>2021</v>
      </c>
      <c r="D1109" s="3">
        <f t="shared" si="35"/>
        <v>202103</v>
      </c>
      <c r="E1109" s="5" t="s">
        <v>3</v>
      </c>
      <c r="F1109" s="5" t="s">
        <v>56</v>
      </c>
      <c r="G1109" s="5" t="s">
        <v>18</v>
      </c>
      <c r="H1109">
        <v>26</v>
      </c>
      <c r="I1109" s="4">
        <v>805480</v>
      </c>
      <c r="J1109" s="4">
        <v>436800</v>
      </c>
    </row>
    <row r="1110" spans="2:10" x14ac:dyDescent="0.3">
      <c r="B1110" s="7">
        <v>44287</v>
      </c>
      <c r="C1110" s="3">
        <f t="shared" si="34"/>
        <v>2021</v>
      </c>
      <c r="D1110" s="3">
        <f t="shared" si="35"/>
        <v>202104</v>
      </c>
      <c r="E1110" s="5" t="s">
        <v>3</v>
      </c>
      <c r="F1110" s="5" t="s">
        <v>56</v>
      </c>
      <c r="G1110" s="5" t="s">
        <v>18</v>
      </c>
      <c r="H1110">
        <v>48</v>
      </c>
      <c r="I1110" s="4">
        <v>1535568</v>
      </c>
      <c r="J1110" s="4">
        <v>806400</v>
      </c>
    </row>
    <row r="1111" spans="2:10" x14ac:dyDescent="0.3">
      <c r="B1111" s="7">
        <v>44317</v>
      </c>
      <c r="C1111" s="3">
        <f t="shared" si="34"/>
        <v>2021</v>
      </c>
      <c r="D1111" s="3">
        <f t="shared" si="35"/>
        <v>202105</v>
      </c>
      <c r="E1111" s="5" t="s">
        <v>3</v>
      </c>
      <c r="F1111" s="5" t="s">
        <v>56</v>
      </c>
      <c r="G1111" s="5" t="s">
        <v>18</v>
      </c>
      <c r="H1111">
        <v>61</v>
      </c>
      <c r="I1111" s="4">
        <v>1963773</v>
      </c>
      <c r="J1111" s="4">
        <v>1024800</v>
      </c>
    </row>
    <row r="1112" spans="2:10" x14ac:dyDescent="0.3">
      <c r="B1112" s="7">
        <v>44348</v>
      </c>
      <c r="C1112" s="3">
        <f t="shared" si="34"/>
        <v>2021</v>
      </c>
      <c r="D1112" s="3">
        <f t="shared" si="35"/>
        <v>202106</v>
      </c>
      <c r="E1112" s="5" t="s">
        <v>3</v>
      </c>
      <c r="F1112" s="5" t="s">
        <v>56</v>
      </c>
      <c r="G1112" s="5" t="s">
        <v>18</v>
      </c>
      <c r="H1112">
        <v>58</v>
      </c>
      <c r="I1112" s="4">
        <v>1781412</v>
      </c>
      <c r="J1112" s="4">
        <v>974400</v>
      </c>
    </row>
    <row r="1113" spans="2:10" x14ac:dyDescent="0.3">
      <c r="B1113" s="7">
        <v>44378</v>
      </c>
      <c r="C1113" s="3">
        <f t="shared" si="34"/>
        <v>2021</v>
      </c>
      <c r="D1113" s="3">
        <f t="shared" si="35"/>
        <v>202107</v>
      </c>
      <c r="E1113" s="5" t="s">
        <v>3</v>
      </c>
      <c r="F1113" s="5" t="s">
        <v>56</v>
      </c>
      <c r="G1113" s="5" t="s">
        <v>18</v>
      </c>
      <c r="H1113">
        <v>61</v>
      </c>
      <c r="I1113" s="4">
        <v>1837869</v>
      </c>
      <c r="J1113" s="4">
        <v>1024800</v>
      </c>
    </row>
    <row r="1114" spans="2:10" x14ac:dyDescent="0.3">
      <c r="B1114" s="7">
        <v>44409</v>
      </c>
      <c r="C1114" s="3">
        <f t="shared" si="34"/>
        <v>2021</v>
      </c>
      <c r="D1114" s="3">
        <f t="shared" si="35"/>
        <v>202108</v>
      </c>
      <c r="E1114" s="5" t="s">
        <v>3</v>
      </c>
      <c r="F1114" s="5" t="s">
        <v>56</v>
      </c>
      <c r="G1114" s="5" t="s">
        <v>18</v>
      </c>
      <c r="H1114">
        <v>51</v>
      </c>
      <c r="I1114" s="4">
        <v>1563507</v>
      </c>
      <c r="J1114" s="4">
        <v>856800</v>
      </c>
    </row>
    <row r="1115" spans="2:10" x14ac:dyDescent="0.3">
      <c r="B1115" s="7">
        <v>44440</v>
      </c>
      <c r="C1115" s="3">
        <f t="shared" si="34"/>
        <v>2021</v>
      </c>
      <c r="D1115" s="3">
        <f t="shared" si="35"/>
        <v>202109</v>
      </c>
      <c r="E1115" s="5" t="s">
        <v>3</v>
      </c>
      <c r="F1115" s="5" t="s">
        <v>56</v>
      </c>
      <c r="G1115" s="5" t="s">
        <v>18</v>
      </c>
      <c r="H1115">
        <v>55</v>
      </c>
      <c r="I1115" s="4">
        <v>1697520</v>
      </c>
      <c r="J1115" s="4">
        <v>924000</v>
      </c>
    </row>
    <row r="1116" spans="2:10" x14ac:dyDescent="0.3">
      <c r="B1116" s="7">
        <v>44470</v>
      </c>
      <c r="C1116" s="3">
        <f t="shared" si="34"/>
        <v>2021</v>
      </c>
      <c r="D1116" s="3">
        <f t="shared" si="35"/>
        <v>202110</v>
      </c>
      <c r="E1116" s="5" t="s">
        <v>3</v>
      </c>
      <c r="F1116" s="5" t="s">
        <v>56</v>
      </c>
      <c r="G1116" s="5" t="s">
        <v>18</v>
      </c>
      <c r="H1116">
        <v>45</v>
      </c>
      <c r="I1116" s="4">
        <v>1390770</v>
      </c>
      <c r="J1116" s="4">
        <v>756000</v>
      </c>
    </row>
    <row r="1117" spans="2:10" x14ac:dyDescent="0.3">
      <c r="B1117" s="7">
        <v>44501</v>
      </c>
      <c r="C1117" s="3">
        <f t="shared" si="34"/>
        <v>2021</v>
      </c>
      <c r="D1117" s="3">
        <f t="shared" si="35"/>
        <v>202111</v>
      </c>
      <c r="E1117" s="5" t="s">
        <v>3</v>
      </c>
      <c r="F1117" s="5" t="s">
        <v>56</v>
      </c>
      <c r="G1117" s="5" t="s">
        <v>18</v>
      </c>
      <c r="H1117">
        <v>32</v>
      </c>
      <c r="I1117" s="4">
        <v>996736</v>
      </c>
      <c r="J1117" s="4">
        <v>537600</v>
      </c>
    </row>
    <row r="1118" spans="2:10" x14ac:dyDescent="0.3">
      <c r="B1118" s="7">
        <v>44531</v>
      </c>
      <c r="C1118" s="3">
        <f t="shared" si="34"/>
        <v>2021</v>
      </c>
      <c r="D1118" s="3">
        <f t="shared" si="35"/>
        <v>202112</v>
      </c>
      <c r="E1118" s="5" t="s">
        <v>3</v>
      </c>
      <c r="F1118" s="5" t="s">
        <v>56</v>
      </c>
      <c r="G1118" s="5" t="s">
        <v>18</v>
      </c>
      <c r="H1118">
        <v>39</v>
      </c>
      <c r="I1118" s="4">
        <v>1188018</v>
      </c>
      <c r="J1118" s="4">
        <v>655200</v>
      </c>
    </row>
    <row r="1119" spans="2:10" x14ac:dyDescent="0.3">
      <c r="B1119" s="7">
        <v>44562</v>
      </c>
      <c r="C1119" s="3">
        <f t="shared" si="34"/>
        <v>2022</v>
      </c>
      <c r="D1119" s="3">
        <f t="shared" si="35"/>
        <v>202201</v>
      </c>
      <c r="E1119" s="5" t="s">
        <v>3</v>
      </c>
      <c r="F1119" s="5" t="s">
        <v>56</v>
      </c>
      <c r="G1119" s="5" t="s">
        <v>18</v>
      </c>
      <c r="H1119">
        <v>57</v>
      </c>
      <c r="I1119" s="4">
        <v>1803822</v>
      </c>
      <c r="J1119" s="4">
        <v>957600</v>
      </c>
    </row>
    <row r="1120" spans="2:10" x14ac:dyDescent="0.3">
      <c r="B1120" s="7">
        <v>44593</v>
      </c>
      <c r="C1120" s="3">
        <f t="shared" si="34"/>
        <v>2022</v>
      </c>
      <c r="D1120" s="3">
        <f t="shared" si="35"/>
        <v>202202</v>
      </c>
      <c r="E1120" s="5" t="s">
        <v>3</v>
      </c>
      <c r="F1120" s="5" t="s">
        <v>56</v>
      </c>
      <c r="G1120" s="5" t="s">
        <v>18</v>
      </c>
      <c r="H1120">
        <v>36</v>
      </c>
      <c r="I1120" s="4">
        <v>1146168</v>
      </c>
      <c r="J1120" s="4">
        <v>604800</v>
      </c>
    </row>
    <row r="1121" spans="2:10" x14ac:dyDescent="0.3">
      <c r="B1121" s="7">
        <v>44621</v>
      </c>
      <c r="C1121" s="3">
        <f t="shared" si="34"/>
        <v>2022</v>
      </c>
      <c r="D1121" s="3">
        <f t="shared" si="35"/>
        <v>202203</v>
      </c>
      <c r="E1121" s="5" t="s">
        <v>3</v>
      </c>
      <c r="F1121" s="5" t="s">
        <v>56</v>
      </c>
      <c r="G1121" s="5" t="s">
        <v>18</v>
      </c>
      <c r="H1121">
        <v>29</v>
      </c>
      <c r="I1121" s="4">
        <v>897840</v>
      </c>
      <c r="J1121" s="4">
        <v>487200</v>
      </c>
    </row>
    <row r="1122" spans="2:10" x14ac:dyDescent="0.3">
      <c r="B1122" s="7">
        <v>44652</v>
      </c>
      <c r="C1122" s="3">
        <f t="shared" si="34"/>
        <v>2022</v>
      </c>
      <c r="D1122" s="3">
        <f t="shared" si="35"/>
        <v>202204</v>
      </c>
      <c r="E1122" s="5" t="s">
        <v>3</v>
      </c>
      <c r="F1122" s="5" t="s">
        <v>56</v>
      </c>
      <c r="G1122" s="5" t="s">
        <v>18</v>
      </c>
      <c r="H1122">
        <v>53</v>
      </c>
      <c r="I1122" s="4">
        <v>1673104</v>
      </c>
      <c r="J1122" s="4">
        <v>890400</v>
      </c>
    </row>
    <row r="1123" spans="2:10" x14ac:dyDescent="0.3">
      <c r="B1123" s="7">
        <v>44682</v>
      </c>
      <c r="C1123" s="3">
        <f t="shared" si="34"/>
        <v>2022</v>
      </c>
      <c r="D1123" s="3">
        <f t="shared" si="35"/>
        <v>202205</v>
      </c>
      <c r="E1123" s="5" t="s">
        <v>3</v>
      </c>
      <c r="F1123" s="5" t="s">
        <v>56</v>
      </c>
      <c r="G1123" s="5" t="s">
        <v>18</v>
      </c>
      <c r="H1123">
        <v>67</v>
      </c>
      <c r="I1123" s="4">
        <v>2126848</v>
      </c>
      <c r="J1123" s="4">
        <v>1125600</v>
      </c>
    </row>
    <row r="1124" spans="2:10" x14ac:dyDescent="0.3">
      <c r="B1124" s="7">
        <v>44713</v>
      </c>
      <c r="C1124" s="3">
        <f t="shared" si="34"/>
        <v>2022</v>
      </c>
      <c r="D1124" s="3">
        <f t="shared" si="35"/>
        <v>202206</v>
      </c>
      <c r="E1124" s="5" t="s">
        <v>3</v>
      </c>
      <c r="F1124" s="5" t="s">
        <v>56</v>
      </c>
      <c r="G1124" s="5" t="s">
        <v>18</v>
      </c>
      <c r="H1124">
        <v>64</v>
      </c>
      <c r="I1124" s="4">
        <v>2014336</v>
      </c>
      <c r="J1124" s="4">
        <v>1075200</v>
      </c>
    </row>
    <row r="1125" spans="2:10" x14ac:dyDescent="0.3">
      <c r="B1125" s="7">
        <v>44743</v>
      </c>
      <c r="C1125" s="3">
        <f t="shared" si="34"/>
        <v>2022</v>
      </c>
      <c r="D1125" s="3">
        <f t="shared" si="35"/>
        <v>202207</v>
      </c>
      <c r="E1125" s="5" t="s">
        <v>3</v>
      </c>
      <c r="F1125" s="5" t="s">
        <v>56</v>
      </c>
      <c r="G1125" s="5" t="s">
        <v>18</v>
      </c>
      <c r="H1125">
        <v>67</v>
      </c>
      <c r="I1125" s="4">
        <v>1975495</v>
      </c>
      <c r="J1125" s="4">
        <v>1125600</v>
      </c>
    </row>
    <row r="1126" spans="2:10" x14ac:dyDescent="0.3">
      <c r="B1126" s="7">
        <v>44774</v>
      </c>
      <c r="C1126" s="3">
        <f t="shared" si="34"/>
        <v>2022</v>
      </c>
      <c r="D1126" s="3">
        <f t="shared" si="35"/>
        <v>202208</v>
      </c>
      <c r="E1126" s="5" t="s">
        <v>3</v>
      </c>
      <c r="F1126" s="5" t="s">
        <v>56</v>
      </c>
      <c r="G1126" s="5" t="s">
        <v>18</v>
      </c>
      <c r="H1126">
        <v>57</v>
      </c>
      <c r="I1126" s="4">
        <v>1755885</v>
      </c>
      <c r="J1126" s="4">
        <v>957600</v>
      </c>
    </row>
    <row r="1127" spans="2:10" x14ac:dyDescent="0.3">
      <c r="B1127" s="7">
        <v>44805</v>
      </c>
      <c r="C1127" s="3">
        <f t="shared" si="34"/>
        <v>2022</v>
      </c>
      <c r="D1127" s="3">
        <f t="shared" si="35"/>
        <v>202209</v>
      </c>
      <c r="E1127" s="5" t="s">
        <v>3</v>
      </c>
      <c r="F1127" s="5" t="s">
        <v>56</v>
      </c>
      <c r="G1127" s="5" t="s">
        <v>18</v>
      </c>
      <c r="H1127">
        <v>60</v>
      </c>
      <c r="I1127" s="4">
        <v>1842960</v>
      </c>
      <c r="J1127" s="4">
        <v>1008000</v>
      </c>
    </row>
    <row r="1128" spans="2:10" x14ac:dyDescent="0.3">
      <c r="B1128" s="7">
        <v>44835</v>
      </c>
      <c r="C1128" s="3">
        <f t="shared" si="34"/>
        <v>2022</v>
      </c>
      <c r="D1128" s="3">
        <f t="shared" si="35"/>
        <v>202210</v>
      </c>
      <c r="E1128" s="5" t="s">
        <v>3</v>
      </c>
      <c r="F1128" s="5" t="s">
        <v>56</v>
      </c>
      <c r="G1128" s="5" t="s">
        <v>18</v>
      </c>
      <c r="H1128">
        <v>50</v>
      </c>
      <c r="I1128" s="4">
        <v>1563450</v>
      </c>
      <c r="J1128" s="4">
        <v>840000</v>
      </c>
    </row>
    <row r="1129" spans="2:10" x14ac:dyDescent="0.3">
      <c r="B1129" s="7">
        <v>44866</v>
      </c>
      <c r="C1129" s="3">
        <f t="shared" si="34"/>
        <v>2022</v>
      </c>
      <c r="D1129" s="3">
        <f t="shared" si="35"/>
        <v>202211</v>
      </c>
      <c r="E1129" s="5" t="s">
        <v>3</v>
      </c>
      <c r="F1129" s="5" t="s">
        <v>56</v>
      </c>
      <c r="G1129" s="5" t="s">
        <v>18</v>
      </c>
      <c r="H1129">
        <v>36</v>
      </c>
      <c r="I1129" s="4">
        <v>1133568</v>
      </c>
      <c r="J1129" s="4">
        <v>604800</v>
      </c>
    </row>
    <row r="1130" spans="2:10" x14ac:dyDescent="0.3">
      <c r="B1130" s="7">
        <v>44896</v>
      </c>
      <c r="C1130" s="3">
        <f t="shared" si="34"/>
        <v>2022</v>
      </c>
      <c r="D1130" s="3">
        <f t="shared" si="35"/>
        <v>202212</v>
      </c>
      <c r="E1130" s="5" t="s">
        <v>3</v>
      </c>
      <c r="F1130" s="5" t="s">
        <v>56</v>
      </c>
      <c r="G1130" s="5" t="s">
        <v>18</v>
      </c>
      <c r="H1130">
        <v>43</v>
      </c>
      <c r="I1130" s="4">
        <v>1331968</v>
      </c>
      <c r="J1130" s="4">
        <v>722400</v>
      </c>
    </row>
    <row r="1131" spans="2:10" x14ac:dyDescent="0.3">
      <c r="B1131" s="7">
        <v>44197</v>
      </c>
      <c r="C1131" s="3">
        <f t="shared" si="34"/>
        <v>2021</v>
      </c>
      <c r="D1131" s="3">
        <f t="shared" si="35"/>
        <v>202101</v>
      </c>
      <c r="E1131" s="5" t="s">
        <v>3</v>
      </c>
      <c r="F1131" s="5" t="s">
        <v>56</v>
      </c>
      <c r="G1131" s="5" t="s">
        <v>19</v>
      </c>
      <c r="H1131">
        <v>49</v>
      </c>
      <c r="I1131" s="4">
        <v>770084</v>
      </c>
      <c r="J1131" s="4">
        <v>301350</v>
      </c>
    </row>
    <row r="1132" spans="2:10" x14ac:dyDescent="0.3">
      <c r="B1132" s="7">
        <v>44228</v>
      </c>
      <c r="C1132" s="3">
        <f t="shared" si="34"/>
        <v>2021</v>
      </c>
      <c r="D1132" s="3">
        <f t="shared" si="35"/>
        <v>202102</v>
      </c>
      <c r="E1132" s="5" t="s">
        <v>3</v>
      </c>
      <c r="F1132" s="5" t="s">
        <v>56</v>
      </c>
      <c r="G1132" s="5" t="s">
        <v>19</v>
      </c>
      <c r="H1132">
        <v>31</v>
      </c>
      <c r="I1132" s="4">
        <v>505269</v>
      </c>
      <c r="J1132" s="4">
        <v>190650</v>
      </c>
    </row>
    <row r="1133" spans="2:10" x14ac:dyDescent="0.3">
      <c r="B1133" s="7">
        <v>44256</v>
      </c>
      <c r="C1133" s="3">
        <f t="shared" si="34"/>
        <v>2021</v>
      </c>
      <c r="D1133" s="3">
        <f t="shared" si="35"/>
        <v>202103</v>
      </c>
      <c r="E1133" s="5" t="s">
        <v>3</v>
      </c>
      <c r="F1133" s="5" t="s">
        <v>56</v>
      </c>
      <c r="G1133" s="5" t="s">
        <v>19</v>
      </c>
      <c r="H1133">
        <v>25</v>
      </c>
      <c r="I1133" s="4">
        <v>397525</v>
      </c>
      <c r="J1133" s="4">
        <v>153750</v>
      </c>
    </row>
    <row r="1134" spans="2:10" x14ac:dyDescent="0.3">
      <c r="B1134" s="7">
        <v>44287</v>
      </c>
      <c r="C1134" s="3">
        <f t="shared" si="34"/>
        <v>2021</v>
      </c>
      <c r="D1134" s="3">
        <f t="shared" si="35"/>
        <v>202104</v>
      </c>
      <c r="E1134" s="5" t="s">
        <v>3</v>
      </c>
      <c r="F1134" s="5" t="s">
        <v>56</v>
      </c>
      <c r="G1134" s="5" t="s">
        <v>19</v>
      </c>
      <c r="H1134">
        <v>46</v>
      </c>
      <c r="I1134" s="4">
        <v>779102</v>
      </c>
      <c r="J1134" s="4">
        <v>282900</v>
      </c>
    </row>
    <row r="1135" spans="2:10" x14ac:dyDescent="0.3">
      <c r="B1135" s="7">
        <v>44317</v>
      </c>
      <c r="C1135" s="3">
        <f t="shared" si="34"/>
        <v>2021</v>
      </c>
      <c r="D1135" s="3">
        <f t="shared" si="35"/>
        <v>202105</v>
      </c>
      <c r="E1135" s="5" t="s">
        <v>3</v>
      </c>
      <c r="F1135" s="5" t="s">
        <v>56</v>
      </c>
      <c r="G1135" s="5" t="s">
        <v>19</v>
      </c>
      <c r="H1135">
        <v>58</v>
      </c>
      <c r="I1135" s="4">
        <v>992032</v>
      </c>
      <c r="J1135" s="4">
        <v>356700</v>
      </c>
    </row>
    <row r="1136" spans="2:10" x14ac:dyDescent="0.3">
      <c r="B1136" s="7">
        <v>44348</v>
      </c>
      <c r="C1136" s="3">
        <f t="shared" si="34"/>
        <v>2021</v>
      </c>
      <c r="D1136" s="3">
        <f t="shared" si="35"/>
        <v>202106</v>
      </c>
      <c r="E1136" s="5" t="s">
        <v>3</v>
      </c>
      <c r="F1136" s="5" t="s">
        <v>56</v>
      </c>
      <c r="G1136" s="5" t="s">
        <v>19</v>
      </c>
      <c r="H1136">
        <v>55</v>
      </c>
      <c r="I1136" s="4">
        <v>873840</v>
      </c>
      <c r="J1136" s="4">
        <v>338250</v>
      </c>
    </row>
    <row r="1137" spans="2:10" x14ac:dyDescent="0.3">
      <c r="B1137" s="7">
        <v>44378</v>
      </c>
      <c r="C1137" s="3">
        <f t="shared" si="34"/>
        <v>2021</v>
      </c>
      <c r="D1137" s="3">
        <f t="shared" si="35"/>
        <v>202107</v>
      </c>
      <c r="E1137" s="5" t="s">
        <v>3</v>
      </c>
      <c r="F1137" s="5" t="s">
        <v>56</v>
      </c>
      <c r="G1137" s="5" t="s">
        <v>19</v>
      </c>
      <c r="H1137">
        <v>58</v>
      </c>
      <c r="I1137" s="4">
        <v>880962</v>
      </c>
      <c r="J1137" s="4">
        <v>356700</v>
      </c>
    </row>
    <row r="1138" spans="2:10" x14ac:dyDescent="0.3">
      <c r="B1138" s="7">
        <v>44409</v>
      </c>
      <c r="C1138" s="3">
        <f t="shared" si="34"/>
        <v>2021</v>
      </c>
      <c r="D1138" s="3">
        <f t="shared" si="35"/>
        <v>202108</v>
      </c>
      <c r="E1138" s="5" t="s">
        <v>3</v>
      </c>
      <c r="F1138" s="5" t="s">
        <v>56</v>
      </c>
      <c r="G1138" s="5" t="s">
        <v>19</v>
      </c>
      <c r="H1138">
        <v>49</v>
      </c>
      <c r="I1138" s="4">
        <v>789684</v>
      </c>
      <c r="J1138" s="4">
        <v>301350</v>
      </c>
    </row>
    <row r="1139" spans="2:10" x14ac:dyDescent="0.3">
      <c r="B1139" s="7">
        <v>44440</v>
      </c>
      <c r="C1139" s="3">
        <f t="shared" si="34"/>
        <v>2021</v>
      </c>
      <c r="D1139" s="3">
        <f t="shared" si="35"/>
        <v>202109</v>
      </c>
      <c r="E1139" s="5" t="s">
        <v>3</v>
      </c>
      <c r="F1139" s="5" t="s">
        <v>56</v>
      </c>
      <c r="G1139" s="5" t="s">
        <v>19</v>
      </c>
      <c r="H1139">
        <v>52</v>
      </c>
      <c r="I1139" s="4">
        <v>838292</v>
      </c>
      <c r="J1139" s="4">
        <v>319800</v>
      </c>
    </row>
    <row r="1140" spans="2:10" x14ac:dyDescent="0.3">
      <c r="B1140" s="7">
        <v>44470</v>
      </c>
      <c r="C1140" s="3">
        <f t="shared" si="34"/>
        <v>2021</v>
      </c>
      <c r="D1140" s="3">
        <f t="shared" si="35"/>
        <v>202110</v>
      </c>
      <c r="E1140" s="5" t="s">
        <v>3</v>
      </c>
      <c r="F1140" s="5" t="s">
        <v>56</v>
      </c>
      <c r="G1140" s="5" t="s">
        <v>19</v>
      </c>
      <c r="H1140">
        <v>43</v>
      </c>
      <c r="I1140" s="4">
        <v>680346</v>
      </c>
      <c r="J1140" s="4">
        <v>264450</v>
      </c>
    </row>
    <row r="1141" spans="2:10" x14ac:dyDescent="0.3">
      <c r="B1141" s="7">
        <v>44501</v>
      </c>
      <c r="C1141" s="3">
        <f t="shared" si="34"/>
        <v>2021</v>
      </c>
      <c r="D1141" s="3">
        <f t="shared" si="35"/>
        <v>202111</v>
      </c>
      <c r="E1141" s="5" t="s">
        <v>3</v>
      </c>
      <c r="F1141" s="5" t="s">
        <v>56</v>
      </c>
      <c r="G1141" s="5" t="s">
        <v>19</v>
      </c>
      <c r="H1141">
        <v>31</v>
      </c>
      <c r="I1141" s="4">
        <v>510849</v>
      </c>
      <c r="J1141" s="4">
        <v>190650</v>
      </c>
    </row>
    <row r="1142" spans="2:10" x14ac:dyDescent="0.3">
      <c r="B1142" s="7">
        <v>44531</v>
      </c>
      <c r="C1142" s="3">
        <f t="shared" si="34"/>
        <v>2021</v>
      </c>
      <c r="D1142" s="3">
        <f t="shared" si="35"/>
        <v>202112</v>
      </c>
      <c r="E1142" s="5" t="s">
        <v>3</v>
      </c>
      <c r="F1142" s="5" t="s">
        <v>56</v>
      </c>
      <c r="G1142" s="5" t="s">
        <v>19</v>
      </c>
      <c r="H1142">
        <v>37</v>
      </c>
      <c r="I1142" s="4">
        <v>575202</v>
      </c>
      <c r="J1142" s="4">
        <v>227550</v>
      </c>
    </row>
    <row r="1143" spans="2:10" x14ac:dyDescent="0.3">
      <c r="B1143" s="7">
        <v>44562</v>
      </c>
      <c r="C1143" s="3">
        <f t="shared" si="34"/>
        <v>2022</v>
      </c>
      <c r="D1143" s="3">
        <f t="shared" si="35"/>
        <v>202201</v>
      </c>
      <c r="E1143" s="5" t="s">
        <v>3</v>
      </c>
      <c r="F1143" s="5" t="s">
        <v>56</v>
      </c>
      <c r="G1143" s="5" t="s">
        <v>19</v>
      </c>
      <c r="H1143">
        <v>54</v>
      </c>
      <c r="I1143" s="4">
        <v>881496</v>
      </c>
      <c r="J1143" s="4">
        <v>332100</v>
      </c>
    </row>
    <row r="1144" spans="2:10" x14ac:dyDescent="0.3">
      <c r="B1144" s="7">
        <v>44593</v>
      </c>
      <c r="C1144" s="3">
        <f t="shared" si="34"/>
        <v>2022</v>
      </c>
      <c r="D1144" s="3">
        <f t="shared" si="35"/>
        <v>202202</v>
      </c>
      <c r="E1144" s="5" t="s">
        <v>3</v>
      </c>
      <c r="F1144" s="5" t="s">
        <v>56</v>
      </c>
      <c r="G1144" s="5" t="s">
        <v>19</v>
      </c>
      <c r="H1144">
        <v>34</v>
      </c>
      <c r="I1144" s="4">
        <v>550936</v>
      </c>
      <c r="J1144" s="4">
        <v>209100</v>
      </c>
    </row>
    <row r="1145" spans="2:10" x14ac:dyDescent="0.3">
      <c r="B1145" s="7">
        <v>44621</v>
      </c>
      <c r="C1145" s="3">
        <f t="shared" si="34"/>
        <v>2022</v>
      </c>
      <c r="D1145" s="3">
        <f t="shared" si="35"/>
        <v>202203</v>
      </c>
      <c r="E1145" s="5" t="s">
        <v>3</v>
      </c>
      <c r="F1145" s="5" t="s">
        <v>56</v>
      </c>
      <c r="G1145" s="5" t="s">
        <v>19</v>
      </c>
      <c r="H1145">
        <v>27</v>
      </c>
      <c r="I1145" s="4">
        <v>442071</v>
      </c>
      <c r="J1145" s="4">
        <v>166050</v>
      </c>
    </row>
    <row r="1146" spans="2:10" x14ac:dyDescent="0.3">
      <c r="B1146" s="7">
        <v>44652</v>
      </c>
      <c r="C1146" s="3">
        <f t="shared" si="34"/>
        <v>2022</v>
      </c>
      <c r="D1146" s="3">
        <f t="shared" si="35"/>
        <v>202204</v>
      </c>
      <c r="E1146" s="5" t="s">
        <v>3</v>
      </c>
      <c r="F1146" s="5" t="s">
        <v>56</v>
      </c>
      <c r="G1146" s="5" t="s">
        <v>19</v>
      </c>
      <c r="H1146">
        <v>51</v>
      </c>
      <c r="I1146" s="4">
        <v>840990</v>
      </c>
      <c r="J1146" s="4">
        <v>313650</v>
      </c>
    </row>
    <row r="1147" spans="2:10" x14ac:dyDescent="0.3">
      <c r="B1147" s="7">
        <v>44682</v>
      </c>
      <c r="C1147" s="3">
        <f t="shared" si="34"/>
        <v>2022</v>
      </c>
      <c r="D1147" s="3">
        <f t="shared" si="35"/>
        <v>202205</v>
      </c>
      <c r="E1147" s="5" t="s">
        <v>3</v>
      </c>
      <c r="F1147" s="5" t="s">
        <v>56</v>
      </c>
      <c r="G1147" s="5" t="s">
        <v>19</v>
      </c>
      <c r="H1147">
        <v>64</v>
      </c>
      <c r="I1147" s="4">
        <v>1084352</v>
      </c>
      <c r="J1147" s="4">
        <v>393600</v>
      </c>
    </row>
    <row r="1148" spans="2:10" x14ac:dyDescent="0.3">
      <c r="B1148" s="7">
        <v>44713</v>
      </c>
      <c r="C1148" s="3">
        <f t="shared" si="34"/>
        <v>2022</v>
      </c>
      <c r="D1148" s="3">
        <f t="shared" si="35"/>
        <v>202206</v>
      </c>
      <c r="E1148" s="5" t="s">
        <v>3</v>
      </c>
      <c r="F1148" s="5" t="s">
        <v>56</v>
      </c>
      <c r="G1148" s="5" t="s">
        <v>19</v>
      </c>
      <c r="H1148">
        <v>61</v>
      </c>
      <c r="I1148" s="4">
        <v>987712</v>
      </c>
      <c r="J1148" s="4">
        <v>375150</v>
      </c>
    </row>
    <row r="1149" spans="2:10" x14ac:dyDescent="0.3">
      <c r="B1149" s="7">
        <v>44743</v>
      </c>
      <c r="C1149" s="3">
        <f t="shared" si="34"/>
        <v>2022</v>
      </c>
      <c r="D1149" s="3">
        <f t="shared" si="35"/>
        <v>202207</v>
      </c>
      <c r="E1149" s="5" t="s">
        <v>3</v>
      </c>
      <c r="F1149" s="5" t="s">
        <v>56</v>
      </c>
      <c r="G1149" s="5" t="s">
        <v>19</v>
      </c>
      <c r="H1149">
        <v>64</v>
      </c>
      <c r="I1149" s="4">
        <v>947584</v>
      </c>
      <c r="J1149" s="4">
        <v>393600</v>
      </c>
    </row>
    <row r="1150" spans="2:10" x14ac:dyDescent="0.3">
      <c r="B1150" s="7">
        <v>44774</v>
      </c>
      <c r="C1150" s="3">
        <f t="shared" si="34"/>
        <v>2022</v>
      </c>
      <c r="D1150" s="3">
        <f t="shared" si="35"/>
        <v>202208</v>
      </c>
      <c r="E1150" s="5" t="s">
        <v>3</v>
      </c>
      <c r="F1150" s="5" t="s">
        <v>56</v>
      </c>
      <c r="G1150" s="5" t="s">
        <v>19</v>
      </c>
      <c r="H1150">
        <v>54</v>
      </c>
      <c r="I1150" s="4">
        <v>849636</v>
      </c>
      <c r="J1150" s="4">
        <v>332100</v>
      </c>
    </row>
    <row r="1151" spans="2:10" x14ac:dyDescent="0.3">
      <c r="B1151" s="7">
        <v>44805</v>
      </c>
      <c r="C1151" s="3">
        <f t="shared" si="34"/>
        <v>2022</v>
      </c>
      <c r="D1151" s="3">
        <f t="shared" si="35"/>
        <v>202209</v>
      </c>
      <c r="E1151" s="5" t="s">
        <v>3</v>
      </c>
      <c r="F1151" s="5" t="s">
        <v>56</v>
      </c>
      <c r="G1151" s="5" t="s">
        <v>19</v>
      </c>
      <c r="H1151">
        <v>57</v>
      </c>
      <c r="I1151" s="4">
        <v>929670</v>
      </c>
      <c r="J1151" s="4">
        <v>350550</v>
      </c>
    </row>
    <row r="1152" spans="2:10" x14ac:dyDescent="0.3">
      <c r="B1152" s="7">
        <v>44835</v>
      </c>
      <c r="C1152" s="3">
        <f t="shared" si="34"/>
        <v>2022</v>
      </c>
      <c r="D1152" s="3">
        <f t="shared" si="35"/>
        <v>202210</v>
      </c>
      <c r="E1152" s="5" t="s">
        <v>3</v>
      </c>
      <c r="F1152" s="5" t="s">
        <v>56</v>
      </c>
      <c r="G1152" s="5" t="s">
        <v>19</v>
      </c>
      <c r="H1152">
        <v>47</v>
      </c>
      <c r="I1152" s="4">
        <v>754585</v>
      </c>
      <c r="J1152" s="4">
        <v>289050</v>
      </c>
    </row>
    <row r="1153" spans="2:10" x14ac:dyDescent="0.3">
      <c r="B1153" s="7">
        <v>44866</v>
      </c>
      <c r="C1153" s="3">
        <f t="shared" si="34"/>
        <v>2022</v>
      </c>
      <c r="D1153" s="3">
        <f t="shared" si="35"/>
        <v>202211</v>
      </c>
      <c r="E1153" s="5" t="s">
        <v>3</v>
      </c>
      <c r="F1153" s="5" t="s">
        <v>56</v>
      </c>
      <c r="G1153" s="5" t="s">
        <v>19</v>
      </c>
      <c r="H1153">
        <v>34</v>
      </c>
      <c r="I1153" s="4">
        <v>537676</v>
      </c>
      <c r="J1153" s="4">
        <v>209100</v>
      </c>
    </row>
    <row r="1154" spans="2:10" x14ac:dyDescent="0.3">
      <c r="B1154" s="7">
        <v>44896</v>
      </c>
      <c r="C1154" s="3">
        <f t="shared" si="34"/>
        <v>2022</v>
      </c>
      <c r="D1154" s="3">
        <f t="shared" si="35"/>
        <v>202212</v>
      </c>
      <c r="E1154" s="5" t="s">
        <v>3</v>
      </c>
      <c r="F1154" s="5" t="s">
        <v>56</v>
      </c>
      <c r="G1154" s="5" t="s">
        <v>19</v>
      </c>
      <c r="H1154">
        <v>41</v>
      </c>
      <c r="I1154" s="4">
        <v>637345</v>
      </c>
      <c r="J1154" s="4">
        <v>252150</v>
      </c>
    </row>
    <row r="1155" spans="2:10" x14ac:dyDescent="0.3">
      <c r="B1155" s="7">
        <v>44197</v>
      </c>
      <c r="C1155" s="3">
        <f t="shared" ref="C1155:C1218" si="36">YEAR(B1155)</f>
        <v>2021</v>
      </c>
      <c r="D1155" s="3">
        <f t="shared" ref="D1155:D1218" si="37">VALUE(TEXT(B1155,"ГГГГММ"))</f>
        <v>202101</v>
      </c>
      <c r="E1155" s="5" t="s">
        <v>3</v>
      </c>
      <c r="F1155" s="5" t="s">
        <v>56</v>
      </c>
      <c r="G1155" s="5" t="s">
        <v>20</v>
      </c>
      <c r="H1155">
        <v>64</v>
      </c>
      <c r="I1155" s="4">
        <v>770752</v>
      </c>
      <c r="J1155" s="4">
        <v>281600</v>
      </c>
    </row>
    <row r="1156" spans="2:10" x14ac:dyDescent="0.3">
      <c r="B1156" s="7">
        <v>44228</v>
      </c>
      <c r="C1156" s="3">
        <f t="shared" si="36"/>
        <v>2021</v>
      </c>
      <c r="D1156" s="3">
        <f t="shared" si="37"/>
        <v>202102</v>
      </c>
      <c r="E1156" s="5" t="s">
        <v>3</v>
      </c>
      <c r="F1156" s="5" t="s">
        <v>56</v>
      </c>
      <c r="G1156" s="5" t="s">
        <v>20</v>
      </c>
      <c r="H1156">
        <v>40</v>
      </c>
      <c r="I1156" s="4">
        <v>504680</v>
      </c>
      <c r="J1156" s="4">
        <v>176000</v>
      </c>
    </row>
    <row r="1157" spans="2:10" x14ac:dyDescent="0.3">
      <c r="B1157" s="7">
        <v>44256</v>
      </c>
      <c r="C1157" s="3">
        <f t="shared" si="36"/>
        <v>2021</v>
      </c>
      <c r="D1157" s="3">
        <f t="shared" si="37"/>
        <v>202103</v>
      </c>
      <c r="E1157" s="5" t="s">
        <v>3</v>
      </c>
      <c r="F1157" s="5" t="s">
        <v>56</v>
      </c>
      <c r="G1157" s="5" t="s">
        <v>20</v>
      </c>
      <c r="H1157">
        <v>32</v>
      </c>
      <c r="I1157" s="4">
        <v>382432</v>
      </c>
      <c r="J1157" s="4">
        <v>140800</v>
      </c>
    </row>
    <row r="1158" spans="2:10" x14ac:dyDescent="0.3">
      <c r="B1158" s="7">
        <v>44287</v>
      </c>
      <c r="C1158" s="3">
        <f t="shared" si="36"/>
        <v>2021</v>
      </c>
      <c r="D1158" s="3">
        <f t="shared" si="37"/>
        <v>202104</v>
      </c>
      <c r="E1158" s="5" t="s">
        <v>3</v>
      </c>
      <c r="F1158" s="5" t="s">
        <v>56</v>
      </c>
      <c r="G1158" s="5" t="s">
        <v>20</v>
      </c>
      <c r="H1158">
        <v>60</v>
      </c>
      <c r="I1158" s="4">
        <v>750420</v>
      </c>
      <c r="J1158" s="4">
        <v>264000</v>
      </c>
    </row>
    <row r="1159" spans="2:10" x14ac:dyDescent="0.3">
      <c r="B1159" s="7">
        <v>44317</v>
      </c>
      <c r="C1159" s="3">
        <f t="shared" si="36"/>
        <v>2021</v>
      </c>
      <c r="D1159" s="3">
        <f t="shared" si="37"/>
        <v>202105</v>
      </c>
      <c r="E1159" s="5" t="s">
        <v>3</v>
      </c>
      <c r="F1159" s="5" t="s">
        <v>56</v>
      </c>
      <c r="G1159" s="5" t="s">
        <v>20</v>
      </c>
      <c r="H1159">
        <v>76</v>
      </c>
      <c r="I1159" s="4">
        <v>1023036</v>
      </c>
      <c r="J1159" s="4">
        <v>334400</v>
      </c>
    </row>
    <row r="1160" spans="2:10" x14ac:dyDescent="0.3">
      <c r="B1160" s="7">
        <v>44348</v>
      </c>
      <c r="C1160" s="3">
        <f t="shared" si="36"/>
        <v>2021</v>
      </c>
      <c r="D1160" s="3">
        <f t="shared" si="37"/>
        <v>202106</v>
      </c>
      <c r="E1160" s="5" t="s">
        <v>3</v>
      </c>
      <c r="F1160" s="5" t="s">
        <v>56</v>
      </c>
      <c r="G1160" s="5" t="s">
        <v>20</v>
      </c>
      <c r="H1160">
        <v>72</v>
      </c>
      <c r="I1160" s="4">
        <v>870552</v>
      </c>
      <c r="J1160" s="4">
        <v>316800</v>
      </c>
    </row>
    <row r="1161" spans="2:10" x14ac:dyDescent="0.3">
      <c r="B1161" s="7">
        <v>44378</v>
      </c>
      <c r="C1161" s="3">
        <f t="shared" si="36"/>
        <v>2021</v>
      </c>
      <c r="D1161" s="3">
        <f t="shared" si="37"/>
        <v>202107</v>
      </c>
      <c r="E1161" s="5" t="s">
        <v>3</v>
      </c>
      <c r="F1161" s="5" t="s">
        <v>56</v>
      </c>
      <c r="G1161" s="5" t="s">
        <v>20</v>
      </c>
      <c r="H1161">
        <v>76</v>
      </c>
      <c r="I1161" s="4">
        <v>791540</v>
      </c>
      <c r="J1161" s="4">
        <v>334400</v>
      </c>
    </row>
    <row r="1162" spans="2:10" x14ac:dyDescent="0.3">
      <c r="B1162" s="7">
        <v>44409</v>
      </c>
      <c r="C1162" s="3">
        <f t="shared" si="36"/>
        <v>2021</v>
      </c>
      <c r="D1162" s="3">
        <f t="shared" si="37"/>
        <v>202108</v>
      </c>
      <c r="E1162" s="5" t="s">
        <v>3</v>
      </c>
      <c r="F1162" s="5" t="s">
        <v>56</v>
      </c>
      <c r="G1162" s="5" t="s">
        <v>20</v>
      </c>
      <c r="H1162">
        <v>64</v>
      </c>
      <c r="I1162" s="4">
        <v>733184</v>
      </c>
      <c r="J1162" s="4">
        <v>281600</v>
      </c>
    </row>
    <row r="1163" spans="2:10" x14ac:dyDescent="0.3">
      <c r="B1163" s="7">
        <v>44440</v>
      </c>
      <c r="C1163" s="3">
        <f t="shared" si="36"/>
        <v>2021</v>
      </c>
      <c r="D1163" s="3">
        <f t="shared" si="37"/>
        <v>202109</v>
      </c>
      <c r="E1163" s="5" t="s">
        <v>3</v>
      </c>
      <c r="F1163" s="5" t="s">
        <v>56</v>
      </c>
      <c r="G1163" s="5" t="s">
        <v>20</v>
      </c>
      <c r="H1163">
        <v>68</v>
      </c>
      <c r="I1163" s="4">
        <v>807432</v>
      </c>
      <c r="J1163" s="4">
        <v>299200</v>
      </c>
    </row>
    <row r="1164" spans="2:10" x14ac:dyDescent="0.3">
      <c r="B1164" s="7">
        <v>44470</v>
      </c>
      <c r="C1164" s="3">
        <f t="shared" si="36"/>
        <v>2021</v>
      </c>
      <c r="D1164" s="3">
        <f t="shared" si="37"/>
        <v>202110</v>
      </c>
      <c r="E1164" s="5" t="s">
        <v>3</v>
      </c>
      <c r="F1164" s="5" t="s">
        <v>56</v>
      </c>
      <c r="G1164" s="5" t="s">
        <v>20</v>
      </c>
      <c r="H1164">
        <v>56</v>
      </c>
      <c r="I1164" s="4">
        <v>717864</v>
      </c>
      <c r="J1164" s="4">
        <v>246400</v>
      </c>
    </row>
    <row r="1165" spans="2:10" x14ac:dyDescent="0.3">
      <c r="B1165" s="7">
        <v>44501</v>
      </c>
      <c r="C1165" s="3">
        <f t="shared" si="36"/>
        <v>2021</v>
      </c>
      <c r="D1165" s="3">
        <f t="shared" si="37"/>
        <v>202111</v>
      </c>
      <c r="E1165" s="5" t="s">
        <v>3</v>
      </c>
      <c r="F1165" s="5" t="s">
        <v>56</v>
      </c>
      <c r="G1165" s="5" t="s">
        <v>20</v>
      </c>
      <c r="H1165">
        <v>40</v>
      </c>
      <c r="I1165" s="4">
        <v>487200</v>
      </c>
      <c r="J1165" s="4">
        <v>176000</v>
      </c>
    </row>
    <row r="1166" spans="2:10" x14ac:dyDescent="0.3">
      <c r="B1166" s="7">
        <v>44531</v>
      </c>
      <c r="C1166" s="3">
        <f t="shared" si="36"/>
        <v>2021</v>
      </c>
      <c r="D1166" s="3">
        <f t="shared" si="37"/>
        <v>202112</v>
      </c>
      <c r="E1166" s="5" t="s">
        <v>3</v>
      </c>
      <c r="F1166" s="5" t="s">
        <v>56</v>
      </c>
      <c r="G1166" s="5" t="s">
        <v>20</v>
      </c>
      <c r="H1166">
        <v>48</v>
      </c>
      <c r="I1166" s="4">
        <v>561840</v>
      </c>
      <c r="J1166" s="4">
        <v>211200</v>
      </c>
    </row>
    <row r="1167" spans="2:10" x14ac:dyDescent="0.3">
      <c r="B1167" s="7">
        <v>44562</v>
      </c>
      <c r="C1167" s="3">
        <f t="shared" si="36"/>
        <v>2022</v>
      </c>
      <c r="D1167" s="3">
        <f t="shared" si="37"/>
        <v>202201</v>
      </c>
      <c r="E1167" s="5" t="s">
        <v>3</v>
      </c>
      <c r="F1167" s="5" t="s">
        <v>56</v>
      </c>
      <c r="G1167" s="5" t="s">
        <v>20</v>
      </c>
      <c r="H1167">
        <v>71</v>
      </c>
      <c r="I1167" s="4">
        <v>898860</v>
      </c>
      <c r="J1167" s="4">
        <v>312400</v>
      </c>
    </row>
    <row r="1168" spans="2:10" x14ac:dyDescent="0.3">
      <c r="B1168" s="7">
        <v>44593</v>
      </c>
      <c r="C1168" s="3">
        <f t="shared" si="36"/>
        <v>2022</v>
      </c>
      <c r="D1168" s="3">
        <f t="shared" si="37"/>
        <v>202202</v>
      </c>
      <c r="E1168" s="5" t="s">
        <v>3</v>
      </c>
      <c r="F1168" s="5" t="s">
        <v>56</v>
      </c>
      <c r="G1168" s="5" t="s">
        <v>20</v>
      </c>
      <c r="H1168">
        <v>44</v>
      </c>
      <c r="I1168" s="4">
        <v>568788</v>
      </c>
      <c r="J1168" s="4">
        <v>193600</v>
      </c>
    </row>
    <row r="1169" spans="2:10" x14ac:dyDescent="0.3">
      <c r="B1169" s="7">
        <v>44621</v>
      </c>
      <c r="C1169" s="3">
        <f t="shared" si="36"/>
        <v>2022</v>
      </c>
      <c r="D1169" s="3">
        <f t="shared" si="37"/>
        <v>202203</v>
      </c>
      <c r="E1169" s="5" t="s">
        <v>3</v>
      </c>
      <c r="F1169" s="5" t="s">
        <v>56</v>
      </c>
      <c r="G1169" s="5" t="s">
        <v>20</v>
      </c>
      <c r="H1169">
        <v>36</v>
      </c>
      <c r="I1169" s="4">
        <v>413640</v>
      </c>
      <c r="J1169" s="4">
        <v>158400</v>
      </c>
    </row>
    <row r="1170" spans="2:10" x14ac:dyDescent="0.3">
      <c r="B1170" s="7">
        <v>44652</v>
      </c>
      <c r="C1170" s="3">
        <f t="shared" si="36"/>
        <v>2022</v>
      </c>
      <c r="D1170" s="3">
        <f t="shared" si="37"/>
        <v>202204</v>
      </c>
      <c r="E1170" s="5" t="s">
        <v>3</v>
      </c>
      <c r="F1170" s="5" t="s">
        <v>56</v>
      </c>
      <c r="G1170" s="5" t="s">
        <v>20</v>
      </c>
      <c r="H1170">
        <v>66</v>
      </c>
      <c r="I1170" s="4">
        <v>863610</v>
      </c>
      <c r="J1170" s="4">
        <v>290400</v>
      </c>
    </row>
    <row r="1171" spans="2:10" x14ac:dyDescent="0.3">
      <c r="B1171" s="7">
        <v>44682</v>
      </c>
      <c r="C1171" s="3">
        <f t="shared" si="36"/>
        <v>2022</v>
      </c>
      <c r="D1171" s="3">
        <f t="shared" si="37"/>
        <v>202205</v>
      </c>
      <c r="E1171" s="5" t="s">
        <v>3</v>
      </c>
      <c r="F1171" s="5" t="s">
        <v>56</v>
      </c>
      <c r="G1171" s="5" t="s">
        <v>20</v>
      </c>
      <c r="H1171">
        <v>84</v>
      </c>
      <c r="I1171" s="4">
        <v>1074696</v>
      </c>
      <c r="J1171" s="4">
        <v>369600</v>
      </c>
    </row>
    <row r="1172" spans="2:10" x14ac:dyDescent="0.3">
      <c r="B1172" s="7">
        <v>44713</v>
      </c>
      <c r="C1172" s="3">
        <f t="shared" si="36"/>
        <v>2022</v>
      </c>
      <c r="D1172" s="3">
        <f t="shared" si="37"/>
        <v>202206</v>
      </c>
      <c r="E1172" s="5" t="s">
        <v>3</v>
      </c>
      <c r="F1172" s="5" t="s">
        <v>56</v>
      </c>
      <c r="G1172" s="5" t="s">
        <v>20</v>
      </c>
      <c r="H1172">
        <v>80</v>
      </c>
      <c r="I1172" s="4">
        <v>1010080</v>
      </c>
      <c r="J1172" s="4">
        <v>352000</v>
      </c>
    </row>
    <row r="1173" spans="2:10" x14ac:dyDescent="0.3">
      <c r="B1173" s="7">
        <v>44743</v>
      </c>
      <c r="C1173" s="3">
        <f t="shared" si="36"/>
        <v>2022</v>
      </c>
      <c r="D1173" s="3">
        <f t="shared" si="37"/>
        <v>202207</v>
      </c>
      <c r="E1173" s="5" t="s">
        <v>3</v>
      </c>
      <c r="F1173" s="5" t="s">
        <v>56</v>
      </c>
      <c r="G1173" s="5" t="s">
        <v>20</v>
      </c>
      <c r="H1173">
        <v>84</v>
      </c>
      <c r="I1173" s="4">
        <v>905184</v>
      </c>
      <c r="J1173" s="4">
        <v>369600</v>
      </c>
    </row>
    <row r="1174" spans="2:10" x14ac:dyDescent="0.3">
      <c r="B1174" s="7">
        <v>44774</v>
      </c>
      <c r="C1174" s="3">
        <f t="shared" si="36"/>
        <v>2022</v>
      </c>
      <c r="D1174" s="3">
        <f t="shared" si="37"/>
        <v>202208</v>
      </c>
      <c r="E1174" s="5" t="s">
        <v>3</v>
      </c>
      <c r="F1174" s="5" t="s">
        <v>56</v>
      </c>
      <c r="G1174" s="5" t="s">
        <v>20</v>
      </c>
      <c r="H1174">
        <v>71</v>
      </c>
      <c r="I1174" s="4">
        <v>824949</v>
      </c>
      <c r="J1174" s="4">
        <v>312400</v>
      </c>
    </row>
    <row r="1175" spans="2:10" x14ac:dyDescent="0.3">
      <c r="B1175" s="7">
        <v>44805</v>
      </c>
      <c r="C1175" s="3">
        <f t="shared" si="36"/>
        <v>2022</v>
      </c>
      <c r="D1175" s="3">
        <f t="shared" si="37"/>
        <v>202209</v>
      </c>
      <c r="E1175" s="5" t="s">
        <v>3</v>
      </c>
      <c r="F1175" s="5" t="s">
        <v>56</v>
      </c>
      <c r="G1175" s="5" t="s">
        <v>20</v>
      </c>
      <c r="H1175">
        <v>75</v>
      </c>
      <c r="I1175" s="4">
        <v>874875</v>
      </c>
      <c r="J1175" s="4">
        <v>330000</v>
      </c>
    </row>
    <row r="1176" spans="2:10" x14ac:dyDescent="0.3">
      <c r="B1176" s="7">
        <v>44835</v>
      </c>
      <c r="C1176" s="3">
        <f t="shared" si="36"/>
        <v>2022</v>
      </c>
      <c r="D1176" s="3">
        <f t="shared" si="37"/>
        <v>202210</v>
      </c>
      <c r="E1176" s="5" t="s">
        <v>3</v>
      </c>
      <c r="F1176" s="5" t="s">
        <v>56</v>
      </c>
      <c r="G1176" s="5" t="s">
        <v>20</v>
      </c>
      <c r="H1176">
        <v>62</v>
      </c>
      <c r="I1176" s="4">
        <v>777790</v>
      </c>
      <c r="J1176" s="4">
        <v>272800</v>
      </c>
    </row>
    <row r="1177" spans="2:10" x14ac:dyDescent="0.3">
      <c r="B1177" s="7">
        <v>44866</v>
      </c>
      <c r="C1177" s="3">
        <f t="shared" si="36"/>
        <v>2022</v>
      </c>
      <c r="D1177" s="3">
        <f t="shared" si="37"/>
        <v>202211</v>
      </c>
      <c r="E1177" s="5" t="s">
        <v>3</v>
      </c>
      <c r="F1177" s="5" t="s">
        <v>56</v>
      </c>
      <c r="G1177" s="5" t="s">
        <v>20</v>
      </c>
      <c r="H1177">
        <v>44</v>
      </c>
      <c r="I1177" s="4">
        <v>517440</v>
      </c>
      <c r="J1177" s="4">
        <v>193600</v>
      </c>
    </row>
    <row r="1178" spans="2:10" x14ac:dyDescent="0.3">
      <c r="B1178" s="7">
        <v>44896</v>
      </c>
      <c r="C1178" s="3">
        <f t="shared" si="36"/>
        <v>2022</v>
      </c>
      <c r="D1178" s="3">
        <f t="shared" si="37"/>
        <v>202212</v>
      </c>
      <c r="E1178" s="5" t="s">
        <v>3</v>
      </c>
      <c r="F1178" s="5" t="s">
        <v>56</v>
      </c>
      <c r="G1178" s="5" t="s">
        <v>20</v>
      </c>
      <c r="H1178">
        <v>53</v>
      </c>
      <c r="I1178" s="4">
        <v>616231</v>
      </c>
      <c r="J1178" s="4">
        <v>233200</v>
      </c>
    </row>
    <row r="1179" spans="2:10" x14ac:dyDescent="0.3">
      <c r="B1179" s="7">
        <v>44197</v>
      </c>
      <c r="C1179" s="3">
        <f t="shared" si="36"/>
        <v>2021</v>
      </c>
      <c r="D1179" s="3">
        <f t="shared" si="37"/>
        <v>202101</v>
      </c>
      <c r="E1179" s="5" t="s">
        <v>3</v>
      </c>
      <c r="F1179" s="5" t="s">
        <v>9</v>
      </c>
      <c r="G1179" s="5" t="s">
        <v>21</v>
      </c>
      <c r="H1179">
        <v>33</v>
      </c>
      <c r="I1179" s="4">
        <v>146652</v>
      </c>
      <c r="J1179" s="4">
        <v>59829</v>
      </c>
    </row>
    <row r="1180" spans="2:10" x14ac:dyDescent="0.3">
      <c r="B1180" s="7">
        <v>44228</v>
      </c>
      <c r="C1180" s="3">
        <f t="shared" si="36"/>
        <v>2021</v>
      </c>
      <c r="D1180" s="3">
        <f t="shared" si="37"/>
        <v>202102</v>
      </c>
      <c r="E1180" s="5" t="s">
        <v>3</v>
      </c>
      <c r="F1180" s="5" t="s">
        <v>9</v>
      </c>
      <c r="G1180" s="5" t="s">
        <v>21</v>
      </c>
      <c r="H1180">
        <v>21</v>
      </c>
      <c r="I1180" s="4">
        <v>106218</v>
      </c>
      <c r="J1180" s="4">
        <v>38073</v>
      </c>
    </row>
    <row r="1181" spans="2:10" x14ac:dyDescent="0.3">
      <c r="B1181" s="7">
        <v>44256</v>
      </c>
      <c r="C1181" s="3">
        <f t="shared" si="36"/>
        <v>2021</v>
      </c>
      <c r="D1181" s="3">
        <f t="shared" si="37"/>
        <v>202103</v>
      </c>
      <c r="E1181" s="5" t="s">
        <v>3</v>
      </c>
      <c r="F1181" s="5" t="s">
        <v>9</v>
      </c>
      <c r="G1181" s="5" t="s">
        <v>21</v>
      </c>
      <c r="H1181">
        <v>17</v>
      </c>
      <c r="I1181" s="4">
        <v>83062</v>
      </c>
      <c r="J1181" s="4">
        <v>30821</v>
      </c>
    </row>
    <row r="1182" spans="2:10" x14ac:dyDescent="0.3">
      <c r="B1182" s="7">
        <v>44287</v>
      </c>
      <c r="C1182" s="3">
        <f t="shared" si="36"/>
        <v>2021</v>
      </c>
      <c r="D1182" s="3">
        <f t="shared" si="37"/>
        <v>202104</v>
      </c>
      <c r="E1182" s="5" t="s">
        <v>3</v>
      </c>
      <c r="F1182" s="5" t="s">
        <v>9</v>
      </c>
      <c r="G1182" s="5" t="s">
        <v>21</v>
      </c>
      <c r="H1182">
        <v>31</v>
      </c>
      <c r="I1182" s="4">
        <v>165943</v>
      </c>
      <c r="J1182" s="4">
        <v>56203</v>
      </c>
    </row>
    <row r="1183" spans="2:10" x14ac:dyDescent="0.3">
      <c r="B1183" s="7">
        <v>44317</v>
      </c>
      <c r="C1183" s="3">
        <f t="shared" si="36"/>
        <v>2021</v>
      </c>
      <c r="D1183" s="3">
        <f t="shared" si="37"/>
        <v>202105</v>
      </c>
      <c r="E1183" s="5" t="s">
        <v>3</v>
      </c>
      <c r="F1183" s="5" t="s">
        <v>9</v>
      </c>
      <c r="G1183" s="5" t="s">
        <v>21</v>
      </c>
      <c r="H1183">
        <v>39</v>
      </c>
      <c r="I1183" s="4">
        <v>213681</v>
      </c>
      <c r="J1183" s="4">
        <v>70707</v>
      </c>
    </row>
    <row r="1184" spans="2:10" x14ac:dyDescent="0.3">
      <c r="B1184" s="7">
        <v>44348</v>
      </c>
      <c r="C1184" s="3">
        <f t="shared" si="36"/>
        <v>2021</v>
      </c>
      <c r="D1184" s="3">
        <f t="shared" si="37"/>
        <v>202106</v>
      </c>
      <c r="E1184" s="5" t="s">
        <v>3</v>
      </c>
      <c r="F1184" s="5" t="s">
        <v>9</v>
      </c>
      <c r="G1184" s="5" t="s">
        <v>21</v>
      </c>
      <c r="H1184">
        <v>37</v>
      </c>
      <c r="I1184" s="4">
        <v>166241</v>
      </c>
      <c r="J1184" s="4">
        <v>67081</v>
      </c>
    </row>
    <row r="1185" spans="2:10" x14ac:dyDescent="0.3">
      <c r="B1185" s="7">
        <v>44378</v>
      </c>
      <c r="C1185" s="3">
        <f t="shared" si="36"/>
        <v>2021</v>
      </c>
      <c r="D1185" s="3">
        <f t="shared" si="37"/>
        <v>202107</v>
      </c>
      <c r="E1185" s="5" t="s">
        <v>3</v>
      </c>
      <c r="F1185" s="5" t="s">
        <v>9</v>
      </c>
      <c r="G1185" s="5" t="s">
        <v>21</v>
      </c>
      <c r="H1185">
        <v>39</v>
      </c>
      <c r="I1185" s="4">
        <v>135642</v>
      </c>
      <c r="J1185" s="4">
        <v>70707</v>
      </c>
    </row>
    <row r="1186" spans="2:10" x14ac:dyDescent="0.3">
      <c r="B1186" s="7">
        <v>44409</v>
      </c>
      <c r="C1186" s="3">
        <f t="shared" si="36"/>
        <v>2021</v>
      </c>
      <c r="D1186" s="3">
        <f t="shared" si="37"/>
        <v>202108</v>
      </c>
      <c r="E1186" s="5" t="s">
        <v>3</v>
      </c>
      <c r="F1186" s="5" t="s">
        <v>9</v>
      </c>
      <c r="G1186" s="5" t="s">
        <v>21</v>
      </c>
      <c r="H1186">
        <v>33</v>
      </c>
      <c r="I1186" s="4">
        <v>150051</v>
      </c>
      <c r="J1186" s="4">
        <v>59829</v>
      </c>
    </row>
    <row r="1187" spans="2:10" x14ac:dyDescent="0.3">
      <c r="B1187" s="7">
        <v>44440</v>
      </c>
      <c r="C1187" s="3">
        <f t="shared" si="36"/>
        <v>2021</v>
      </c>
      <c r="D1187" s="3">
        <f t="shared" si="37"/>
        <v>202109</v>
      </c>
      <c r="E1187" s="5" t="s">
        <v>3</v>
      </c>
      <c r="F1187" s="5" t="s">
        <v>9</v>
      </c>
      <c r="G1187" s="5" t="s">
        <v>21</v>
      </c>
      <c r="H1187">
        <v>35</v>
      </c>
      <c r="I1187" s="4">
        <v>158865</v>
      </c>
      <c r="J1187" s="4">
        <v>63455</v>
      </c>
    </row>
    <row r="1188" spans="2:10" x14ac:dyDescent="0.3">
      <c r="B1188" s="7">
        <v>44470</v>
      </c>
      <c r="C1188" s="3">
        <f t="shared" si="36"/>
        <v>2021</v>
      </c>
      <c r="D1188" s="3">
        <f t="shared" si="37"/>
        <v>202110</v>
      </c>
      <c r="E1188" s="5" t="s">
        <v>3</v>
      </c>
      <c r="F1188" s="5" t="s">
        <v>9</v>
      </c>
      <c r="G1188" s="5" t="s">
        <v>21</v>
      </c>
      <c r="H1188">
        <v>29</v>
      </c>
      <c r="I1188" s="4">
        <v>163908</v>
      </c>
      <c r="J1188" s="4">
        <v>52577</v>
      </c>
    </row>
    <row r="1189" spans="2:10" x14ac:dyDescent="0.3">
      <c r="B1189" s="7">
        <v>44501</v>
      </c>
      <c r="C1189" s="3">
        <f t="shared" si="36"/>
        <v>2021</v>
      </c>
      <c r="D1189" s="3">
        <f t="shared" si="37"/>
        <v>202111</v>
      </c>
      <c r="E1189" s="5" t="s">
        <v>3</v>
      </c>
      <c r="F1189" s="5" t="s">
        <v>9</v>
      </c>
      <c r="G1189" s="5" t="s">
        <v>21</v>
      </c>
      <c r="H1189">
        <v>21</v>
      </c>
      <c r="I1189" s="4">
        <v>106932</v>
      </c>
      <c r="J1189" s="4">
        <v>38073</v>
      </c>
    </row>
    <row r="1190" spans="2:10" x14ac:dyDescent="0.3">
      <c r="B1190" s="7">
        <v>44531</v>
      </c>
      <c r="C1190" s="3">
        <f t="shared" si="36"/>
        <v>2021</v>
      </c>
      <c r="D1190" s="3">
        <f t="shared" si="37"/>
        <v>202112</v>
      </c>
      <c r="E1190" s="5" t="s">
        <v>3</v>
      </c>
      <c r="F1190" s="5" t="s">
        <v>9</v>
      </c>
      <c r="G1190" s="5" t="s">
        <v>21</v>
      </c>
      <c r="H1190">
        <v>25</v>
      </c>
      <c r="I1190" s="4">
        <v>116950</v>
      </c>
      <c r="J1190" s="4">
        <v>45325</v>
      </c>
    </row>
    <row r="1191" spans="2:10" x14ac:dyDescent="0.3">
      <c r="B1191" s="7">
        <v>44562</v>
      </c>
      <c r="C1191" s="3">
        <f t="shared" si="36"/>
        <v>2022</v>
      </c>
      <c r="D1191" s="3">
        <f t="shared" si="37"/>
        <v>202201</v>
      </c>
      <c r="E1191" s="5" t="s">
        <v>3</v>
      </c>
      <c r="F1191" s="5" t="s">
        <v>9</v>
      </c>
      <c r="G1191" s="5" t="s">
        <v>21</v>
      </c>
      <c r="H1191">
        <v>36</v>
      </c>
      <c r="I1191" s="4">
        <v>175320</v>
      </c>
      <c r="J1191" s="4">
        <v>65268</v>
      </c>
    </row>
    <row r="1192" spans="2:10" x14ac:dyDescent="0.3">
      <c r="B1192" s="7">
        <v>44593</v>
      </c>
      <c r="C1192" s="3">
        <f t="shared" si="36"/>
        <v>2022</v>
      </c>
      <c r="D1192" s="3">
        <f t="shared" si="37"/>
        <v>202202</v>
      </c>
      <c r="E1192" s="5" t="s">
        <v>3</v>
      </c>
      <c r="F1192" s="5" t="s">
        <v>9</v>
      </c>
      <c r="G1192" s="5" t="s">
        <v>21</v>
      </c>
      <c r="H1192">
        <v>23</v>
      </c>
      <c r="I1192" s="4">
        <v>130203</v>
      </c>
      <c r="J1192" s="4">
        <v>41699</v>
      </c>
    </row>
    <row r="1193" spans="2:10" x14ac:dyDescent="0.3">
      <c r="B1193" s="7">
        <v>44621</v>
      </c>
      <c r="C1193" s="3">
        <f t="shared" si="36"/>
        <v>2022</v>
      </c>
      <c r="D1193" s="3">
        <f t="shared" si="37"/>
        <v>202203</v>
      </c>
      <c r="E1193" s="5" t="s">
        <v>3</v>
      </c>
      <c r="F1193" s="5" t="s">
        <v>9</v>
      </c>
      <c r="G1193" s="5" t="s">
        <v>21</v>
      </c>
      <c r="H1193">
        <v>18</v>
      </c>
      <c r="I1193" s="4">
        <v>75816</v>
      </c>
      <c r="J1193" s="4">
        <v>32634</v>
      </c>
    </row>
    <row r="1194" spans="2:10" x14ac:dyDescent="0.3">
      <c r="B1194" s="7">
        <v>44652</v>
      </c>
      <c r="C1194" s="3">
        <f t="shared" si="36"/>
        <v>2022</v>
      </c>
      <c r="D1194" s="3">
        <f t="shared" si="37"/>
        <v>202204</v>
      </c>
      <c r="E1194" s="5" t="s">
        <v>3</v>
      </c>
      <c r="F1194" s="5" t="s">
        <v>9</v>
      </c>
      <c r="G1194" s="5" t="s">
        <v>21</v>
      </c>
      <c r="H1194">
        <v>34</v>
      </c>
      <c r="I1194" s="4">
        <v>171768</v>
      </c>
      <c r="J1194" s="4">
        <v>61642</v>
      </c>
    </row>
    <row r="1195" spans="2:10" x14ac:dyDescent="0.3">
      <c r="B1195" s="7">
        <v>44682</v>
      </c>
      <c r="C1195" s="3">
        <f t="shared" si="36"/>
        <v>2022</v>
      </c>
      <c r="D1195" s="3">
        <f t="shared" si="37"/>
        <v>202205</v>
      </c>
      <c r="E1195" s="5" t="s">
        <v>3</v>
      </c>
      <c r="F1195" s="5" t="s">
        <v>9</v>
      </c>
      <c r="G1195" s="5" t="s">
        <v>21</v>
      </c>
      <c r="H1195">
        <v>43</v>
      </c>
      <c r="I1195" s="4">
        <v>236328</v>
      </c>
      <c r="J1195" s="4">
        <v>77959</v>
      </c>
    </row>
    <row r="1196" spans="2:10" x14ac:dyDescent="0.3">
      <c r="B1196" s="7">
        <v>44713</v>
      </c>
      <c r="C1196" s="3">
        <f t="shared" si="36"/>
        <v>2022</v>
      </c>
      <c r="D1196" s="3">
        <f t="shared" si="37"/>
        <v>202206</v>
      </c>
      <c r="E1196" s="5" t="s">
        <v>3</v>
      </c>
      <c r="F1196" s="5" t="s">
        <v>9</v>
      </c>
      <c r="G1196" s="5" t="s">
        <v>21</v>
      </c>
      <c r="H1196">
        <v>40</v>
      </c>
      <c r="I1196" s="4">
        <v>203680</v>
      </c>
      <c r="J1196" s="4">
        <v>72520</v>
      </c>
    </row>
    <row r="1197" spans="2:10" x14ac:dyDescent="0.3">
      <c r="B1197" s="7">
        <v>44743</v>
      </c>
      <c r="C1197" s="3">
        <f t="shared" si="36"/>
        <v>2022</v>
      </c>
      <c r="D1197" s="3">
        <f t="shared" si="37"/>
        <v>202207</v>
      </c>
      <c r="E1197" s="5" t="s">
        <v>3</v>
      </c>
      <c r="F1197" s="5" t="s">
        <v>9</v>
      </c>
      <c r="G1197" s="5" t="s">
        <v>21</v>
      </c>
      <c r="H1197">
        <v>43</v>
      </c>
      <c r="I1197" s="4">
        <v>132741</v>
      </c>
      <c r="J1197" s="4">
        <v>77959</v>
      </c>
    </row>
    <row r="1198" spans="2:10" x14ac:dyDescent="0.3">
      <c r="B1198" s="7">
        <v>44774</v>
      </c>
      <c r="C1198" s="3">
        <f t="shared" si="36"/>
        <v>2022</v>
      </c>
      <c r="D1198" s="3">
        <f t="shared" si="37"/>
        <v>202208</v>
      </c>
      <c r="E1198" s="5" t="s">
        <v>3</v>
      </c>
      <c r="F1198" s="5" t="s">
        <v>9</v>
      </c>
      <c r="G1198" s="5" t="s">
        <v>21</v>
      </c>
      <c r="H1198">
        <v>36</v>
      </c>
      <c r="I1198" s="4">
        <v>157140</v>
      </c>
      <c r="J1198" s="4">
        <v>65268</v>
      </c>
    </row>
    <row r="1199" spans="2:10" x14ac:dyDescent="0.3">
      <c r="B1199" s="7">
        <v>44805</v>
      </c>
      <c r="C1199" s="3">
        <f t="shared" si="36"/>
        <v>2022</v>
      </c>
      <c r="D1199" s="3">
        <f t="shared" si="37"/>
        <v>202209</v>
      </c>
      <c r="E1199" s="5" t="s">
        <v>3</v>
      </c>
      <c r="F1199" s="5" t="s">
        <v>9</v>
      </c>
      <c r="G1199" s="5" t="s">
        <v>21</v>
      </c>
      <c r="H1199">
        <v>38</v>
      </c>
      <c r="I1199" s="4">
        <v>149834</v>
      </c>
      <c r="J1199" s="4">
        <v>68894</v>
      </c>
    </row>
    <row r="1200" spans="2:10" x14ac:dyDescent="0.3">
      <c r="B1200" s="7">
        <v>44835</v>
      </c>
      <c r="C1200" s="3">
        <f t="shared" si="36"/>
        <v>2022</v>
      </c>
      <c r="D1200" s="3">
        <f t="shared" si="37"/>
        <v>202210</v>
      </c>
      <c r="E1200" s="5" t="s">
        <v>3</v>
      </c>
      <c r="F1200" s="5" t="s">
        <v>9</v>
      </c>
      <c r="G1200" s="5" t="s">
        <v>21</v>
      </c>
      <c r="H1200">
        <v>31</v>
      </c>
      <c r="I1200" s="4">
        <v>176111</v>
      </c>
      <c r="J1200" s="4">
        <v>56203</v>
      </c>
    </row>
    <row r="1201" spans="2:10" x14ac:dyDescent="0.3">
      <c r="B1201" s="7">
        <v>44866</v>
      </c>
      <c r="C1201" s="3">
        <f t="shared" si="36"/>
        <v>2022</v>
      </c>
      <c r="D1201" s="3">
        <f t="shared" si="37"/>
        <v>202211</v>
      </c>
      <c r="E1201" s="5" t="s">
        <v>3</v>
      </c>
      <c r="F1201" s="5" t="s">
        <v>9</v>
      </c>
      <c r="G1201" s="5" t="s">
        <v>21</v>
      </c>
      <c r="H1201">
        <v>23</v>
      </c>
      <c r="I1201" s="4">
        <v>110515</v>
      </c>
      <c r="J1201" s="4">
        <v>41699</v>
      </c>
    </row>
    <row r="1202" spans="2:10" x14ac:dyDescent="0.3">
      <c r="B1202" s="7">
        <v>44896</v>
      </c>
      <c r="C1202" s="3">
        <f t="shared" si="36"/>
        <v>2022</v>
      </c>
      <c r="D1202" s="3">
        <f t="shared" si="37"/>
        <v>202212</v>
      </c>
      <c r="E1202" s="5" t="s">
        <v>3</v>
      </c>
      <c r="F1202" s="5" t="s">
        <v>9</v>
      </c>
      <c r="G1202" s="5" t="s">
        <v>21</v>
      </c>
      <c r="H1202">
        <v>27</v>
      </c>
      <c r="I1202" s="4">
        <v>111132</v>
      </c>
      <c r="J1202" s="4">
        <v>48951</v>
      </c>
    </row>
    <row r="1203" spans="2:10" x14ac:dyDescent="0.3">
      <c r="B1203" s="7">
        <v>44197</v>
      </c>
      <c r="C1203" s="3">
        <f t="shared" si="36"/>
        <v>2021</v>
      </c>
      <c r="D1203" s="3">
        <f t="shared" si="37"/>
        <v>202101</v>
      </c>
      <c r="E1203" s="5" t="s">
        <v>3</v>
      </c>
      <c r="F1203" s="5" t="s">
        <v>9</v>
      </c>
      <c r="G1203" s="5" t="s">
        <v>22</v>
      </c>
      <c r="H1203">
        <v>26</v>
      </c>
      <c r="I1203" s="4">
        <v>95602</v>
      </c>
      <c r="J1203" s="4">
        <v>29900</v>
      </c>
    </row>
    <row r="1204" spans="2:10" x14ac:dyDescent="0.3">
      <c r="B1204" s="7">
        <v>44228</v>
      </c>
      <c r="C1204" s="3">
        <f t="shared" si="36"/>
        <v>2021</v>
      </c>
      <c r="D1204" s="3">
        <f t="shared" si="37"/>
        <v>202102</v>
      </c>
      <c r="E1204" s="5" t="s">
        <v>3</v>
      </c>
      <c r="F1204" s="5" t="s">
        <v>9</v>
      </c>
      <c r="G1204" s="5" t="s">
        <v>22</v>
      </c>
      <c r="H1204">
        <v>16</v>
      </c>
      <c r="I1204" s="4">
        <v>70912</v>
      </c>
      <c r="J1204" s="4">
        <v>18400</v>
      </c>
    </row>
    <row r="1205" spans="2:10" x14ac:dyDescent="0.3">
      <c r="B1205" s="7">
        <v>44256</v>
      </c>
      <c r="C1205" s="3">
        <f t="shared" si="36"/>
        <v>2021</v>
      </c>
      <c r="D1205" s="3">
        <f t="shared" si="37"/>
        <v>202103</v>
      </c>
      <c r="E1205" s="5" t="s">
        <v>3</v>
      </c>
      <c r="F1205" s="5" t="s">
        <v>9</v>
      </c>
      <c r="G1205" s="5" t="s">
        <v>22</v>
      </c>
      <c r="H1205">
        <v>13</v>
      </c>
      <c r="I1205" s="4">
        <v>44408</v>
      </c>
      <c r="J1205" s="4">
        <v>14950</v>
      </c>
    </row>
    <row r="1206" spans="2:10" x14ac:dyDescent="0.3">
      <c r="B1206" s="7">
        <v>44287</v>
      </c>
      <c r="C1206" s="3">
        <f t="shared" si="36"/>
        <v>2021</v>
      </c>
      <c r="D1206" s="3">
        <f t="shared" si="37"/>
        <v>202104</v>
      </c>
      <c r="E1206" s="5" t="s">
        <v>3</v>
      </c>
      <c r="F1206" s="5" t="s">
        <v>9</v>
      </c>
      <c r="G1206" s="5" t="s">
        <v>22</v>
      </c>
      <c r="H1206">
        <v>24</v>
      </c>
      <c r="I1206" s="4">
        <v>96264</v>
      </c>
      <c r="J1206" s="4">
        <v>27600</v>
      </c>
    </row>
    <row r="1207" spans="2:10" x14ac:dyDescent="0.3">
      <c r="B1207" s="7">
        <v>44317</v>
      </c>
      <c r="C1207" s="3">
        <f t="shared" si="36"/>
        <v>2021</v>
      </c>
      <c r="D1207" s="3">
        <f t="shared" si="37"/>
        <v>202105</v>
      </c>
      <c r="E1207" s="5" t="s">
        <v>3</v>
      </c>
      <c r="F1207" s="5" t="s">
        <v>9</v>
      </c>
      <c r="G1207" s="5" t="s">
        <v>22</v>
      </c>
      <c r="H1207">
        <v>30</v>
      </c>
      <c r="I1207" s="4">
        <v>131790</v>
      </c>
      <c r="J1207" s="4">
        <v>34500</v>
      </c>
    </row>
    <row r="1208" spans="2:10" x14ac:dyDescent="0.3">
      <c r="B1208" s="7">
        <v>44348</v>
      </c>
      <c r="C1208" s="3">
        <f t="shared" si="36"/>
        <v>2021</v>
      </c>
      <c r="D1208" s="3">
        <f t="shared" si="37"/>
        <v>202106</v>
      </c>
      <c r="E1208" s="5" t="s">
        <v>3</v>
      </c>
      <c r="F1208" s="5" t="s">
        <v>9</v>
      </c>
      <c r="G1208" s="5" t="s">
        <v>22</v>
      </c>
      <c r="H1208">
        <v>29</v>
      </c>
      <c r="I1208" s="4">
        <v>113158</v>
      </c>
      <c r="J1208" s="4">
        <v>33350</v>
      </c>
    </row>
    <row r="1209" spans="2:10" x14ac:dyDescent="0.3">
      <c r="B1209" s="7">
        <v>44378</v>
      </c>
      <c r="C1209" s="3">
        <f t="shared" si="36"/>
        <v>2021</v>
      </c>
      <c r="D1209" s="3">
        <f t="shared" si="37"/>
        <v>202107</v>
      </c>
      <c r="E1209" s="5" t="s">
        <v>3</v>
      </c>
      <c r="F1209" s="5" t="s">
        <v>9</v>
      </c>
      <c r="G1209" s="5" t="s">
        <v>22</v>
      </c>
      <c r="H1209">
        <v>30</v>
      </c>
      <c r="I1209" s="4">
        <v>57570</v>
      </c>
      <c r="J1209" s="4">
        <v>34500</v>
      </c>
    </row>
    <row r="1210" spans="2:10" x14ac:dyDescent="0.3">
      <c r="B1210" s="7">
        <v>44409</v>
      </c>
      <c r="C1210" s="3">
        <f t="shared" si="36"/>
        <v>2021</v>
      </c>
      <c r="D1210" s="3">
        <f t="shared" si="37"/>
        <v>202108</v>
      </c>
      <c r="E1210" s="5" t="s">
        <v>3</v>
      </c>
      <c r="F1210" s="5" t="s">
        <v>9</v>
      </c>
      <c r="G1210" s="5" t="s">
        <v>22</v>
      </c>
      <c r="H1210">
        <v>26</v>
      </c>
      <c r="I1210" s="4">
        <v>87152</v>
      </c>
      <c r="J1210" s="4">
        <v>29900</v>
      </c>
    </row>
    <row r="1211" spans="2:10" x14ac:dyDescent="0.3">
      <c r="B1211" s="7">
        <v>44440</v>
      </c>
      <c r="C1211" s="3">
        <f t="shared" si="36"/>
        <v>2021</v>
      </c>
      <c r="D1211" s="3">
        <f t="shared" si="37"/>
        <v>202109</v>
      </c>
      <c r="E1211" s="5" t="s">
        <v>3</v>
      </c>
      <c r="F1211" s="5" t="s">
        <v>9</v>
      </c>
      <c r="G1211" s="5" t="s">
        <v>22</v>
      </c>
      <c r="H1211">
        <v>27</v>
      </c>
      <c r="I1211" s="4">
        <v>85374</v>
      </c>
      <c r="J1211" s="4">
        <v>31050</v>
      </c>
    </row>
    <row r="1212" spans="2:10" x14ac:dyDescent="0.3">
      <c r="B1212" s="7">
        <v>44470</v>
      </c>
      <c r="C1212" s="3">
        <f t="shared" si="36"/>
        <v>2021</v>
      </c>
      <c r="D1212" s="3">
        <f t="shared" si="37"/>
        <v>202110</v>
      </c>
      <c r="E1212" s="5" t="s">
        <v>3</v>
      </c>
      <c r="F1212" s="5" t="s">
        <v>9</v>
      </c>
      <c r="G1212" s="5" t="s">
        <v>22</v>
      </c>
      <c r="H1212">
        <v>23</v>
      </c>
      <c r="I1212" s="4">
        <v>91701</v>
      </c>
      <c r="J1212" s="4">
        <v>26450</v>
      </c>
    </row>
    <row r="1213" spans="2:10" x14ac:dyDescent="0.3">
      <c r="B1213" s="7">
        <v>44501</v>
      </c>
      <c r="C1213" s="3">
        <f t="shared" si="36"/>
        <v>2021</v>
      </c>
      <c r="D1213" s="3">
        <f t="shared" si="37"/>
        <v>202111</v>
      </c>
      <c r="E1213" s="5" t="s">
        <v>3</v>
      </c>
      <c r="F1213" s="5" t="s">
        <v>9</v>
      </c>
      <c r="G1213" s="5" t="s">
        <v>22</v>
      </c>
      <c r="H1213">
        <v>16</v>
      </c>
      <c r="I1213" s="4">
        <v>66576</v>
      </c>
      <c r="J1213" s="4">
        <v>18400</v>
      </c>
    </row>
    <row r="1214" spans="2:10" x14ac:dyDescent="0.3">
      <c r="B1214" s="7">
        <v>44531</v>
      </c>
      <c r="C1214" s="3">
        <f t="shared" si="36"/>
        <v>2021</v>
      </c>
      <c r="D1214" s="3">
        <f t="shared" si="37"/>
        <v>202112</v>
      </c>
      <c r="E1214" s="5" t="s">
        <v>3</v>
      </c>
      <c r="F1214" s="5" t="s">
        <v>9</v>
      </c>
      <c r="G1214" s="5" t="s">
        <v>22</v>
      </c>
      <c r="H1214">
        <v>19</v>
      </c>
      <c r="I1214" s="4">
        <v>61028</v>
      </c>
      <c r="J1214" s="4">
        <v>21850</v>
      </c>
    </row>
    <row r="1215" spans="2:10" x14ac:dyDescent="0.3">
      <c r="B1215" s="7">
        <v>44562</v>
      </c>
      <c r="C1215" s="3">
        <f t="shared" si="36"/>
        <v>2022</v>
      </c>
      <c r="D1215" s="3">
        <f t="shared" si="37"/>
        <v>202201</v>
      </c>
      <c r="E1215" s="5" t="s">
        <v>3</v>
      </c>
      <c r="F1215" s="5" t="s">
        <v>9</v>
      </c>
      <c r="G1215" s="5" t="s">
        <v>22</v>
      </c>
      <c r="H1215">
        <v>28</v>
      </c>
      <c r="I1215" s="4">
        <v>103376</v>
      </c>
      <c r="J1215" s="4">
        <v>32200</v>
      </c>
    </row>
    <row r="1216" spans="2:10" x14ac:dyDescent="0.3">
      <c r="B1216" s="7">
        <v>44593</v>
      </c>
      <c r="C1216" s="3">
        <f t="shared" si="36"/>
        <v>2022</v>
      </c>
      <c r="D1216" s="3">
        <f t="shared" si="37"/>
        <v>202202</v>
      </c>
      <c r="E1216" s="5" t="s">
        <v>3</v>
      </c>
      <c r="F1216" s="5" t="s">
        <v>9</v>
      </c>
      <c r="G1216" s="5" t="s">
        <v>22</v>
      </c>
      <c r="H1216">
        <v>18</v>
      </c>
      <c r="I1216" s="4">
        <v>73890</v>
      </c>
      <c r="J1216" s="4">
        <v>20700</v>
      </c>
    </row>
    <row r="1217" spans="2:10" x14ac:dyDescent="0.3">
      <c r="B1217" s="7">
        <v>44621</v>
      </c>
      <c r="C1217" s="3">
        <f t="shared" si="36"/>
        <v>2022</v>
      </c>
      <c r="D1217" s="3">
        <f t="shared" si="37"/>
        <v>202203</v>
      </c>
      <c r="E1217" s="5" t="s">
        <v>3</v>
      </c>
      <c r="F1217" s="5" t="s">
        <v>9</v>
      </c>
      <c r="G1217" s="5" t="s">
        <v>22</v>
      </c>
      <c r="H1217">
        <v>14</v>
      </c>
      <c r="I1217" s="4">
        <v>47530</v>
      </c>
      <c r="J1217" s="4">
        <v>16100</v>
      </c>
    </row>
    <row r="1218" spans="2:10" x14ac:dyDescent="0.3">
      <c r="B1218" s="7">
        <v>44652</v>
      </c>
      <c r="C1218" s="3">
        <f t="shared" si="36"/>
        <v>2022</v>
      </c>
      <c r="D1218" s="3">
        <f t="shared" si="37"/>
        <v>202204</v>
      </c>
      <c r="E1218" s="5" t="s">
        <v>3</v>
      </c>
      <c r="F1218" s="5" t="s">
        <v>9</v>
      </c>
      <c r="G1218" s="5" t="s">
        <v>22</v>
      </c>
      <c r="H1218">
        <v>26</v>
      </c>
      <c r="I1218" s="4">
        <v>105430</v>
      </c>
      <c r="J1218" s="4">
        <v>29900</v>
      </c>
    </row>
    <row r="1219" spans="2:10" x14ac:dyDescent="0.3">
      <c r="B1219" s="7">
        <v>44682</v>
      </c>
      <c r="C1219" s="3">
        <f t="shared" ref="C1219:C1282" si="38">YEAR(B1219)</f>
        <v>2022</v>
      </c>
      <c r="D1219" s="3">
        <f t="shared" ref="D1219:D1282" si="39">VALUE(TEXT(B1219,"ГГГГММ"))</f>
        <v>202205</v>
      </c>
      <c r="E1219" s="5" t="s">
        <v>3</v>
      </c>
      <c r="F1219" s="5" t="s">
        <v>9</v>
      </c>
      <c r="G1219" s="5" t="s">
        <v>22</v>
      </c>
      <c r="H1219">
        <v>33</v>
      </c>
      <c r="I1219" s="4">
        <v>138138</v>
      </c>
      <c r="J1219" s="4">
        <v>37950</v>
      </c>
    </row>
    <row r="1220" spans="2:10" x14ac:dyDescent="0.3">
      <c r="B1220" s="7">
        <v>44713</v>
      </c>
      <c r="C1220" s="3">
        <f t="shared" si="38"/>
        <v>2022</v>
      </c>
      <c r="D1220" s="3">
        <f t="shared" si="39"/>
        <v>202206</v>
      </c>
      <c r="E1220" s="5" t="s">
        <v>3</v>
      </c>
      <c r="F1220" s="5" t="s">
        <v>9</v>
      </c>
      <c r="G1220" s="5" t="s">
        <v>22</v>
      </c>
      <c r="H1220">
        <v>32</v>
      </c>
      <c r="I1220" s="4">
        <v>110080</v>
      </c>
      <c r="J1220" s="4">
        <v>36800</v>
      </c>
    </row>
    <row r="1221" spans="2:10" x14ac:dyDescent="0.3">
      <c r="B1221" s="7">
        <v>44743</v>
      </c>
      <c r="C1221" s="3">
        <f t="shared" si="38"/>
        <v>2022</v>
      </c>
      <c r="D1221" s="3">
        <f t="shared" si="39"/>
        <v>202207</v>
      </c>
      <c r="E1221" s="5" t="s">
        <v>3</v>
      </c>
      <c r="F1221" s="5" t="s">
        <v>9</v>
      </c>
      <c r="G1221" s="5" t="s">
        <v>22</v>
      </c>
      <c r="H1221">
        <v>33</v>
      </c>
      <c r="I1221" s="4">
        <v>71544</v>
      </c>
      <c r="J1221" s="4">
        <v>37950</v>
      </c>
    </row>
    <row r="1222" spans="2:10" x14ac:dyDescent="0.3">
      <c r="B1222" s="7">
        <v>44774</v>
      </c>
      <c r="C1222" s="3">
        <f t="shared" si="38"/>
        <v>2022</v>
      </c>
      <c r="D1222" s="3">
        <f t="shared" si="39"/>
        <v>202208</v>
      </c>
      <c r="E1222" s="5" t="s">
        <v>3</v>
      </c>
      <c r="F1222" s="5" t="s">
        <v>9</v>
      </c>
      <c r="G1222" s="5" t="s">
        <v>22</v>
      </c>
      <c r="H1222">
        <v>28</v>
      </c>
      <c r="I1222" s="4">
        <v>104776</v>
      </c>
      <c r="J1222" s="4">
        <v>32200</v>
      </c>
    </row>
    <row r="1223" spans="2:10" x14ac:dyDescent="0.3">
      <c r="B1223" s="7">
        <v>44805</v>
      </c>
      <c r="C1223" s="3">
        <f t="shared" si="38"/>
        <v>2022</v>
      </c>
      <c r="D1223" s="3">
        <f t="shared" si="39"/>
        <v>202209</v>
      </c>
      <c r="E1223" s="5" t="s">
        <v>3</v>
      </c>
      <c r="F1223" s="5" t="s">
        <v>9</v>
      </c>
      <c r="G1223" s="5" t="s">
        <v>22</v>
      </c>
      <c r="H1223">
        <v>30</v>
      </c>
      <c r="I1223" s="4">
        <v>97380</v>
      </c>
      <c r="J1223" s="4">
        <v>34500</v>
      </c>
    </row>
    <row r="1224" spans="2:10" x14ac:dyDescent="0.3">
      <c r="B1224" s="7">
        <v>44835</v>
      </c>
      <c r="C1224" s="3">
        <f t="shared" si="38"/>
        <v>2022</v>
      </c>
      <c r="D1224" s="3">
        <f t="shared" si="39"/>
        <v>202210</v>
      </c>
      <c r="E1224" s="5" t="s">
        <v>3</v>
      </c>
      <c r="F1224" s="5" t="s">
        <v>9</v>
      </c>
      <c r="G1224" s="5" t="s">
        <v>22</v>
      </c>
      <c r="H1224">
        <v>25</v>
      </c>
      <c r="I1224" s="4">
        <v>111325</v>
      </c>
      <c r="J1224" s="4">
        <v>28750</v>
      </c>
    </row>
    <row r="1225" spans="2:10" x14ac:dyDescent="0.3">
      <c r="B1225" s="7">
        <v>44866</v>
      </c>
      <c r="C1225" s="3">
        <f t="shared" si="38"/>
        <v>2022</v>
      </c>
      <c r="D1225" s="3">
        <f t="shared" si="39"/>
        <v>202211</v>
      </c>
      <c r="E1225" s="5" t="s">
        <v>3</v>
      </c>
      <c r="F1225" s="5" t="s">
        <v>9</v>
      </c>
      <c r="G1225" s="5" t="s">
        <v>22</v>
      </c>
      <c r="H1225">
        <v>18</v>
      </c>
      <c r="I1225" s="4">
        <v>63612</v>
      </c>
      <c r="J1225" s="4">
        <v>20700</v>
      </c>
    </row>
    <row r="1226" spans="2:10" x14ac:dyDescent="0.3">
      <c r="B1226" s="7">
        <v>44896</v>
      </c>
      <c r="C1226" s="3">
        <f t="shared" si="38"/>
        <v>2022</v>
      </c>
      <c r="D1226" s="3">
        <f t="shared" si="39"/>
        <v>202212</v>
      </c>
      <c r="E1226" s="5" t="s">
        <v>3</v>
      </c>
      <c r="F1226" s="5" t="s">
        <v>9</v>
      </c>
      <c r="G1226" s="5" t="s">
        <v>22</v>
      </c>
      <c r="H1226">
        <v>21</v>
      </c>
      <c r="I1226" s="4">
        <v>65541</v>
      </c>
      <c r="J1226" s="4">
        <v>24150</v>
      </c>
    </row>
    <row r="1227" spans="2:10" x14ac:dyDescent="0.3">
      <c r="B1227" s="7">
        <v>44197</v>
      </c>
      <c r="C1227" s="3">
        <f t="shared" si="38"/>
        <v>2021</v>
      </c>
      <c r="D1227" s="3">
        <f t="shared" si="39"/>
        <v>202101</v>
      </c>
      <c r="E1227" s="5" t="s">
        <v>3</v>
      </c>
      <c r="F1227" s="5" t="s">
        <v>9</v>
      </c>
      <c r="G1227" s="5" t="s">
        <v>23</v>
      </c>
      <c r="H1227">
        <v>33</v>
      </c>
      <c r="I1227" s="4">
        <v>138171</v>
      </c>
      <c r="J1227" s="4">
        <v>44022</v>
      </c>
    </row>
    <row r="1228" spans="2:10" x14ac:dyDescent="0.3">
      <c r="B1228" s="7">
        <v>44228</v>
      </c>
      <c r="C1228" s="3">
        <f t="shared" si="38"/>
        <v>2021</v>
      </c>
      <c r="D1228" s="3">
        <f t="shared" si="39"/>
        <v>202102</v>
      </c>
      <c r="E1228" s="5" t="s">
        <v>3</v>
      </c>
      <c r="F1228" s="5" t="s">
        <v>9</v>
      </c>
      <c r="G1228" s="5" t="s">
        <v>23</v>
      </c>
      <c r="H1228">
        <v>21</v>
      </c>
      <c r="I1228" s="4">
        <v>92799</v>
      </c>
      <c r="J1228" s="4">
        <v>28014</v>
      </c>
    </row>
    <row r="1229" spans="2:10" x14ac:dyDescent="0.3">
      <c r="B1229" s="7">
        <v>44256</v>
      </c>
      <c r="C1229" s="3">
        <f t="shared" si="38"/>
        <v>2021</v>
      </c>
      <c r="D1229" s="3">
        <f t="shared" si="39"/>
        <v>202103</v>
      </c>
      <c r="E1229" s="5" t="s">
        <v>3</v>
      </c>
      <c r="F1229" s="5" t="s">
        <v>9</v>
      </c>
      <c r="G1229" s="5" t="s">
        <v>23</v>
      </c>
      <c r="H1229">
        <v>17</v>
      </c>
      <c r="I1229" s="4">
        <v>66062</v>
      </c>
      <c r="J1229" s="4">
        <v>22678</v>
      </c>
    </row>
    <row r="1230" spans="2:10" x14ac:dyDescent="0.3">
      <c r="B1230" s="7">
        <v>44287</v>
      </c>
      <c r="C1230" s="3">
        <f t="shared" si="38"/>
        <v>2021</v>
      </c>
      <c r="D1230" s="3">
        <f t="shared" si="39"/>
        <v>202104</v>
      </c>
      <c r="E1230" s="5" t="s">
        <v>3</v>
      </c>
      <c r="F1230" s="5" t="s">
        <v>9</v>
      </c>
      <c r="G1230" s="5" t="s">
        <v>23</v>
      </c>
      <c r="H1230">
        <v>31</v>
      </c>
      <c r="I1230" s="4">
        <v>155744</v>
      </c>
      <c r="J1230" s="4">
        <v>41354</v>
      </c>
    </row>
    <row r="1231" spans="2:10" x14ac:dyDescent="0.3">
      <c r="B1231" s="7">
        <v>44317</v>
      </c>
      <c r="C1231" s="3">
        <f t="shared" si="38"/>
        <v>2021</v>
      </c>
      <c r="D1231" s="3">
        <f t="shared" si="39"/>
        <v>202105</v>
      </c>
      <c r="E1231" s="5" t="s">
        <v>3</v>
      </c>
      <c r="F1231" s="5" t="s">
        <v>9</v>
      </c>
      <c r="G1231" s="5" t="s">
        <v>23</v>
      </c>
      <c r="H1231">
        <v>39</v>
      </c>
      <c r="I1231" s="4">
        <v>198978</v>
      </c>
      <c r="J1231" s="4">
        <v>52026</v>
      </c>
    </row>
    <row r="1232" spans="2:10" x14ac:dyDescent="0.3">
      <c r="B1232" s="7">
        <v>44348</v>
      </c>
      <c r="C1232" s="3">
        <f t="shared" si="38"/>
        <v>2021</v>
      </c>
      <c r="D1232" s="3">
        <f t="shared" si="39"/>
        <v>202106</v>
      </c>
      <c r="E1232" s="5" t="s">
        <v>3</v>
      </c>
      <c r="F1232" s="5" t="s">
        <v>9</v>
      </c>
      <c r="G1232" s="5" t="s">
        <v>23</v>
      </c>
      <c r="H1232">
        <v>37</v>
      </c>
      <c r="I1232" s="4">
        <v>167129</v>
      </c>
      <c r="J1232" s="4">
        <v>49358</v>
      </c>
    </row>
    <row r="1233" spans="2:10" x14ac:dyDescent="0.3">
      <c r="B1233" s="7">
        <v>44378</v>
      </c>
      <c r="C1233" s="3">
        <f t="shared" si="38"/>
        <v>2021</v>
      </c>
      <c r="D1233" s="3">
        <f t="shared" si="39"/>
        <v>202107</v>
      </c>
      <c r="E1233" s="5" t="s">
        <v>3</v>
      </c>
      <c r="F1233" s="5" t="s">
        <v>9</v>
      </c>
      <c r="G1233" s="5" t="s">
        <v>23</v>
      </c>
      <c r="H1233">
        <v>39</v>
      </c>
      <c r="I1233" s="4">
        <v>120861</v>
      </c>
      <c r="J1233" s="4">
        <v>52026</v>
      </c>
    </row>
    <row r="1234" spans="2:10" x14ac:dyDescent="0.3">
      <c r="B1234" s="7">
        <v>44409</v>
      </c>
      <c r="C1234" s="3">
        <f t="shared" si="38"/>
        <v>2021</v>
      </c>
      <c r="D1234" s="3">
        <f t="shared" si="39"/>
        <v>202108</v>
      </c>
      <c r="E1234" s="5" t="s">
        <v>3</v>
      </c>
      <c r="F1234" s="5" t="s">
        <v>9</v>
      </c>
      <c r="G1234" s="5" t="s">
        <v>23</v>
      </c>
      <c r="H1234">
        <v>33</v>
      </c>
      <c r="I1234" s="4">
        <v>111276</v>
      </c>
      <c r="J1234" s="4">
        <v>44022</v>
      </c>
    </row>
    <row r="1235" spans="2:10" x14ac:dyDescent="0.3">
      <c r="B1235" s="7">
        <v>44440</v>
      </c>
      <c r="C1235" s="3">
        <f t="shared" si="38"/>
        <v>2021</v>
      </c>
      <c r="D1235" s="3">
        <f t="shared" si="39"/>
        <v>202109</v>
      </c>
      <c r="E1235" s="5" t="s">
        <v>3</v>
      </c>
      <c r="F1235" s="5" t="s">
        <v>9</v>
      </c>
      <c r="G1235" s="5" t="s">
        <v>23</v>
      </c>
      <c r="H1235">
        <v>35</v>
      </c>
      <c r="I1235" s="4">
        <v>134050</v>
      </c>
      <c r="J1235" s="4">
        <v>46690</v>
      </c>
    </row>
    <row r="1236" spans="2:10" x14ac:dyDescent="0.3">
      <c r="B1236" s="7">
        <v>44470</v>
      </c>
      <c r="C1236" s="3">
        <f t="shared" si="38"/>
        <v>2021</v>
      </c>
      <c r="D1236" s="3">
        <f t="shared" si="39"/>
        <v>202110</v>
      </c>
      <c r="E1236" s="5" t="s">
        <v>3</v>
      </c>
      <c r="F1236" s="5" t="s">
        <v>9</v>
      </c>
      <c r="G1236" s="5" t="s">
        <v>23</v>
      </c>
      <c r="H1236">
        <v>29</v>
      </c>
      <c r="I1236" s="4">
        <v>132356</v>
      </c>
      <c r="J1236" s="4">
        <v>38686</v>
      </c>
    </row>
    <row r="1237" spans="2:10" x14ac:dyDescent="0.3">
      <c r="B1237" s="7">
        <v>44501</v>
      </c>
      <c r="C1237" s="3">
        <f t="shared" si="38"/>
        <v>2021</v>
      </c>
      <c r="D1237" s="3">
        <f t="shared" si="39"/>
        <v>202111</v>
      </c>
      <c r="E1237" s="5" t="s">
        <v>3</v>
      </c>
      <c r="F1237" s="5" t="s">
        <v>9</v>
      </c>
      <c r="G1237" s="5" t="s">
        <v>23</v>
      </c>
      <c r="H1237">
        <v>21</v>
      </c>
      <c r="I1237" s="4">
        <v>88158</v>
      </c>
      <c r="J1237" s="4">
        <v>28014</v>
      </c>
    </row>
    <row r="1238" spans="2:10" x14ac:dyDescent="0.3">
      <c r="B1238" s="7">
        <v>44531</v>
      </c>
      <c r="C1238" s="3">
        <f t="shared" si="38"/>
        <v>2021</v>
      </c>
      <c r="D1238" s="3">
        <f t="shared" si="39"/>
        <v>202112</v>
      </c>
      <c r="E1238" s="5" t="s">
        <v>3</v>
      </c>
      <c r="F1238" s="5" t="s">
        <v>9</v>
      </c>
      <c r="G1238" s="5" t="s">
        <v>23</v>
      </c>
      <c r="H1238">
        <v>25</v>
      </c>
      <c r="I1238" s="4">
        <v>97000</v>
      </c>
      <c r="J1238" s="4">
        <v>33350</v>
      </c>
    </row>
    <row r="1239" spans="2:10" x14ac:dyDescent="0.3">
      <c r="B1239" s="7">
        <v>44562</v>
      </c>
      <c r="C1239" s="3">
        <f t="shared" si="38"/>
        <v>2022</v>
      </c>
      <c r="D1239" s="3">
        <f t="shared" si="39"/>
        <v>202201</v>
      </c>
      <c r="E1239" s="5" t="s">
        <v>3</v>
      </c>
      <c r="F1239" s="5" t="s">
        <v>9</v>
      </c>
      <c r="G1239" s="5" t="s">
        <v>23</v>
      </c>
      <c r="H1239">
        <v>36</v>
      </c>
      <c r="I1239" s="4">
        <v>140148</v>
      </c>
      <c r="J1239" s="4">
        <v>48024</v>
      </c>
    </row>
    <row r="1240" spans="2:10" x14ac:dyDescent="0.3">
      <c r="B1240" s="7">
        <v>44593</v>
      </c>
      <c r="C1240" s="3">
        <f t="shared" si="38"/>
        <v>2022</v>
      </c>
      <c r="D1240" s="3">
        <f t="shared" si="39"/>
        <v>202202</v>
      </c>
      <c r="E1240" s="5" t="s">
        <v>3</v>
      </c>
      <c r="F1240" s="5" t="s">
        <v>9</v>
      </c>
      <c r="G1240" s="5" t="s">
        <v>23</v>
      </c>
      <c r="H1240">
        <v>23</v>
      </c>
      <c r="I1240" s="4">
        <v>103753</v>
      </c>
      <c r="J1240" s="4">
        <v>30682</v>
      </c>
    </row>
    <row r="1241" spans="2:10" x14ac:dyDescent="0.3">
      <c r="B1241" s="7">
        <v>44621</v>
      </c>
      <c r="C1241" s="3">
        <f t="shared" si="38"/>
        <v>2022</v>
      </c>
      <c r="D1241" s="3">
        <f t="shared" si="39"/>
        <v>202203</v>
      </c>
      <c r="E1241" s="5" t="s">
        <v>3</v>
      </c>
      <c r="F1241" s="5" t="s">
        <v>9</v>
      </c>
      <c r="G1241" s="5" t="s">
        <v>23</v>
      </c>
      <c r="H1241">
        <v>18</v>
      </c>
      <c r="I1241" s="4">
        <v>61146</v>
      </c>
      <c r="J1241" s="4">
        <v>24012</v>
      </c>
    </row>
    <row r="1242" spans="2:10" x14ac:dyDescent="0.3">
      <c r="B1242" s="7">
        <v>44652</v>
      </c>
      <c r="C1242" s="3">
        <f t="shared" si="38"/>
        <v>2022</v>
      </c>
      <c r="D1242" s="3">
        <f t="shared" si="39"/>
        <v>202204</v>
      </c>
      <c r="E1242" s="5" t="s">
        <v>3</v>
      </c>
      <c r="F1242" s="5" t="s">
        <v>9</v>
      </c>
      <c r="G1242" s="5" t="s">
        <v>23</v>
      </c>
      <c r="H1242">
        <v>34</v>
      </c>
      <c r="I1242" s="4">
        <v>166940</v>
      </c>
      <c r="J1242" s="4">
        <v>45356</v>
      </c>
    </row>
    <row r="1243" spans="2:10" x14ac:dyDescent="0.3">
      <c r="B1243" s="7">
        <v>44682</v>
      </c>
      <c r="C1243" s="3">
        <f t="shared" si="38"/>
        <v>2022</v>
      </c>
      <c r="D1243" s="3">
        <f t="shared" si="39"/>
        <v>202205</v>
      </c>
      <c r="E1243" s="5" t="s">
        <v>3</v>
      </c>
      <c r="F1243" s="5" t="s">
        <v>9</v>
      </c>
      <c r="G1243" s="5" t="s">
        <v>23</v>
      </c>
      <c r="H1243">
        <v>43</v>
      </c>
      <c r="I1243" s="4">
        <v>203046</v>
      </c>
      <c r="J1243" s="4">
        <v>57362</v>
      </c>
    </row>
    <row r="1244" spans="2:10" x14ac:dyDescent="0.3">
      <c r="B1244" s="7">
        <v>44713</v>
      </c>
      <c r="C1244" s="3">
        <f t="shared" si="38"/>
        <v>2022</v>
      </c>
      <c r="D1244" s="3">
        <f t="shared" si="39"/>
        <v>202206</v>
      </c>
      <c r="E1244" s="5" t="s">
        <v>3</v>
      </c>
      <c r="F1244" s="5" t="s">
        <v>9</v>
      </c>
      <c r="G1244" s="5" t="s">
        <v>23</v>
      </c>
      <c r="H1244">
        <v>41</v>
      </c>
      <c r="I1244" s="4">
        <v>166583</v>
      </c>
      <c r="J1244" s="4">
        <v>54694</v>
      </c>
    </row>
    <row r="1245" spans="2:10" x14ac:dyDescent="0.3">
      <c r="B1245" s="7">
        <v>44743</v>
      </c>
      <c r="C1245" s="3">
        <f t="shared" si="38"/>
        <v>2022</v>
      </c>
      <c r="D1245" s="3">
        <f t="shared" si="39"/>
        <v>202207</v>
      </c>
      <c r="E1245" s="5" t="s">
        <v>3</v>
      </c>
      <c r="F1245" s="5" t="s">
        <v>9</v>
      </c>
      <c r="G1245" s="5" t="s">
        <v>23</v>
      </c>
      <c r="H1245">
        <v>43</v>
      </c>
      <c r="I1245" s="4">
        <v>129086</v>
      </c>
      <c r="J1245" s="4">
        <v>57362</v>
      </c>
    </row>
    <row r="1246" spans="2:10" x14ac:dyDescent="0.3">
      <c r="B1246" s="7">
        <v>44774</v>
      </c>
      <c r="C1246" s="3">
        <f t="shared" si="38"/>
        <v>2022</v>
      </c>
      <c r="D1246" s="3">
        <f t="shared" si="39"/>
        <v>202208</v>
      </c>
      <c r="E1246" s="5" t="s">
        <v>3</v>
      </c>
      <c r="F1246" s="5" t="s">
        <v>9</v>
      </c>
      <c r="G1246" s="5" t="s">
        <v>23</v>
      </c>
      <c r="H1246">
        <v>36</v>
      </c>
      <c r="I1246" s="4">
        <v>129168</v>
      </c>
      <c r="J1246" s="4">
        <v>48024</v>
      </c>
    </row>
    <row r="1247" spans="2:10" x14ac:dyDescent="0.3">
      <c r="B1247" s="7">
        <v>44805</v>
      </c>
      <c r="C1247" s="3">
        <f t="shared" si="38"/>
        <v>2022</v>
      </c>
      <c r="D1247" s="3">
        <f t="shared" si="39"/>
        <v>202209</v>
      </c>
      <c r="E1247" s="5" t="s">
        <v>3</v>
      </c>
      <c r="F1247" s="5" t="s">
        <v>9</v>
      </c>
      <c r="G1247" s="5" t="s">
        <v>23</v>
      </c>
      <c r="H1247">
        <v>38</v>
      </c>
      <c r="I1247" s="4">
        <v>151658</v>
      </c>
      <c r="J1247" s="4">
        <v>50692</v>
      </c>
    </row>
    <row r="1248" spans="2:10" x14ac:dyDescent="0.3">
      <c r="B1248" s="7">
        <v>44835</v>
      </c>
      <c r="C1248" s="3">
        <f t="shared" si="38"/>
        <v>2022</v>
      </c>
      <c r="D1248" s="3">
        <f t="shared" si="39"/>
        <v>202210</v>
      </c>
      <c r="E1248" s="5" t="s">
        <v>3</v>
      </c>
      <c r="F1248" s="5" t="s">
        <v>9</v>
      </c>
      <c r="G1248" s="5" t="s">
        <v>23</v>
      </c>
      <c r="H1248">
        <v>32</v>
      </c>
      <c r="I1248" s="4">
        <v>137888</v>
      </c>
      <c r="J1248" s="4">
        <v>42688</v>
      </c>
    </row>
    <row r="1249" spans="2:10" x14ac:dyDescent="0.3">
      <c r="B1249" s="7">
        <v>44866</v>
      </c>
      <c r="C1249" s="3">
        <f t="shared" si="38"/>
        <v>2022</v>
      </c>
      <c r="D1249" s="3">
        <f t="shared" si="39"/>
        <v>202211</v>
      </c>
      <c r="E1249" s="5" t="s">
        <v>3</v>
      </c>
      <c r="F1249" s="5" t="s">
        <v>9</v>
      </c>
      <c r="G1249" s="5" t="s">
        <v>23</v>
      </c>
      <c r="H1249">
        <v>23</v>
      </c>
      <c r="I1249" s="4">
        <v>101154</v>
      </c>
      <c r="J1249" s="4">
        <v>30682</v>
      </c>
    </row>
    <row r="1250" spans="2:10" x14ac:dyDescent="0.3">
      <c r="B1250" s="7">
        <v>44896</v>
      </c>
      <c r="C1250" s="3">
        <f t="shared" si="38"/>
        <v>2022</v>
      </c>
      <c r="D1250" s="3">
        <f t="shared" si="39"/>
        <v>202212</v>
      </c>
      <c r="E1250" s="5" t="s">
        <v>3</v>
      </c>
      <c r="F1250" s="5" t="s">
        <v>9</v>
      </c>
      <c r="G1250" s="5" t="s">
        <v>23</v>
      </c>
      <c r="H1250">
        <v>27</v>
      </c>
      <c r="I1250" s="4">
        <v>97551</v>
      </c>
      <c r="J1250" s="4">
        <v>36018</v>
      </c>
    </row>
    <row r="1251" spans="2:10" x14ac:dyDescent="0.3">
      <c r="B1251" s="7">
        <v>44197</v>
      </c>
      <c r="C1251" s="3">
        <f t="shared" si="38"/>
        <v>2021</v>
      </c>
      <c r="D1251" s="3">
        <f t="shared" si="39"/>
        <v>202101</v>
      </c>
      <c r="E1251" s="5" t="s">
        <v>3</v>
      </c>
      <c r="F1251" s="5" t="s">
        <v>9</v>
      </c>
      <c r="G1251" s="5" t="s">
        <v>24</v>
      </c>
      <c r="H1251">
        <v>27</v>
      </c>
      <c r="I1251" s="4">
        <v>149499</v>
      </c>
      <c r="J1251" s="4">
        <v>54432</v>
      </c>
    </row>
    <row r="1252" spans="2:10" x14ac:dyDescent="0.3">
      <c r="B1252" s="7">
        <v>44228</v>
      </c>
      <c r="C1252" s="3">
        <f t="shared" si="38"/>
        <v>2021</v>
      </c>
      <c r="D1252" s="3">
        <f t="shared" si="39"/>
        <v>202102</v>
      </c>
      <c r="E1252" s="5" t="s">
        <v>3</v>
      </c>
      <c r="F1252" s="5" t="s">
        <v>9</v>
      </c>
      <c r="G1252" s="5" t="s">
        <v>24</v>
      </c>
      <c r="H1252">
        <v>17</v>
      </c>
      <c r="I1252" s="4">
        <v>101252</v>
      </c>
      <c r="J1252" s="4">
        <v>34272</v>
      </c>
    </row>
    <row r="1253" spans="2:10" x14ac:dyDescent="0.3">
      <c r="B1253" s="7">
        <v>44256</v>
      </c>
      <c r="C1253" s="3">
        <f t="shared" si="38"/>
        <v>2021</v>
      </c>
      <c r="D1253" s="3">
        <f t="shared" si="39"/>
        <v>202103</v>
      </c>
      <c r="E1253" s="5" t="s">
        <v>3</v>
      </c>
      <c r="F1253" s="5" t="s">
        <v>9</v>
      </c>
      <c r="G1253" s="5" t="s">
        <v>24</v>
      </c>
      <c r="H1253">
        <v>14</v>
      </c>
      <c r="I1253" s="4">
        <v>59976</v>
      </c>
      <c r="J1253" s="4">
        <v>28224</v>
      </c>
    </row>
    <row r="1254" spans="2:10" x14ac:dyDescent="0.3">
      <c r="B1254" s="7">
        <v>44287</v>
      </c>
      <c r="C1254" s="3">
        <f t="shared" si="38"/>
        <v>2021</v>
      </c>
      <c r="D1254" s="3">
        <f t="shared" si="39"/>
        <v>202104</v>
      </c>
      <c r="E1254" s="5" t="s">
        <v>3</v>
      </c>
      <c r="F1254" s="5" t="s">
        <v>9</v>
      </c>
      <c r="G1254" s="5" t="s">
        <v>24</v>
      </c>
      <c r="H1254">
        <v>26</v>
      </c>
      <c r="I1254" s="4">
        <v>149162</v>
      </c>
      <c r="J1254" s="4">
        <v>52416</v>
      </c>
    </row>
    <row r="1255" spans="2:10" x14ac:dyDescent="0.3">
      <c r="B1255" s="7">
        <v>44317</v>
      </c>
      <c r="C1255" s="3">
        <f t="shared" si="38"/>
        <v>2021</v>
      </c>
      <c r="D1255" s="3">
        <f t="shared" si="39"/>
        <v>202105</v>
      </c>
      <c r="E1255" s="5" t="s">
        <v>3</v>
      </c>
      <c r="F1255" s="5" t="s">
        <v>9</v>
      </c>
      <c r="G1255" s="5" t="s">
        <v>24</v>
      </c>
      <c r="H1255">
        <v>32</v>
      </c>
      <c r="I1255" s="4">
        <v>185472</v>
      </c>
      <c r="J1255" s="4">
        <v>64512</v>
      </c>
    </row>
    <row r="1256" spans="2:10" x14ac:dyDescent="0.3">
      <c r="B1256" s="7">
        <v>44348</v>
      </c>
      <c r="C1256" s="3">
        <f t="shared" si="38"/>
        <v>2021</v>
      </c>
      <c r="D1256" s="3">
        <f t="shared" si="39"/>
        <v>202106</v>
      </c>
      <c r="E1256" s="5" t="s">
        <v>3</v>
      </c>
      <c r="F1256" s="5" t="s">
        <v>9</v>
      </c>
      <c r="G1256" s="5" t="s">
        <v>24</v>
      </c>
      <c r="H1256">
        <v>31</v>
      </c>
      <c r="I1256" s="4">
        <v>175770</v>
      </c>
      <c r="J1256" s="4">
        <v>62496</v>
      </c>
    </row>
    <row r="1257" spans="2:10" x14ac:dyDescent="0.3">
      <c r="B1257" s="7">
        <v>44378</v>
      </c>
      <c r="C1257" s="3">
        <f t="shared" si="38"/>
        <v>2021</v>
      </c>
      <c r="D1257" s="3">
        <f t="shared" si="39"/>
        <v>202107</v>
      </c>
      <c r="E1257" s="5" t="s">
        <v>3</v>
      </c>
      <c r="F1257" s="5" t="s">
        <v>9</v>
      </c>
      <c r="G1257" s="5" t="s">
        <v>24</v>
      </c>
      <c r="H1257">
        <v>32</v>
      </c>
      <c r="I1257" s="4">
        <v>122560</v>
      </c>
      <c r="J1257" s="4">
        <v>64512</v>
      </c>
    </row>
    <row r="1258" spans="2:10" x14ac:dyDescent="0.3">
      <c r="B1258" s="7">
        <v>44409</v>
      </c>
      <c r="C1258" s="3">
        <f t="shared" si="38"/>
        <v>2021</v>
      </c>
      <c r="D1258" s="3">
        <f t="shared" si="39"/>
        <v>202108</v>
      </c>
      <c r="E1258" s="5" t="s">
        <v>3</v>
      </c>
      <c r="F1258" s="5" t="s">
        <v>9</v>
      </c>
      <c r="G1258" s="5" t="s">
        <v>24</v>
      </c>
      <c r="H1258">
        <v>27</v>
      </c>
      <c r="I1258" s="4">
        <v>152280</v>
      </c>
      <c r="J1258" s="4">
        <v>54432</v>
      </c>
    </row>
    <row r="1259" spans="2:10" x14ac:dyDescent="0.3">
      <c r="B1259" s="7">
        <v>44440</v>
      </c>
      <c r="C1259" s="3">
        <f t="shared" si="38"/>
        <v>2021</v>
      </c>
      <c r="D1259" s="3">
        <f t="shared" si="39"/>
        <v>202109</v>
      </c>
      <c r="E1259" s="5" t="s">
        <v>3</v>
      </c>
      <c r="F1259" s="5" t="s">
        <v>9</v>
      </c>
      <c r="G1259" s="5" t="s">
        <v>24</v>
      </c>
      <c r="H1259">
        <v>29</v>
      </c>
      <c r="I1259" s="4">
        <v>145667</v>
      </c>
      <c r="J1259" s="4">
        <v>58464</v>
      </c>
    </row>
    <row r="1260" spans="2:10" x14ac:dyDescent="0.3">
      <c r="B1260" s="7">
        <v>44470</v>
      </c>
      <c r="C1260" s="3">
        <f t="shared" si="38"/>
        <v>2021</v>
      </c>
      <c r="D1260" s="3">
        <f t="shared" si="39"/>
        <v>202110</v>
      </c>
      <c r="E1260" s="5" t="s">
        <v>3</v>
      </c>
      <c r="F1260" s="5" t="s">
        <v>9</v>
      </c>
      <c r="G1260" s="5" t="s">
        <v>24</v>
      </c>
      <c r="H1260">
        <v>24</v>
      </c>
      <c r="I1260" s="4">
        <v>120144</v>
      </c>
      <c r="J1260" s="4">
        <v>48384</v>
      </c>
    </row>
    <row r="1261" spans="2:10" x14ac:dyDescent="0.3">
      <c r="B1261" s="7">
        <v>44501</v>
      </c>
      <c r="C1261" s="3">
        <f t="shared" si="38"/>
        <v>2021</v>
      </c>
      <c r="D1261" s="3">
        <f t="shared" si="39"/>
        <v>202111</v>
      </c>
      <c r="E1261" s="5" t="s">
        <v>3</v>
      </c>
      <c r="F1261" s="5" t="s">
        <v>9</v>
      </c>
      <c r="G1261" s="5" t="s">
        <v>24</v>
      </c>
      <c r="H1261">
        <v>17</v>
      </c>
      <c r="I1261" s="4">
        <v>99943</v>
      </c>
      <c r="J1261" s="4">
        <v>34272</v>
      </c>
    </row>
    <row r="1262" spans="2:10" x14ac:dyDescent="0.3">
      <c r="B1262" s="7">
        <v>44531</v>
      </c>
      <c r="C1262" s="3">
        <f t="shared" si="38"/>
        <v>2021</v>
      </c>
      <c r="D1262" s="3">
        <f t="shared" si="39"/>
        <v>202112</v>
      </c>
      <c r="E1262" s="5" t="s">
        <v>3</v>
      </c>
      <c r="F1262" s="5" t="s">
        <v>9</v>
      </c>
      <c r="G1262" s="5" t="s">
        <v>24</v>
      </c>
      <c r="H1262">
        <v>21</v>
      </c>
      <c r="I1262" s="4">
        <v>107856</v>
      </c>
      <c r="J1262" s="4">
        <v>42336</v>
      </c>
    </row>
    <row r="1263" spans="2:10" x14ac:dyDescent="0.3">
      <c r="B1263" s="7">
        <v>44562</v>
      </c>
      <c r="C1263" s="3">
        <f t="shared" si="38"/>
        <v>2022</v>
      </c>
      <c r="D1263" s="3">
        <f t="shared" si="39"/>
        <v>202201</v>
      </c>
      <c r="E1263" s="5" t="s">
        <v>3</v>
      </c>
      <c r="F1263" s="5" t="s">
        <v>9</v>
      </c>
      <c r="G1263" s="5" t="s">
        <v>24</v>
      </c>
      <c r="H1263">
        <v>30</v>
      </c>
      <c r="I1263" s="4">
        <v>161040</v>
      </c>
      <c r="J1263" s="4">
        <v>60480</v>
      </c>
    </row>
    <row r="1264" spans="2:10" x14ac:dyDescent="0.3">
      <c r="B1264" s="7">
        <v>44593</v>
      </c>
      <c r="C1264" s="3">
        <f t="shared" si="38"/>
        <v>2022</v>
      </c>
      <c r="D1264" s="3">
        <f t="shared" si="39"/>
        <v>202202</v>
      </c>
      <c r="E1264" s="5" t="s">
        <v>3</v>
      </c>
      <c r="F1264" s="5" t="s">
        <v>9</v>
      </c>
      <c r="G1264" s="5" t="s">
        <v>24</v>
      </c>
      <c r="H1264">
        <v>19</v>
      </c>
      <c r="I1264" s="4">
        <v>102486</v>
      </c>
      <c r="J1264" s="4">
        <v>38304</v>
      </c>
    </row>
    <row r="1265" spans="2:10" x14ac:dyDescent="0.3">
      <c r="B1265" s="7">
        <v>44621</v>
      </c>
      <c r="C1265" s="3">
        <f t="shared" si="38"/>
        <v>2022</v>
      </c>
      <c r="D1265" s="3">
        <f t="shared" si="39"/>
        <v>202203</v>
      </c>
      <c r="E1265" s="5" t="s">
        <v>3</v>
      </c>
      <c r="F1265" s="5" t="s">
        <v>9</v>
      </c>
      <c r="G1265" s="5" t="s">
        <v>24</v>
      </c>
      <c r="H1265">
        <v>15</v>
      </c>
      <c r="I1265" s="4">
        <v>75195</v>
      </c>
      <c r="J1265" s="4">
        <v>30240</v>
      </c>
    </row>
    <row r="1266" spans="2:10" x14ac:dyDescent="0.3">
      <c r="B1266" s="7">
        <v>44652</v>
      </c>
      <c r="C1266" s="3">
        <f t="shared" si="38"/>
        <v>2022</v>
      </c>
      <c r="D1266" s="3">
        <f t="shared" si="39"/>
        <v>202204</v>
      </c>
      <c r="E1266" s="5" t="s">
        <v>3</v>
      </c>
      <c r="F1266" s="5" t="s">
        <v>9</v>
      </c>
      <c r="G1266" s="5" t="s">
        <v>24</v>
      </c>
      <c r="H1266">
        <v>28</v>
      </c>
      <c r="I1266" s="4">
        <v>154812</v>
      </c>
      <c r="J1266" s="4">
        <v>56448</v>
      </c>
    </row>
    <row r="1267" spans="2:10" x14ac:dyDescent="0.3">
      <c r="B1267" s="7">
        <v>44682</v>
      </c>
      <c r="C1267" s="3">
        <f t="shared" si="38"/>
        <v>2022</v>
      </c>
      <c r="D1267" s="3">
        <f t="shared" si="39"/>
        <v>202205</v>
      </c>
      <c r="E1267" s="5" t="s">
        <v>3</v>
      </c>
      <c r="F1267" s="5" t="s">
        <v>9</v>
      </c>
      <c r="G1267" s="5" t="s">
        <v>24</v>
      </c>
      <c r="H1267">
        <v>36</v>
      </c>
      <c r="I1267" s="4">
        <v>239004</v>
      </c>
      <c r="J1267" s="4">
        <v>72576</v>
      </c>
    </row>
    <row r="1268" spans="2:10" x14ac:dyDescent="0.3">
      <c r="B1268" s="7">
        <v>44713</v>
      </c>
      <c r="C1268" s="3">
        <f t="shared" si="38"/>
        <v>2022</v>
      </c>
      <c r="D1268" s="3">
        <f t="shared" si="39"/>
        <v>202206</v>
      </c>
      <c r="E1268" s="5" t="s">
        <v>3</v>
      </c>
      <c r="F1268" s="5" t="s">
        <v>9</v>
      </c>
      <c r="G1268" s="5" t="s">
        <v>24</v>
      </c>
      <c r="H1268">
        <v>34</v>
      </c>
      <c r="I1268" s="4">
        <v>190332</v>
      </c>
      <c r="J1268" s="4">
        <v>68544</v>
      </c>
    </row>
    <row r="1269" spans="2:10" x14ac:dyDescent="0.3">
      <c r="B1269" s="7">
        <v>44743</v>
      </c>
      <c r="C1269" s="3">
        <f t="shared" si="38"/>
        <v>2022</v>
      </c>
      <c r="D1269" s="3">
        <f t="shared" si="39"/>
        <v>202207</v>
      </c>
      <c r="E1269" s="5" t="s">
        <v>3</v>
      </c>
      <c r="F1269" s="5" t="s">
        <v>9</v>
      </c>
      <c r="G1269" s="5" t="s">
        <v>24</v>
      </c>
      <c r="H1269">
        <v>36</v>
      </c>
      <c r="I1269" s="4">
        <v>147060</v>
      </c>
      <c r="J1269" s="4">
        <v>72576</v>
      </c>
    </row>
    <row r="1270" spans="2:10" x14ac:dyDescent="0.3">
      <c r="B1270" s="7">
        <v>44774</v>
      </c>
      <c r="C1270" s="3">
        <f t="shared" si="38"/>
        <v>2022</v>
      </c>
      <c r="D1270" s="3">
        <f t="shared" si="39"/>
        <v>202208</v>
      </c>
      <c r="E1270" s="5" t="s">
        <v>3</v>
      </c>
      <c r="F1270" s="5" t="s">
        <v>9</v>
      </c>
      <c r="G1270" s="5" t="s">
        <v>24</v>
      </c>
      <c r="H1270">
        <v>30</v>
      </c>
      <c r="I1270" s="4">
        <v>139260</v>
      </c>
      <c r="J1270" s="4">
        <v>60480</v>
      </c>
    </row>
    <row r="1271" spans="2:10" x14ac:dyDescent="0.3">
      <c r="B1271" s="7">
        <v>44805</v>
      </c>
      <c r="C1271" s="3">
        <f t="shared" si="38"/>
        <v>2022</v>
      </c>
      <c r="D1271" s="3">
        <f t="shared" si="39"/>
        <v>202209</v>
      </c>
      <c r="E1271" s="5" t="s">
        <v>3</v>
      </c>
      <c r="F1271" s="5" t="s">
        <v>9</v>
      </c>
      <c r="G1271" s="5" t="s">
        <v>24</v>
      </c>
      <c r="H1271">
        <v>32</v>
      </c>
      <c r="I1271" s="4">
        <v>167200</v>
      </c>
      <c r="J1271" s="4">
        <v>64512</v>
      </c>
    </row>
    <row r="1272" spans="2:10" x14ac:dyDescent="0.3">
      <c r="B1272" s="7">
        <v>44835</v>
      </c>
      <c r="C1272" s="3">
        <f t="shared" si="38"/>
        <v>2022</v>
      </c>
      <c r="D1272" s="3">
        <f t="shared" si="39"/>
        <v>202210</v>
      </c>
      <c r="E1272" s="5" t="s">
        <v>3</v>
      </c>
      <c r="F1272" s="5" t="s">
        <v>9</v>
      </c>
      <c r="G1272" s="5" t="s">
        <v>24</v>
      </c>
      <c r="H1272">
        <v>26</v>
      </c>
      <c r="I1272" s="4">
        <v>163202</v>
      </c>
      <c r="J1272" s="4">
        <v>52416</v>
      </c>
    </row>
    <row r="1273" spans="2:10" x14ac:dyDescent="0.3">
      <c r="B1273" s="7">
        <v>44866</v>
      </c>
      <c r="C1273" s="3">
        <f t="shared" si="38"/>
        <v>2022</v>
      </c>
      <c r="D1273" s="3">
        <f t="shared" si="39"/>
        <v>202211</v>
      </c>
      <c r="E1273" s="5" t="s">
        <v>3</v>
      </c>
      <c r="F1273" s="5" t="s">
        <v>9</v>
      </c>
      <c r="G1273" s="5" t="s">
        <v>24</v>
      </c>
      <c r="H1273">
        <v>19</v>
      </c>
      <c r="I1273" s="4">
        <v>104120</v>
      </c>
      <c r="J1273" s="4">
        <v>38304</v>
      </c>
    </row>
    <row r="1274" spans="2:10" x14ac:dyDescent="0.3">
      <c r="B1274" s="7">
        <v>44896</v>
      </c>
      <c r="C1274" s="3">
        <f t="shared" si="38"/>
        <v>2022</v>
      </c>
      <c r="D1274" s="3">
        <f t="shared" si="39"/>
        <v>202212</v>
      </c>
      <c r="E1274" s="5" t="s">
        <v>3</v>
      </c>
      <c r="F1274" s="5" t="s">
        <v>9</v>
      </c>
      <c r="G1274" s="5" t="s">
        <v>24</v>
      </c>
      <c r="H1274">
        <v>23</v>
      </c>
      <c r="I1274" s="4">
        <v>121302</v>
      </c>
      <c r="J1274" s="4">
        <v>46368</v>
      </c>
    </row>
    <row r="1275" spans="2:10" x14ac:dyDescent="0.3">
      <c r="B1275" s="7">
        <v>44197</v>
      </c>
      <c r="C1275" s="3">
        <f t="shared" si="38"/>
        <v>2021</v>
      </c>
      <c r="D1275" s="3">
        <f t="shared" si="39"/>
        <v>202101</v>
      </c>
      <c r="E1275" s="5" t="s">
        <v>3</v>
      </c>
      <c r="F1275" s="5" t="s">
        <v>9</v>
      </c>
      <c r="G1275" s="5" t="s">
        <v>25</v>
      </c>
      <c r="H1275">
        <v>25</v>
      </c>
      <c r="I1275" s="4">
        <v>67075</v>
      </c>
      <c r="J1275" s="4">
        <v>23375.000000000004</v>
      </c>
    </row>
    <row r="1276" spans="2:10" x14ac:dyDescent="0.3">
      <c r="B1276" s="7">
        <v>44228</v>
      </c>
      <c r="C1276" s="3">
        <f t="shared" si="38"/>
        <v>2021</v>
      </c>
      <c r="D1276" s="3">
        <f t="shared" si="39"/>
        <v>202102</v>
      </c>
      <c r="E1276" s="5" t="s">
        <v>3</v>
      </c>
      <c r="F1276" s="5" t="s">
        <v>9</v>
      </c>
      <c r="G1276" s="5" t="s">
        <v>25</v>
      </c>
      <c r="H1276">
        <v>16</v>
      </c>
      <c r="I1276" s="4">
        <v>44336</v>
      </c>
      <c r="J1276" s="4">
        <v>14960.000000000002</v>
      </c>
    </row>
    <row r="1277" spans="2:10" x14ac:dyDescent="0.3">
      <c r="B1277" s="7">
        <v>44256</v>
      </c>
      <c r="C1277" s="3">
        <f t="shared" si="38"/>
        <v>2021</v>
      </c>
      <c r="D1277" s="3">
        <f t="shared" si="39"/>
        <v>202103</v>
      </c>
      <c r="E1277" s="5" t="s">
        <v>3</v>
      </c>
      <c r="F1277" s="5" t="s">
        <v>9</v>
      </c>
      <c r="G1277" s="5" t="s">
        <v>25</v>
      </c>
      <c r="H1277">
        <v>13</v>
      </c>
      <c r="I1277" s="4">
        <v>29796</v>
      </c>
      <c r="J1277" s="4">
        <v>12155.000000000002</v>
      </c>
    </row>
    <row r="1278" spans="2:10" x14ac:dyDescent="0.3">
      <c r="B1278" s="7">
        <v>44287</v>
      </c>
      <c r="C1278" s="3">
        <f t="shared" si="38"/>
        <v>2021</v>
      </c>
      <c r="D1278" s="3">
        <f t="shared" si="39"/>
        <v>202104</v>
      </c>
      <c r="E1278" s="5" t="s">
        <v>3</v>
      </c>
      <c r="F1278" s="5" t="s">
        <v>9</v>
      </c>
      <c r="G1278" s="5" t="s">
        <v>25</v>
      </c>
      <c r="H1278">
        <v>23</v>
      </c>
      <c r="I1278" s="4">
        <v>75785</v>
      </c>
      <c r="J1278" s="4">
        <v>21505.000000000004</v>
      </c>
    </row>
    <row r="1279" spans="2:10" x14ac:dyDescent="0.3">
      <c r="B1279" s="7">
        <v>44317</v>
      </c>
      <c r="C1279" s="3">
        <f t="shared" si="38"/>
        <v>2021</v>
      </c>
      <c r="D1279" s="3">
        <f t="shared" si="39"/>
        <v>202105</v>
      </c>
      <c r="E1279" s="5" t="s">
        <v>3</v>
      </c>
      <c r="F1279" s="5" t="s">
        <v>9</v>
      </c>
      <c r="G1279" s="5" t="s">
        <v>25</v>
      </c>
      <c r="H1279">
        <v>29</v>
      </c>
      <c r="I1279" s="4">
        <v>101500</v>
      </c>
      <c r="J1279" s="4">
        <v>27115.000000000004</v>
      </c>
    </row>
    <row r="1280" spans="2:10" x14ac:dyDescent="0.3">
      <c r="B1280" s="7">
        <v>44348</v>
      </c>
      <c r="C1280" s="3">
        <f t="shared" si="38"/>
        <v>2021</v>
      </c>
      <c r="D1280" s="3">
        <f t="shared" si="39"/>
        <v>202106</v>
      </c>
      <c r="E1280" s="5" t="s">
        <v>3</v>
      </c>
      <c r="F1280" s="5" t="s">
        <v>9</v>
      </c>
      <c r="G1280" s="5" t="s">
        <v>25</v>
      </c>
      <c r="H1280">
        <v>28</v>
      </c>
      <c r="I1280" s="4">
        <v>88032</v>
      </c>
      <c r="J1280" s="4">
        <v>26180.000000000004</v>
      </c>
    </row>
    <row r="1281" spans="2:10" x14ac:dyDescent="0.3">
      <c r="B1281" s="7">
        <v>44378</v>
      </c>
      <c r="C1281" s="3">
        <f t="shared" si="38"/>
        <v>2021</v>
      </c>
      <c r="D1281" s="3">
        <f t="shared" si="39"/>
        <v>202107</v>
      </c>
      <c r="E1281" s="5" t="s">
        <v>3</v>
      </c>
      <c r="F1281" s="5" t="s">
        <v>9</v>
      </c>
      <c r="G1281" s="5" t="s">
        <v>25</v>
      </c>
      <c r="H1281">
        <v>29</v>
      </c>
      <c r="I1281" s="4">
        <v>30044</v>
      </c>
      <c r="J1281" s="4">
        <v>27115.000000000004</v>
      </c>
    </row>
    <row r="1282" spans="2:10" x14ac:dyDescent="0.3">
      <c r="B1282" s="7">
        <v>44409</v>
      </c>
      <c r="C1282" s="3">
        <f t="shared" si="38"/>
        <v>2021</v>
      </c>
      <c r="D1282" s="3">
        <f t="shared" si="39"/>
        <v>202108</v>
      </c>
      <c r="E1282" s="5" t="s">
        <v>3</v>
      </c>
      <c r="F1282" s="5" t="s">
        <v>9</v>
      </c>
      <c r="G1282" s="5" t="s">
        <v>25</v>
      </c>
      <c r="H1282">
        <v>25</v>
      </c>
      <c r="I1282" s="4">
        <v>56750</v>
      </c>
      <c r="J1282" s="4">
        <v>23375.000000000004</v>
      </c>
    </row>
    <row r="1283" spans="2:10" x14ac:dyDescent="0.3">
      <c r="B1283" s="7">
        <v>44440</v>
      </c>
      <c r="C1283" s="3">
        <f t="shared" ref="C1283:C1346" si="40">YEAR(B1283)</f>
        <v>2021</v>
      </c>
      <c r="D1283" s="3">
        <f t="shared" ref="D1283:D1346" si="41">VALUE(TEXT(B1283,"ГГГГММ"))</f>
        <v>202109</v>
      </c>
      <c r="E1283" s="5" t="s">
        <v>3</v>
      </c>
      <c r="F1283" s="5" t="s">
        <v>9</v>
      </c>
      <c r="G1283" s="5" t="s">
        <v>25</v>
      </c>
      <c r="H1283">
        <v>26</v>
      </c>
      <c r="I1283" s="4">
        <v>61178</v>
      </c>
      <c r="J1283" s="4">
        <v>24310.000000000004</v>
      </c>
    </row>
    <row r="1284" spans="2:10" x14ac:dyDescent="0.3">
      <c r="B1284" s="7">
        <v>44470</v>
      </c>
      <c r="C1284" s="3">
        <f t="shared" si="40"/>
        <v>2021</v>
      </c>
      <c r="D1284" s="3">
        <f t="shared" si="41"/>
        <v>202110</v>
      </c>
      <c r="E1284" s="5" t="s">
        <v>3</v>
      </c>
      <c r="F1284" s="5" t="s">
        <v>9</v>
      </c>
      <c r="G1284" s="5" t="s">
        <v>25</v>
      </c>
      <c r="H1284">
        <v>22</v>
      </c>
      <c r="I1284" s="4">
        <v>60390</v>
      </c>
      <c r="J1284" s="4">
        <v>20570.000000000004</v>
      </c>
    </row>
    <row r="1285" spans="2:10" x14ac:dyDescent="0.3">
      <c r="B1285" s="7">
        <v>44501</v>
      </c>
      <c r="C1285" s="3">
        <f t="shared" si="40"/>
        <v>2021</v>
      </c>
      <c r="D1285" s="3">
        <f t="shared" si="41"/>
        <v>202111</v>
      </c>
      <c r="E1285" s="5" t="s">
        <v>3</v>
      </c>
      <c r="F1285" s="5" t="s">
        <v>9</v>
      </c>
      <c r="G1285" s="5" t="s">
        <v>25</v>
      </c>
      <c r="H1285">
        <v>16</v>
      </c>
      <c r="I1285" s="4">
        <v>44288</v>
      </c>
      <c r="J1285" s="4">
        <v>14960.000000000002</v>
      </c>
    </row>
    <row r="1286" spans="2:10" x14ac:dyDescent="0.3">
      <c r="B1286" s="7">
        <v>44531</v>
      </c>
      <c r="C1286" s="3">
        <f t="shared" si="40"/>
        <v>2021</v>
      </c>
      <c r="D1286" s="3">
        <f t="shared" si="41"/>
        <v>202112</v>
      </c>
      <c r="E1286" s="5" t="s">
        <v>3</v>
      </c>
      <c r="F1286" s="5" t="s">
        <v>9</v>
      </c>
      <c r="G1286" s="5" t="s">
        <v>25</v>
      </c>
      <c r="H1286">
        <v>19</v>
      </c>
      <c r="I1286" s="4">
        <v>36898</v>
      </c>
      <c r="J1286" s="4">
        <v>17765.000000000004</v>
      </c>
    </row>
    <row r="1287" spans="2:10" x14ac:dyDescent="0.3">
      <c r="B1287" s="7">
        <v>44562</v>
      </c>
      <c r="C1287" s="3">
        <f t="shared" si="40"/>
        <v>2022</v>
      </c>
      <c r="D1287" s="3">
        <f t="shared" si="41"/>
        <v>202201</v>
      </c>
      <c r="E1287" s="5" t="s">
        <v>3</v>
      </c>
      <c r="F1287" s="5" t="s">
        <v>9</v>
      </c>
      <c r="G1287" s="5" t="s">
        <v>25</v>
      </c>
      <c r="H1287">
        <v>27</v>
      </c>
      <c r="I1287" s="4">
        <v>77058</v>
      </c>
      <c r="J1287" s="4">
        <v>25245.000000000004</v>
      </c>
    </row>
    <row r="1288" spans="2:10" x14ac:dyDescent="0.3">
      <c r="B1288" s="7">
        <v>44593</v>
      </c>
      <c r="C1288" s="3">
        <f t="shared" si="40"/>
        <v>2022</v>
      </c>
      <c r="D1288" s="3">
        <f t="shared" si="41"/>
        <v>202202</v>
      </c>
      <c r="E1288" s="5" t="s">
        <v>3</v>
      </c>
      <c r="F1288" s="5" t="s">
        <v>9</v>
      </c>
      <c r="G1288" s="5" t="s">
        <v>25</v>
      </c>
      <c r="H1288">
        <v>17</v>
      </c>
      <c r="I1288" s="4">
        <v>46954</v>
      </c>
      <c r="J1288" s="4">
        <v>15895.000000000002</v>
      </c>
    </row>
    <row r="1289" spans="2:10" x14ac:dyDescent="0.3">
      <c r="B1289" s="7">
        <v>44621</v>
      </c>
      <c r="C1289" s="3">
        <f t="shared" si="40"/>
        <v>2022</v>
      </c>
      <c r="D1289" s="3">
        <f t="shared" si="41"/>
        <v>202203</v>
      </c>
      <c r="E1289" s="5" t="s">
        <v>3</v>
      </c>
      <c r="F1289" s="5" t="s">
        <v>9</v>
      </c>
      <c r="G1289" s="5" t="s">
        <v>25</v>
      </c>
      <c r="H1289">
        <v>14</v>
      </c>
      <c r="I1289" s="4">
        <v>34454</v>
      </c>
      <c r="J1289" s="4">
        <v>13090.000000000002</v>
      </c>
    </row>
    <row r="1290" spans="2:10" x14ac:dyDescent="0.3">
      <c r="B1290" s="7">
        <v>44652</v>
      </c>
      <c r="C1290" s="3">
        <f t="shared" si="40"/>
        <v>2022</v>
      </c>
      <c r="D1290" s="3">
        <f t="shared" si="41"/>
        <v>202204</v>
      </c>
      <c r="E1290" s="5" t="s">
        <v>3</v>
      </c>
      <c r="F1290" s="5" t="s">
        <v>9</v>
      </c>
      <c r="G1290" s="5" t="s">
        <v>25</v>
      </c>
      <c r="H1290">
        <v>26</v>
      </c>
      <c r="I1290" s="4">
        <v>93990</v>
      </c>
      <c r="J1290" s="4">
        <v>24310.000000000004</v>
      </c>
    </row>
    <row r="1291" spans="2:10" x14ac:dyDescent="0.3">
      <c r="B1291" s="7">
        <v>44682</v>
      </c>
      <c r="C1291" s="3">
        <f t="shared" si="40"/>
        <v>2022</v>
      </c>
      <c r="D1291" s="3">
        <f t="shared" si="41"/>
        <v>202205</v>
      </c>
      <c r="E1291" s="5" t="s">
        <v>3</v>
      </c>
      <c r="F1291" s="5" t="s">
        <v>9</v>
      </c>
      <c r="G1291" s="5" t="s">
        <v>25</v>
      </c>
      <c r="H1291">
        <v>32</v>
      </c>
      <c r="I1291" s="4">
        <v>126688</v>
      </c>
      <c r="J1291" s="4">
        <v>29920.000000000004</v>
      </c>
    </row>
    <row r="1292" spans="2:10" x14ac:dyDescent="0.3">
      <c r="B1292" s="7">
        <v>44713</v>
      </c>
      <c r="C1292" s="3">
        <f t="shared" si="40"/>
        <v>2022</v>
      </c>
      <c r="D1292" s="3">
        <f t="shared" si="41"/>
        <v>202206</v>
      </c>
      <c r="E1292" s="5" t="s">
        <v>3</v>
      </c>
      <c r="F1292" s="5" t="s">
        <v>9</v>
      </c>
      <c r="G1292" s="5" t="s">
        <v>25</v>
      </c>
      <c r="H1292">
        <v>31</v>
      </c>
      <c r="I1292" s="4">
        <v>81282</v>
      </c>
      <c r="J1292" s="4">
        <v>28985.000000000004</v>
      </c>
    </row>
    <row r="1293" spans="2:10" x14ac:dyDescent="0.3">
      <c r="B1293" s="7">
        <v>44743</v>
      </c>
      <c r="C1293" s="3">
        <f t="shared" si="40"/>
        <v>2022</v>
      </c>
      <c r="D1293" s="3">
        <f t="shared" si="41"/>
        <v>202207</v>
      </c>
      <c r="E1293" s="5" t="s">
        <v>3</v>
      </c>
      <c r="F1293" s="5" t="s">
        <v>9</v>
      </c>
      <c r="G1293" s="5" t="s">
        <v>25</v>
      </c>
      <c r="H1293">
        <v>32</v>
      </c>
      <c r="I1293" s="4">
        <v>64224</v>
      </c>
      <c r="J1293" s="4">
        <v>29920.000000000004</v>
      </c>
    </row>
    <row r="1294" spans="2:10" x14ac:dyDescent="0.3">
      <c r="B1294" s="7">
        <v>44774</v>
      </c>
      <c r="C1294" s="3">
        <f t="shared" si="40"/>
        <v>2022</v>
      </c>
      <c r="D1294" s="3">
        <f t="shared" si="41"/>
        <v>202208</v>
      </c>
      <c r="E1294" s="5" t="s">
        <v>3</v>
      </c>
      <c r="F1294" s="5" t="s">
        <v>9</v>
      </c>
      <c r="G1294" s="5" t="s">
        <v>25</v>
      </c>
      <c r="H1294">
        <v>27</v>
      </c>
      <c r="I1294" s="4">
        <v>68337</v>
      </c>
      <c r="J1294" s="4">
        <v>25245.000000000004</v>
      </c>
    </row>
    <row r="1295" spans="2:10" x14ac:dyDescent="0.3">
      <c r="B1295" s="7">
        <v>44805</v>
      </c>
      <c r="C1295" s="3">
        <f t="shared" si="40"/>
        <v>2022</v>
      </c>
      <c r="D1295" s="3">
        <f t="shared" si="41"/>
        <v>202209</v>
      </c>
      <c r="E1295" s="5" t="s">
        <v>3</v>
      </c>
      <c r="F1295" s="5" t="s">
        <v>9</v>
      </c>
      <c r="G1295" s="5" t="s">
        <v>25</v>
      </c>
      <c r="H1295">
        <v>29</v>
      </c>
      <c r="I1295" s="4">
        <v>76328</v>
      </c>
      <c r="J1295" s="4">
        <v>27115.000000000004</v>
      </c>
    </row>
    <row r="1296" spans="2:10" x14ac:dyDescent="0.3">
      <c r="B1296" s="7">
        <v>44835</v>
      </c>
      <c r="C1296" s="3">
        <f t="shared" si="40"/>
        <v>2022</v>
      </c>
      <c r="D1296" s="3">
        <f t="shared" si="41"/>
        <v>202210</v>
      </c>
      <c r="E1296" s="5" t="s">
        <v>3</v>
      </c>
      <c r="F1296" s="5" t="s">
        <v>9</v>
      </c>
      <c r="G1296" s="5" t="s">
        <v>25</v>
      </c>
      <c r="H1296">
        <v>24</v>
      </c>
      <c r="I1296" s="4">
        <v>64032</v>
      </c>
      <c r="J1296" s="4">
        <v>22440.000000000004</v>
      </c>
    </row>
    <row r="1297" spans="2:10" x14ac:dyDescent="0.3">
      <c r="B1297" s="7">
        <v>44866</v>
      </c>
      <c r="C1297" s="3">
        <f t="shared" si="40"/>
        <v>2022</v>
      </c>
      <c r="D1297" s="3">
        <f t="shared" si="41"/>
        <v>202211</v>
      </c>
      <c r="E1297" s="5" t="s">
        <v>3</v>
      </c>
      <c r="F1297" s="5" t="s">
        <v>9</v>
      </c>
      <c r="G1297" s="5" t="s">
        <v>25</v>
      </c>
      <c r="H1297">
        <v>17</v>
      </c>
      <c r="I1297" s="4">
        <v>49487</v>
      </c>
      <c r="J1297" s="4">
        <v>15895.000000000002</v>
      </c>
    </row>
    <row r="1298" spans="2:10" x14ac:dyDescent="0.3">
      <c r="B1298" s="7">
        <v>44896</v>
      </c>
      <c r="C1298" s="3">
        <f t="shared" si="40"/>
        <v>2022</v>
      </c>
      <c r="D1298" s="3">
        <f t="shared" si="41"/>
        <v>202212</v>
      </c>
      <c r="E1298" s="5" t="s">
        <v>3</v>
      </c>
      <c r="F1298" s="5" t="s">
        <v>9</v>
      </c>
      <c r="G1298" s="5" t="s">
        <v>25</v>
      </c>
      <c r="H1298">
        <v>21</v>
      </c>
      <c r="I1298" s="4">
        <v>58002</v>
      </c>
      <c r="J1298" s="4">
        <v>19635.000000000004</v>
      </c>
    </row>
    <row r="1299" spans="2:10" x14ac:dyDescent="0.3">
      <c r="B1299" s="7">
        <v>44197</v>
      </c>
      <c r="C1299" s="3">
        <f t="shared" si="40"/>
        <v>2021</v>
      </c>
      <c r="D1299" s="3">
        <f t="shared" si="41"/>
        <v>202101</v>
      </c>
      <c r="E1299" s="5" t="s">
        <v>3</v>
      </c>
      <c r="F1299" s="5" t="s">
        <v>9</v>
      </c>
      <c r="G1299" s="5" t="s">
        <v>26</v>
      </c>
      <c r="H1299">
        <v>30</v>
      </c>
      <c r="I1299" s="4">
        <v>144690</v>
      </c>
      <c r="J1299" s="4">
        <v>59280</v>
      </c>
    </row>
    <row r="1300" spans="2:10" x14ac:dyDescent="0.3">
      <c r="B1300" s="7">
        <v>44228</v>
      </c>
      <c r="C1300" s="3">
        <f t="shared" si="40"/>
        <v>2021</v>
      </c>
      <c r="D1300" s="3">
        <f t="shared" si="41"/>
        <v>202102</v>
      </c>
      <c r="E1300" s="5" t="s">
        <v>3</v>
      </c>
      <c r="F1300" s="5" t="s">
        <v>9</v>
      </c>
      <c r="G1300" s="5" t="s">
        <v>26</v>
      </c>
      <c r="H1300">
        <v>19</v>
      </c>
      <c r="I1300" s="4">
        <v>103265</v>
      </c>
      <c r="J1300" s="4">
        <v>37544</v>
      </c>
    </row>
    <row r="1301" spans="2:10" x14ac:dyDescent="0.3">
      <c r="B1301" s="7">
        <v>44256</v>
      </c>
      <c r="C1301" s="3">
        <f t="shared" si="40"/>
        <v>2021</v>
      </c>
      <c r="D1301" s="3">
        <f t="shared" si="41"/>
        <v>202103</v>
      </c>
      <c r="E1301" s="5" t="s">
        <v>3</v>
      </c>
      <c r="F1301" s="5" t="s">
        <v>9</v>
      </c>
      <c r="G1301" s="5" t="s">
        <v>26</v>
      </c>
      <c r="H1301">
        <v>15</v>
      </c>
      <c r="I1301" s="4">
        <v>67110</v>
      </c>
      <c r="J1301" s="4">
        <v>29640</v>
      </c>
    </row>
    <row r="1302" spans="2:10" x14ac:dyDescent="0.3">
      <c r="B1302" s="7">
        <v>44287</v>
      </c>
      <c r="C1302" s="3">
        <f t="shared" si="40"/>
        <v>2021</v>
      </c>
      <c r="D1302" s="3">
        <f t="shared" si="41"/>
        <v>202104</v>
      </c>
      <c r="E1302" s="5" t="s">
        <v>3</v>
      </c>
      <c r="F1302" s="5" t="s">
        <v>9</v>
      </c>
      <c r="G1302" s="5" t="s">
        <v>26</v>
      </c>
      <c r="H1302">
        <v>29</v>
      </c>
      <c r="I1302" s="4">
        <v>178872</v>
      </c>
      <c r="J1302" s="4">
        <v>57304</v>
      </c>
    </row>
    <row r="1303" spans="2:10" x14ac:dyDescent="0.3">
      <c r="B1303" s="7">
        <v>44317</v>
      </c>
      <c r="C1303" s="3">
        <f t="shared" si="40"/>
        <v>2021</v>
      </c>
      <c r="D1303" s="3">
        <f t="shared" si="41"/>
        <v>202105</v>
      </c>
      <c r="E1303" s="5" t="s">
        <v>3</v>
      </c>
      <c r="F1303" s="5" t="s">
        <v>9</v>
      </c>
      <c r="G1303" s="5" t="s">
        <v>26</v>
      </c>
      <c r="H1303">
        <v>36</v>
      </c>
      <c r="I1303" s="4">
        <v>189000</v>
      </c>
      <c r="J1303" s="4">
        <v>71136</v>
      </c>
    </row>
    <row r="1304" spans="2:10" x14ac:dyDescent="0.3">
      <c r="B1304" s="7">
        <v>44348</v>
      </c>
      <c r="C1304" s="3">
        <f t="shared" si="40"/>
        <v>2021</v>
      </c>
      <c r="D1304" s="3">
        <f t="shared" si="41"/>
        <v>202106</v>
      </c>
      <c r="E1304" s="5" t="s">
        <v>3</v>
      </c>
      <c r="F1304" s="5" t="s">
        <v>9</v>
      </c>
      <c r="G1304" s="5" t="s">
        <v>26</v>
      </c>
      <c r="H1304">
        <v>34</v>
      </c>
      <c r="I1304" s="4">
        <v>167212</v>
      </c>
      <c r="J1304" s="4">
        <v>67184</v>
      </c>
    </row>
    <row r="1305" spans="2:10" x14ac:dyDescent="0.3">
      <c r="B1305" s="7">
        <v>44378</v>
      </c>
      <c r="C1305" s="3">
        <f t="shared" si="40"/>
        <v>2021</v>
      </c>
      <c r="D1305" s="3">
        <f t="shared" si="41"/>
        <v>202107</v>
      </c>
      <c r="E1305" s="5" t="s">
        <v>3</v>
      </c>
      <c r="F1305" s="5" t="s">
        <v>9</v>
      </c>
      <c r="G1305" s="5" t="s">
        <v>26</v>
      </c>
      <c r="H1305">
        <v>36</v>
      </c>
      <c r="I1305" s="4">
        <v>125964</v>
      </c>
      <c r="J1305" s="4">
        <v>71136</v>
      </c>
    </row>
    <row r="1306" spans="2:10" x14ac:dyDescent="0.3">
      <c r="B1306" s="7">
        <v>44409</v>
      </c>
      <c r="C1306" s="3">
        <f t="shared" si="40"/>
        <v>2021</v>
      </c>
      <c r="D1306" s="3">
        <f t="shared" si="41"/>
        <v>202108</v>
      </c>
      <c r="E1306" s="5" t="s">
        <v>3</v>
      </c>
      <c r="F1306" s="5" t="s">
        <v>9</v>
      </c>
      <c r="G1306" s="5" t="s">
        <v>26</v>
      </c>
      <c r="H1306">
        <v>30</v>
      </c>
      <c r="I1306" s="4">
        <v>153390</v>
      </c>
      <c r="J1306" s="4">
        <v>59280</v>
      </c>
    </row>
    <row r="1307" spans="2:10" x14ac:dyDescent="0.3">
      <c r="B1307" s="7">
        <v>44440</v>
      </c>
      <c r="C1307" s="3">
        <f t="shared" si="40"/>
        <v>2021</v>
      </c>
      <c r="D1307" s="3">
        <f t="shared" si="41"/>
        <v>202109</v>
      </c>
      <c r="E1307" s="5" t="s">
        <v>3</v>
      </c>
      <c r="F1307" s="5" t="s">
        <v>9</v>
      </c>
      <c r="G1307" s="5" t="s">
        <v>26</v>
      </c>
      <c r="H1307">
        <v>32</v>
      </c>
      <c r="I1307" s="4">
        <v>146112</v>
      </c>
      <c r="J1307" s="4">
        <v>63232</v>
      </c>
    </row>
    <row r="1308" spans="2:10" x14ac:dyDescent="0.3">
      <c r="B1308" s="7">
        <v>44470</v>
      </c>
      <c r="C1308" s="3">
        <f t="shared" si="40"/>
        <v>2021</v>
      </c>
      <c r="D1308" s="3">
        <f t="shared" si="41"/>
        <v>202110</v>
      </c>
      <c r="E1308" s="5" t="s">
        <v>3</v>
      </c>
      <c r="F1308" s="5" t="s">
        <v>9</v>
      </c>
      <c r="G1308" s="5" t="s">
        <v>26</v>
      </c>
      <c r="H1308">
        <v>27</v>
      </c>
      <c r="I1308" s="4">
        <v>139401</v>
      </c>
      <c r="J1308" s="4">
        <v>53352</v>
      </c>
    </row>
    <row r="1309" spans="2:10" x14ac:dyDescent="0.3">
      <c r="B1309" s="7">
        <v>44501</v>
      </c>
      <c r="C1309" s="3">
        <f t="shared" si="40"/>
        <v>2021</v>
      </c>
      <c r="D1309" s="3">
        <f t="shared" si="41"/>
        <v>202111</v>
      </c>
      <c r="E1309" s="5" t="s">
        <v>3</v>
      </c>
      <c r="F1309" s="5" t="s">
        <v>9</v>
      </c>
      <c r="G1309" s="5" t="s">
        <v>26</v>
      </c>
      <c r="H1309">
        <v>19</v>
      </c>
      <c r="I1309" s="4">
        <v>101232</v>
      </c>
      <c r="J1309" s="4">
        <v>37544</v>
      </c>
    </row>
    <row r="1310" spans="2:10" x14ac:dyDescent="0.3">
      <c r="B1310" s="7">
        <v>44531</v>
      </c>
      <c r="C1310" s="3">
        <f t="shared" si="40"/>
        <v>2021</v>
      </c>
      <c r="D1310" s="3">
        <f t="shared" si="41"/>
        <v>202112</v>
      </c>
      <c r="E1310" s="5" t="s">
        <v>3</v>
      </c>
      <c r="F1310" s="5" t="s">
        <v>9</v>
      </c>
      <c r="G1310" s="5" t="s">
        <v>26</v>
      </c>
      <c r="H1310">
        <v>23</v>
      </c>
      <c r="I1310" s="4">
        <v>110722</v>
      </c>
      <c r="J1310" s="4">
        <v>45448</v>
      </c>
    </row>
    <row r="1311" spans="2:10" x14ac:dyDescent="0.3">
      <c r="B1311" s="7">
        <v>44562</v>
      </c>
      <c r="C1311" s="3">
        <f t="shared" si="40"/>
        <v>2022</v>
      </c>
      <c r="D1311" s="3">
        <f t="shared" si="41"/>
        <v>202201</v>
      </c>
      <c r="E1311" s="5" t="s">
        <v>3</v>
      </c>
      <c r="F1311" s="5" t="s">
        <v>9</v>
      </c>
      <c r="G1311" s="5" t="s">
        <v>26</v>
      </c>
      <c r="H1311">
        <v>33</v>
      </c>
      <c r="I1311" s="4">
        <v>169488</v>
      </c>
      <c r="J1311" s="4">
        <v>65208</v>
      </c>
    </row>
    <row r="1312" spans="2:10" x14ac:dyDescent="0.3">
      <c r="B1312" s="7">
        <v>44593</v>
      </c>
      <c r="C1312" s="3">
        <f t="shared" si="40"/>
        <v>2022</v>
      </c>
      <c r="D1312" s="3">
        <f t="shared" si="41"/>
        <v>202202</v>
      </c>
      <c r="E1312" s="5" t="s">
        <v>3</v>
      </c>
      <c r="F1312" s="5" t="s">
        <v>9</v>
      </c>
      <c r="G1312" s="5" t="s">
        <v>26</v>
      </c>
      <c r="H1312">
        <v>21</v>
      </c>
      <c r="I1312" s="4">
        <v>117264</v>
      </c>
      <c r="J1312" s="4">
        <v>41496</v>
      </c>
    </row>
    <row r="1313" spans="2:10" x14ac:dyDescent="0.3">
      <c r="B1313" s="7">
        <v>44621</v>
      </c>
      <c r="C1313" s="3">
        <f t="shared" si="40"/>
        <v>2022</v>
      </c>
      <c r="D1313" s="3">
        <f t="shared" si="41"/>
        <v>202203</v>
      </c>
      <c r="E1313" s="5" t="s">
        <v>3</v>
      </c>
      <c r="F1313" s="5" t="s">
        <v>9</v>
      </c>
      <c r="G1313" s="5" t="s">
        <v>26</v>
      </c>
      <c r="H1313">
        <v>17</v>
      </c>
      <c r="I1313" s="4">
        <v>69224</v>
      </c>
      <c r="J1313" s="4">
        <v>33592</v>
      </c>
    </row>
    <row r="1314" spans="2:10" x14ac:dyDescent="0.3">
      <c r="B1314" s="7">
        <v>44652</v>
      </c>
      <c r="C1314" s="3">
        <f t="shared" si="40"/>
        <v>2022</v>
      </c>
      <c r="D1314" s="3">
        <f t="shared" si="41"/>
        <v>202204</v>
      </c>
      <c r="E1314" s="5" t="s">
        <v>3</v>
      </c>
      <c r="F1314" s="5" t="s">
        <v>9</v>
      </c>
      <c r="G1314" s="5" t="s">
        <v>26</v>
      </c>
      <c r="H1314">
        <v>31</v>
      </c>
      <c r="I1314" s="4">
        <v>156116</v>
      </c>
      <c r="J1314" s="4">
        <v>61256</v>
      </c>
    </row>
    <row r="1315" spans="2:10" x14ac:dyDescent="0.3">
      <c r="B1315" s="7">
        <v>44682</v>
      </c>
      <c r="C1315" s="3">
        <f t="shared" si="40"/>
        <v>2022</v>
      </c>
      <c r="D1315" s="3">
        <f t="shared" si="41"/>
        <v>202205</v>
      </c>
      <c r="E1315" s="5" t="s">
        <v>3</v>
      </c>
      <c r="F1315" s="5" t="s">
        <v>9</v>
      </c>
      <c r="G1315" s="5" t="s">
        <v>26</v>
      </c>
      <c r="H1315">
        <v>40</v>
      </c>
      <c r="I1315" s="4">
        <v>233960</v>
      </c>
      <c r="J1315" s="4">
        <v>79040</v>
      </c>
    </row>
    <row r="1316" spans="2:10" x14ac:dyDescent="0.3">
      <c r="B1316" s="7">
        <v>44713</v>
      </c>
      <c r="C1316" s="3">
        <f t="shared" si="40"/>
        <v>2022</v>
      </c>
      <c r="D1316" s="3">
        <f t="shared" si="41"/>
        <v>202206</v>
      </c>
      <c r="E1316" s="5" t="s">
        <v>3</v>
      </c>
      <c r="F1316" s="5" t="s">
        <v>9</v>
      </c>
      <c r="G1316" s="5" t="s">
        <v>26</v>
      </c>
      <c r="H1316">
        <v>38</v>
      </c>
      <c r="I1316" s="4">
        <v>221198</v>
      </c>
      <c r="J1316" s="4">
        <v>75088</v>
      </c>
    </row>
    <row r="1317" spans="2:10" x14ac:dyDescent="0.3">
      <c r="B1317" s="7">
        <v>44743</v>
      </c>
      <c r="C1317" s="3">
        <f t="shared" si="40"/>
        <v>2022</v>
      </c>
      <c r="D1317" s="3">
        <f t="shared" si="41"/>
        <v>202207</v>
      </c>
      <c r="E1317" s="5" t="s">
        <v>3</v>
      </c>
      <c r="F1317" s="5" t="s">
        <v>9</v>
      </c>
      <c r="G1317" s="5" t="s">
        <v>26</v>
      </c>
      <c r="H1317">
        <v>40</v>
      </c>
      <c r="I1317" s="4">
        <v>132960</v>
      </c>
      <c r="J1317" s="4">
        <v>79040</v>
      </c>
    </row>
    <row r="1318" spans="2:10" x14ac:dyDescent="0.3">
      <c r="B1318" s="7">
        <v>44774</v>
      </c>
      <c r="C1318" s="3">
        <f t="shared" si="40"/>
        <v>2022</v>
      </c>
      <c r="D1318" s="3">
        <f t="shared" si="41"/>
        <v>202208</v>
      </c>
      <c r="E1318" s="5" t="s">
        <v>3</v>
      </c>
      <c r="F1318" s="5" t="s">
        <v>9</v>
      </c>
      <c r="G1318" s="5" t="s">
        <v>26</v>
      </c>
      <c r="H1318">
        <v>33</v>
      </c>
      <c r="I1318" s="4">
        <v>142164</v>
      </c>
      <c r="J1318" s="4">
        <v>65208</v>
      </c>
    </row>
    <row r="1319" spans="2:10" x14ac:dyDescent="0.3">
      <c r="B1319" s="7">
        <v>44805</v>
      </c>
      <c r="C1319" s="3">
        <f t="shared" si="40"/>
        <v>2022</v>
      </c>
      <c r="D1319" s="3">
        <f t="shared" si="41"/>
        <v>202209</v>
      </c>
      <c r="E1319" s="5" t="s">
        <v>3</v>
      </c>
      <c r="F1319" s="5" t="s">
        <v>9</v>
      </c>
      <c r="G1319" s="5" t="s">
        <v>26</v>
      </c>
      <c r="H1319">
        <v>36</v>
      </c>
      <c r="I1319" s="4">
        <v>175068</v>
      </c>
      <c r="J1319" s="4">
        <v>71136</v>
      </c>
    </row>
    <row r="1320" spans="2:10" x14ac:dyDescent="0.3">
      <c r="B1320" s="7">
        <v>44835</v>
      </c>
      <c r="C1320" s="3">
        <f t="shared" si="40"/>
        <v>2022</v>
      </c>
      <c r="D1320" s="3">
        <f t="shared" si="41"/>
        <v>202210</v>
      </c>
      <c r="E1320" s="5" t="s">
        <v>3</v>
      </c>
      <c r="F1320" s="5" t="s">
        <v>9</v>
      </c>
      <c r="G1320" s="5" t="s">
        <v>26</v>
      </c>
      <c r="H1320">
        <v>29</v>
      </c>
      <c r="I1320" s="4">
        <v>155382</v>
      </c>
      <c r="J1320" s="4">
        <v>57304</v>
      </c>
    </row>
    <row r="1321" spans="2:10" x14ac:dyDescent="0.3">
      <c r="B1321" s="7">
        <v>44866</v>
      </c>
      <c r="C1321" s="3">
        <f t="shared" si="40"/>
        <v>2022</v>
      </c>
      <c r="D1321" s="3">
        <f t="shared" si="41"/>
        <v>202211</v>
      </c>
      <c r="E1321" s="5" t="s">
        <v>3</v>
      </c>
      <c r="F1321" s="5" t="s">
        <v>9</v>
      </c>
      <c r="G1321" s="5" t="s">
        <v>26</v>
      </c>
      <c r="H1321">
        <v>21</v>
      </c>
      <c r="I1321" s="4">
        <v>113169</v>
      </c>
      <c r="J1321" s="4">
        <v>41496</v>
      </c>
    </row>
    <row r="1322" spans="2:10" x14ac:dyDescent="0.3">
      <c r="B1322" s="7">
        <v>44896</v>
      </c>
      <c r="C1322" s="3">
        <f t="shared" si="40"/>
        <v>2022</v>
      </c>
      <c r="D1322" s="3">
        <f t="shared" si="41"/>
        <v>202212</v>
      </c>
      <c r="E1322" s="5" t="s">
        <v>3</v>
      </c>
      <c r="F1322" s="5" t="s">
        <v>9</v>
      </c>
      <c r="G1322" s="5" t="s">
        <v>26</v>
      </c>
      <c r="H1322">
        <v>25</v>
      </c>
      <c r="I1322" s="4">
        <v>100875</v>
      </c>
      <c r="J1322" s="4">
        <v>49400</v>
      </c>
    </row>
    <row r="1323" spans="2:10" x14ac:dyDescent="0.3">
      <c r="B1323" s="7">
        <v>44197</v>
      </c>
      <c r="C1323" s="3">
        <f t="shared" si="40"/>
        <v>2021</v>
      </c>
      <c r="D1323" s="3">
        <f t="shared" si="41"/>
        <v>202101</v>
      </c>
      <c r="E1323" s="5" t="s">
        <v>3</v>
      </c>
      <c r="F1323" s="5" t="s">
        <v>9</v>
      </c>
      <c r="G1323" s="5" t="s">
        <v>27</v>
      </c>
      <c r="H1323">
        <v>27</v>
      </c>
      <c r="I1323" s="4">
        <v>148392</v>
      </c>
      <c r="J1323" s="4">
        <v>48600</v>
      </c>
    </row>
    <row r="1324" spans="2:10" x14ac:dyDescent="0.3">
      <c r="B1324" s="7">
        <v>44228</v>
      </c>
      <c r="C1324" s="3">
        <f t="shared" si="40"/>
        <v>2021</v>
      </c>
      <c r="D1324" s="3">
        <f t="shared" si="41"/>
        <v>202102</v>
      </c>
      <c r="E1324" s="5" t="s">
        <v>3</v>
      </c>
      <c r="F1324" s="5" t="s">
        <v>9</v>
      </c>
      <c r="G1324" s="5" t="s">
        <v>27</v>
      </c>
      <c r="H1324">
        <v>17</v>
      </c>
      <c r="I1324" s="4">
        <v>100878</v>
      </c>
      <c r="J1324" s="4">
        <v>30600</v>
      </c>
    </row>
    <row r="1325" spans="2:10" x14ac:dyDescent="0.3">
      <c r="B1325" s="7">
        <v>44256</v>
      </c>
      <c r="C1325" s="3">
        <f t="shared" si="40"/>
        <v>2021</v>
      </c>
      <c r="D1325" s="3">
        <f t="shared" si="41"/>
        <v>202103</v>
      </c>
      <c r="E1325" s="5" t="s">
        <v>3</v>
      </c>
      <c r="F1325" s="5" t="s">
        <v>9</v>
      </c>
      <c r="G1325" s="5" t="s">
        <v>27</v>
      </c>
      <c r="H1325">
        <v>14</v>
      </c>
      <c r="I1325" s="4">
        <v>76132</v>
      </c>
      <c r="J1325" s="4">
        <v>25200</v>
      </c>
    </row>
    <row r="1326" spans="2:10" x14ac:dyDescent="0.3">
      <c r="B1326" s="7">
        <v>44287</v>
      </c>
      <c r="C1326" s="3">
        <f t="shared" si="40"/>
        <v>2021</v>
      </c>
      <c r="D1326" s="3">
        <f t="shared" si="41"/>
        <v>202104</v>
      </c>
      <c r="E1326" s="5" t="s">
        <v>3</v>
      </c>
      <c r="F1326" s="5" t="s">
        <v>9</v>
      </c>
      <c r="G1326" s="5" t="s">
        <v>27</v>
      </c>
      <c r="H1326">
        <v>26</v>
      </c>
      <c r="I1326" s="4">
        <v>161668</v>
      </c>
      <c r="J1326" s="4">
        <v>46800</v>
      </c>
    </row>
    <row r="1327" spans="2:10" x14ac:dyDescent="0.3">
      <c r="B1327" s="7">
        <v>44317</v>
      </c>
      <c r="C1327" s="3">
        <f t="shared" si="40"/>
        <v>2021</v>
      </c>
      <c r="D1327" s="3">
        <f t="shared" si="41"/>
        <v>202105</v>
      </c>
      <c r="E1327" s="5" t="s">
        <v>3</v>
      </c>
      <c r="F1327" s="5" t="s">
        <v>9</v>
      </c>
      <c r="G1327" s="5" t="s">
        <v>27</v>
      </c>
      <c r="H1327">
        <v>32</v>
      </c>
      <c r="I1327" s="4">
        <v>209600</v>
      </c>
      <c r="J1327" s="4">
        <v>57600</v>
      </c>
    </row>
    <row r="1328" spans="2:10" x14ac:dyDescent="0.3">
      <c r="B1328" s="7">
        <v>44348</v>
      </c>
      <c r="C1328" s="3">
        <f t="shared" si="40"/>
        <v>2021</v>
      </c>
      <c r="D1328" s="3">
        <f t="shared" si="41"/>
        <v>202106</v>
      </c>
      <c r="E1328" s="5" t="s">
        <v>3</v>
      </c>
      <c r="F1328" s="5" t="s">
        <v>9</v>
      </c>
      <c r="G1328" s="5" t="s">
        <v>27</v>
      </c>
      <c r="H1328">
        <v>31</v>
      </c>
      <c r="I1328" s="4">
        <v>176917</v>
      </c>
      <c r="J1328" s="4">
        <v>55800</v>
      </c>
    </row>
    <row r="1329" spans="2:10" x14ac:dyDescent="0.3">
      <c r="B1329" s="7">
        <v>44378</v>
      </c>
      <c r="C1329" s="3">
        <f t="shared" si="40"/>
        <v>2021</v>
      </c>
      <c r="D1329" s="3">
        <f t="shared" si="41"/>
        <v>202107</v>
      </c>
      <c r="E1329" s="5" t="s">
        <v>3</v>
      </c>
      <c r="F1329" s="5" t="s">
        <v>9</v>
      </c>
      <c r="G1329" s="5" t="s">
        <v>27</v>
      </c>
      <c r="H1329">
        <v>32</v>
      </c>
      <c r="I1329" s="4">
        <v>140896</v>
      </c>
      <c r="J1329" s="4">
        <v>57600</v>
      </c>
    </row>
    <row r="1330" spans="2:10" x14ac:dyDescent="0.3">
      <c r="B1330" s="7">
        <v>44409</v>
      </c>
      <c r="C1330" s="3">
        <f t="shared" si="40"/>
        <v>2021</v>
      </c>
      <c r="D1330" s="3">
        <f t="shared" si="41"/>
        <v>202108</v>
      </c>
      <c r="E1330" s="5" t="s">
        <v>3</v>
      </c>
      <c r="F1330" s="5" t="s">
        <v>9</v>
      </c>
      <c r="G1330" s="5" t="s">
        <v>27</v>
      </c>
      <c r="H1330">
        <v>27</v>
      </c>
      <c r="I1330" s="4">
        <v>138348</v>
      </c>
      <c r="J1330" s="4">
        <v>48600</v>
      </c>
    </row>
    <row r="1331" spans="2:10" x14ac:dyDescent="0.3">
      <c r="B1331" s="7">
        <v>44440</v>
      </c>
      <c r="C1331" s="3">
        <f t="shared" si="40"/>
        <v>2021</v>
      </c>
      <c r="D1331" s="3">
        <f t="shared" si="41"/>
        <v>202109</v>
      </c>
      <c r="E1331" s="5" t="s">
        <v>3</v>
      </c>
      <c r="F1331" s="5" t="s">
        <v>9</v>
      </c>
      <c r="G1331" s="5" t="s">
        <v>27</v>
      </c>
      <c r="H1331">
        <v>29</v>
      </c>
      <c r="I1331" s="4">
        <v>150568</v>
      </c>
      <c r="J1331" s="4">
        <v>52200</v>
      </c>
    </row>
    <row r="1332" spans="2:10" x14ac:dyDescent="0.3">
      <c r="B1332" s="7">
        <v>44470</v>
      </c>
      <c r="C1332" s="3">
        <f t="shared" si="40"/>
        <v>2021</v>
      </c>
      <c r="D1332" s="3">
        <f t="shared" si="41"/>
        <v>202110</v>
      </c>
      <c r="E1332" s="5" t="s">
        <v>3</v>
      </c>
      <c r="F1332" s="5" t="s">
        <v>9</v>
      </c>
      <c r="G1332" s="5" t="s">
        <v>27</v>
      </c>
      <c r="H1332">
        <v>24</v>
      </c>
      <c r="I1332" s="4">
        <v>143112</v>
      </c>
      <c r="J1332" s="4">
        <v>43200</v>
      </c>
    </row>
    <row r="1333" spans="2:10" x14ac:dyDescent="0.3">
      <c r="B1333" s="7">
        <v>44501</v>
      </c>
      <c r="C1333" s="3">
        <f t="shared" si="40"/>
        <v>2021</v>
      </c>
      <c r="D1333" s="3">
        <f t="shared" si="41"/>
        <v>202111</v>
      </c>
      <c r="E1333" s="5" t="s">
        <v>3</v>
      </c>
      <c r="F1333" s="5" t="s">
        <v>9</v>
      </c>
      <c r="G1333" s="5" t="s">
        <v>27</v>
      </c>
      <c r="H1333">
        <v>17</v>
      </c>
      <c r="I1333" s="4">
        <v>90610</v>
      </c>
      <c r="J1333" s="4">
        <v>30600</v>
      </c>
    </row>
    <row r="1334" spans="2:10" x14ac:dyDescent="0.3">
      <c r="B1334" s="7">
        <v>44531</v>
      </c>
      <c r="C1334" s="3">
        <f t="shared" si="40"/>
        <v>2021</v>
      </c>
      <c r="D1334" s="3">
        <f t="shared" si="41"/>
        <v>202112</v>
      </c>
      <c r="E1334" s="5" t="s">
        <v>3</v>
      </c>
      <c r="F1334" s="5" t="s">
        <v>9</v>
      </c>
      <c r="G1334" s="5" t="s">
        <v>27</v>
      </c>
      <c r="H1334">
        <v>21</v>
      </c>
      <c r="I1334" s="4">
        <v>110586</v>
      </c>
      <c r="J1334" s="4">
        <v>37800</v>
      </c>
    </row>
    <row r="1335" spans="2:10" x14ac:dyDescent="0.3">
      <c r="B1335" s="7">
        <v>44562</v>
      </c>
      <c r="C1335" s="3">
        <f t="shared" si="40"/>
        <v>2022</v>
      </c>
      <c r="D1335" s="3">
        <f t="shared" si="41"/>
        <v>202201</v>
      </c>
      <c r="E1335" s="5" t="s">
        <v>3</v>
      </c>
      <c r="F1335" s="5" t="s">
        <v>9</v>
      </c>
      <c r="G1335" s="5" t="s">
        <v>27</v>
      </c>
      <c r="H1335">
        <v>30</v>
      </c>
      <c r="I1335" s="4">
        <v>190200</v>
      </c>
      <c r="J1335" s="4">
        <v>54000</v>
      </c>
    </row>
    <row r="1336" spans="2:10" x14ac:dyDescent="0.3">
      <c r="B1336" s="7">
        <v>44593</v>
      </c>
      <c r="C1336" s="3">
        <f t="shared" si="40"/>
        <v>2022</v>
      </c>
      <c r="D1336" s="3">
        <f t="shared" si="41"/>
        <v>202202</v>
      </c>
      <c r="E1336" s="5" t="s">
        <v>3</v>
      </c>
      <c r="F1336" s="5" t="s">
        <v>9</v>
      </c>
      <c r="G1336" s="5" t="s">
        <v>27</v>
      </c>
      <c r="H1336">
        <v>19</v>
      </c>
      <c r="I1336" s="4">
        <v>120688</v>
      </c>
      <c r="J1336" s="4">
        <v>34200</v>
      </c>
    </row>
    <row r="1337" spans="2:10" x14ac:dyDescent="0.3">
      <c r="B1337" s="7">
        <v>44621</v>
      </c>
      <c r="C1337" s="3">
        <f t="shared" si="40"/>
        <v>2022</v>
      </c>
      <c r="D1337" s="3">
        <f t="shared" si="41"/>
        <v>202203</v>
      </c>
      <c r="E1337" s="5" t="s">
        <v>3</v>
      </c>
      <c r="F1337" s="5" t="s">
        <v>9</v>
      </c>
      <c r="G1337" s="5" t="s">
        <v>27</v>
      </c>
      <c r="H1337">
        <v>15</v>
      </c>
      <c r="I1337" s="4">
        <v>88650</v>
      </c>
      <c r="J1337" s="4">
        <v>27000</v>
      </c>
    </row>
    <row r="1338" spans="2:10" x14ac:dyDescent="0.3">
      <c r="B1338" s="7">
        <v>44652</v>
      </c>
      <c r="C1338" s="3">
        <f t="shared" si="40"/>
        <v>2022</v>
      </c>
      <c r="D1338" s="3">
        <f t="shared" si="41"/>
        <v>202204</v>
      </c>
      <c r="E1338" s="5" t="s">
        <v>3</v>
      </c>
      <c r="F1338" s="5" t="s">
        <v>9</v>
      </c>
      <c r="G1338" s="5" t="s">
        <v>27</v>
      </c>
      <c r="H1338">
        <v>28</v>
      </c>
      <c r="I1338" s="4">
        <v>161280</v>
      </c>
      <c r="J1338" s="4">
        <v>50400</v>
      </c>
    </row>
    <row r="1339" spans="2:10" x14ac:dyDescent="0.3">
      <c r="B1339" s="7">
        <v>44682</v>
      </c>
      <c r="C1339" s="3">
        <f t="shared" si="40"/>
        <v>2022</v>
      </c>
      <c r="D1339" s="3">
        <f t="shared" si="41"/>
        <v>202205</v>
      </c>
      <c r="E1339" s="5" t="s">
        <v>3</v>
      </c>
      <c r="F1339" s="5" t="s">
        <v>9</v>
      </c>
      <c r="G1339" s="5" t="s">
        <v>27</v>
      </c>
      <c r="H1339">
        <v>36</v>
      </c>
      <c r="I1339" s="4">
        <v>228312</v>
      </c>
      <c r="J1339" s="4">
        <v>64800</v>
      </c>
    </row>
    <row r="1340" spans="2:10" x14ac:dyDescent="0.3">
      <c r="B1340" s="7">
        <v>44713</v>
      </c>
      <c r="C1340" s="3">
        <f t="shared" si="40"/>
        <v>2022</v>
      </c>
      <c r="D1340" s="3">
        <f t="shared" si="41"/>
        <v>202206</v>
      </c>
      <c r="E1340" s="5" t="s">
        <v>3</v>
      </c>
      <c r="F1340" s="5" t="s">
        <v>9</v>
      </c>
      <c r="G1340" s="5" t="s">
        <v>27</v>
      </c>
      <c r="H1340">
        <v>34</v>
      </c>
      <c r="I1340" s="4">
        <v>189346</v>
      </c>
      <c r="J1340" s="4">
        <v>61200</v>
      </c>
    </row>
    <row r="1341" spans="2:10" x14ac:dyDescent="0.3">
      <c r="B1341" s="7">
        <v>44743</v>
      </c>
      <c r="C1341" s="3">
        <f t="shared" si="40"/>
        <v>2022</v>
      </c>
      <c r="D1341" s="3">
        <f t="shared" si="41"/>
        <v>202207</v>
      </c>
      <c r="E1341" s="5" t="s">
        <v>3</v>
      </c>
      <c r="F1341" s="5" t="s">
        <v>9</v>
      </c>
      <c r="G1341" s="5" t="s">
        <v>27</v>
      </c>
      <c r="H1341">
        <v>36</v>
      </c>
      <c r="I1341" s="4">
        <v>140904</v>
      </c>
      <c r="J1341" s="4">
        <v>64800</v>
      </c>
    </row>
    <row r="1342" spans="2:10" x14ac:dyDescent="0.3">
      <c r="B1342" s="7">
        <v>44774</v>
      </c>
      <c r="C1342" s="3">
        <f t="shared" si="40"/>
        <v>2022</v>
      </c>
      <c r="D1342" s="3">
        <f t="shared" si="41"/>
        <v>202208</v>
      </c>
      <c r="E1342" s="5" t="s">
        <v>3</v>
      </c>
      <c r="F1342" s="5" t="s">
        <v>9</v>
      </c>
      <c r="G1342" s="5" t="s">
        <v>27</v>
      </c>
      <c r="H1342">
        <v>30</v>
      </c>
      <c r="I1342" s="4">
        <v>155250</v>
      </c>
      <c r="J1342" s="4">
        <v>54000</v>
      </c>
    </row>
    <row r="1343" spans="2:10" x14ac:dyDescent="0.3">
      <c r="B1343" s="7">
        <v>44805</v>
      </c>
      <c r="C1343" s="3">
        <f t="shared" si="40"/>
        <v>2022</v>
      </c>
      <c r="D1343" s="3">
        <f t="shared" si="41"/>
        <v>202209</v>
      </c>
      <c r="E1343" s="5" t="s">
        <v>3</v>
      </c>
      <c r="F1343" s="5" t="s">
        <v>9</v>
      </c>
      <c r="G1343" s="5" t="s">
        <v>27</v>
      </c>
      <c r="H1343">
        <v>32</v>
      </c>
      <c r="I1343" s="4">
        <v>161088</v>
      </c>
      <c r="J1343" s="4">
        <v>57600</v>
      </c>
    </row>
    <row r="1344" spans="2:10" x14ac:dyDescent="0.3">
      <c r="B1344" s="7">
        <v>44835</v>
      </c>
      <c r="C1344" s="3">
        <f t="shared" si="40"/>
        <v>2022</v>
      </c>
      <c r="D1344" s="3">
        <f t="shared" si="41"/>
        <v>202210</v>
      </c>
      <c r="E1344" s="5" t="s">
        <v>3</v>
      </c>
      <c r="F1344" s="5" t="s">
        <v>9</v>
      </c>
      <c r="G1344" s="5" t="s">
        <v>27</v>
      </c>
      <c r="H1344">
        <v>26</v>
      </c>
      <c r="I1344" s="4">
        <v>170846</v>
      </c>
      <c r="J1344" s="4">
        <v>46800</v>
      </c>
    </row>
    <row r="1345" spans="2:10" x14ac:dyDescent="0.3">
      <c r="B1345" s="7">
        <v>44866</v>
      </c>
      <c r="C1345" s="3">
        <f t="shared" si="40"/>
        <v>2022</v>
      </c>
      <c r="D1345" s="3">
        <f t="shared" si="41"/>
        <v>202211</v>
      </c>
      <c r="E1345" s="5" t="s">
        <v>3</v>
      </c>
      <c r="F1345" s="5" t="s">
        <v>9</v>
      </c>
      <c r="G1345" s="5" t="s">
        <v>27</v>
      </c>
      <c r="H1345">
        <v>19</v>
      </c>
      <c r="I1345" s="4">
        <v>116299</v>
      </c>
      <c r="J1345" s="4">
        <v>34200</v>
      </c>
    </row>
    <row r="1346" spans="2:10" x14ac:dyDescent="0.3">
      <c r="B1346" s="7">
        <v>44896</v>
      </c>
      <c r="C1346" s="3">
        <f t="shared" si="40"/>
        <v>2022</v>
      </c>
      <c r="D1346" s="3">
        <f t="shared" si="41"/>
        <v>202212</v>
      </c>
      <c r="E1346" s="5" t="s">
        <v>3</v>
      </c>
      <c r="F1346" s="5" t="s">
        <v>9</v>
      </c>
      <c r="G1346" s="5" t="s">
        <v>27</v>
      </c>
      <c r="H1346">
        <v>23</v>
      </c>
      <c r="I1346" s="4">
        <v>119416</v>
      </c>
      <c r="J1346" s="4">
        <v>41400</v>
      </c>
    </row>
    <row r="1347" spans="2:10" x14ac:dyDescent="0.3">
      <c r="B1347" s="7">
        <v>44197</v>
      </c>
      <c r="C1347" s="3">
        <f t="shared" ref="C1347:C1410" si="42">YEAR(B1347)</f>
        <v>2021</v>
      </c>
      <c r="D1347" s="3">
        <f t="shared" ref="D1347:D1410" si="43">VALUE(TEXT(B1347,"ГГГГММ"))</f>
        <v>202101</v>
      </c>
      <c r="E1347" s="5" t="s">
        <v>3</v>
      </c>
      <c r="F1347" s="5" t="s">
        <v>10</v>
      </c>
      <c r="G1347" s="5" t="s">
        <v>28</v>
      </c>
      <c r="H1347">
        <v>18</v>
      </c>
      <c r="I1347" s="4">
        <v>653580</v>
      </c>
      <c r="J1347" s="4">
        <v>371700</v>
      </c>
    </row>
    <row r="1348" spans="2:10" x14ac:dyDescent="0.3">
      <c r="B1348" s="7">
        <v>44228</v>
      </c>
      <c r="C1348" s="3">
        <f t="shared" si="42"/>
        <v>2021</v>
      </c>
      <c r="D1348" s="3">
        <f t="shared" si="43"/>
        <v>202102</v>
      </c>
      <c r="E1348" s="5" t="s">
        <v>3</v>
      </c>
      <c r="F1348" s="5" t="s">
        <v>10</v>
      </c>
      <c r="G1348" s="5" t="s">
        <v>28</v>
      </c>
      <c r="H1348">
        <v>12</v>
      </c>
      <c r="I1348" s="4">
        <v>431496</v>
      </c>
      <c r="J1348" s="4">
        <v>247800</v>
      </c>
    </row>
    <row r="1349" spans="2:10" x14ac:dyDescent="0.3">
      <c r="B1349" s="7">
        <v>44256</v>
      </c>
      <c r="C1349" s="3">
        <f t="shared" si="42"/>
        <v>2021</v>
      </c>
      <c r="D1349" s="3">
        <f t="shared" si="43"/>
        <v>202103</v>
      </c>
      <c r="E1349" s="5" t="s">
        <v>3</v>
      </c>
      <c r="F1349" s="5" t="s">
        <v>10</v>
      </c>
      <c r="G1349" s="5" t="s">
        <v>28</v>
      </c>
      <c r="H1349">
        <v>9</v>
      </c>
      <c r="I1349" s="4">
        <v>326736</v>
      </c>
      <c r="J1349" s="4">
        <v>185850</v>
      </c>
    </row>
    <row r="1350" spans="2:10" x14ac:dyDescent="0.3">
      <c r="B1350" s="7">
        <v>44287</v>
      </c>
      <c r="C1350" s="3">
        <f t="shared" si="42"/>
        <v>2021</v>
      </c>
      <c r="D1350" s="3">
        <f t="shared" si="43"/>
        <v>202104</v>
      </c>
      <c r="E1350" s="5" t="s">
        <v>3</v>
      </c>
      <c r="F1350" s="5" t="s">
        <v>10</v>
      </c>
      <c r="G1350" s="5" t="s">
        <v>28</v>
      </c>
      <c r="H1350">
        <v>17</v>
      </c>
      <c r="I1350" s="4">
        <v>618358</v>
      </c>
      <c r="J1350" s="4">
        <v>351050</v>
      </c>
    </row>
    <row r="1351" spans="2:10" x14ac:dyDescent="0.3">
      <c r="B1351" s="7">
        <v>44317</v>
      </c>
      <c r="C1351" s="3">
        <f t="shared" si="42"/>
        <v>2021</v>
      </c>
      <c r="D1351" s="3">
        <f t="shared" si="43"/>
        <v>202105</v>
      </c>
      <c r="E1351" s="5" t="s">
        <v>3</v>
      </c>
      <c r="F1351" s="5" t="s">
        <v>10</v>
      </c>
      <c r="G1351" s="5" t="s">
        <v>28</v>
      </c>
      <c r="H1351">
        <v>22</v>
      </c>
      <c r="I1351" s="4">
        <v>822140</v>
      </c>
      <c r="J1351" s="4">
        <v>454300</v>
      </c>
    </row>
    <row r="1352" spans="2:10" x14ac:dyDescent="0.3">
      <c r="B1352" s="7">
        <v>44348</v>
      </c>
      <c r="C1352" s="3">
        <f t="shared" si="42"/>
        <v>2021</v>
      </c>
      <c r="D1352" s="3">
        <f t="shared" si="43"/>
        <v>202106</v>
      </c>
      <c r="E1352" s="5" t="s">
        <v>3</v>
      </c>
      <c r="F1352" s="5" t="s">
        <v>10</v>
      </c>
      <c r="G1352" s="5" t="s">
        <v>28</v>
      </c>
      <c r="H1352">
        <v>21</v>
      </c>
      <c r="I1352" s="4">
        <v>766815</v>
      </c>
      <c r="J1352" s="4">
        <v>433650</v>
      </c>
    </row>
    <row r="1353" spans="2:10" x14ac:dyDescent="0.3">
      <c r="B1353" s="7">
        <v>44378</v>
      </c>
      <c r="C1353" s="3">
        <f t="shared" si="42"/>
        <v>2021</v>
      </c>
      <c r="D1353" s="3">
        <f t="shared" si="43"/>
        <v>202107</v>
      </c>
      <c r="E1353" s="5" t="s">
        <v>3</v>
      </c>
      <c r="F1353" s="5" t="s">
        <v>10</v>
      </c>
      <c r="G1353" s="5" t="s">
        <v>28</v>
      </c>
      <c r="H1353">
        <v>22</v>
      </c>
      <c r="I1353" s="4">
        <v>756668</v>
      </c>
      <c r="J1353" s="4">
        <v>454300</v>
      </c>
    </row>
    <row r="1354" spans="2:10" x14ac:dyDescent="0.3">
      <c r="B1354" s="7">
        <v>44409</v>
      </c>
      <c r="C1354" s="3">
        <f t="shared" si="42"/>
        <v>2021</v>
      </c>
      <c r="D1354" s="3">
        <f t="shared" si="43"/>
        <v>202108</v>
      </c>
      <c r="E1354" s="5" t="s">
        <v>3</v>
      </c>
      <c r="F1354" s="5" t="s">
        <v>10</v>
      </c>
      <c r="G1354" s="5" t="s">
        <v>28</v>
      </c>
      <c r="H1354">
        <v>18</v>
      </c>
      <c r="I1354" s="4">
        <v>644616</v>
      </c>
      <c r="J1354" s="4">
        <v>371700</v>
      </c>
    </row>
    <row r="1355" spans="2:10" x14ac:dyDescent="0.3">
      <c r="B1355" s="7">
        <v>44440</v>
      </c>
      <c r="C1355" s="3">
        <f t="shared" si="42"/>
        <v>2021</v>
      </c>
      <c r="D1355" s="3">
        <f t="shared" si="43"/>
        <v>202109</v>
      </c>
      <c r="E1355" s="5" t="s">
        <v>3</v>
      </c>
      <c r="F1355" s="5" t="s">
        <v>10</v>
      </c>
      <c r="G1355" s="5" t="s">
        <v>28</v>
      </c>
      <c r="H1355">
        <v>20</v>
      </c>
      <c r="I1355" s="4">
        <v>704700</v>
      </c>
      <c r="J1355" s="4">
        <v>413000</v>
      </c>
    </row>
    <row r="1356" spans="2:10" x14ac:dyDescent="0.3">
      <c r="B1356" s="7">
        <v>44470</v>
      </c>
      <c r="C1356" s="3">
        <f t="shared" si="42"/>
        <v>2021</v>
      </c>
      <c r="D1356" s="3">
        <f t="shared" si="43"/>
        <v>202110</v>
      </c>
      <c r="E1356" s="5" t="s">
        <v>3</v>
      </c>
      <c r="F1356" s="5" t="s">
        <v>10</v>
      </c>
      <c r="G1356" s="5" t="s">
        <v>28</v>
      </c>
      <c r="H1356">
        <v>16</v>
      </c>
      <c r="I1356" s="4">
        <v>591376</v>
      </c>
      <c r="J1356" s="4">
        <v>330400</v>
      </c>
    </row>
    <row r="1357" spans="2:10" x14ac:dyDescent="0.3">
      <c r="B1357" s="7">
        <v>44501</v>
      </c>
      <c r="C1357" s="3">
        <f t="shared" si="42"/>
        <v>2021</v>
      </c>
      <c r="D1357" s="3">
        <f t="shared" si="43"/>
        <v>202111</v>
      </c>
      <c r="E1357" s="5" t="s">
        <v>3</v>
      </c>
      <c r="F1357" s="5" t="s">
        <v>10</v>
      </c>
      <c r="G1357" s="5" t="s">
        <v>28</v>
      </c>
      <c r="H1357">
        <v>12</v>
      </c>
      <c r="I1357" s="4">
        <v>435984</v>
      </c>
      <c r="J1357" s="4">
        <v>247800</v>
      </c>
    </row>
    <row r="1358" spans="2:10" x14ac:dyDescent="0.3">
      <c r="B1358" s="7">
        <v>44531</v>
      </c>
      <c r="C1358" s="3">
        <f t="shared" si="42"/>
        <v>2021</v>
      </c>
      <c r="D1358" s="3">
        <f t="shared" si="43"/>
        <v>202112</v>
      </c>
      <c r="E1358" s="5" t="s">
        <v>3</v>
      </c>
      <c r="F1358" s="5" t="s">
        <v>10</v>
      </c>
      <c r="G1358" s="5" t="s">
        <v>28</v>
      </c>
      <c r="H1358">
        <v>14</v>
      </c>
      <c r="I1358" s="4">
        <v>493682</v>
      </c>
      <c r="J1358" s="4">
        <v>289100</v>
      </c>
    </row>
    <row r="1359" spans="2:10" x14ac:dyDescent="0.3">
      <c r="B1359" s="7">
        <v>44562</v>
      </c>
      <c r="C1359" s="3">
        <f t="shared" si="42"/>
        <v>2022</v>
      </c>
      <c r="D1359" s="3">
        <f t="shared" si="43"/>
        <v>202201</v>
      </c>
      <c r="E1359" s="5" t="s">
        <v>3</v>
      </c>
      <c r="F1359" s="5" t="s">
        <v>10</v>
      </c>
      <c r="G1359" s="5" t="s">
        <v>28</v>
      </c>
      <c r="H1359">
        <v>20</v>
      </c>
      <c r="I1359" s="4">
        <v>720060</v>
      </c>
      <c r="J1359" s="4">
        <v>413000</v>
      </c>
    </row>
    <row r="1360" spans="2:10" x14ac:dyDescent="0.3">
      <c r="B1360" s="7">
        <v>44593</v>
      </c>
      <c r="C1360" s="3">
        <f t="shared" si="42"/>
        <v>2022</v>
      </c>
      <c r="D1360" s="3">
        <f t="shared" si="43"/>
        <v>202202</v>
      </c>
      <c r="E1360" s="5" t="s">
        <v>3</v>
      </c>
      <c r="F1360" s="5" t="s">
        <v>10</v>
      </c>
      <c r="G1360" s="5" t="s">
        <v>28</v>
      </c>
      <c r="H1360">
        <v>13</v>
      </c>
      <c r="I1360" s="4">
        <v>474240</v>
      </c>
      <c r="J1360" s="4">
        <v>268450</v>
      </c>
    </row>
    <row r="1361" spans="2:10" x14ac:dyDescent="0.3">
      <c r="B1361" s="7">
        <v>44621</v>
      </c>
      <c r="C1361" s="3">
        <f t="shared" si="42"/>
        <v>2022</v>
      </c>
      <c r="D1361" s="3">
        <f t="shared" si="43"/>
        <v>202203</v>
      </c>
      <c r="E1361" s="5" t="s">
        <v>3</v>
      </c>
      <c r="F1361" s="5" t="s">
        <v>10</v>
      </c>
      <c r="G1361" s="5" t="s">
        <v>28</v>
      </c>
      <c r="H1361">
        <v>10</v>
      </c>
      <c r="I1361" s="4">
        <v>359190</v>
      </c>
      <c r="J1361" s="4">
        <v>206500</v>
      </c>
    </row>
    <row r="1362" spans="2:10" x14ac:dyDescent="0.3">
      <c r="B1362" s="7">
        <v>44652</v>
      </c>
      <c r="C1362" s="3">
        <f t="shared" si="42"/>
        <v>2022</v>
      </c>
      <c r="D1362" s="3">
        <f t="shared" si="43"/>
        <v>202204</v>
      </c>
      <c r="E1362" s="5" t="s">
        <v>3</v>
      </c>
      <c r="F1362" s="5" t="s">
        <v>10</v>
      </c>
      <c r="G1362" s="5" t="s">
        <v>28</v>
      </c>
      <c r="H1362">
        <v>19</v>
      </c>
      <c r="I1362" s="4">
        <v>696749</v>
      </c>
      <c r="J1362" s="4">
        <v>392350</v>
      </c>
    </row>
    <row r="1363" spans="2:10" x14ac:dyDescent="0.3">
      <c r="B1363" s="7">
        <v>44682</v>
      </c>
      <c r="C1363" s="3">
        <f t="shared" si="42"/>
        <v>2022</v>
      </c>
      <c r="D1363" s="3">
        <f t="shared" si="43"/>
        <v>202205</v>
      </c>
      <c r="E1363" s="5" t="s">
        <v>3</v>
      </c>
      <c r="F1363" s="5" t="s">
        <v>10</v>
      </c>
      <c r="G1363" s="5" t="s">
        <v>28</v>
      </c>
      <c r="H1363">
        <v>24</v>
      </c>
      <c r="I1363" s="4">
        <v>892920</v>
      </c>
      <c r="J1363" s="4">
        <v>495600</v>
      </c>
    </row>
    <row r="1364" spans="2:10" x14ac:dyDescent="0.3">
      <c r="B1364" s="7">
        <v>44713</v>
      </c>
      <c r="C1364" s="3">
        <f t="shared" si="42"/>
        <v>2022</v>
      </c>
      <c r="D1364" s="3">
        <f t="shared" si="43"/>
        <v>202206</v>
      </c>
      <c r="E1364" s="5" t="s">
        <v>3</v>
      </c>
      <c r="F1364" s="5" t="s">
        <v>10</v>
      </c>
      <c r="G1364" s="5" t="s">
        <v>28</v>
      </c>
      <c r="H1364">
        <v>23</v>
      </c>
      <c r="I1364" s="4">
        <v>841363</v>
      </c>
      <c r="J1364" s="4">
        <v>474950</v>
      </c>
    </row>
    <row r="1365" spans="2:10" x14ac:dyDescent="0.3">
      <c r="B1365" s="7">
        <v>44743</v>
      </c>
      <c r="C1365" s="3">
        <f t="shared" si="42"/>
        <v>2022</v>
      </c>
      <c r="D1365" s="3">
        <f t="shared" si="43"/>
        <v>202207</v>
      </c>
      <c r="E1365" s="5" t="s">
        <v>3</v>
      </c>
      <c r="F1365" s="5" t="s">
        <v>10</v>
      </c>
      <c r="G1365" s="5" t="s">
        <v>28</v>
      </c>
      <c r="H1365">
        <v>24</v>
      </c>
      <c r="I1365" s="4">
        <v>834552</v>
      </c>
      <c r="J1365" s="4">
        <v>495600</v>
      </c>
    </row>
    <row r="1366" spans="2:10" x14ac:dyDescent="0.3">
      <c r="B1366" s="7">
        <v>44774</v>
      </c>
      <c r="C1366" s="3">
        <f t="shared" si="42"/>
        <v>2022</v>
      </c>
      <c r="D1366" s="3">
        <f t="shared" si="43"/>
        <v>202208</v>
      </c>
      <c r="E1366" s="5" t="s">
        <v>3</v>
      </c>
      <c r="F1366" s="5" t="s">
        <v>10</v>
      </c>
      <c r="G1366" s="5" t="s">
        <v>28</v>
      </c>
      <c r="H1366">
        <v>20</v>
      </c>
      <c r="I1366" s="4">
        <v>705020</v>
      </c>
      <c r="J1366" s="4">
        <v>413000</v>
      </c>
    </row>
    <row r="1367" spans="2:10" x14ac:dyDescent="0.3">
      <c r="B1367" s="7">
        <v>44805</v>
      </c>
      <c r="C1367" s="3">
        <f t="shared" si="42"/>
        <v>2022</v>
      </c>
      <c r="D1367" s="3">
        <f t="shared" si="43"/>
        <v>202209</v>
      </c>
      <c r="E1367" s="5" t="s">
        <v>3</v>
      </c>
      <c r="F1367" s="5" t="s">
        <v>10</v>
      </c>
      <c r="G1367" s="5" t="s">
        <v>28</v>
      </c>
      <c r="H1367">
        <v>22</v>
      </c>
      <c r="I1367" s="4">
        <v>799128</v>
      </c>
      <c r="J1367" s="4">
        <v>454300</v>
      </c>
    </row>
    <row r="1368" spans="2:10" x14ac:dyDescent="0.3">
      <c r="B1368" s="7">
        <v>44835</v>
      </c>
      <c r="C1368" s="3">
        <f t="shared" si="42"/>
        <v>2022</v>
      </c>
      <c r="D1368" s="3">
        <f t="shared" si="43"/>
        <v>202210</v>
      </c>
      <c r="E1368" s="5" t="s">
        <v>3</v>
      </c>
      <c r="F1368" s="5" t="s">
        <v>10</v>
      </c>
      <c r="G1368" s="5" t="s">
        <v>28</v>
      </c>
      <c r="H1368">
        <v>18</v>
      </c>
      <c r="I1368" s="4">
        <v>661032</v>
      </c>
      <c r="J1368" s="4">
        <v>371700</v>
      </c>
    </row>
    <row r="1369" spans="2:10" x14ac:dyDescent="0.3">
      <c r="B1369" s="7">
        <v>44866</v>
      </c>
      <c r="C1369" s="3">
        <f t="shared" si="42"/>
        <v>2022</v>
      </c>
      <c r="D1369" s="3">
        <f t="shared" si="43"/>
        <v>202211</v>
      </c>
      <c r="E1369" s="5" t="s">
        <v>3</v>
      </c>
      <c r="F1369" s="5" t="s">
        <v>10</v>
      </c>
      <c r="G1369" s="5" t="s">
        <v>28</v>
      </c>
      <c r="H1369">
        <v>13</v>
      </c>
      <c r="I1369" s="4">
        <v>475644</v>
      </c>
      <c r="J1369" s="4">
        <v>268450</v>
      </c>
    </row>
    <row r="1370" spans="2:10" x14ac:dyDescent="0.3">
      <c r="B1370" s="7">
        <v>44896</v>
      </c>
      <c r="C1370" s="3">
        <f t="shared" si="42"/>
        <v>2022</v>
      </c>
      <c r="D1370" s="3">
        <f t="shared" si="43"/>
        <v>202212</v>
      </c>
      <c r="E1370" s="5" t="s">
        <v>3</v>
      </c>
      <c r="F1370" s="5" t="s">
        <v>10</v>
      </c>
      <c r="G1370" s="5" t="s">
        <v>28</v>
      </c>
      <c r="H1370">
        <v>15</v>
      </c>
      <c r="I1370" s="4">
        <v>534345</v>
      </c>
      <c r="J1370" s="4">
        <v>309750</v>
      </c>
    </row>
    <row r="1371" spans="2:10" x14ac:dyDescent="0.3">
      <c r="B1371" s="7">
        <v>44197</v>
      </c>
      <c r="C1371" s="3">
        <f t="shared" si="42"/>
        <v>2021</v>
      </c>
      <c r="D1371" s="3">
        <f t="shared" si="43"/>
        <v>202101</v>
      </c>
      <c r="E1371" s="5" t="s">
        <v>3</v>
      </c>
      <c r="F1371" s="5" t="s">
        <v>10</v>
      </c>
      <c r="G1371" s="5" t="s">
        <v>29</v>
      </c>
      <c r="H1371">
        <v>15</v>
      </c>
      <c r="I1371" s="4">
        <v>499950</v>
      </c>
      <c r="J1371" s="4">
        <v>235200</v>
      </c>
    </row>
    <row r="1372" spans="2:10" x14ac:dyDescent="0.3">
      <c r="B1372" s="7">
        <v>44228</v>
      </c>
      <c r="C1372" s="3">
        <f t="shared" si="42"/>
        <v>2021</v>
      </c>
      <c r="D1372" s="3">
        <f t="shared" si="43"/>
        <v>202102</v>
      </c>
      <c r="E1372" s="5" t="s">
        <v>3</v>
      </c>
      <c r="F1372" s="5" t="s">
        <v>10</v>
      </c>
      <c r="G1372" s="5" t="s">
        <v>29</v>
      </c>
      <c r="H1372">
        <v>10</v>
      </c>
      <c r="I1372" s="4">
        <v>334110</v>
      </c>
      <c r="J1372" s="4">
        <v>156800</v>
      </c>
    </row>
    <row r="1373" spans="2:10" x14ac:dyDescent="0.3">
      <c r="B1373" s="7">
        <v>44256</v>
      </c>
      <c r="C1373" s="3">
        <f t="shared" si="42"/>
        <v>2021</v>
      </c>
      <c r="D1373" s="3">
        <f t="shared" si="43"/>
        <v>202103</v>
      </c>
      <c r="E1373" s="5" t="s">
        <v>3</v>
      </c>
      <c r="F1373" s="5" t="s">
        <v>10</v>
      </c>
      <c r="G1373" s="5" t="s">
        <v>29</v>
      </c>
      <c r="H1373">
        <v>8</v>
      </c>
      <c r="I1373" s="4">
        <v>258376</v>
      </c>
      <c r="J1373" s="4">
        <v>125440</v>
      </c>
    </row>
    <row r="1374" spans="2:10" x14ac:dyDescent="0.3">
      <c r="B1374" s="7">
        <v>44287</v>
      </c>
      <c r="C1374" s="3">
        <f t="shared" si="42"/>
        <v>2021</v>
      </c>
      <c r="D1374" s="3">
        <f t="shared" si="43"/>
        <v>202104</v>
      </c>
      <c r="E1374" s="5" t="s">
        <v>3</v>
      </c>
      <c r="F1374" s="5" t="s">
        <v>10</v>
      </c>
      <c r="G1374" s="5" t="s">
        <v>29</v>
      </c>
      <c r="H1374">
        <v>14</v>
      </c>
      <c r="I1374" s="4">
        <v>473522</v>
      </c>
      <c r="J1374" s="4">
        <v>219520</v>
      </c>
    </row>
    <row r="1375" spans="2:10" x14ac:dyDescent="0.3">
      <c r="B1375" s="7">
        <v>44317</v>
      </c>
      <c r="C1375" s="3">
        <f t="shared" si="42"/>
        <v>2021</v>
      </c>
      <c r="D1375" s="3">
        <f t="shared" si="43"/>
        <v>202105</v>
      </c>
      <c r="E1375" s="5" t="s">
        <v>3</v>
      </c>
      <c r="F1375" s="5" t="s">
        <v>10</v>
      </c>
      <c r="G1375" s="5" t="s">
        <v>29</v>
      </c>
      <c r="H1375">
        <v>18</v>
      </c>
      <c r="I1375" s="4">
        <v>602802</v>
      </c>
      <c r="J1375" s="4">
        <v>282240</v>
      </c>
    </row>
    <row r="1376" spans="2:10" x14ac:dyDescent="0.3">
      <c r="B1376" s="7">
        <v>44348</v>
      </c>
      <c r="C1376" s="3">
        <f t="shared" si="42"/>
        <v>2021</v>
      </c>
      <c r="D1376" s="3">
        <f t="shared" si="43"/>
        <v>202106</v>
      </c>
      <c r="E1376" s="5" t="s">
        <v>3</v>
      </c>
      <c r="F1376" s="5" t="s">
        <v>10</v>
      </c>
      <c r="G1376" s="5" t="s">
        <v>29</v>
      </c>
      <c r="H1376">
        <v>17</v>
      </c>
      <c r="I1376" s="4">
        <v>564213</v>
      </c>
      <c r="J1376" s="4">
        <v>266560</v>
      </c>
    </row>
    <row r="1377" spans="2:10" x14ac:dyDescent="0.3">
      <c r="B1377" s="7">
        <v>44378</v>
      </c>
      <c r="C1377" s="3">
        <f t="shared" si="42"/>
        <v>2021</v>
      </c>
      <c r="D1377" s="3">
        <f t="shared" si="43"/>
        <v>202107</v>
      </c>
      <c r="E1377" s="5" t="s">
        <v>3</v>
      </c>
      <c r="F1377" s="5" t="s">
        <v>10</v>
      </c>
      <c r="G1377" s="5" t="s">
        <v>29</v>
      </c>
      <c r="H1377">
        <v>18</v>
      </c>
      <c r="I1377" s="4">
        <v>581472</v>
      </c>
      <c r="J1377" s="4">
        <v>282240</v>
      </c>
    </row>
    <row r="1378" spans="2:10" x14ac:dyDescent="0.3">
      <c r="B1378" s="7">
        <v>44409</v>
      </c>
      <c r="C1378" s="3">
        <f t="shared" si="42"/>
        <v>2021</v>
      </c>
      <c r="D1378" s="3">
        <f t="shared" si="43"/>
        <v>202108</v>
      </c>
      <c r="E1378" s="5" t="s">
        <v>3</v>
      </c>
      <c r="F1378" s="5" t="s">
        <v>10</v>
      </c>
      <c r="G1378" s="5" t="s">
        <v>29</v>
      </c>
      <c r="H1378">
        <v>15</v>
      </c>
      <c r="I1378" s="4">
        <v>484530</v>
      </c>
      <c r="J1378" s="4">
        <v>235200</v>
      </c>
    </row>
    <row r="1379" spans="2:10" x14ac:dyDescent="0.3">
      <c r="B1379" s="7">
        <v>44440</v>
      </c>
      <c r="C1379" s="3">
        <f t="shared" si="42"/>
        <v>2021</v>
      </c>
      <c r="D1379" s="3">
        <f t="shared" si="43"/>
        <v>202109</v>
      </c>
      <c r="E1379" s="5" t="s">
        <v>3</v>
      </c>
      <c r="F1379" s="5" t="s">
        <v>10</v>
      </c>
      <c r="G1379" s="5" t="s">
        <v>29</v>
      </c>
      <c r="H1379">
        <v>16</v>
      </c>
      <c r="I1379" s="4">
        <v>530624</v>
      </c>
      <c r="J1379" s="4">
        <v>250880</v>
      </c>
    </row>
    <row r="1380" spans="2:10" x14ac:dyDescent="0.3">
      <c r="B1380" s="7">
        <v>44470</v>
      </c>
      <c r="C1380" s="3">
        <f t="shared" si="42"/>
        <v>2021</v>
      </c>
      <c r="D1380" s="3">
        <f t="shared" si="43"/>
        <v>202110</v>
      </c>
      <c r="E1380" s="5" t="s">
        <v>3</v>
      </c>
      <c r="F1380" s="5" t="s">
        <v>10</v>
      </c>
      <c r="G1380" s="5" t="s">
        <v>29</v>
      </c>
      <c r="H1380">
        <v>13</v>
      </c>
      <c r="I1380" s="4">
        <v>435058</v>
      </c>
      <c r="J1380" s="4">
        <v>203840</v>
      </c>
    </row>
    <row r="1381" spans="2:10" x14ac:dyDescent="0.3">
      <c r="B1381" s="7">
        <v>44501</v>
      </c>
      <c r="C1381" s="3">
        <f t="shared" si="42"/>
        <v>2021</v>
      </c>
      <c r="D1381" s="3">
        <f t="shared" si="43"/>
        <v>202111</v>
      </c>
      <c r="E1381" s="5" t="s">
        <v>3</v>
      </c>
      <c r="F1381" s="5" t="s">
        <v>10</v>
      </c>
      <c r="G1381" s="5" t="s">
        <v>29</v>
      </c>
      <c r="H1381">
        <v>10</v>
      </c>
      <c r="I1381" s="4">
        <v>337130</v>
      </c>
      <c r="J1381" s="4">
        <v>156800</v>
      </c>
    </row>
    <row r="1382" spans="2:10" x14ac:dyDescent="0.3">
      <c r="B1382" s="7">
        <v>44531</v>
      </c>
      <c r="C1382" s="3">
        <f t="shared" si="42"/>
        <v>2021</v>
      </c>
      <c r="D1382" s="3">
        <f t="shared" si="43"/>
        <v>202112</v>
      </c>
      <c r="E1382" s="5" t="s">
        <v>3</v>
      </c>
      <c r="F1382" s="5" t="s">
        <v>10</v>
      </c>
      <c r="G1382" s="5" t="s">
        <v>29</v>
      </c>
      <c r="H1382">
        <v>11</v>
      </c>
      <c r="I1382" s="4">
        <v>361834</v>
      </c>
      <c r="J1382" s="4">
        <v>172480</v>
      </c>
    </row>
    <row r="1383" spans="2:10" x14ac:dyDescent="0.3">
      <c r="B1383" s="7">
        <v>44562</v>
      </c>
      <c r="C1383" s="3">
        <f t="shared" si="42"/>
        <v>2022</v>
      </c>
      <c r="D1383" s="3">
        <f t="shared" si="43"/>
        <v>202201</v>
      </c>
      <c r="E1383" s="5" t="s">
        <v>3</v>
      </c>
      <c r="F1383" s="5" t="s">
        <v>10</v>
      </c>
      <c r="G1383" s="5" t="s">
        <v>29</v>
      </c>
      <c r="H1383">
        <v>16</v>
      </c>
      <c r="I1383" s="4">
        <v>525936</v>
      </c>
      <c r="J1383" s="4">
        <v>250880</v>
      </c>
    </row>
    <row r="1384" spans="2:10" x14ac:dyDescent="0.3">
      <c r="B1384" s="7">
        <v>44593</v>
      </c>
      <c r="C1384" s="3">
        <f t="shared" si="42"/>
        <v>2022</v>
      </c>
      <c r="D1384" s="3">
        <f t="shared" si="43"/>
        <v>202202</v>
      </c>
      <c r="E1384" s="5" t="s">
        <v>3</v>
      </c>
      <c r="F1384" s="5" t="s">
        <v>10</v>
      </c>
      <c r="G1384" s="5" t="s">
        <v>29</v>
      </c>
      <c r="H1384">
        <v>10</v>
      </c>
      <c r="I1384" s="4">
        <v>334580</v>
      </c>
      <c r="J1384" s="4">
        <v>156800</v>
      </c>
    </row>
    <row r="1385" spans="2:10" x14ac:dyDescent="0.3">
      <c r="B1385" s="7">
        <v>44621</v>
      </c>
      <c r="C1385" s="3">
        <f t="shared" si="42"/>
        <v>2022</v>
      </c>
      <c r="D1385" s="3">
        <f t="shared" si="43"/>
        <v>202203</v>
      </c>
      <c r="E1385" s="5" t="s">
        <v>3</v>
      </c>
      <c r="F1385" s="5" t="s">
        <v>10</v>
      </c>
      <c r="G1385" s="5" t="s">
        <v>29</v>
      </c>
      <c r="H1385">
        <v>8</v>
      </c>
      <c r="I1385" s="4">
        <v>261640</v>
      </c>
      <c r="J1385" s="4">
        <v>125440</v>
      </c>
    </row>
    <row r="1386" spans="2:10" x14ac:dyDescent="0.3">
      <c r="B1386" s="7">
        <v>44652</v>
      </c>
      <c r="C1386" s="3">
        <f t="shared" si="42"/>
        <v>2022</v>
      </c>
      <c r="D1386" s="3">
        <f t="shared" si="43"/>
        <v>202204</v>
      </c>
      <c r="E1386" s="5" t="s">
        <v>3</v>
      </c>
      <c r="F1386" s="5" t="s">
        <v>10</v>
      </c>
      <c r="G1386" s="5" t="s">
        <v>29</v>
      </c>
      <c r="H1386">
        <v>15</v>
      </c>
      <c r="I1386" s="4">
        <v>509565</v>
      </c>
      <c r="J1386" s="4">
        <v>235200</v>
      </c>
    </row>
    <row r="1387" spans="2:10" x14ac:dyDescent="0.3">
      <c r="B1387" s="7">
        <v>44682</v>
      </c>
      <c r="C1387" s="3">
        <f t="shared" si="42"/>
        <v>2022</v>
      </c>
      <c r="D1387" s="3">
        <f t="shared" si="43"/>
        <v>202205</v>
      </c>
      <c r="E1387" s="5" t="s">
        <v>3</v>
      </c>
      <c r="F1387" s="5" t="s">
        <v>10</v>
      </c>
      <c r="G1387" s="5" t="s">
        <v>29</v>
      </c>
      <c r="H1387">
        <v>19</v>
      </c>
      <c r="I1387" s="4">
        <v>650332</v>
      </c>
      <c r="J1387" s="4">
        <v>297920</v>
      </c>
    </row>
    <row r="1388" spans="2:10" x14ac:dyDescent="0.3">
      <c r="B1388" s="7">
        <v>44713</v>
      </c>
      <c r="C1388" s="3">
        <f t="shared" si="42"/>
        <v>2022</v>
      </c>
      <c r="D1388" s="3">
        <f t="shared" si="43"/>
        <v>202206</v>
      </c>
      <c r="E1388" s="5" t="s">
        <v>3</v>
      </c>
      <c r="F1388" s="5" t="s">
        <v>10</v>
      </c>
      <c r="G1388" s="5" t="s">
        <v>29</v>
      </c>
      <c r="H1388">
        <v>18</v>
      </c>
      <c r="I1388" s="4">
        <v>591120</v>
      </c>
      <c r="J1388" s="4">
        <v>282240</v>
      </c>
    </row>
    <row r="1389" spans="2:10" x14ac:dyDescent="0.3">
      <c r="B1389" s="7">
        <v>44743</v>
      </c>
      <c r="C1389" s="3">
        <f t="shared" si="42"/>
        <v>2022</v>
      </c>
      <c r="D1389" s="3">
        <f t="shared" si="43"/>
        <v>202207</v>
      </c>
      <c r="E1389" s="5" t="s">
        <v>3</v>
      </c>
      <c r="F1389" s="5" t="s">
        <v>10</v>
      </c>
      <c r="G1389" s="5" t="s">
        <v>29</v>
      </c>
      <c r="H1389">
        <v>19</v>
      </c>
      <c r="I1389" s="4">
        <v>606157</v>
      </c>
      <c r="J1389" s="4">
        <v>297920</v>
      </c>
    </row>
    <row r="1390" spans="2:10" x14ac:dyDescent="0.3">
      <c r="B1390" s="7">
        <v>44774</v>
      </c>
      <c r="C1390" s="3">
        <f t="shared" si="42"/>
        <v>2022</v>
      </c>
      <c r="D1390" s="3">
        <f t="shared" si="43"/>
        <v>202208</v>
      </c>
      <c r="E1390" s="5" t="s">
        <v>3</v>
      </c>
      <c r="F1390" s="5" t="s">
        <v>10</v>
      </c>
      <c r="G1390" s="5" t="s">
        <v>29</v>
      </c>
      <c r="H1390">
        <v>16</v>
      </c>
      <c r="I1390" s="4">
        <v>525664</v>
      </c>
      <c r="J1390" s="4">
        <v>250880</v>
      </c>
    </row>
    <row r="1391" spans="2:10" x14ac:dyDescent="0.3">
      <c r="B1391" s="7">
        <v>44805</v>
      </c>
      <c r="C1391" s="3">
        <f t="shared" si="42"/>
        <v>2022</v>
      </c>
      <c r="D1391" s="3">
        <f t="shared" si="43"/>
        <v>202209</v>
      </c>
      <c r="E1391" s="5" t="s">
        <v>3</v>
      </c>
      <c r="F1391" s="5" t="s">
        <v>10</v>
      </c>
      <c r="G1391" s="5" t="s">
        <v>29</v>
      </c>
      <c r="H1391">
        <v>17</v>
      </c>
      <c r="I1391" s="4">
        <v>562989</v>
      </c>
      <c r="J1391" s="4">
        <v>266560</v>
      </c>
    </row>
    <row r="1392" spans="2:10" x14ac:dyDescent="0.3">
      <c r="B1392" s="7">
        <v>44835</v>
      </c>
      <c r="C1392" s="3">
        <f t="shared" si="42"/>
        <v>2022</v>
      </c>
      <c r="D1392" s="3">
        <f t="shared" si="43"/>
        <v>202210</v>
      </c>
      <c r="E1392" s="5" t="s">
        <v>3</v>
      </c>
      <c r="F1392" s="5" t="s">
        <v>10</v>
      </c>
      <c r="G1392" s="5" t="s">
        <v>29</v>
      </c>
      <c r="H1392">
        <v>14</v>
      </c>
      <c r="I1392" s="4">
        <v>466634</v>
      </c>
      <c r="J1392" s="4">
        <v>219520</v>
      </c>
    </row>
    <row r="1393" spans="2:10" x14ac:dyDescent="0.3">
      <c r="B1393" s="7">
        <v>44866</v>
      </c>
      <c r="C1393" s="3">
        <f t="shared" si="42"/>
        <v>2022</v>
      </c>
      <c r="D1393" s="3">
        <f t="shared" si="43"/>
        <v>202211</v>
      </c>
      <c r="E1393" s="5" t="s">
        <v>3</v>
      </c>
      <c r="F1393" s="5" t="s">
        <v>10</v>
      </c>
      <c r="G1393" s="5" t="s">
        <v>29</v>
      </c>
      <c r="H1393">
        <v>10</v>
      </c>
      <c r="I1393" s="4">
        <v>335000</v>
      </c>
      <c r="J1393" s="4">
        <v>156800</v>
      </c>
    </row>
    <row r="1394" spans="2:10" x14ac:dyDescent="0.3">
      <c r="B1394" s="7">
        <v>44896</v>
      </c>
      <c r="C1394" s="3">
        <f t="shared" si="42"/>
        <v>2022</v>
      </c>
      <c r="D1394" s="3">
        <f t="shared" si="43"/>
        <v>202212</v>
      </c>
      <c r="E1394" s="5" t="s">
        <v>3</v>
      </c>
      <c r="F1394" s="5" t="s">
        <v>10</v>
      </c>
      <c r="G1394" s="5" t="s">
        <v>29</v>
      </c>
      <c r="H1394">
        <v>12</v>
      </c>
      <c r="I1394" s="4">
        <v>393204</v>
      </c>
      <c r="J1394" s="4">
        <v>188160</v>
      </c>
    </row>
    <row r="1395" spans="2:10" x14ac:dyDescent="0.3">
      <c r="B1395" s="7">
        <v>44197</v>
      </c>
      <c r="C1395" s="3">
        <f t="shared" si="42"/>
        <v>2021</v>
      </c>
      <c r="D1395" s="3">
        <f t="shared" si="43"/>
        <v>202101</v>
      </c>
      <c r="E1395" s="5" t="s">
        <v>3</v>
      </c>
      <c r="F1395" s="5" t="s">
        <v>10</v>
      </c>
      <c r="G1395" s="5" t="s">
        <v>30</v>
      </c>
      <c r="H1395">
        <v>17</v>
      </c>
      <c r="I1395" s="4">
        <v>731000</v>
      </c>
      <c r="J1395" s="4">
        <v>307020</v>
      </c>
    </row>
    <row r="1396" spans="2:10" x14ac:dyDescent="0.3">
      <c r="B1396" s="7">
        <v>44228</v>
      </c>
      <c r="C1396" s="3">
        <f t="shared" si="42"/>
        <v>2021</v>
      </c>
      <c r="D1396" s="3">
        <f t="shared" si="43"/>
        <v>202102</v>
      </c>
      <c r="E1396" s="5" t="s">
        <v>3</v>
      </c>
      <c r="F1396" s="5" t="s">
        <v>10</v>
      </c>
      <c r="G1396" s="5" t="s">
        <v>30</v>
      </c>
      <c r="H1396">
        <v>11</v>
      </c>
      <c r="I1396" s="4">
        <v>475772</v>
      </c>
      <c r="J1396" s="4">
        <v>198660</v>
      </c>
    </row>
    <row r="1397" spans="2:10" x14ac:dyDescent="0.3">
      <c r="B1397" s="7">
        <v>44256</v>
      </c>
      <c r="C1397" s="3">
        <f t="shared" si="42"/>
        <v>2021</v>
      </c>
      <c r="D1397" s="3">
        <f t="shared" si="43"/>
        <v>202103</v>
      </c>
      <c r="E1397" s="5" t="s">
        <v>3</v>
      </c>
      <c r="F1397" s="5" t="s">
        <v>10</v>
      </c>
      <c r="G1397" s="5" t="s">
        <v>30</v>
      </c>
      <c r="H1397">
        <v>9</v>
      </c>
      <c r="I1397" s="4">
        <v>379647</v>
      </c>
      <c r="J1397" s="4">
        <v>162540</v>
      </c>
    </row>
    <row r="1398" spans="2:10" x14ac:dyDescent="0.3">
      <c r="B1398" s="7">
        <v>44287</v>
      </c>
      <c r="C1398" s="3">
        <f t="shared" si="42"/>
        <v>2021</v>
      </c>
      <c r="D1398" s="3">
        <f t="shared" si="43"/>
        <v>202104</v>
      </c>
      <c r="E1398" s="5" t="s">
        <v>3</v>
      </c>
      <c r="F1398" s="5" t="s">
        <v>10</v>
      </c>
      <c r="G1398" s="5" t="s">
        <v>30</v>
      </c>
      <c r="H1398">
        <v>16</v>
      </c>
      <c r="I1398" s="4">
        <v>706704</v>
      </c>
      <c r="J1398" s="4">
        <v>288960</v>
      </c>
    </row>
    <row r="1399" spans="2:10" x14ac:dyDescent="0.3">
      <c r="B1399" s="7">
        <v>44317</v>
      </c>
      <c r="C1399" s="3">
        <f t="shared" si="42"/>
        <v>2021</v>
      </c>
      <c r="D1399" s="3">
        <f t="shared" si="43"/>
        <v>202105</v>
      </c>
      <c r="E1399" s="5" t="s">
        <v>3</v>
      </c>
      <c r="F1399" s="5" t="s">
        <v>10</v>
      </c>
      <c r="G1399" s="5" t="s">
        <v>30</v>
      </c>
      <c r="H1399">
        <v>20</v>
      </c>
      <c r="I1399" s="4">
        <v>884680</v>
      </c>
      <c r="J1399" s="4">
        <v>361200</v>
      </c>
    </row>
    <row r="1400" spans="2:10" x14ac:dyDescent="0.3">
      <c r="B1400" s="7">
        <v>44348</v>
      </c>
      <c r="C1400" s="3">
        <f t="shared" si="42"/>
        <v>2021</v>
      </c>
      <c r="D1400" s="3">
        <f t="shared" si="43"/>
        <v>202106</v>
      </c>
      <c r="E1400" s="5" t="s">
        <v>3</v>
      </c>
      <c r="F1400" s="5" t="s">
        <v>10</v>
      </c>
      <c r="G1400" s="5" t="s">
        <v>30</v>
      </c>
      <c r="H1400">
        <v>19</v>
      </c>
      <c r="I1400" s="4">
        <v>829008</v>
      </c>
      <c r="J1400" s="4">
        <v>343140</v>
      </c>
    </row>
    <row r="1401" spans="2:10" x14ac:dyDescent="0.3">
      <c r="B1401" s="7">
        <v>44378</v>
      </c>
      <c r="C1401" s="3">
        <f t="shared" si="42"/>
        <v>2021</v>
      </c>
      <c r="D1401" s="3">
        <f t="shared" si="43"/>
        <v>202107</v>
      </c>
      <c r="E1401" s="5" t="s">
        <v>3</v>
      </c>
      <c r="F1401" s="5" t="s">
        <v>10</v>
      </c>
      <c r="G1401" s="5" t="s">
        <v>30</v>
      </c>
      <c r="H1401">
        <v>20</v>
      </c>
      <c r="I1401" s="4">
        <v>836380</v>
      </c>
      <c r="J1401" s="4">
        <v>361200</v>
      </c>
    </row>
    <row r="1402" spans="2:10" x14ac:dyDescent="0.3">
      <c r="B1402" s="7">
        <v>44409</v>
      </c>
      <c r="C1402" s="3">
        <f t="shared" si="42"/>
        <v>2021</v>
      </c>
      <c r="D1402" s="3">
        <f t="shared" si="43"/>
        <v>202108</v>
      </c>
      <c r="E1402" s="5" t="s">
        <v>3</v>
      </c>
      <c r="F1402" s="5" t="s">
        <v>10</v>
      </c>
      <c r="G1402" s="5" t="s">
        <v>30</v>
      </c>
      <c r="H1402">
        <v>17</v>
      </c>
      <c r="I1402" s="4">
        <v>727396</v>
      </c>
      <c r="J1402" s="4">
        <v>307020</v>
      </c>
    </row>
    <row r="1403" spans="2:10" x14ac:dyDescent="0.3">
      <c r="B1403" s="7">
        <v>44440</v>
      </c>
      <c r="C1403" s="3">
        <f t="shared" si="42"/>
        <v>2021</v>
      </c>
      <c r="D1403" s="3">
        <f t="shared" si="43"/>
        <v>202109</v>
      </c>
      <c r="E1403" s="5" t="s">
        <v>3</v>
      </c>
      <c r="F1403" s="5" t="s">
        <v>10</v>
      </c>
      <c r="G1403" s="5" t="s">
        <v>30</v>
      </c>
      <c r="H1403">
        <v>18</v>
      </c>
      <c r="I1403" s="4">
        <v>771840</v>
      </c>
      <c r="J1403" s="4">
        <v>325080</v>
      </c>
    </row>
    <row r="1404" spans="2:10" x14ac:dyDescent="0.3">
      <c r="B1404" s="7">
        <v>44470</v>
      </c>
      <c r="C1404" s="3">
        <f t="shared" si="42"/>
        <v>2021</v>
      </c>
      <c r="D1404" s="3">
        <f t="shared" si="43"/>
        <v>202110</v>
      </c>
      <c r="E1404" s="5" t="s">
        <v>3</v>
      </c>
      <c r="F1404" s="5" t="s">
        <v>10</v>
      </c>
      <c r="G1404" s="5" t="s">
        <v>30</v>
      </c>
      <c r="H1404">
        <v>15</v>
      </c>
      <c r="I1404" s="4">
        <v>649140</v>
      </c>
      <c r="J1404" s="4">
        <v>270900</v>
      </c>
    </row>
    <row r="1405" spans="2:10" x14ac:dyDescent="0.3">
      <c r="B1405" s="7">
        <v>44501</v>
      </c>
      <c r="C1405" s="3">
        <f t="shared" si="42"/>
        <v>2021</v>
      </c>
      <c r="D1405" s="3">
        <f t="shared" si="43"/>
        <v>202111</v>
      </c>
      <c r="E1405" s="5" t="s">
        <v>3</v>
      </c>
      <c r="F1405" s="5" t="s">
        <v>10</v>
      </c>
      <c r="G1405" s="5" t="s">
        <v>30</v>
      </c>
      <c r="H1405">
        <v>11</v>
      </c>
      <c r="I1405" s="4">
        <v>472362</v>
      </c>
      <c r="J1405" s="4">
        <v>198660</v>
      </c>
    </row>
    <row r="1406" spans="2:10" x14ac:dyDescent="0.3">
      <c r="B1406" s="7">
        <v>44531</v>
      </c>
      <c r="C1406" s="3">
        <f t="shared" si="42"/>
        <v>2021</v>
      </c>
      <c r="D1406" s="3">
        <f t="shared" si="43"/>
        <v>202112</v>
      </c>
      <c r="E1406" s="5" t="s">
        <v>3</v>
      </c>
      <c r="F1406" s="5" t="s">
        <v>10</v>
      </c>
      <c r="G1406" s="5" t="s">
        <v>30</v>
      </c>
      <c r="H1406">
        <v>13</v>
      </c>
      <c r="I1406" s="4">
        <v>556231</v>
      </c>
      <c r="J1406" s="4">
        <v>234780</v>
      </c>
    </row>
    <row r="1407" spans="2:10" x14ac:dyDescent="0.3">
      <c r="B1407" s="7">
        <v>44562</v>
      </c>
      <c r="C1407" s="3">
        <f t="shared" si="42"/>
        <v>2022</v>
      </c>
      <c r="D1407" s="3">
        <f t="shared" si="43"/>
        <v>202201</v>
      </c>
      <c r="E1407" s="5" t="s">
        <v>3</v>
      </c>
      <c r="F1407" s="5" t="s">
        <v>10</v>
      </c>
      <c r="G1407" s="5" t="s">
        <v>30</v>
      </c>
      <c r="H1407">
        <v>18</v>
      </c>
      <c r="I1407" s="4">
        <v>778878</v>
      </c>
      <c r="J1407" s="4">
        <v>325080</v>
      </c>
    </row>
    <row r="1408" spans="2:10" x14ac:dyDescent="0.3">
      <c r="B1408" s="7">
        <v>44593</v>
      </c>
      <c r="C1408" s="3">
        <f t="shared" si="42"/>
        <v>2022</v>
      </c>
      <c r="D1408" s="3">
        <f t="shared" si="43"/>
        <v>202202</v>
      </c>
      <c r="E1408" s="5" t="s">
        <v>3</v>
      </c>
      <c r="F1408" s="5" t="s">
        <v>10</v>
      </c>
      <c r="G1408" s="5" t="s">
        <v>30</v>
      </c>
      <c r="H1408">
        <v>12</v>
      </c>
      <c r="I1408" s="4">
        <v>525768</v>
      </c>
      <c r="J1408" s="4">
        <v>216720</v>
      </c>
    </row>
    <row r="1409" spans="2:10" x14ac:dyDescent="0.3">
      <c r="B1409" s="7">
        <v>44621</v>
      </c>
      <c r="C1409" s="3">
        <f t="shared" si="42"/>
        <v>2022</v>
      </c>
      <c r="D1409" s="3">
        <f t="shared" si="43"/>
        <v>202203</v>
      </c>
      <c r="E1409" s="5" t="s">
        <v>3</v>
      </c>
      <c r="F1409" s="5" t="s">
        <v>10</v>
      </c>
      <c r="G1409" s="5" t="s">
        <v>30</v>
      </c>
      <c r="H1409">
        <v>9</v>
      </c>
      <c r="I1409" s="4">
        <v>379926</v>
      </c>
      <c r="J1409" s="4">
        <v>162540</v>
      </c>
    </row>
    <row r="1410" spans="2:10" x14ac:dyDescent="0.3">
      <c r="B1410" s="7">
        <v>44652</v>
      </c>
      <c r="C1410" s="3">
        <f t="shared" si="42"/>
        <v>2022</v>
      </c>
      <c r="D1410" s="3">
        <f t="shared" si="43"/>
        <v>202204</v>
      </c>
      <c r="E1410" s="5" t="s">
        <v>3</v>
      </c>
      <c r="F1410" s="5" t="s">
        <v>10</v>
      </c>
      <c r="G1410" s="5" t="s">
        <v>30</v>
      </c>
      <c r="H1410">
        <v>17</v>
      </c>
      <c r="I1410" s="4">
        <v>741778</v>
      </c>
      <c r="J1410" s="4">
        <v>307020</v>
      </c>
    </row>
    <row r="1411" spans="2:10" x14ac:dyDescent="0.3">
      <c r="B1411" s="7">
        <v>44682</v>
      </c>
      <c r="C1411" s="3">
        <f t="shared" ref="C1411:C1474" si="44">YEAR(B1411)</f>
        <v>2022</v>
      </c>
      <c r="D1411" s="3">
        <f t="shared" ref="D1411:D1474" si="45">VALUE(TEXT(B1411,"ГГГГММ"))</f>
        <v>202205</v>
      </c>
      <c r="E1411" s="5" t="s">
        <v>3</v>
      </c>
      <c r="F1411" s="5" t="s">
        <v>10</v>
      </c>
      <c r="G1411" s="5" t="s">
        <v>30</v>
      </c>
      <c r="H1411">
        <v>22</v>
      </c>
      <c r="I1411" s="4">
        <v>979528</v>
      </c>
      <c r="J1411" s="4">
        <v>397320</v>
      </c>
    </row>
    <row r="1412" spans="2:10" x14ac:dyDescent="0.3">
      <c r="B1412" s="7">
        <v>44713</v>
      </c>
      <c r="C1412" s="3">
        <f t="shared" si="44"/>
        <v>2022</v>
      </c>
      <c r="D1412" s="3">
        <f t="shared" si="45"/>
        <v>202206</v>
      </c>
      <c r="E1412" s="5" t="s">
        <v>3</v>
      </c>
      <c r="F1412" s="5" t="s">
        <v>10</v>
      </c>
      <c r="G1412" s="5" t="s">
        <v>30</v>
      </c>
      <c r="H1412">
        <v>20</v>
      </c>
      <c r="I1412" s="4">
        <v>879680</v>
      </c>
      <c r="J1412" s="4">
        <v>361200</v>
      </c>
    </row>
    <row r="1413" spans="2:10" x14ac:dyDescent="0.3">
      <c r="B1413" s="7">
        <v>44743</v>
      </c>
      <c r="C1413" s="3">
        <f t="shared" si="44"/>
        <v>2022</v>
      </c>
      <c r="D1413" s="3">
        <f t="shared" si="45"/>
        <v>202207</v>
      </c>
      <c r="E1413" s="5" t="s">
        <v>3</v>
      </c>
      <c r="F1413" s="5" t="s">
        <v>10</v>
      </c>
      <c r="G1413" s="5" t="s">
        <v>30</v>
      </c>
      <c r="H1413">
        <v>22</v>
      </c>
      <c r="I1413" s="4">
        <v>907632</v>
      </c>
      <c r="J1413" s="4">
        <v>397320</v>
      </c>
    </row>
    <row r="1414" spans="2:10" x14ac:dyDescent="0.3">
      <c r="B1414" s="7">
        <v>44774</v>
      </c>
      <c r="C1414" s="3">
        <f t="shared" si="44"/>
        <v>2022</v>
      </c>
      <c r="D1414" s="3">
        <f t="shared" si="45"/>
        <v>202208</v>
      </c>
      <c r="E1414" s="5" t="s">
        <v>3</v>
      </c>
      <c r="F1414" s="5" t="s">
        <v>10</v>
      </c>
      <c r="G1414" s="5" t="s">
        <v>30</v>
      </c>
      <c r="H1414">
        <v>18</v>
      </c>
      <c r="I1414" s="4">
        <v>775530</v>
      </c>
      <c r="J1414" s="4">
        <v>325080</v>
      </c>
    </row>
    <row r="1415" spans="2:10" x14ac:dyDescent="0.3">
      <c r="B1415" s="7">
        <v>44805</v>
      </c>
      <c r="C1415" s="3">
        <f t="shared" si="44"/>
        <v>2022</v>
      </c>
      <c r="D1415" s="3">
        <f t="shared" si="45"/>
        <v>202209</v>
      </c>
      <c r="E1415" s="5" t="s">
        <v>3</v>
      </c>
      <c r="F1415" s="5" t="s">
        <v>10</v>
      </c>
      <c r="G1415" s="5" t="s">
        <v>30</v>
      </c>
      <c r="H1415">
        <v>19</v>
      </c>
      <c r="I1415" s="4">
        <v>816316</v>
      </c>
      <c r="J1415" s="4">
        <v>343140</v>
      </c>
    </row>
    <row r="1416" spans="2:10" x14ac:dyDescent="0.3">
      <c r="B1416" s="7">
        <v>44835</v>
      </c>
      <c r="C1416" s="3">
        <f t="shared" si="44"/>
        <v>2022</v>
      </c>
      <c r="D1416" s="3">
        <f t="shared" si="45"/>
        <v>202210</v>
      </c>
      <c r="E1416" s="5" t="s">
        <v>3</v>
      </c>
      <c r="F1416" s="5" t="s">
        <v>10</v>
      </c>
      <c r="G1416" s="5" t="s">
        <v>30</v>
      </c>
      <c r="H1416">
        <v>16</v>
      </c>
      <c r="I1416" s="4">
        <v>698864</v>
      </c>
      <c r="J1416" s="4">
        <v>288960</v>
      </c>
    </row>
    <row r="1417" spans="2:10" x14ac:dyDescent="0.3">
      <c r="B1417" s="7">
        <v>44866</v>
      </c>
      <c r="C1417" s="3">
        <f t="shared" si="44"/>
        <v>2022</v>
      </c>
      <c r="D1417" s="3">
        <f t="shared" si="45"/>
        <v>202211</v>
      </c>
      <c r="E1417" s="5" t="s">
        <v>3</v>
      </c>
      <c r="F1417" s="5" t="s">
        <v>10</v>
      </c>
      <c r="G1417" s="5" t="s">
        <v>30</v>
      </c>
      <c r="H1417">
        <v>12</v>
      </c>
      <c r="I1417" s="4">
        <v>513180</v>
      </c>
      <c r="J1417" s="4">
        <v>216720</v>
      </c>
    </row>
    <row r="1418" spans="2:10" x14ac:dyDescent="0.3">
      <c r="B1418" s="7">
        <v>44896</v>
      </c>
      <c r="C1418" s="3">
        <f t="shared" si="44"/>
        <v>2022</v>
      </c>
      <c r="D1418" s="3">
        <f t="shared" si="45"/>
        <v>202212</v>
      </c>
      <c r="E1418" s="5" t="s">
        <v>3</v>
      </c>
      <c r="F1418" s="5" t="s">
        <v>10</v>
      </c>
      <c r="G1418" s="5" t="s">
        <v>30</v>
      </c>
      <c r="H1418">
        <v>14</v>
      </c>
      <c r="I1418" s="4">
        <v>596638</v>
      </c>
      <c r="J1418" s="4">
        <v>252840</v>
      </c>
    </row>
    <row r="1419" spans="2:10" x14ac:dyDescent="0.3">
      <c r="B1419" s="7">
        <v>44197</v>
      </c>
      <c r="C1419" s="3">
        <f t="shared" si="44"/>
        <v>2021</v>
      </c>
      <c r="D1419" s="3">
        <f t="shared" si="45"/>
        <v>202101</v>
      </c>
      <c r="E1419" s="5" t="s">
        <v>3</v>
      </c>
      <c r="F1419" s="5" t="s">
        <v>10</v>
      </c>
      <c r="G1419" s="5" t="s">
        <v>31</v>
      </c>
      <c r="H1419">
        <v>15</v>
      </c>
      <c r="I1419" s="4">
        <v>439245</v>
      </c>
      <c r="J1419" s="4">
        <v>168000</v>
      </c>
    </row>
    <row r="1420" spans="2:10" x14ac:dyDescent="0.3">
      <c r="B1420" s="7">
        <v>44228</v>
      </c>
      <c r="C1420" s="3">
        <f t="shared" si="44"/>
        <v>2021</v>
      </c>
      <c r="D1420" s="3">
        <f t="shared" si="45"/>
        <v>202102</v>
      </c>
      <c r="E1420" s="5" t="s">
        <v>3</v>
      </c>
      <c r="F1420" s="5" t="s">
        <v>10</v>
      </c>
      <c r="G1420" s="5" t="s">
        <v>31</v>
      </c>
      <c r="H1420">
        <v>10</v>
      </c>
      <c r="I1420" s="4">
        <v>296100</v>
      </c>
      <c r="J1420" s="4">
        <v>112000</v>
      </c>
    </row>
    <row r="1421" spans="2:10" x14ac:dyDescent="0.3">
      <c r="B1421" s="7">
        <v>44256</v>
      </c>
      <c r="C1421" s="3">
        <f t="shared" si="44"/>
        <v>2021</v>
      </c>
      <c r="D1421" s="3">
        <f t="shared" si="45"/>
        <v>202103</v>
      </c>
      <c r="E1421" s="5" t="s">
        <v>3</v>
      </c>
      <c r="F1421" s="5" t="s">
        <v>10</v>
      </c>
      <c r="G1421" s="5" t="s">
        <v>31</v>
      </c>
      <c r="H1421">
        <v>8</v>
      </c>
      <c r="I1421" s="4">
        <v>228432</v>
      </c>
      <c r="J1421" s="4">
        <v>89600</v>
      </c>
    </row>
    <row r="1422" spans="2:10" x14ac:dyDescent="0.3">
      <c r="B1422" s="7">
        <v>44287</v>
      </c>
      <c r="C1422" s="3">
        <f t="shared" si="44"/>
        <v>2021</v>
      </c>
      <c r="D1422" s="3">
        <f t="shared" si="45"/>
        <v>202104</v>
      </c>
      <c r="E1422" s="5" t="s">
        <v>3</v>
      </c>
      <c r="F1422" s="5" t="s">
        <v>10</v>
      </c>
      <c r="G1422" s="5" t="s">
        <v>31</v>
      </c>
      <c r="H1422">
        <v>14</v>
      </c>
      <c r="I1422" s="4">
        <v>420448</v>
      </c>
      <c r="J1422" s="4">
        <v>156800</v>
      </c>
    </row>
    <row r="1423" spans="2:10" x14ac:dyDescent="0.3">
      <c r="B1423" s="7">
        <v>44317</v>
      </c>
      <c r="C1423" s="3">
        <f t="shared" si="44"/>
        <v>2021</v>
      </c>
      <c r="D1423" s="3">
        <f t="shared" si="45"/>
        <v>202105</v>
      </c>
      <c r="E1423" s="5" t="s">
        <v>3</v>
      </c>
      <c r="F1423" s="5" t="s">
        <v>10</v>
      </c>
      <c r="G1423" s="5" t="s">
        <v>31</v>
      </c>
      <c r="H1423">
        <v>18</v>
      </c>
      <c r="I1423" s="4">
        <v>536886</v>
      </c>
      <c r="J1423" s="4">
        <v>201600</v>
      </c>
    </row>
    <row r="1424" spans="2:10" x14ac:dyDescent="0.3">
      <c r="B1424" s="7">
        <v>44348</v>
      </c>
      <c r="C1424" s="3">
        <f t="shared" si="44"/>
        <v>2021</v>
      </c>
      <c r="D1424" s="3">
        <f t="shared" si="45"/>
        <v>202106</v>
      </c>
      <c r="E1424" s="5" t="s">
        <v>3</v>
      </c>
      <c r="F1424" s="5" t="s">
        <v>10</v>
      </c>
      <c r="G1424" s="5" t="s">
        <v>31</v>
      </c>
      <c r="H1424">
        <v>17</v>
      </c>
      <c r="I1424" s="4">
        <v>487560</v>
      </c>
      <c r="J1424" s="4">
        <v>190400</v>
      </c>
    </row>
    <row r="1425" spans="2:10" x14ac:dyDescent="0.3">
      <c r="B1425" s="7">
        <v>44378</v>
      </c>
      <c r="C1425" s="3">
        <f t="shared" si="44"/>
        <v>2021</v>
      </c>
      <c r="D1425" s="3">
        <f t="shared" si="45"/>
        <v>202107</v>
      </c>
      <c r="E1425" s="5" t="s">
        <v>3</v>
      </c>
      <c r="F1425" s="5" t="s">
        <v>10</v>
      </c>
      <c r="G1425" s="5" t="s">
        <v>31</v>
      </c>
      <c r="H1425">
        <v>18</v>
      </c>
      <c r="I1425" s="4">
        <v>501498</v>
      </c>
      <c r="J1425" s="4">
        <v>201600</v>
      </c>
    </row>
    <row r="1426" spans="2:10" x14ac:dyDescent="0.3">
      <c r="B1426" s="7">
        <v>44409</v>
      </c>
      <c r="C1426" s="3">
        <f t="shared" si="44"/>
        <v>2021</v>
      </c>
      <c r="D1426" s="3">
        <f t="shared" si="45"/>
        <v>202108</v>
      </c>
      <c r="E1426" s="5" t="s">
        <v>3</v>
      </c>
      <c r="F1426" s="5" t="s">
        <v>10</v>
      </c>
      <c r="G1426" s="5" t="s">
        <v>31</v>
      </c>
      <c r="H1426">
        <v>15</v>
      </c>
      <c r="I1426" s="4">
        <v>441405</v>
      </c>
      <c r="J1426" s="4">
        <v>168000</v>
      </c>
    </row>
    <row r="1427" spans="2:10" x14ac:dyDescent="0.3">
      <c r="B1427" s="7">
        <v>44440</v>
      </c>
      <c r="C1427" s="3">
        <f t="shared" si="44"/>
        <v>2021</v>
      </c>
      <c r="D1427" s="3">
        <f t="shared" si="45"/>
        <v>202109</v>
      </c>
      <c r="E1427" s="5" t="s">
        <v>3</v>
      </c>
      <c r="F1427" s="5" t="s">
        <v>10</v>
      </c>
      <c r="G1427" s="5" t="s">
        <v>31</v>
      </c>
      <c r="H1427">
        <v>16</v>
      </c>
      <c r="I1427" s="4">
        <v>452400</v>
      </c>
      <c r="J1427" s="4">
        <v>179200</v>
      </c>
    </row>
    <row r="1428" spans="2:10" x14ac:dyDescent="0.3">
      <c r="B1428" s="7">
        <v>44470</v>
      </c>
      <c r="C1428" s="3">
        <f t="shared" si="44"/>
        <v>2021</v>
      </c>
      <c r="D1428" s="3">
        <f t="shared" si="45"/>
        <v>202110</v>
      </c>
      <c r="E1428" s="5" t="s">
        <v>3</v>
      </c>
      <c r="F1428" s="5" t="s">
        <v>10</v>
      </c>
      <c r="G1428" s="5" t="s">
        <v>31</v>
      </c>
      <c r="H1428">
        <v>13</v>
      </c>
      <c r="I1428" s="4">
        <v>388427</v>
      </c>
      <c r="J1428" s="4">
        <v>145600</v>
      </c>
    </row>
    <row r="1429" spans="2:10" x14ac:dyDescent="0.3">
      <c r="B1429" s="7">
        <v>44501</v>
      </c>
      <c r="C1429" s="3">
        <f t="shared" si="44"/>
        <v>2021</v>
      </c>
      <c r="D1429" s="3">
        <f t="shared" si="45"/>
        <v>202111</v>
      </c>
      <c r="E1429" s="5" t="s">
        <v>3</v>
      </c>
      <c r="F1429" s="5" t="s">
        <v>10</v>
      </c>
      <c r="G1429" s="5" t="s">
        <v>31</v>
      </c>
      <c r="H1429">
        <v>10</v>
      </c>
      <c r="I1429" s="4">
        <v>298420</v>
      </c>
      <c r="J1429" s="4">
        <v>112000</v>
      </c>
    </row>
    <row r="1430" spans="2:10" x14ac:dyDescent="0.3">
      <c r="B1430" s="7">
        <v>44531</v>
      </c>
      <c r="C1430" s="3">
        <f t="shared" si="44"/>
        <v>2021</v>
      </c>
      <c r="D1430" s="3">
        <f t="shared" si="45"/>
        <v>202112</v>
      </c>
      <c r="E1430" s="5" t="s">
        <v>3</v>
      </c>
      <c r="F1430" s="5" t="s">
        <v>10</v>
      </c>
      <c r="G1430" s="5" t="s">
        <v>31</v>
      </c>
      <c r="H1430">
        <v>11</v>
      </c>
      <c r="I1430" s="4">
        <v>308242</v>
      </c>
      <c r="J1430" s="4">
        <v>123200</v>
      </c>
    </row>
    <row r="1431" spans="2:10" x14ac:dyDescent="0.3">
      <c r="B1431" s="7">
        <v>44562</v>
      </c>
      <c r="C1431" s="3">
        <f t="shared" si="44"/>
        <v>2022</v>
      </c>
      <c r="D1431" s="3">
        <f t="shared" si="45"/>
        <v>202201</v>
      </c>
      <c r="E1431" s="5" t="s">
        <v>3</v>
      </c>
      <c r="F1431" s="5" t="s">
        <v>10</v>
      </c>
      <c r="G1431" s="5" t="s">
        <v>31</v>
      </c>
      <c r="H1431">
        <v>17</v>
      </c>
      <c r="I1431" s="4">
        <v>498253</v>
      </c>
      <c r="J1431" s="4">
        <v>190400</v>
      </c>
    </row>
    <row r="1432" spans="2:10" x14ac:dyDescent="0.3">
      <c r="B1432" s="7">
        <v>44593</v>
      </c>
      <c r="C1432" s="3">
        <f t="shared" si="44"/>
        <v>2022</v>
      </c>
      <c r="D1432" s="3">
        <f t="shared" si="45"/>
        <v>202202</v>
      </c>
      <c r="E1432" s="5" t="s">
        <v>3</v>
      </c>
      <c r="F1432" s="5" t="s">
        <v>10</v>
      </c>
      <c r="G1432" s="5" t="s">
        <v>31</v>
      </c>
      <c r="H1432">
        <v>11</v>
      </c>
      <c r="I1432" s="4">
        <v>326227</v>
      </c>
      <c r="J1432" s="4">
        <v>123200</v>
      </c>
    </row>
    <row r="1433" spans="2:10" x14ac:dyDescent="0.3">
      <c r="B1433" s="7">
        <v>44621</v>
      </c>
      <c r="C1433" s="3">
        <f t="shared" si="44"/>
        <v>2022</v>
      </c>
      <c r="D1433" s="3">
        <f t="shared" si="45"/>
        <v>202203</v>
      </c>
      <c r="E1433" s="5" t="s">
        <v>3</v>
      </c>
      <c r="F1433" s="5" t="s">
        <v>10</v>
      </c>
      <c r="G1433" s="5" t="s">
        <v>31</v>
      </c>
      <c r="H1433">
        <v>9</v>
      </c>
      <c r="I1433" s="4">
        <v>259758</v>
      </c>
      <c r="J1433" s="4">
        <v>100800</v>
      </c>
    </row>
    <row r="1434" spans="2:10" x14ac:dyDescent="0.3">
      <c r="B1434" s="7">
        <v>44652</v>
      </c>
      <c r="C1434" s="3">
        <f t="shared" si="44"/>
        <v>2022</v>
      </c>
      <c r="D1434" s="3">
        <f t="shared" si="45"/>
        <v>202204</v>
      </c>
      <c r="E1434" s="5" t="s">
        <v>3</v>
      </c>
      <c r="F1434" s="5" t="s">
        <v>10</v>
      </c>
      <c r="G1434" s="5" t="s">
        <v>31</v>
      </c>
      <c r="H1434">
        <v>16</v>
      </c>
      <c r="I1434" s="4">
        <v>478320</v>
      </c>
      <c r="J1434" s="4">
        <v>179200</v>
      </c>
    </row>
    <row r="1435" spans="2:10" x14ac:dyDescent="0.3">
      <c r="B1435" s="7">
        <v>44682</v>
      </c>
      <c r="C1435" s="3">
        <f t="shared" si="44"/>
        <v>2022</v>
      </c>
      <c r="D1435" s="3">
        <f t="shared" si="45"/>
        <v>202205</v>
      </c>
      <c r="E1435" s="5" t="s">
        <v>3</v>
      </c>
      <c r="F1435" s="5" t="s">
        <v>10</v>
      </c>
      <c r="G1435" s="5" t="s">
        <v>31</v>
      </c>
      <c r="H1435">
        <v>20</v>
      </c>
      <c r="I1435" s="4">
        <v>597500</v>
      </c>
      <c r="J1435" s="4">
        <v>224000</v>
      </c>
    </row>
    <row r="1436" spans="2:10" x14ac:dyDescent="0.3">
      <c r="B1436" s="7">
        <v>44713</v>
      </c>
      <c r="C1436" s="3">
        <f t="shared" si="44"/>
        <v>2022</v>
      </c>
      <c r="D1436" s="3">
        <f t="shared" si="45"/>
        <v>202206</v>
      </c>
      <c r="E1436" s="5" t="s">
        <v>3</v>
      </c>
      <c r="F1436" s="5" t="s">
        <v>10</v>
      </c>
      <c r="G1436" s="5" t="s">
        <v>31</v>
      </c>
      <c r="H1436">
        <v>19</v>
      </c>
      <c r="I1436" s="4">
        <v>559702</v>
      </c>
      <c r="J1436" s="4">
        <v>212800</v>
      </c>
    </row>
    <row r="1437" spans="2:10" x14ac:dyDescent="0.3">
      <c r="B1437" s="7">
        <v>44743</v>
      </c>
      <c r="C1437" s="3">
        <f t="shared" si="44"/>
        <v>2022</v>
      </c>
      <c r="D1437" s="3">
        <f t="shared" si="45"/>
        <v>202207</v>
      </c>
      <c r="E1437" s="5" t="s">
        <v>3</v>
      </c>
      <c r="F1437" s="5" t="s">
        <v>10</v>
      </c>
      <c r="G1437" s="5" t="s">
        <v>31</v>
      </c>
      <c r="H1437">
        <v>20</v>
      </c>
      <c r="I1437" s="4">
        <v>553280</v>
      </c>
      <c r="J1437" s="4">
        <v>224000</v>
      </c>
    </row>
    <row r="1438" spans="2:10" x14ac:dyDescent="0.3">
      <c r="B1438" s="7">
        <v>44774</v>
      </c>
      <c r="C1438" s="3">
        <f t="shared" si="44"/>
        <v>2022</v>
      </c>
      <c r="D1438" s="3">
        <f t="shared" si="45"/>
        <v>202208</v>
      </c>
      <c r="E1438" s="5" t="s">
        <v>3</v>
      </c>
      <c r="F1438" s="5" t="s">
        <v>10</v>
      </c>
      <c r="G1438" s="5" t="s">
        <v>31</v>
      </c>
      <c r="H1438">
        <v>17</v>
      </c>
      <c r="I1438" s="4">
        <v>496332</v>
      </c>
      <c r="J1438" s="4">
        <v>190400</v>
      </c>
    </row>
    <row r="1439" spans="2:10" x14ac:dyDescent="0.3">
      <c r="B1439" s="7">
        <v>44805</v>
      </c>
      <c r="C1439" s="3">
        <f t="shared" si="44"/>
        <v>2022</v>
      </c>
      <c r="D1439" s="3">
        <f t="shared" si="45"/>
        <v>202209</v>
      </c>
      <c r="E1439" s="5" t="s">
        <v>3</v>
      </c>
      <c r="F1439" s="5" t="s">
        <v>10</v>
      </c>
      <c r="G1439" s="5" t="s">
        <v>31</v>
      </c>
      <c r="H1439">
        <v>18</v>
      </c>
      <c r="I1439" s="4">
        <v>518166</v>
      </c>
      <c r="J1439" s="4">
        <v>201600</v>
      </c>
    </row>
    <row r="1440" spans="2:10" x14ac:dyDescent="0.3">
      <c r="B1440" s="7">
        <v>44835</v>
      </c>
      <c r="C1440" s="3">
        <f t="shared" si="44"/>
        <v>2022</v>
      </c>
      <c r="D1440" s="3">
        <f t="shared" si="45"/>
        <v>202210</v>
      </c>
      <c r="E1440" s="5" t="s">
        <v>3</v>
      </c>
      <c r="F1440" s="5" t="s">
        <v>10</v>
      </c>
      <c r="G1440" s="5" t="s">
        <v>31</v>
      </c>
      <c r="H1440">
        <v>15</v>
      </c>
      <c r="I1440" s="4">
        <v>446295</v>
      </c>
      <c r="J1440" s="4">
        <v>168000</v>
      </c>
    </row>
    <row r="1441" spans="2:10" x14ac:dyDescent="0.3">
      <c r="B1441" s="7">
        <v>44866</v>
      </c>
      <c r="C1441" s="3">
        <f t="shared" si="44"/>
        <v>2022</v>
      </c>
      <c r="D1441" s="3">
        <f t="shared" si="45"/>
        <v>202211</v>
      </c>
      <c r="E1441" s="5" t="s">
        <v>3</v>
      </c>
      <c r="F1441" s="5" t="s">
        <v>10</v>
      </c>
      <c r="G1441" s="5" t="s">
        <v>31</v>
      </c>
      <c r="H1441">
        <v>11</v>
      </c>
      <c r="I1441" s="4">
        <v>327954</v>
      </c>
      <c r="J1441" s="4">
        <v>123200</v>
      </c>
    </row>
    <row r="1442" spans="2:10" x14ac:dyDescent="0.3">
      <c r="B1442" s="7">
        <v>44896</v>
      </c>
      <c r="C1442" s="3">
        <f t="shared" si="44"/>
        <v>2022</v>
      </c>
      <c r="D1442" s="3">
        <f t="shared" si="45"/>
        <v>202212</v>
      </c>
      <c r="E1442" s="5" t="s">
        <v>3</v>
      </c>
      <c r="F1442" s="5" t="s">
        <v>10</v>
      </c>
      <c r="G1442" s="5" t="s">
        <v>31</v>
      </c>
      <c r="H1442">
        <v>13</v>
      </c>
      <c r="I1442" s="4">
        <v>375596</v>
      </c>
      <c r="J1442" s="4">
        <v>145600</v>
      </c>
    </row>
    <row r="1443" spans="2:10" x14ac:dyDescent="0.3">
      <c r="B1443" s="7">
        <v>44197</v>
      </c>
      <c r="C1443" s="3">
        <f t="shared" si="44"/>
        <v>2021</v>
      </c>
      <c r="D1443" s="3">
        <f t="shared" si="45"/>
        <v>202101</v>
      </c>
      <c r="E1443" s="5" t="s">
        <v>3</v>
      </c>
      <c r="F1443" s="5" t="s">
        <v>10</v>
      </c>
      <c r="G1443" s="5" t="s">
        <v>32</v>
      </c>
      <c r="H1443">
        <v>19</v>
      </c>
      <c r="I1443" s="4">
        <v>876964</v>
      </c>
      <c r="J1443" s="4">
        <v>478800.00000000006</v>
      </c>
    </row>
    <row r="1444" spans="2:10" x14ac:dyDescent="0.3">
      <c r="B1444" s="7">
        <v>44228</v>
      </c>
      <c r="C1444" s="3">
        <f t="shared" si="44"/>
        <v>2021</v>
      </c>
      <c r="D1444" s="3">
        <f t="shared" si="45"/>
        <v>202102</v>
      </c>
      <c r="E1444" s="5" t="s">
        <v>3</v>
      </c>
      <c r="F1444" s="5" t="s">
        <v>10</v>
      </c>
      <c r="G1444" s="5" t="s">
        <v>32</v>
      </c>
      <c r="H1444">
        <v>12</v>
      </c>
      <c r="I1444" s="4">
        <v>560472</v>
      </c>
      <c r="J1444" s="4">
        <v>302400.00000000006</v>
      </c>
    </row>
    <row r="1445" spans="2:10" x14ac:dyDescent="0.3">
      <c r="B1445" s="7">
        <v>44256</v>
      </c>
      <c r="C1445" s="3">
        <f t="shared" si="44"/>
        <v>2021</v>
      </c>
      <c r="D1445" s="3">
        <f t="shared" si="45"/>
        <v>202103</v>
      </c>
      <c r="E1445" s="5" t="s">
        <v>3</v>
      </c>
      <c r="F1445" s="5" t="s">
        <v>10</v>
      </c>
      <c r="G1445" s="5" t="s">
        <v>32</v>
      </c>
      <c r="H1445">
        <v>10</v>
      </c>
      <c r="I1445" s="4">
        <v>460770</v>
      </c>
      <c r="J1445" s="4">
        <v>252000.00000000003</v>
      </c>
    </row>
    <row r="1446" spans="2:10" x14ac:dyDescent="0.3">
      <c r="B1446" s="7">
        <v>44287</v>
      </c>
      <c r="C1446" s="3">
        <f t="shared" si="44"/>
        <v>2021</v>
      </c>
      <c r="D1446" s="3">
        <f t="shared" si="45"/>
        <v>202104</v>
      </c>
      <c r="E1446" s="5" t="s">
        <v>3</v>
      </c>
      <c r="F1446" s="5" t="s">
        <v>10</v>
      </c>
      <c r="G1446" s="5" t="s">
        <v>32</v>
      </c>
      <c r="H1446">
        <v>18</v>
      </c>
      <c r="I1446" s="4">
        <v>839718</v>
      </c>
      <c r="J1446" s="4">
        <v>453600.00000000006</v>
      </c>
    </row>
    <row r="1447" spans="2:10" x14ac:dyDescent="0.3">
      <c r="B1447" s="7">
        <v>44317</v>
      </c>
      <c r="C1447" s="3">
        <f t="shared" si="44"/>
        <v>2021</v>
      </c>
      <c r="D1447" s="3">
        <f t="shared" si="45"/>
        <v>202105</v>
      </c>
      <c r="E1447" s="5" t="s">
        <v>3</v>
      </c>
      <c r="F1447" s="5" t="s">
        <v>10</v>
      </c>
      <c r="G1447" s="5" t="s">
        <v>32</v>
      </c>
      <c r="H1447">
        <v>22</v>
      </c>
      <c r="I1447" s="4">
        <v>1042734</v>
      </c>
      <c r="J1447" s="4">
        <v>554400.00000000012</v>
      </c>
    </row>
    <row r="1448" spans="2:10" x14ac:dyDescent="0.3">
      <c r="B1448" s="7">
        <v>44348</v>
      </c>
      <c r="C1448" s="3">
        <f t="shared" si="44"/>
        <v>2021</v>
      </c>
      <c r="D1448" s="3">
        <f t="shared" si="45"/>
        <v>202106</v>
      </c>
      <c r="E1448" s="5" t="s">
        <v>3</v>
      </c>
      <c r="F1448" s="5" t="s">
        <v>10</v>
      </c>
      <c r="G1448" s="5" t="s">
        <v>32</v>
      </c>
      <c r="H1448">
        <v>21</v>
      </c>
      <c r="I1448" s="4">
        <v>973497</v>
      </c>
      <c r="J1448" s="4">
        <v>529200.00000000012</v>
      </c>
    </row>
    <row r="1449" spans="2:10" x14ac:dyDescent="0.3">
      <c r="B1449" s="7">
        <v>44378</v>
      </c>
      <c r="C1449" s="3">
        <f t="shared" si="44"/>
        <v>2021</v>
      </c>
      <c r="D1449" s="3">
        <f t="shared" si="45"/>
        <v>202107</v>
      </c>
      <c r="E1449" s="5" t="s">
        <v>3</v>
      </c>
      <c r="F1449" s="5" t="s">
        <v>10</v>
      </c>
      <c r="G1449" s="5" t="s">
        <v>32</v>
      </c>
      <c r="H1449">
        <v>22</v>
      </c>
      <c r="I1449" s="4">
        <v>985666</v>
      </c>
      <c r="J1449" s="4">
        <v>554400.00000000012</v>
      </c>
    </row>
    <row r="1450" spans="2:10" x14ac:dyDescent="0.3">
      <c r="B1450" s="7">
        <v>44409</v>
      </c>
      <c r="C1450" s="3">
        <f t="shared" si="44"/>
        <v>2021</v>
      </c>
      <c r="D1450" s="3">
        <f t="shared" si="45"/>
        <v>202108</v>
      </c>
      <c r="E1450" s="5" t="s">
        <v>3</v>
      </c>
      <c r="F1450" s="5" t="s">
        <v>10</v>
      </c>
      <c r="G1450" s="5" t="s">
        <v>32</v>
      </c>
      <c r="H1450">
        <v>19</v>
      </c>
      <c r="I1450" s="4">
        <v>874019</v>
      </c>
      <c r="J1450" s="4">
        <v>478800.00000000006</v>
      </c>
    </row>
    <row r="1451" spans="2:10" x14ac:dyDescent="0.3">
      <c r="B1451" s="7">
        <v>44440</v>
      </c>
      <c r="C1451" s="3">
        <f t="shared" si="44"/>
        <v>2021</v>
      </c>
      <c r="D1451" s="3">
        <f t="shared" si="45"/>
        <v>202109</v>
      </c>
      <c r="E1451" s="5" t="s">
        <v>3</v>
      </c>
      <c r="F1451" s="5" t="s">
        <v>10</v>
      </c>
      <c r="G1451" s="5" t="s">
        <v>32</v>
      </c>
      <c r="H1451">
        <v>20</v>
      </c>
      <c r="I1451" s="4">
        <v>914680</v>
      </c>
      <c r="J1451" s="4">
        <v>504000.00000000006</v>
      </c>
    </row>
    <row r="1452" spans="2:10" x14ac:dyDescent="0.3">
      <c r="B1452" s="7">
        <v>44470</v>
      </c>
      <c r="C1452" s="3">
        <f t="shared" si="44"/>
        <v>2021</v>
      </c>
      <c r="D1452" s="3">
        <f t="shared" si="45"/>
        <v>202110</v>
      </c>
      <c r="E1452" s="5" t="s">
        <v>3</v>
      </c>
      <c r="F1452" s="5" t="s">
        <v>10</v>
      </c>
      <c r="G1452" s="5" t="s">
        <v>32</v>
      </c>
      <c r="H1452">
        <v>17</v>
      </c>
      <c r="I1452" s="4">
        <v>790500</v>
      </c>
      <c r="J1452" s="4">
        <v>428400.00000000006</v>
      </c>
    </row>
    <row r="1453" spans="2:10" x14ac:dyDescent="0.3">
      <c r="B1453" s="7">
        <v>44501</v>
      </c>
      <c r="C1453" s="3">
        <f t="shared" si="44"/>
        <v>2021</v>
      </c>
      <c r="D1453" s="3">
        <f t="shared" si="45"/>
        <v>202111</v>
      </c>
      <c r="E1453" s="5" t="s">
        <v>3</v>
      </c>
      <c r="F1453" s="5" t="s">
        <v>10</v>
      </c>
      <c r="G1453" s="5" t="s">
        <v>32</v>
      </c>
      <c r="H1453">
        <v>12</v>
      </c>
      <c r="I1453" s="4">
        <v>556944</v>
      </c>
      <c r="J1453" s="4">
        <v>302400.00000000006</v>
      </c>
    </row>
    <row r="1454" spans="2:10" x14ac:dyDescent="0.3">
      <c r="B1454" s="7">
        <v>44531</v>
      </c>
      <c r="C1454" s="3">
        <f t="shared" si="44"/>
        <v>2021</v>
      </c>
      <c r="D1454" s="3">
        <f t="shared" si="45"/>
        <v>202112</v>
      </c>
      <c r="E1454" s="5" t="s">
        <v>3</v>
      </c>
      <c r="F1454" s="5" t="s">
        <v>10</v>
      </c>
      <c r="G1454" s="5" t="s">
        <v>32</v>
      </c>
      <c r="H1454">
        <v>14</v>
      </c>
      <c r="I1454" s="4">
        <v>643930</v>
      </c>
      <c r="J1454" s="4">
        <v>352800.00000000006</v>
      </c>
    </row>
    <row r="1455" spans="2:10" x14ac:dyDescent="0.3">
      <c r="B1455" s="7">
        <v>44562</v>
      </c>
      <c r="C1455" s="3">
        <f t="shared" si="44"/>
        <v>2022</v>
      </c>
      <c r="D1455" s="3">
        <f t="shared" si="45"/>
        <v>202201</v>
      </c>
      <c r="E1455" s="5" t="s">
        <v>3</v>
      </c>
      <c r="F1455" s="5" t="s">
        <v>10</v>
      </c>
      <c r="G1455" s="5" t="s">
        <v>32</v>
      </c>
      <c r="H1455">
        <v>21</v>
      </c>
      <c r="I1455" s="4">
        <v>959301</v>
      </c>
      <c r="J1455" s="4">
        <v>529200.00000000012</v>
      </c>
    </row>
    <row r="1456" spans="2:10" x14ac:dyDescent="0.3">
      <c r="B1456" s="7">
        <v>44593</v>
      </c>
      <c r="C1456" s="3">
        <f t="shared" si="44"/>
        <v>2022</v>
      </c>
      <c r="D1456" s="3">
        <f t="shared" si="45"/>
        <v>202202</v>
      </c>
      <c r="E1456" s="5" t="s">
        <v>3</v>
      </c>
      <c r="F1456" s="5" t="s">
        <v>10</v>
      </c>
      <c r="G1456" s="5" t="s">
        <v>32</v>
      </c>
      <c r="H1456">
        <v>13</v>
      </c>
      <c r="I1456" s="4">
        <v>605605</v>
      </c>
      <c r="J1456" s="4">
        <v>327600.00000000006</v>
      </c>
    </row>
    <row r="1457" spans="2:10" x14ac:dyDescent="0.3">
      <c r="B1457" s="7">
        <v>44621</v>
      </c>
      <c r="C1457" s="3">
        <f t="shared" si="44"/>
        <v>2022</v>
      </c>
      <c r="D1457" s="3">
        <f t="shared" si="45"/>
        <v>202203</v>
      </c>
      <c r="E1457" s="5" t="s">
        <v>3</v>
      </c>
      <c r="F1457" s="5" t="s">
        <v>10</v>
      </c>
      <c r="G1457" s="5" t="s">
        <v>32</v>
      </c>
      <c r="H1457">
        <v>11</v>
      </c>
      <c r="I1457" s="4">
        <v>500995</v>
      </c>
      <c r="J1457" s="4">
        <v>277200.00000000006</v>
      </c>
    </row>
    <row r="1458" spans="2:10" x14ac:dyDescent="0.3">
      <c r="B1458" s="7">
        <v>44652</v>
      </c>
      <c r="C1458" s="3">
        <f t="shared" si="44"/>
        <v>2022</v>
      </c>
      <c r="D1458" s="3">
        <f t="shared" si="45"/>
        <v>202204</v>
      </c>
      <c r="E1458" s="5" t="s">
        <v>3</v>
      </c>
      <c r="F1458" s="5" t="s">
        <v>10</v>
      </c>
      <c r="G1458" s="5" t="s">
        <v>32</v>
      </c>
      <c r="H1458">
        <v>20</v>
      </c>
      <c r="I1458" s="4">
        <v>932260</v>
      </c>
      <c r="J1458" s="4">
        <v>504000.00000000006</v>
      </c>
    </row>
    <row r="1459" spans="2:10" x14ac:dyDescent="0.3">
      <c r="B1459" s="7">
        <v>44682</v>
      </c>
      <c r="C1459" s="3">
        <f t="shared" si="44"/>
        <v>2022</v>
      </c>
      <c r="D1459" s="3">
        <f t="shared" si="45"/>
        <v>202205</v>
      </c>
      <c r="E1459" s="5" t="s">
        <v>3</v>
      </c>
      <c r="F1459" s="5" t="s">
        <v>10</v>
      </c>
      <c r="G1459" s="5" t="s">
        <v>32</v>
      </c>
      <c r="H1459">
        <v>25</v>
      </c>
      <c r="I1459" s="4">
        <v>1169275</v>
      </c>
      <c r="J1459" s="4">
        <v>630000.00000000012</v>
      </c>
    </row>
    <row r="1460" spans="2:10" x14ac:dyDescent="0.3">
      <c r="B1460" s="7">
        <v>44713</v>
      </c>
      <c r="C1460" s="3">
        <f t="shared" si="44"/>
        <v>2022</v>
      </c>
      <c r="D1460" s="3">
        <f t="shared" si="45"/>
        <v>202206</v>
      </c>
      <c r="E1460" s="5" t="s">
        <v>3</v>
      </c>
      <c r="F1460" s="5" t="s">
        <v>10</v>
      </c>
      <c r="G1460" s="5" t="s">
        <v>32</v>
      </c>
      <c r="H1460">
        <v>23</v>
      </c>
      <c r="I1460" s="4">
        <v>1079482</v>
      </c>
      <c r="J1460" s="4">
        <v>579600.00000000012</v>
      </c>
    </row>
    <row r="1461" spans="2:10" x14ac:dyDescent="0.3">
      <c r="B1461" s="7">
        <v>44743</v>
      </c>
      <c r="C1461" s="3">
        <f t="shared" si="44"/>
        <v>2022</v>
      </c>
      <c r="D1461" s="3">
        <f t="shared" si="45"/>
        <v>202207</v>
      </c>
      <c r="E1461" s="5" t="s">
        <v>3</v>
      </c>
      <c r="F1461" s="5" t="s">
        <v>10</v>
      </c>
      <c r="G1461" s="5" t="s">
        <v>32</v>
      </c>
      <c r="H1461">
        <v>25</v>
      </c>
      <c r="I1461" s="4">
        <v>1110475</v>
      </c>
      <c r="J1461" s="4">
        <v>630000.00000000012</v>
      </c>
    </row>
    <row r="1462" spans="2:10" x14ac:dyDescent="0.3">
      <c r="B1462" s="7">
        <v>44774</v>
      </c>
      <c r="C1462" s="3">
        <f t="shared" si="44"/>
        <v>2022</v>
      </c>
      <c r="D1462" s="3">
        <f t="shared" si="45"/>
        <v>202208</v>
      </c>
      <c r="E1462" s="5" t="s">
        <v>3</v>
      </c>
      <c r="F1462" s="5" t="s">
        <v>10</v>
      </c>
      <c r="G1462" s="5" t="s">
        <v>32</v>
      </c>
      <c r="H1462">
        <v>21</v>
      </c>
      <c r="I1462" s="4">
        <v>973140</v>
      </c>
      <c r="J1462" s="4">
        <v>529200.00000000012</v>
      </c>
    </row>
    <row r="1463" spans="2:10" x14ac:dyDescent="0.3">
      <c r="B1463" s="7">
        <v>44805</v>
      </c>
      <c r="C1463" s="3">
        <f t="shared" si="44"/>
        <v>2022</v>
      </c>
      <c r="D1463" s="3">
        <f t="shared" si="45"/>
        <v>202209</v>
      </c>
      <c r="E1463" s="5" t="s">
        <v>3</v>
      </c>
      <c r="F1463" s="5" t="s">
        <v>10</v>
      </c>
      <c r="G1463" s="5" t="s">
        <v>32</v>
      </c>
      <c r="H1463">
        <v>22</v>
      </c>
      <c r="I1463" s="4">
        <v>1019370</v>
      </c>
      <c r="J1463" s="4">
        <v>554400.00000000012</v>
      </c>
    </row>
    <row r="1464" spans="2:10" x14ac:dyDescent="0.3">
      <c r="B1464" s="7">
        <v>44835</v>
      </c>
      <c r="C1464" s="3">
        <f t="shared" si="44"/>
        <v>2022</v>
      </c>
      <c r="D1464" s="3">
        <f t="shared" si="45"/>
        <v>202210</v>
      </c>
      <c r="E1464" s="5" t="s">
        <v>3</v>
      </c>
      <c r="F1464" s="5" t="s">
        <v>10</v>
      </c>
      <c r="G1464" s="5" t="s">
        <v>32</v>
      </c>
      <c r="H1464">
        <v>18</v>
      </c>
      <c r="I1464" s="4">
        <v>832878</v>
      </c>
      <c r="J1464" s="4">
        <v>453600.00000000006</v>
      </c>
    </row>
    <row r="1465" spans="2:10" x14ac:dyDescent="0.3">
      <c r="B1465" s="7">
        <v>44866</v>
      </c>
      <c r="C1465" s="3">
        <f t="shared" si="44"/>
        <v>2022</v>
      </c>
      <c r="D1465" s="3">
        <f t="shared" si="45"/>
        <v>202211</v>
      </c>
      <c r="E1465" s="5" t="s">
        <v>3</v>
      </c>
      <c r="F1465" s="5" t="s">
        <v>10</v>
      </c>
      <c r="G1465" s="5" t="s">
        <v>32</v>
      </c>
      <c r="H1465">
        <v>13</v>
      </c>
      <c r="I1465" s="4">
        <v>606944</v>
      </c>
      <c r="J1465" s="4">
        <v>327600.00000000006</v>
      </c>
    </row>
    <row r="1466" spans="2:10" x14ac:dyDescent="0.3">
      <c r="B1466" s="7">
        <v>44896</v>
      </c>
      <c r="C1466" s="3">
        <f t="shared" si="44"/>
        <v>2022</v>
      </c>
      <c r="D1466" s="3">
        <f t="shared" si="45"/>
        <v>202212</v>
      </c>
      <c r="E1466" s="5" t="s">
        <v>3</v>
      </c>
      <c r="F1466" s="5" t="s">
        <v>10</v>
      </c>
      <c r="G1466" s="5" t="s">
        <v>32</v>
      </c>
      <c r="H1466">
        <v>16</v>
      </c>
      <c r="I1466" s="4">
        <v>737600</v>
      </c>
      <c r="J1466" s="4">
        <v>403200.00000000006</v>
      </c>
    </row>
    <row r="1467" spans="2:10" x14ac:dyDescent="0.3">
      <c r="B1467" s="7">
        <v>44197</v>
      </c>
      <c r="C1467" s="3">
        <f t="shared" si="44"/>
        <v>2021</v>
      </c>
      <c r="D1467" s="3">
        <f t="shared" si="45"/>
        <v>202101</v>
      </c>
      <c r="E1467" s="5" t="s">
        <v>3</v>
      </c>
      <c r="F1467" s="5" t="s">
        <v>10</v>
      </c>
      <c r="G1467" s="5" t="s">
        <v>33</v>
      </c>
      <c r="H1467">
        <v>19</v>
      </c>
      <c r="I1467" s="4">
        <v>346104</v>
      </c>
      <c r="J1467" s="4">
        <v>180880</v>
      </c>
    </row>
    <row r="1468" spans="2:10" x14ac:dyDescent="0.3">
      <c r="B1468" s="7">
        <v>44228</v>
      </c>
      <c r="C1468" s="3">
        <f t="shared" si="44"/>
        <v>2021</v>
      </c>
      <c r="D1468" s="3">
        <f t="shared" si="45"/>
        <v>202102</v>
      </c>
      <c r="E1468" s="5" t="s">
        <v>3</v>
      </c>
      <c r="F1468" s="5" t="s">
        <v>10</v>
      </c>
      <c r="G1468" s="5" t="s">
        <v>33</v>
      </c>
      <c r="H1468">
        <v>12</v>
      </c>
      <c r="I1468" s="4">
        <v>222432</v>
      </c>
      <c r="J1468" s="4">
        <v>114240</v>
      </c>
    </row>
    <row r="1469" spans="2:10" x14ac:dyDescent="0.3">
      <c r="B1469" s="7">
        <v>44256</v>
      </c>
      <c r="C1469" s="3">
        <f t="shared" si="44"/>
        <v>2021</v>
      </c>
      <c r="D1469" s="3">
        <f t="shared" si="45"/>
        <v>202103</v>
      </c>
      <c r="E1469" s="5" t="s">
        <v>3</v>
      </c>
      <c r="F1469" s="5" t="s">
        <v>10</v>
      </c>
      <c r="G1469" s="5" t="s">
        <v>33</v>
      </c>
      <c r="H1469">
        <v>10</v>
      </c>
      <c r="I1469" s="4">
        <v>173620</v>
      </c>
      <c r="J1469" s="4">
        <v>95200</v>
      </c>
    </row>
    <row r="1470" spans="2:10" x14ac:dyDescent="0.3">
      <c r="B1470" s="7">
        <v>44287</v>
      </c>
      <c r="C1470" s="3">
        <f t="shared" si="44"/>
        <v>2021</v>
      </c>
      <c r="D1470" s="3">
        <f t="shared" si="45"/>
        <v>202104</v>
      </c>
      <c r="E1470" s="5" t="s">
        <v>3</v>
      </c>
      <c r="F1470" s="5" t="s">
        <v>10</v>
      </c>
      <c r="G1470" s="5" t="s">
        <v>33</v>
      </c>
      <c r="H1470">
        <v>18</v>
      </c>
      <c r="I1470" s="4">
        <v>330786</v>
      </c>
      <c r="J1470" s="4">
        <v>171360</v>
      </c>
    </row>
    <row r="1471" spans="2:10" x14ac:dyDescent="0.3">
      <c r="B1471" s="7">
        <v>44317</v>
      </c>
      <c r="C1471" s="3">
        <f t="shared" si="44"/>
        <v>2021</v>
      </c>
      <c r="D1471" s="3">
        <f t="shared" si="45"/>
        <v>202105</v>
      </c>
      <c r="E1471" s="5" t="s">
        <v>3</v>
      </c>
      <c r="F1471" s="5" t="s">
        <v>10</v>
      </c>
      <c r="G1471" s="5" t="s">
        <v>33</v>
      </c>
      <c r="H1471">
        <v>22</v>
      </c>
      <c r="I1471" s="4">
        <v>409904</v>
      </c>
      <c r="J1471" s="4">
        <v>209440</v>
      </c>
    </row>
    <row r="1472" spans="2:10" x14ac:dyDescent="0.3">
      <c r="B1472" s="7">
        <v>44348</v>
      </c>
      <c r="C1472" s="3">
        <f t="shared" si="44"/>
        <v>2021</v>
      </c>
      <c r="D1472" s="3">
        <f t="shared" si="45"/>
        <v>202106</v>
      </c>
      <c r="E1472" s="5" t="s">
        <v>3</v>
      </c>
      <c r="F1472" s="5" t="s">
        <v>10</v>
      </c>
      <c r="G1472" s="5" t="s">
        <v>33</v>
      </c>
      <c r="H1472">
        <v>21</v>
      </c>
      <c r="I1472" s="4">
        <v>377517</v>
      </c>
      <c r="J1472" s="4">
        <v>199920</v>
      </c>
    </row>
    <row r="1473" spans="2:10" x14ac:dyDescent="0.3">
      <c r="B1473" s="7">
        <v>44378</v>
      </c>
      <c r="C1473" s="3">
        <f t="shared" si="44"/>
        <v>2021</v>
      </c>
      <c r="D1473" s="3">
        <f t="shared" si="45"/>
        <v>202107</v>
      </c>
      <c r="E1473" s="5" t="s">
        <v>3</v>
      </c>
      <c r="F1473" s="5" t="s">
        <v>10</v>
      </c>
      <c r="G1473" s="5" t="s">
        <v>33</v>
      </c>
      <c r="H1473">
        <v>22</v>
      </c>
      <c r="I1473" s="4">
        <v>378664</v>
      </c>
      <c r="J1473" s="4">
        <v>209440</v>
      </c>
    </row>
    <row r="1474" spans="2:10" x14ac:dyDescent="0.3">
      <c r="B1474" s="7">
        <v>44409</v>
      </c>
      <c r="C1474" s="3">
        <f t="shared" si="44"/>
        <v>2021</v>
      </c>
      <c r="D1474" s="3">
        <f t="shared" si="45"/>
        <v>202108</v>
      </c>
      <c r="E1474" s="5" t="s">
        <v>3</v>
      </c>
      <c r="F1474" s="5" t="s">
        <v>10</v>
      </c>
      <c r="G1474" s="5" t="s">
        <v>33</v>
      </c>
      <c r="H1474">
        <v>19</v>
      </c>
      <c r="I1474" s="4">
        <v>332671</v>
      </c>
      <c r="J1474" s="4">
        <v>180880</v>
      </c>
    </row>
    <row r="1475" spans="2:10" x14ac:dyDescent="0.3">
      <c r="B1475" s="7">
        <v>44440</v>
      </c>
      <c r="C1475" s="3">
        <f t="shared" ref="C1475:C1538" si="46">YEAR(B1475)</f>
        <v>2021</v>
      </c>
      <c r="D1475" s="3">
        <f t="shared" ref="D1475:D1538" si="47">VALUE(TEXT(B1475,"ГГГГММ"))</f>
        <v>202109</v>
      </c>
      <c r="E1475" s="5" t="s">
        <v>3</v>
      </c>
      <c r="F1475" s="5" t="s">
        <v>10</v>
      </c>
      <c r="G1475" s="5" t="s">
        <v>33</v>
      </c>
      <c r="H1475">
        <v>20</v>
      </c>
      <c r="I1475" s="4">
        <v>361540</v>
      </c>
      <c r="J1475" s="4">
        <v>190400</v>
      </c>
    </row>
    <row r="1476" spans="2:10" x14ac:dyDescent="0.3">
      <c r="B1476" s="7">
        <v>44470</v>
      </c>
      <c r="C1476" s="3">
        <f t="shared" si="46"/>
        <v>2021</v>
      </c>
      <c r="D1476" s="3">
        <f t="shared" si="47"/>
        <v>202110</v>
      </c>
      <c r="E1476" s="5" t="s">
        <v>3</v>
      </c>
      <c r="F1476" s="5" t="s">
        <v>10</v>
      </c>
      <c r="G1476" s="5" t="s">
        <v>33</v>
      </c>
      <c r="H1476">
        <v>17</v>
      </c>
      <c r="I1476" s="4">
        <v>319515</v>
      </c>
      <c r="J1476" s="4">
        <v>161840</v>
      </c>
    </row>
    <row r="1477" spans="2:10" x14ac:dyDescent="0.3">
      <c r="B1477" s="7">
        <v>44501</v>
      </c>
      <c r="C1477" s="3">
        <f t="shared" si="46"/>
        <v>2021</v>
      </c>
      <c r="D1477" s="3">
        <f t="shared" si="47"/>
        <v>202111</v>
      </c>
      <c r="E1477" s="5" t="s">
        <v>3</v>
      </c>
      <c r="F1477" s="5" t="s">
        <v>10</v>
      </c>
      <c r="G1477" s="5" t="s">
        <v>33</v>
      </c>
      <c r="H1477">
        <v>12</v>
      </c>
      <c r="I1477" s="4">
        <v>225672</v>
      </c>
      <c r="J1477" s="4">
        <v>114240</v>
      </c>
    </row>
    <row r="1478" spans="2:10" x14ac:dyDescent="0.3">
      <c r="B1478" s="7">
        <v>44531</v>
      </c>
      <c r="C1478" s="3">
        <f t="shared" si="46"/>
        <v>2021</v>
      </c>
      <c r="D1478" s="3">
        <f t="shared" si="47"/>
        <v>202112</v>
      </c>
      <c r="E1478" s="5" t="s">
        <v>3</v>
      </c>
      <c r="F1478" s="5" t="s">
        <v>10</v>
      </c>
      <c r="G1478" s="5" t="s">
        <v>33</v>
      </c>
      <c r="H1478">
        <v>14</v>
      </c>
      <c r="I1478" s="4">
        <v>251846</v>
      </c>
      <c r="J1478" s="4">
        <v>133280</v>
      </c>
    </row>
    <row r="1479" spans="2:10" x14ac:dyDescent="0.3">
      <c r="B1479" s="7">
        <v>44562</v>
      </c>
      <c r="C1479" s="3">
        <f t="shared" si="46"/>
        <v>2022</v>
      </c>
      <c r="D1479" s="3">
        <f t="shared" si="47"/>
        <v>202201</v>
      </c>
      <c r="E1479" s="5" t="s">
        <v>3</v>
      </c>
      <c r="F1479" s="5" t="s">
        <v>10</v>
      </c>
      <c r="G1479" s="5" t="s">
        <v>33</v>
      </c>
      <c r="H1479">
        <v>21</v>
      </c>
      <c r="I1479" s="4">
        <v>378609</v>
      </c>
      <c r="J1479" s="4">
        <v>199920</v>
      </c>
    </row>
    <row r="1480" spans="2:10" x14ac:dyDescent="0.3">
      <c r="B1480" s="7">
        <v>44593</v>
      </c>
      <c r="C1480" s="3">
        <f t="shared" si="46"/>
        <v>2022</v>
      </c>
      <c r="D1480" s="3">
        <f t="shared" si="47"/>
        <v>202202</v>
      </c>
      <c r="E1480" s="5" t="s">
        <v>3</v>
      </c>
      <c r="F1480" s="5" t="s">
        <v>10</v>
      </c>
      <c r="G1480" s="5" t="s">
        <v>33</v>
      </c>
      <c r="H1480">
        <v>13</v>
      </c>
      <c r="I1480" s="4">
        <v>245076</v>
      </c>
      <c r="J1480" s="4">
        <v>123760</v>
      </c>
    </row>
    <row r="1481" spans="2:10" x14ac:dyDescent="0.3">
      <c r="B1481" s="7">
        <v>44621</v>
      </c>
      <c r="C1481" s="3">
        <f t="shared" si="46"/>
        <v>2022</v>
      </c>
      <c r="D1481" s="3">
        <f t="shared" si="47"/>
        <v>202203</v>
      </c>
      <c r="E1481" s="5" t="s">
        <v>3</v>
      </c>
      <c r="F1481" s="5" t="s">
        <v>10</v>
      </c>
      <c r="G1481" s="5" t="s">
        <v>33</v>
      </c>
      <c r="H1481">
        <v>11</v>
      </c>
      <c r="I1481" s="4">
        <v>194689</v>
      </c>
      <c r="J1481" s="4">
        <v>104720</v>
      </c>
    </row>
    <row r="1482" spans="2:10" x14ac:dyDescent="0.3">
      <c r="B1482" s="7">
        <v>44652</v>
      </c>
      <c r="C1482" s="3">
        <f t="shared" si="46"/>
        <v>2022</v>
      </c>
      <c r="D1482" s="3">
        <f t="shared" si="47"/>
        <v>202204</v>
      </c>
      <c r="E1482" s="5" t="s">
        <v>3</v>
      </c>
      <c r="F1482" s="5" t="s">
        <v>10</v>
      </c>
      <c r="G1482" s="5" t="s">
        <v>33</v>
      </c>
      <c r="H1482">
        <v>20</v>
      </c>
      <c r="I1482" s="4">
        <v>375520</v>
      </c>
      <c r="J1482" s="4">
        <v>190400</v>
      </c>
    </row>
    <row r="1483" spans="2:10" x14ac:dyDescent="0.3">
      <c r="B1483" s="7">
        <v>44682</v>
      </c>
      <c r="C1483" s="3">
        <f t="shared" si="46"/>
        <v>2022</v>
      </c>
      <c r="D1483" s="3">
        <f t="shared" si="47"/>
        <v>202205</v>
      </c>
      <c r="E1483" s="5" t="s">
        <v>3</v>
      </c>
      <c r="F1483" s="5" t="s">
        <v>10</v>
      </c>
      <c r="G1483" s="5" t="s">
        <v>33</v>
      </c>
      <c r="H1483">
        <v>25</v>
      </c>
      <c r="I1483" s="4">
        <v>467750</v>
      </c>
      <c r="J1483" s="4">
        <v>238000</v>
      </c>
    </row>
    <row r="1484" spans="2:10" x14ac:dyDescent="0.3">
      <c r="B1484" s="7">
        <v>44713</v>
      </c>
      <c r="C1484" s="3">
        <f t="shared" si="46"/>
        <v>2022</v>
      </c>
      <c r="D1484" s="3">
        <f t="shared" si="47"/>
        <v>202206</v>
      </c>
      <c r="E1484" s="5" t="s">
        <v>3</v>
      </c>
      <c r="F1484" s="5" t="s">
        <v>10</v>
      </c>
      <c r="G1484" s="5" t="s">
        <v>33</v>
      </c>
      <c r="H1484">
        <v>23</v>
      </c>
      <c r="I1484" s="4">
        <v>416369</v>
      </c>
      <c r="J1484" s="4">
        <v>218960</v>
      </c>
    </row>
    <row r="1485" spans="2:10" x14ac:dyDescent="0.3">
      <c r="B1485" s="7">
        <v>44743</v>
      </c>
      <c r="C1485" s="3">
        <f t="shared" si="46"/>
        <v>2022</v>
      </c>
      <c r="D1485" s="3">
        <f t="shared" si="47"/>
        <v>202207</v>
      </c>
      <c r="E1485" s="5" t="s">
        <v>3</v>
      </c>
      <c r="F1485" s="5" t="s">
        <v>10</v>
      </c>
      <c r="G1485" s="5" t="s">
        <v>33</v>
      </c>
      <c r="H1485">
        <v>25</v>
      </c>
      <c r="I1485" s="4">
        <v>412525</v>
      </c>
      <c r="J1485" s="4">
        <v>238000</v>
      </c>
    </row>
    <row r="1486" spans="2:10" x14ac:dyDescent="0.3">
      <c r="B1486" s="7">
        <v>44774</v>
      </c>
      <c r="C1486" s="3">
        <f t="shared" si="46"/>
        <v>2022</v>
      </c>
      <c r="D1486" s="3">
        <f t="shared" si="47"/>
        <v>202208</v>
      </c>
      <c r="E1486" s="5" t="s">
        <v>3</v>
      </c>
      <c r="F1486" s="5" t="s">
        <v>10</v>
      </c>
      <c r="G1486" s="5" t="s">
        <v>33</v>
      </c>
      <c r="H1486">
        <v>21</v>
      </c>
      <c r="I1486" s="4">
        <v>368424</v>
      </c>
      <c r="J1486" s="4">
        <v>199920</v>
      </c>
    </row>
    <row r="1487" spans="2:10" x14ac:dyDescent="0.3">
      <c r="B1487" s="7">
        <v>44805</v>
      </c>
      <c r="C1487" s="3">
        <f t="shared" si="46"/>
        <v>2022</v>
      </c>
      <c r="D1487" s="3">
        <f t="shared" si="47"/>
        <v>202209</v>
      </c>
      <c r="E1487" s="5" t="s">
        <v>3</v>
      </c>
      <c r="F1487" s="5" t="s">
        <v>10</v>
      </c>
      <c r="G1487" s="5" t="s">
        <v>33</v>
      </c>
      <c r="H1487">
        <v>22</v>
      </c>
      <c r="I1487" s="4">
        <v>398530</v>
      </c>
      <c r="J1487" s="4">
        <v>209440</v>
      </c>
    </row>
    <row r="1488" spans="2:10" x14ac:dyDescent="0.3">
      <c r="B1488" s="7">
        <v>44835</v>
      </c>
      <c r="C1488" s="3">
        <f t="shared" si="46"/>
        <v>2022</v>
      </c>
      <c r="D1488" s="3">
        <f t="shared" si="47"/>
        <v>202210</v>
      </c>
      <c r="E1488" s="5" t="s">
        <v>3</v>
      </c>
      <c r="F1488" s="5" t="s">
        <v>10</v>
      </c>
      <c r="G1488" s="5" t="s">
        <v>33</v>
      </c>
      <c r="H1488">
        <v>18</v>
      </c>
      <c r="I1488" s="4">
        <v>331470</v>
      </c>
      <c r="J1488" s="4">
        <v>171360</v>
      </c>
    </row>
    <row r="1489" spans="2:10" x14ac:dyDescent="0.3">
      <c r="B1489" s="7">
        <v>44866</v>
      </c>
      <c r="C1489" s="3">
        <f t="shared" si="46"/>
        <v>2022</v>
      </c>
      <c r="D1489" s="3">
        <f t="shared" si="47"/>
        <v>202211</v>
      </c>
      <c r="E1489" s="5" t="s">
        <v>3</v>
      </c>
      <c r="F1489" s="5" t="s">
        <v>10</v>
      </c>
      <c r="G1489" s="5" t="s">
        <v>33</v>
      </c>
      <c r="H1489">
        <v>13</v>
      </c>
      <c r="I1489" s="4">
        <v>246051</v>
      </c>
      <c r="J1489" s="4">
        <v>123760</v>
      </c>
    </row>
    <row r="1490" spans="2:10" x14ac:dyDescent="0.3">
      <c r="B1490" s="7">
        <v>44896</v>
      </c>
      <c r="C1490" s="3">
        <f t="shared" si="46"/>
        <v>2022</v>
      </c>
      <c r="D1490" s="3">
        <f t="shared" si="47"/>
        <v>202212</v>
      </c>
      <c r="E1490" s="5" t="s">
        <v>3</v>
      </c>
      <c r="F1490" s="5" t="s">
        <v>10</v>
      </c>
      <c r="G1490" s="5" t="s">
        <v>33</v>
      </c>
      <c r="H1490">
        <v>16</v>
      </c>
      <c r="I1490" s="4">
        <v>283408</v>
      </c>
      <c r="J1490" s="4">
        <v>152320</v>
      </c>
    </row>
    <row r="1491" spans="2:10" x14ac:dyDescent="0.3">
      <c r="B1491" s="7">
        <v>44197</v>
      </c>
      <c r="C1491" s="3">
        <f t="shared" si="46"/>
        <v>2021</v>
      </c>
      <c r="D1491" s="3">
        <f t="shared" si="47"/>
        <v>202101</v>
      </c>
      <c r="E1491" s="5" t="s">
        <v>3</v>
      </c>
      <c r="F1491" s="5" t="s">
        <v>10</v>
      </c>
      <c r="G1491" s="5" t="s">
        <v>34</v>
      </c>
      <c r="H1491">
        <v>15</v>
      </c>
      <c r="I1491" s="4">
        <v>602190</v>
      </c>
      <c r="J1491" s="4">
        <v>245700</v>
      </c>
    </row>
    <row r="1492" spans="2:10" x14ac:dyDescent="0.3">
      <c r="B1492" s="7">
        <v>44228</v>
      </c>
      <c r="C1492" s="3">
        <f t="shared" si="46"/>
        <v>2021</v>
      </c>
      <c r="D1492" s="3">
        <f t="shared" si="47"/>
        <v>202102</v>
      </c>
      <c r="E1492" s="5" t="s">
        <v>3</v>
      </c>
      <c r="F1492" s="5" t="s">
        <v>10</v>
      </c>
      <c r="G1492" s="5" t="s">
        <v>34</v>
      </c>
      <c r="H1492">
        <v>10</v>
      </c>
      <c r="I1492" s="4">
        <v>403580</v>
      </c>
      <c r="J1492" s="4">
        <v>163800</v>
      </c>
    </row>
    <row r="1493" spans="2:10" x14ac:dyDescent="0.3">
      <c r="B1493" s="7">
        <v>44256</v>
      </c>
      <c r="C1493" s="3">
        <f t="shared" si="46"/>
        <v>2021</v>
      </c>
      <c r="D1493" s="3">
        <f t="shared" si="47"/>
        <v>202103</v>
      </c>
      <c r="E1493" s="5" t="s">
        <v>3</v>
      </c>
      <c r="F1493" s="5" t="s">
        <v>10</v>
      </c>
      <c r="G1493" s="5" t="s">
        <v>34</v>
      </c>
      <c r="H1493">
        <v>8</v>
      </c>
      <c r="I1493" s="4">
        <v>317696</v>
      </c>
      <c r="J1493" s="4">
        <v>131040</v>
      </c>
    </row>
    <row r="1494" spans="2:10" x14ac:dyDescent="0.3">
      <c r="B1494" s="7">
        <v>44287</v>
      </c>
      <c r="C1494" s="3">
        <f t="shared" si="46"/>
        <v>2021</v>
      </c>
      <c r="D1494" s="3">
        <f t="shared" si="47"/>
        <v>202104</v>
      </c>
      <c r="E1494" s="5" t="s">
        <v>3</v>
      </c>
      <c r="F1494" s="5" t="s">
        <v>10</v>
      </c>
      <c r="G1494" s="5" t="s">
        <v>34</v>
      </c>
      <c r="H1494">
        <v>14</v>
      </c>
      <c r="I1494" s="4">
        <v>573566</v>
      </c>
      <c r="J1494" s="4">
        <v>229320</v>
      </c>
    </row>
    <row r="1495" spans="2:10" x14ac:dyDescent="0.3">
      <c r="B1495" s="7">
        <v>44317</v>
      </c>
      <c r="C1495" s="3">
        <f t="shared" si="46"/>
        <v>2021</v>
      </c>
      <c r="D1495" s="3">
        <f t="shared" si="47"/>
        <v>202105</v>
      </c>
      <c r="E1495" s="5" t="s">
        <v>3</v>
      </c>
      <c r="F1495" s="5" t="s">
        <v>10</v>
      </c>
      <c r="G1495" s="5" t="s">
        <v>34</v>
      </c>
      <c r="H1495">
        <v>18</v>
      </c>
      <c r="I1495" s="4">
        <v>743346</v>
      </c>
      <c r="J1495" s="4">
        <v>294840</v>
      </c>
    </row>
    <row r="1496" spans="2:10" x14ac:dyDescent="0.3">
      <c r="B1496" s="7">
        <v>44348</v>
      </c>
      <c r="C1496" s="3">
        <f t="shared" si="46"/>
        <v>2021</v>
      </c>
      <c r="D1496" s="3">
        <f t="shared" si="47"/>
        <v>202106</v>
      </c>
      <c r="E1496" s="5" t="s">
        <v>3</v>
      </c>
      <c r="F1496" s="5" t="s">
        <v>10</v>
      </c>
      <c r="G1496" s="5" t="s">
        <v>34</v>
      </c>
      <c r="H1496">
        <v>17</v>
      </c>
      <c r="I1496" s="4">
        <v>689469</v>
      </c>
      <c r="J1496" s="4">
        <v>278460</v>
      </c>
    </row>
    <row r="1497" spans="2:10" x14ac:dyDescent="0.3">
      <c r="B1497" s="7">
        <v>44378</v>
      </c>
      <c r="C1497" s="3">
        <f t="shared" si="46"/>
        <v>2021</v>
      </c>
      <c r="D1497" s="3">
        <f t="shared" si="47"/>
        <v>202107</v>
      </c>
      <c r="E1497" s="5" t="s">
        <v>3</v>
      </c>
      <c r="F1497" s="5" t="s">
        <v>10</v>
      </c>
      <c r="G1497" s="5" t="s">
        <v>34</v>
      </c>
      <c r="H1497">
        <v>18</v>
      </c>
      <c r="I1497" s="4">
        <v>707130</v>
      </c>
      <c r="J1497" s="4">
        <v>294840</v>
      </c>
    </row>
    <row r="1498" spans="2:10" x14ac:dyDescent="0.3">
      <c r="B1498" s="7">
        <v>44409</v>
      </c>
      <c r="C1498" s="3">
        <f t="shared" si="46"/>
        <v>2021</v>
      </c>
      <c r="D1498" s="3">
        <f t="shared" si="47"/>
        <v>202108</v>
      </c>
      <c r="E1498" s="5" t="s">
        <v>3</v>
      </c>
      <c r="F1498" s="5" t="s">
        <v>10</v>
      </c>
      <c r="G1498" s="5" t="s">
        <v>34</v>
      </c>
      <c r="H1498">
        <v>15</v>
      </c>
      <c r="I1498" s="4">
        <v>592980</v>
      </c>
      <c r="J1498" s="4">
        <v>245700</v>
      </c>
    </row>
    <row r="1499" spans="2:10" x14ac:dyDescent="0.3">
      <c r="B1499" s="7">
        <v>44440</v>
      </c>
      <c r="C1499" s="3">
        <f t="shared" si="46"/>
        <v>2021</v>
      </c>
      <c r="D1499" s="3">
        <f t="shared" si="47"/>
        <v>202109</v>
      </c>
      <c r="E1499" s="5" t="s">
        <v>3</v>
      </c>
      <c r="F1499" s="5" t="s">
        <v>10</v>
      </c>
      <c r="G1499" s="5" t="s">
        <v>34</v>
      </c>
      <c r="H1499">
        <v>16</v>
      </c>
      <c r="I1499" s="4">
        <v>645312</v>
      </c>
      <c r="J1499" s="4">
        <v>262080</v>
      </c>
    </row>
    <row r="1500" spans="2:10" x14ac:dyDescent="0.3">
      <c r="B1500" s="7">
        <v>44470</v>
      </c>
      <c r="C1500" s="3">
        <f t="shared" si="46"/>
        <v>2021</v>
      </c>
      <c r="D1500" s="3">
        <f t="shared" si="47"/>
        <v>202110</v>
      </c>
      <c r="E1500" s="5" t="s">
        <v>3</v>
      </c>
      <c r="F1500" s="5" t="s">
        <v>10</v>
      </c>
      <c r="G1500" s="5" t="s">
        <v>34</v>
      </c>
      <c r="H1500">
        <v>13</v>
      </c>
      <c r="I1500" s="4">
        <v>521105</v>
      </c>
      <c r="J1500" s="4">
        <v>212940</v>
      </c>
    </row>
    <row r="1501" spans="2:10" x14ac:dyDescent="0.3">
      <c r="B1501" s="7">
        <v>44501</v>
      </c>
      <c r="C1501" s="3">
        <f t="shared" si="46"/>
        <v>2021</v>
      </c>
      <c r="D1501" s="3">
        <f t="shared" si="47"/>
        <v>202111</v>
      </c>
      <c r="E1501" s="5" t="s">
        <v>3</v>
      </c>
      <c r="F1501" s="5" t="s">
        <v>10</v>
      </c>
      <c r="G1501" s="5" t="s">
        <v>34</v>
      </c>
      <c r="H1501">
        <v>10</v>
      </c>
      <c r="I1501" s="4">
        <v>406300</v>
      </c>
      <c r="J1501" s="4">
        <v>163800</v>
      </c>
    </row>
    <row r="1502" spans="2:10" x14ac:dyDescent="0.3">
      <c r="B1502" s="7">
        <v>44531</v>
      </c>
      <c r="C1502" s="3">
        <f t="shared" si="46"/>
        <v>2021</v>
      </c>
      <c r="D1502" s="3">
        <f t="shared" si="47"/>
        <v>202112</v>
      </c>
      <c r="E1502" s="5" t="s">
        <v>3</v>
      </c>
      <c r="F1502" s="5" t="s">
        <v>10</v>
      </c>
      <c r="G1502" s="5" t="s">
        <v>34</v>
      </c>
      <c r="H1502">
        <v>12</v>
      </c>
      <c r="I1502" s="4">
        <v>474276</v>
      </c>
      <c r="J1502" s="4">
        <v>196560</v>
      </c>
    </row>
    <row r="1503" spans="2:10" x14ac:dyDescent="0.3">
      <c r="B1503" s="7">
        <v>44562</v>
      </c>
      <c r="C1503" s="3">
        <f t="shared" si="46"/>
        <v>2022</v>
      </c>
      <c r="D1503" s="3">
        <f t="shared" si="47"/>
        <v>202201</v>
      </c>
      <c r="E1503" s="5" t="s">
        <v>3</v>
      </c>
      <c r="F1503" s="5" t="s">
        <v>10</v>
      </c>
      <c r="G1503" s="5" t="s">
        <v>34</v>
      </c>
      <c r="H1503">
        <v>17</v>
      </c>
      <c r="I1503" s="4">
        <v>679966</v>
      </c>
      <c r="J1503" s="4">
        <v>278460</v>
      </c>
    </row>
    <row r="1504" spans="2:10" x14ac:dyDescent="0.3">
      <c r="B1504" s="7">
        <v>44593</v>
      </c>
      <c r="C1504" s="3">
        <f t="shared" si="46"/>
        <v>2022</v>
      </c>
      <c r="D1504" s="3">
        <f t="shared" si="47"/>
        <v>202202</v>
      </c>
      <c r="E1504" s="5" t="s">
        <v>3</v>
      </c>
      <c r="F1504" s="5" t="s">
        <v>10</v>
      </c>
      <c r="G1504" s="5" t="s">
        <v>34</v>
      </c>
      <c r="H1504">
        <v>11</v>
      </c>
      <c r="I1504" s="4">
        <v>452155</v>
      </c>
      <c r="J1504" s="4">
        <v>180180</v>
      </c>
    </row>
    <row r="1505" spans="2:10" x14ac:dyDescent="0.3">
      <c r="B1505" s="7">
        <v>44621</v>
      </c>
      <c r="C1505" s="3">
        <f t="shared" si="46"/>
        <v>2022</v>
      </c>
      <c r="D1505" s="3">
        <f t="shared" si="47"/>
        <v>202203</v>
      </c>
      <c r="E1505" s="5" t="s">
        <v>3</v>
      </c>
      <c r="F1505" s="5" t="s">
        <v>10</v>
      </c>
      <c r="G1505" s="5" t="s">
        <v>34</v>
      </c>
      <c r="H1505">
        <v>9</v>
      </c>
      <c r="I1505" s="4">
        <v>362205</v>
      </c>
      <c r="J1505" s="4">
        <v>147420</v>
      </c>
    </row>
    <row r="1506" spans="2:10" x14ac:dyDescent="0.3">
      <c r="B1506" s="7">
        <v>44652</v>
      </c>
      <c r="C1506" s="3">
        <f t="shared" si="46"/>
        <v>2022</v>
      </c>
      <c r="D1506" s="3">
        <f t="shared" si="47"/>
        <v>202204</v>
      </c>
      <c r="E1506" s="5" t="s">
        <v>3</v>
      </c>
      <c r="F1506" s="5" t="s">
        <v>10</v>
      </c>
      <c r="G1506" s="5" t="s">
        <v>34</v>
      </c>
      <c r="H1506">
        <v>16</v>
      </c>
      <c r="I1506" s="4">
        <v>649712</v>
      </c>
      <c r="J1506" s="4">
        <v>262080</v>
      </c>
    </row>
    <row r="1507" spans="2:10" x14ac:dyDescent="0.3">
      <c r="B1507" s="7">
        <v>44682</v>
      </c>
      <c r="C1507" s="3">
        <f t="shared" si="46"/>
        <v>2022</v>
      </c>
      <c r="D1507" s="3">
        <f t="shared" si="47"/>
        <v>202205</v>
      </c>
      <c r="E1507" s="5" t="s">
        <v>3</v>
      </c>
      <c r="F1507" s="5" t="s">
        <v>10</v>
      </c>
      <c r="G1507" s="5" t="s">
        <v>34</v>
      </c>
      <c r="H1507">
        <v>20</v>
      </c>
      <c r="I1507" s="4">
        <v>829720</v>
      </c>
      <c r="J1507" s="4">
        <v>327600</v>
      </c>
    </row>
    <row r="1508" spans="2:10" x14ac:dyDescent="0.3">
      <c r="B1508" s="7">
        <v>44713</v>
      </c>
      <c r="C1508" s="3">
        <f t="shared" si="46"/>
        <v>2022</v>
      </c>
      <c r="D1508" s="3">
        <f t="shared" si="47"/>
        <v>202206</v>
      </c>
      <c r="E1508" s="5" t="s">
        <v>3</v>
      </c>
      <c r="F1508" s="5" t="s">
        <v>10</v>
      </c>
      <c r="G1508" s="5" t="s">
        <v>34</v>
      </c>
      <c r="H1508">
        <v>19</v>
      </c>
      <c r="I1508" s="4">
        <v>760684</v>
      </c>
      <c r="J1508" s="4">
        <v>311220</v>
      </c>
    </row>
    <row r="1509" spans="2:10" x14ac:dyDescent="0.3">
      <c r="B1509" s="7">
        <v>44743</v>
      </c>
      <c r="C1509" s="3">
        <f t="shared" si="46"/>
        <v>2022</v>
      </c>
      <c r="D1509" s="3">
        <f t="shared" si="47"/>
        <v>202207</v>
      </c>
      <c r="E1509" s="5" t="s">
        <v>3</v>
      </c>
      <c r="F1509" s="5" t="s">
        <v>10</v>
      </c>
      <c r="G1509" s="5" t="s">
        <v>34</v>
      </c>
      <c r="H1509">
        <v>20</v>
      </c>
      <c r="I1509" s="4">
        <v>781040</v>
      </c>
      <c r="J1509" s="4">
        <v>327600</v>
      </c>
    </row>
    <row r="1510" spans="2:10" x14ac:dyDescent="0.3">
      <c r="B1510" s="7">
        <v>44774</v>
      </c>
      <c r="C1510" s="3">
        <f t="shared" si="46"/>
        <v>2022</v>
      </c>
      <c r="D1510" s="3">
        <f t="shared" si="47"/>
        <v>202208</v>
      </c>
      <c r="E1510" s="5" t="s">
        <v>3</v>
      </c>
      <c r="F1510" s="5" t="s">
        <v>10</v>
      </c>
      <c r="G1510" s="5" t="s">
        <v>34</v>
      </c>
      <c r="H1510">
        <v>17</v>
      </c>
      <c r="I1510" s="4">
        <v>675784</v>
      </c>
      <c r="J1510" s="4">
        <v>278460</v>
      </c>
    </row>
    <row r="1511" spans="2:10" x14ac:dyDescent="0.3">
      <c r="B1511" s="7">
        <v>44805</v>
      </c>
      <c r="C1511" s="3">
        <f t="shared" si="46"/>
        <v>2022</v>
      </c>
      <c r="D1511" s="3">
        <f t="shared" si="47"/>
        <v>202209</v>
      </c>
      <c r="E1511" s="5" t="s">
        <v>3</v>
      </c>
      <c r="F1511" s="5" t="s">
        <v>10</v>
      </c>
      <c r="G1511" s="5" t="s">
        <v>34</v>
      </c>
      <c r="H1511">
        <v>18</v>
      </c>
      <c r="I1511" s="4">
        <v>708876</v>
      </c>
      <c r="J1511" s="4">
        <v>294840</v>
      </c>
    </row>
    <row r="1512" spans="2:10" x14ac:dyDescent="0.3">
      <c r="B1512" s="7">
        <v>44835</v>
      </c>
      <c r="C1512" s="3">
        <f t="shared" si="46"/>
        <v>2022</v>
      </c>
      <c r="D1512" s="3">
        <f t="shared" si="47"/>
        <v>202210</v>
      </c>
      <c r="E1512" s="5" t="s">
        <v>3</v>
      </c>
      <c r="F1512" s="5" t="s">
        <v>10</v>
      </c>
      <c r="G1512" s="5" t="s">
        <v>34</v>
      </c>
      <c r="H1512">
        <v>15</v>
      </c>
      <c r="I1512" s="4">
        <v>610140</v>
      </c>
      <c r="J1512" s="4">
        <v>245700</v>
      </c>
    </row>
    <row r="1513" spans="2:10" x14ac:dyDescent="0.3">
      <c r="B1513" s="7">
        <v>44866</v>
      </c>
      <c r="C1513" s="3">
        <f t="shared" si="46"/>
        <v>2022</v>
      </c>
      <c r="D1513" s="3">
        <f t="shared" si="47"/>
        <v>202211</v>
      </c>
      <c r="E1513" s="5" t="s">
        <v>3</v>
      </c>
      <c r="F1513" s="5" t="s">
        <v>10</v>
      </c>
      <c r="G1513" s="5" t="s">
        <v>34</v>
      </c>
      <c r="H1513">
        <v>11</v>
      </c>
      <c r="I1513" s="4">
        <v>445016</v>
      </c>
      <c r="J1513" s="4">
        <v>180180</v>
      </c>
    </row>
    <row r="1514" spans="2:10" x14ac:dyDescent="0.3">
      <c r="B1514" s="7">
        <v>44896</v>
      </c>
      <c r="C1514" s="3">
        <f t="shared" si="46"/>
        <v>2022</v>
      </c>
      <c r="D1514" s="3">
        <f t="shared" si="47"/>
        <v>202212</v>
      </c>
      <c r="E1514" s="5" t="s">
        <v>3</v>
      </c>
      <c r="F1514" s="5" t="s">
        <v>10</v>
      </c>
      <c r="G1514" s="5" t="s">
        <v>34</v>
      </c>
      <c r="H1514">
        <v>13</v>
      </c>
      <c r="I1514" s="4">
        <v>514813</v>
      </c>
      <c r="J1514" s="4">
        <v>212940</v>
      </c>
    </row>
    <row r="1515" spans="2:10" x14ac:dyDescent="0.3">
      <c r="B1515" s="7">
        <v>44197</v>
      </c>
      <c r="C1515" s="3">
        <f t="shared" si="46"/>
        <v>2021</v>
      </c>
      <c r="D1515" s="3">
        <f t="shared" si="47"/>
        <v>202101</v>
      </c>
      <c r="E1515" s="5" t="s">
        <v>3</v>
      </c>
      <c r="F1515" s="5" t="s">
        <v>11</v>
      </c>
      <c r="G1515" s="5" t="s">
        <v>35</v>
      </c>
      <c r="H1515">
        <v>47</v>
      </c>
      <c r="I1515" s="4">
        <v>280355</v>
      </c>
      <c r="J1515" s="4">
        <v>108100</v>
      </c>
    </row>
    <row r="1516" spans="2:10" x14ac:dyDescent="0.3">
      <c r="B1516" s="7">
        <v>44228</v>
      </c>
      <c r="C1516" s="3">
        <f t="shared" si="46"/>
        <v>2021</v>
      </c>
      <c r="D1516" s="3">
        <f t="shared" si="47"/>
        <v>202102</v>
      </c>
      <c r="E1516" s="5" t="s">
        <v>3</v>
      </c>
      <c r="F1516" s="5" t="s">
        <v>11</v>
      </c>
      <c r="G1516" s="5" t="s">
        <v>35</v>
      </c>
      <c r="H1516">
        <v>29</v>
      </c>
      <c r="I1516" s="4">
        <v>205059</v>
      </c>
      <c r="J1516" s="4">
        <v>66700</v>
      </c>
    </row>
    <row r="1517" spans="2:10" x14ac:dyDescent="0.3">
      <c r="B1517" s="7">
        <v>44256</v>
      </c>
      <c r="C1517" s="3">
        <f t="shared" si="46"/>
        <v>2021</v>
      </c>
      <c r="D1517" s="3">
        <f t="shared" si="47"/>
        <v>202103</v>
      </c>
      <c r="E1517" s="5" t="s">
        <v>3</v>
      </c>
      <c r="F1517" s="5" t="s">
        <v>11</v>
      </c>
      <c r="G1517" s="5" t="s">
        <v>35</v>
      </c>
      <c r="H1517">
        <v>24</v>
      </c>
      <c r="I1517" s="4">
        <v>125328</v>
      </c>
      <c r="J1517" s="4">
        <v>55200</v>
      </c>
    </row>
    <row r="1518" spans="2:10" x14ac:dyDescent="0.3">
      <c r="B1518" s="7">
        <v>44287</v>
      </c>
      <c r="C1518" s="3">
        <f t="shared" si="46"/>
        <v>2021</v>
      </c>
      <c r="D1518" s="3">
        <f t="shared" si="47"/>
        <v>202104</v>
      </c>
      <c r="E1518" s="5" t="s">
        <v>3</v>
      </c>
      <c r="F1518" s="5" t="s">
        <v>11</v>
      </c>
      <c r="G1518" s="5" t="s">
        <v>35</v>
      </c>
      <c r="H1518">
        <v>44</v>
      </c>
      <c r="I1518" s="4">
        <v>285648</v>
      </c>
      <c r="J1518" s="4">
        <v>101200</v>
      </c>
    </row>
    <row r="1519" spans="2:10" x14ac:dyDescent="0.3">
      <c r="B1519" s="7">
        <v>44317</v>
      </c>
      <c r="C1519" s="3">
        <f t="shared" si="46"/>
        <v>2021</v>
      </c>
      <c r="D1519" s="3">
        <f t="shared" si="47"/>
        <v>202105</v>
      </c>
      <c r="E1519" s="5" t="s">
        <v>3</v>
      </c>
      <c r="F1519" s="5" t="s">
        <v>11</v>
      </c>
      <c r="G1519" s="5" t="s">
        <v>35</v>
      </c>
      <c r="H1519">
        <v>55</v>
      </c>
      <c r="I1519" s="4">
        <v>386980</v>
      </c>
      <c r="J1519" s="4">
        <v>126500</v>
      </c>
    </row>
    <row r="1520" spans="2:10" x14ac:dyDescent="0.3">
      <c r="B1520" s="7">
        <v>44348</v>
      </c>
      <c r="C1520" s="3">
        <f t="shared" si="46"/>
        <v>2021</v>
      </c>
      <c r="D1520" s="3">
        <f t="shared" si="47"/>
        <v>202106</v>
      </c>
      <c r="E1520" s="5" t="s">
        <v>3</v>
      </c>
      <c r="F1520" s="5" t="s">
        <v>11</v>
      </c>
      <c r="G1520" s="5" t="s">
        <v>35</v>
      </c>
      <c r="H1520">
        <v>52</v>
      </c>
      <c r="I1520" s="4">
        <v>338624</v>
      </c>
      <c r="J1520" s="4">
        <v>119600</v>
      </c>
    </row>
    <row r="1521" spans="2:10" x14ac:dyDescent="0.3">
      <c r="B1521" s="7">
        <v>44378</v>
      </c>
      <c r="C1521" s="3">
        <f t="shared" si="46"/>
        <v>2021</v>
      </c>
      <c r="D1521" s="3">
        <f t="shared" si="47"/>
        <v>202107</v>
      </c>
      <c r="E1521" s="5" t="s">
        <v>3</v>
      </c>
      <c r="F1521" s="5" t="s">
        <v>11</v>
      </c>
      <c r="G1521" s="5" t="s">
        <v>35</v>
      </c>
      <c r="H1521">
        <v>55</v>
      </c>
      <c r="I1521" s="4">
        <v>276815</v>
      </c>
      <c r="J1521" s="4">
        <v>126500</v>
      </c>
    </row>
    <row r="1522" spans="2:10" x14ac:dyDescent="0.3">
      <c r="B1522" s="7">
        <v>44409</v>
      </c>
      <c r="C1522" s="3">
        <f t="shared" si="46"/>
        <v>2021</v>
      </c>
      <c r="D1522" s="3">
        <f t="shared" si="47"/>
        <v>202108</v>
      </c>
      <c r="E1522" s="5" t="s">
        <v>3</v>
      </c>
      <c r="F1522" s="5" t="s">
        <v>11</v>
      </c>
      <c r="G1522" s="5" t="s">
        <v>35</v>
      </c>
      <c r="H1522">
        <v>47</v>
      </c>
      <c r="I1522" s="4">
        <v>283974</v>
      </c>
      <c r="J1522" s="4">
        <v>108100</v>
      </c>
    </row>
    <row r="1523" spans="2:10" x14ac:dyDescent="0.3">
      <c r="B1523" s="7">
        <v>44440</v>
      </c>
      <c r="C1523" s="3">
        <f t="shared" si="46"/>
        <v>2021</v>
      </c>
      <c r="D1523" s="3">
        <f t="shared" si="47"/>
        <v>202109</v>
      </c>
      <c r="E1523" s="5" t="s">
        <v>3</v>
      </c>
      <c r="F1523" s="5" t="s">
        <v>11</v>
      </c>
      <c r="G1523" s="5" t="s">
        <v>35</v>
      </c>
      <c r="H1523">
        <v>50</v>
      </c>
      <c r="I1523" s="4">
        <v>285500</v>
      </c>
      <c r="J1523" s="4">
        <v>115000</v>
      </c>
    </row>
    <row r="1524" spans="2:10" x14ac:dyDescent="0.3">
      <c r="B1524" s="7">
        <v>44470</v>
      </c>
      <c r="C1524" s="3">
        <f t="shared" si="46"/>
        <v>2021</v>
      </c>
      <c r="D1524" s="3">
        <f t="shared" si="47"/>
        <v>202110</v>
      </c>
      <c r="E1524" s="5" t="s">
        <v>3</v>
      </c>
      <c r="F1524" s="5" t="s">
        <v>11</v>
      </c>
      <c r="G1524" s="5" t="s">
        <v>35</v>
      </c>
      <c r="H1524">
        <v>41</v>
      </c>
      <c r="I1524" s="4">
        <v>258218</v>
      </c>
      <c r="J1524" s="4">
        <v>94300</v>
      </c>
    </row>
    <row r="1525" spans="2:10" x14ac:dyDescent="0.3">
      <c r="B1525" s="7">
        <v>44501</v>
      </c>
      <c r="C1525" s="3">
        <f t="shared" si="46"/>
        <v>2021</v>
      </c>
      <c r="D1525" s="3">
        <f t="shared" si="47"/>
        <v>202111</v>
      </c>
      <c r="E1525" s="5" t="s">
        <v>3</v>
      </c>
      <c r="F1525" s="5" t="s">
        <v>11</v>
      </c>
      <c r="G1525" s="5" t="s">
        <v>35</v>
      </c>
      <c r="H1525">
        <v>29</v>
      </c>
      <c r="I1525" s="4">
        <v>175392</v>
      </c>
      <c r="J1525" s="4">
        <v>66700</v>
      </c>
    </row>
    <row r="1526" spans="2:10" x14ac:dyDescent="0.3">
      <c r="B1526" s="7">
        <v>44531</v>
      </c>
      <c r="C1526" s="3">
        <f t="shared" si="46"/>
        <v>2021</v>
      </c>
      <c r="D1526" s="3">
        <f t="shared" si="47"/>
        <v>202112</v>
      </c>
      <c r="E1526" s="5" t="s">
        <v>3</v>
      </c>
      <c r="F1526" s="5" t="s">
        <v>11</v>
      </c>
      <c r="G1526" s="5" t="s">
        <v>35</v>
      </c>
      <c r="H1526">
        <v>35</v>
      </c>
      <c r="I1526" s="4">
        <v>183610</v>
      </c>
      <c r="J1526" s="4">
        <v>80500</v>
      </c>
    </row>
    <row r="1527" spans="2:10" x14ac:dyDescent="0.3">
      <c r="B1527" s="7">
        <v>44562</v>
      </c>
      <c r="C1527" s="3">
        <f t="shared" si="46"/>
        <v>2022</v>
      </c>
      <c r="D1527" s="3">
        <f t="shared" si="47"/>
        <v>202201</v>
      </c>
      <c r="E1527" s="5" t="s">
        <v>3</v>
      </c>
      <c r="F1527" s="5" t="s">
        <v>11</v>
      </c>
      <c r="G1527" s="5" t="s">
        <v>35</v>
      </c>
      <c r="H1527">
        <v>51</v>
      </c>
      <c r="I1527" s="4">
        <v>335019</v>
      </c>
      <c r="J1527" s="4">
        <v>117300</v>
      </c>
    </row>
    <row r="1528" spans="2:10" x14ac:dyDescent="0.3">
      <c r="B1528" s="7">
        <v>44593</v>
      </c>
      <c r="C1528" s="3">
        <f t="shared" si="46"/>
        <v>2022</v>
      </c>
      <c r="D1528" s="3">
        <f t="shared" si="47"/>
        <v>202202</v>
      </c>
      <c r="E1528" s="5" t="s">
        <v>3</v>
      </c>
      <c r="F1528" s="5" t="s">
        <v>11</v>
      </c>
      <c r="G1528" s="5" t="s">
        <v>35</v>
      </c>
      <c r="H1528">
        <v>32</v>
      </c>
      <c r="I1528" s="4">
        <v>197184</v>
      </c>
      <c r="J1528" s="4">
        <v>73600</v>
      </c>
    </row>
    <row r="1529" spans="2:10" x14ac:dyDescent="0.3">
      <c r="B1529" s="7">
        <v>44621</v>
      </c>
      <c r="C1529" s="3">
        <f t="shared" si="46"/>
        <v>2022</v>
      </c>
      <c r="D1529" s="3">
        <f t="shared" si="47"/>
        <v>202203</v>
      </c>
      <c r="E1529" s="5" t="s">
        <v>3</v>
      </c>
      <c r="F1529" s="5" t="s">
        <v>11</v>
      </c>
      <c r="G1529" s="5" t="s">
        <v>35</v>
      </c>
      <c r="H1529">
        <v>26</v>
      </c>
      <c r="I1529" s="4">
        <v>158236</v>
      </c>
      <c r="J1529" s="4">
        <v>59800</v>
      </c>
    </row>
    <row r="1530" spans="2:10" x14ac:dyDescent="0.3">
      <c r="B1530" s="7">
        <v>44652</v>
      </c>
      <c r="C1530" s="3">
        <f t="shared" si="46"/>
        <v>2022</v>
      </c>
      <c r="D1530" s="3">
        <f t="shared" si="47"/>
        <v>202204</v>
      </c>
      <c r="E1530" s="5" t="s">
        <v>3</v>
      </c>
      <c r="F1530" s="5" t="s">
        <v>11</v>
      </c>
      <c r="G1530" s="5" t="s">
        <v>35</v>
      </c>
      <c r="H1530">
        <v>48</v>
      </c>
      <c r="I1530" s="4">
        <v>322896</v>
      </c>
      <c r="J1530" s="4">
        <v>110400</v>
      </c>
    </row>
    <row r="1531" spans="2:10" x14ac:dyDescent="0.3">
      <c r="B1531" s="7">
        <v>44682</v>
      </c>
      <c r="C1531" s="3">
        <f t="shared" si="46"/>
        <v>2022</v>
      </c>
      <c r="D1531" s="3">
        <f t="shared" si="47"/>
        <v>202205</v>
      </c>
      <c r="E1531" s="5" t="s">
        <v>3</v>
      </c>
      <c r="F1531" s="5" t="s">
        <v>11</v>
      </c>
      <c r="G1531" s="5" t="s">
        <v>35</v>
      </c>
      <c r="H1531">
        <v>61</v>
      </c>
      <c r="I1531" s="4">
        <v>397232</v>
      </c>
      <c r="J1531" s="4">
        <v>140300</v>
      </c>
    </row>
    <row r="1532" spans="2:10" x14ac:dyDescent="0.3">
      <c r="B1532" s="7">
        <v>44713</v>
      </c>
      <c r="C1532" s="3">
        <f t="shared" si="46"/>
        <v>2022</v>
      </c>
      <c r="D1532" s="3">
        <f t="shared" si="47"/>
        <v>202206</v>
      </c>
      <c r="E1532" s="5" t="s">
        <v>3</v>
      </c>
      <c r="F1532" s="5" t="s">
        <v>11</v>
      </c>
      <c r="G1532" s="5" t="s">
        <v>35</v>
      </c>
      <c r="H1532">
        <v>58</v>
      </c>
      <c r="I1532" s="4">
        <v>378450</v>
      </c>
      <c r="J1532" s="4">
        <v>133400</v>
      </c>
    </row>
    <row r="1533" spans="2:10" x14ac:dyDescent="0.3">
      <c r="B1533" s="7">
        <v>44743</v>
      </c>
      <c r="C1533" s="3">
        <f t="shared" si="46"/>
        <v>2022</v>
      </c>
      <c r="D1533" s="3">
        <f t="shared" si="47"/>
        <v>202207</v>
      </c>
      <c r="E1533" s="5" t="s">
        <v>3</v>
      </c>
      <c r="F1533" s="5" t="s">
        <v>11</v>
      </c>
      <c r="G1533" s="5" t="s">
        <v>35</v>
      </c>
      <c r="H1533">
        <v>61</v>
      </c>
      <c r="I1533" s="4">
        <v>318969</v>
      </c>
      <c r="J1533" s="4">
        <v>140300</v>
      </c>
    </row>
    <row r="1534" spans="2:10" x14ac:dyDescent="0.3">
      <c r="B1534" s="7">
        <v>44774</v>
      </c>
      <c r="C1534" s="3">
        <f t="shared" si="46"/>
        <v>2022</v>
      </c>
      <c r="D1534" s="3">
        <f t="shared" si="47"/>
        <v>202208</v>
      </c>
      <c r="E1534" s="5" t="s">
        <v>3</v>
      </c>
      <c r="F1534" s="5" t="s">
        <v>11</v>
      </c>
      <c r="G1534" s="5" t="s">
        <v>35</v>
      </c>
      <c r="H1534">
        <v>51</v>
      </c>
      <c r="I1534" s="4">
        <v>302787</v>
      </c>
      <c r="J1534" s="4">
        <v>117300</v>
      </c>
    </row>
    <row r="1535" spans="2:10" x14ac:dyDescent="0.3">
      <c r="B1535" s="7">
        <v>44805</v>
      </c>
      <c r="C1535" s="3">
        <f t="shared" si="46"/>
        <v>2022</v>
      </c>
      <c r="D1535" s="3">
        <f t="shared" si="47"/>
        <v>202209</v>
      </c>
      <c r="E1535" s="5" t="s">
        <v>3</v>
      </c>
      <c r="F1535" s="5" t="s">
        <v>11</v>
      </c>
      <c r="G1535" s="5" t="s">
        <v>35</v>
      </c>
      <c r="H1535">
        <v>54</v>
      </c>
      <c r="I1535" s="4">
        <v>285984</v>
      </c>
      <c r="J1535" s="4">
        <v>124200</v>
      </c>
    </row>
    <row r="1536" spans="2:10" x14ac:dyDescent="0.3">
      <c r="B1536" s="7">
        <v>44835</v>
      </c>
      <c r="C1536" s="3">
        <f t="shared" si="46"/>
        <v>2022</v>
      </c>
      <c r="D1536" s="3">
        <f t="shared" si="47"/>
        <v>202210</v>
      </c>
      <c r="E1536" s="5" t="s">
        <v>3</v>
      </c>
      <c r="F1536" s="5" t="s">
        <v>11</v>
      </c>
      <c r="G1536" s="5" t="s">
        <v>35</v>
      </c>
      <c r="H1536">
        <v>45</v>
      </c>
      <c r="I1536" s="4">
        <v>296280</v>
      </c>
      <c r="J1536" s="4">
        <v>103500</v>
      </c>
    </row>
    <row r="1537" spans="2:10" x14ac:dyDescent="0.3">
      <c r="B1537" s="7">
        <v>44866</v>
      </c>
      <c r="C1537" s="3">
        <f t="shared" si="46"/>
        <v>2022</v>
      </c>
      <c r="D1537" s="3">
        <f t="shared" si="47"/>
        <v>202211</v>
      </c>
      <c r="E1537" s="5" t="s">
        <v>3</v>
      </c>
      <c r="F1537" s="5" t="s">
        <v>11</v>
      </c>
      <c r="G1537" s="5" t="s">
        <v>35</v>
      </c>
      <c r="H1537">
        <v>32</v>
      </c>
      <c r="I1537" s="4">
        <v>206176</v>
      </c>
      <c r="J1537" s="4">
        <v>73600</v>
      </c>
    </row>
    <row r="1538" spans="2:10" x14ac:dyDescent="0.3">
      <c r="B1538" s="7">
        <v>44896</v>
      </c>
      <c r="C1538" s="3">
        <f t="shared" si="46"/>
        <v>2022</v>
      </c>
      <c r="D1538" s="3">
        <f t="shared" si="47"/>
        <v>202212</v>
      </c>
      <c r="E1538" s="5" t="s">
        <v>3</v>
      </c>
      <c r="F1538" s="5" t="s">
        <v>11</v>
      </c>
      <c r="G1538" s="5" t="s">
        <v>35</v>
      </c>
      <c r="H1538">
        <v>39</v>
      </c>
      <c r="I1538" s="4">
        <v>197925</v>
      </c>
      <c r="J1538" s="4">
        <v>89700</v>
      </c>
    </row>
    <row r="1539" spans="2:10" x14ac:dyDescent="0.3">
      <c r="B1539" s="7">
        <v>44197</v>
      </c>
      <c r="C1539" s="3">
        <f t="shared" ref="C1539:C1602" si="48">YEAR(B1539)</f>
        <v>2021</v>
      </c>
      <c r="D1539" s="3">
        <f t="shared" ref="D1539:D1602" si="49">VALUE(TEXT(B1539,"ГГГГММ"))</f>
        <v>202101</v>
      </c>
      <c r="E1539" s="5" t="s">
        <v>3</v>
      </c>
      <c r="F1539" s="5" t="s">
        <v>11</v>
      </c>
      <c r="G1539" s="5" t="s">
        <v>36</v>
      </c>
      <c r="H1539">
        <v>41</v>
      </c>
      <c r="I1539" s="4">
        <v>426728</v>
      </c>
      <c r="J1539" s="4">
        <v>166050</v>
      </c>
    </row>
    <row r="1540" spans="2:10" x14ac:dyDescent="0.3">
      <c r="B1540" s="7">
        <v>44228</v>
      </c>
      <c r="C1540" s="3">
        <f t="shared" si="48"/>
        <v>2021</v>
      </c>
      <c r="D1540" s="3">
        <f t="shared" si="49"/>
        <v>202102</v>
      </c>
      <c r="E1540" s="5" t="s">
        <v>3</v>
      </c>
      <c r="F1540" s="5" t="s">
        <v>11</v>
      </c>
      <c r="G1540" s="5" t="s">
        <v>36</v>
      </c>
      <c r="H1540">
        <v>26</v>
      </c>
      <c r="I1540" s="4">
        <v>254046</v>
      </c>
      <c r="J1540" s="4">
        <v>105300</v>
      </c>
    </row>
    <row r="1541" spans="2:10" x14ac:dyDescent="0.3">
      <c r="B1541" s="7">
        <v>44256</v>
      </c>
      <c r="C1541" s="3">
        <f t="shared" si="48"/>
        <v>2021</v>
      </c>
      <c r="D1541" s="3">
        <f t="shared" si="49"/>
        <v>202103</v>
      </c>
      <c r="E1541" s="5" t="s">
        <v>3</v>
      </c>
      <c r="F1541" s="5" t="s">
        <v>11</v>
      </c>
      <c r="G1541" s="5" t="s">
        <v>36</v>
      </c>
      <c r="H1541">
        <v>21</v>
      </c>
      <c r="I1541" s="4">
        <v>201411</v>
      </c>
      <c r="J1541" s="4">
        <v>85050</v>
      </c>
    </row>
    <row r="1542" spans="2:10" x14ac:dyDescent="0.3">
      <c r="B1542" s="7">
        <v>44287</v>
      </c>
      <c r="C1542" s="3">
        <f t="shared" si="48"/>
        <v>2021</v>
      </c>
      <c r="D1542" s="3">
        <f t="shared" si="49"/>
        <v>202104</v>
      </c>
      <c r="E1542" s="5" t="s">
        <v>3</v>
      </c>
      <c r="F1542" s="5" t="s">
        <v>11</v>
      </c>
      <c r="G1542" s="5" t="s">
        <v>36</v>
      </c>
      <c r="H1542">
        <v>39</v>
      </c>
      <c r="I1542" s="4">
        <v>407043</v>
      </c>
      <c r="J1542" s="4">
        <v>157950</v>
      </c>
    </row>
    <row r="1543" spans="2:10" x14ac:dyDescent="0.3">
      <c r="B1543" s="7">
        <v>44317</v>
      </c>
      <c r="C1543" s="3">
        <f t="shared" si="48"/>
        <v>2021</v>
      </c>
      <c r="D1543" s="3">
        <f t="shared" si="49"/>
        <v>202105</v>
      </c>
      <c r="E1543" s="5" t="s">
        <v>3</v>
      </c>
      <c r="F1543" s="5" t="s">
        <v>11</v>
      </c>
      <c r="G1543" s="5" t="s">
        <v>36</v>
      </c>
      <c r="H1543">
        <v>49</v>
      </c>
      <c r="I1543" s="4">
        <v>531601</v>
      </c>
      <c r="J1543" s="4">
        <v>198450</v>
      </c>
    </row>
    <row r="1544" spans="2:10" x14ac:dyDescent="0.3">
      <c r="B1544" s="7">
        <v>44348</v>
      </c>
      <c r="C1544" s="3">
        <f t="shared" si="48"/>
        <v>2021</v>
      </c>
      <c r="D1544" s="3">
        <f t="shared" si="49"/>
        <v>202106</v>
      </c>
      <c r="E1544" s="5" t="s">
        <v>3</v>
      </c>
      <c r="F1544" s="5" t="s">
        <v>11</v>
      </c>
      <c r="G1544" s="5" t="s">
        <v>36</v>
      </c>
      <c r="H1544">
        <v>46</v>
      </c>
      <c r="I1544" s="4">
        <v>483552</v>
      </c>
      <c r="J1544" s="4">
        <v>186300</v>
      </c>
    </row>
    <row r="1545" spans="2:10" x14ac:dyDescent="0.3">
      <c r="B1545" s="7">
        <v>44378</v>
      </c>
      <c r="C1545" s="3">
        <f t="shared" si="48"/>
        <v>2021</v>
      </c>
      <c r="D1545" s="3">
        <f t="shared" si="49"/>
        <v>202107</v>
      </c>
      <c r="E1545" s="5" t="s">
        <v>3</v>
      </c>
      <c r="F1545" s="5" t="s">
        <v>11</v>
      </c>
      <c r="G1545" s="5" t="s">
        <v>36</v>
      </c>
      <c r="H1545">
        <v>49</v>
      </c>
      <c r="I1545" s="4">
        <v>439824</v>
      </c>
      <c r="J1545" s="4">
        <v>198450</v>
      </c>
    </row>
    <row r="1546" spans="2:10" x14ac:dyDescent="0.3">
      <c r="B1546" s="7">
        <v>44409</v>
      </c>
      <c r="C1546" s="3">
        <f t="shared" si="48"/>
        <v>2021</v>
      </c>
      <c r="D1546" s="3">
        <f t="shared" si="49"/>
        <v>202108</v>
      </c>
      <c r="E1546" s="5" t="s">
        <v>3</v>
      </c>
      <c r="F1546" s="5" t="s">
        <v>11</v>
      </c>
      <c r="G1546" s="5" t="s">
        <v>36</v>
      </c>
      <c r="H1546">
        <v>41</v>
      </c>
      <c r="I1546" s="4">
        <v>415002</v>
      </c>
      <c r="J1546" s="4">
        <v>166050</v>
      </c>
    </row>
    <row r="1547" spans="2:10" x14ac:dyDescent="0.3">
      <c r="B1547" s="7">
        <v>44440</v>
      </c>
      <c r="C1547" s="3">
        <f t="shared" si="48"/>
        <v>2021</v>
      </c>
      <c r="D1547" s="3">
        <f t="shared" si="49"/>
        <v>202109</v>
      </c>
      <c r="E1547" s="5" t="s">
        <v>3</v>
      </c>
      <c r="F1547" s="5" t="s">
        <v>11</v>
      </c>
      <c r="G1547" s="5" t="s">
        <v>36</v>
      </c>
      <c r="H1547">
        <v>44</v>
      </c>
      <c r="I1547" s="4">
        <v>431508</v>
      </c>
      <c r="J1547" s="4">
        <v>178200</v>
      </c>
    </row>
    <row r="1548" spans="2:10" x14ac:dyDescent="0.3">
      <c r="B1548" s="7">
        <v>44470</v>
      </c>
      <c r="C1548" s="3">
        <f t="shared" si="48"/>
        <v>2021</v>
      </c>
      <c r="D1548" s="3">
        <f t="shared" si="49"/>
        <v>202110</v>
      </c>
      <c r="E1548" s="5" t="s">
        <v>3</v>
      </c>
      <c r="F1548" s="5" t="s">
        <v>11</v>
      </c>
      <c r="G1548" s="5" t="s">
        <v>36</v>
      </c>
      <c r="H1548">
        <v>36</v>
      </c>
      <c r="I1548" s="4">
        <v>382176</v>
      </c>
      <c r="J1548" s="4">
        <v>145800</v>
      </c>
    </row>
    <row r="1549" spans="2:10" x14ac:dyDescent="0.3">
      <c r="B1549" s="7">
        <v>44501</v>
      </c>
      <c r="C1549" s="3">
        <f t="shared" si="48"/>
        <v>2021</v>
      </c>
      <c r="D1549" s="3">
        <f t="shared" si="49"/>
        <v>202111</v>
      </c>
      <c r="E1549" s="5" t="s">
        <v>3</v>
      </c>
      <c r="F1549" s="5" t="s">
        <v>11</v>
      </c>
      <c r="G1549" s="5" t="s">
        <v>36</v>
      </c>
      <c r="H1549">
        <v>26</v>
      </c>
      <c r="I1549" s="4">
        <v>278434</v>
      </c>
      <c r="J1549" s="4">
        <v>105300</v>
      </c>
    </row>
    <row r="1550" spans="2:10" x14ac:dyDescent="0.3">
      <c r="B1550" s="7">
        <v>44531</v>
      </c>
      <c r="C1550" s="3">
        <f t="shared" si="48"/>
        <v>2021</v>
      </c>
      <c r="D1550" s="3">
        <f t="shared" si="49"/>
        <v>202112</v>
      </c>
      <c r="E1550" s="5" t="s">
        <v>3</v>
      </c>
      <c r="F1550" s="5" t="s">
        <v>11</v>
      </c>
      <c r="G1550" s="5" t="s">
        <v>36</v>
      </c>
      <c r="H1550">
        <v>31</v>
      </c>
      <c r="I1550" s="4">
        <v>294996</v>
      </c>
      <c r="J1550" s="4">
        <v>125550</v>
      </c>
    </row>
    <row r="1551" spans="2:10" x14ac:dyDescent="0.3">
      <c r="B1551" s="7">
        <v>44562</v>
      </c>
      <c r="C1551" s="3">
        <f t="shared" si="48"/>
        <v>2022</v>
      </c>
      <c r="D1551" s="3">
        <f t="shared" si="49"/>
        <v>202201</v>
      </c>
      <c r="E1551" s="5" t="s">
        <v>3</v>
      </c>
      <c r="F1551" s="5" t="s">
        <v>11</v>
      </c>
      <c r="G1551" s="5" t="s">
        <v>36</v>
      </c>
      <c r="H1551">
        <v>45</v>
      </c>
      <c r="I1551" s="4">
        <v>453960</v>
      </c>
      <c r="J1551" s="4">
        <v>182250</v>
      </c>
    </row>
    <row r="1552" spans="2:10" x14ac:dyDescent="0.3">
      <c r="B1552" s="7">
        <v>44593</v>
      </c>
      <c r="C1552" s="3">
        <f t="shared" si="48"/>
        <v>2022</v>
      </c>
      <c r="D1552" s="3">
        <f t="shared" si="49"/>
        <v>202202</v>
      </c>
      <c r="E1552" s="5" t="s">
        <v>3</v>
      </c>
      <c r="F1552" s="5" t="s">
        <v>11</v>
      </c>
      <c r="G1552" s="5" t="s">
        <v>36</v>
      </c>
      <c r="H1552">
        <v>29</v>
      </c>
      <c r="I1552" s="4">
        <v>305428</v>
      </c>
      <c r="J1552" s="4">
        <v>117450</v>
      </c>
    </row>
    <row r="1553" spans="2:10" x14ac:dyDescent="0.3">
      <c r="B1553" s="7">
        <v>44621</v>
      </c>
      <c r="C1553" s="3">
        <f t="shared" si="48"/>
        <v>2022</v>
      </c>
      <c r="D1553" s="3">
        <f t="shared" si="49"/>
        <v>202203</v>
      </c>
      <c r="E1553" s="5" t="s">
        <v>3</v>
      </c>
      <c r="F1553" s="5" t="s">
        <v>11</v>
      </c>
      <c r="G1553" s="5" t="s">
        <v>36</v>
      </c>
      <c r="H1553">
        <v>23</v>
      </c>
      <c r="I1553" s="4">
        <v>222226</v>
      </c>
      <c r="J1553" s="4">
        <v>93150</v>
      </c>
    </row>
    <row r="1554" spans="2:10" x14ac:dyDescent="0.3">
      <c r="B1554" s="7">
        <v>44652</v>
      </c>
      <c r="C1554" s="3">
        <f t="shared" si="48"/>
        <v>2022</v>
      </c>
      <c r="D1554" s="3">
        <f t="shared" si="49"/>
        <v>202204</v>
      </c>
      <c r="E1554" s="5" t="s">
        <v>3</v>
      </c>
      <c r="F1554" s="5" t="s">
        <v>11</v>
      </c>
      <c r="G1554" s="5" t="s">
        <v>36</v>
      </c>
      <c r="H1554">
        <v>43</v>
      </c>
      <c r="I1554" s="4">
        <v>460229</v>
      </c>
      <c r="J1554" s="4">
        <v>174150</v>
      </c>
    </row>
    <row r="1555" spans="2:10" x14ac:dyDescent="0.3">
      <c r="B1555" s="7">
        <v>44682</v>
      </c>
      <c r="C1555" s="3">
        <f t="shared" si="48"/>
        <v>2022</v>
      </c>
      <c r="D1555" s="3">
        <f t="shared" si="49"/>
        <v>202205</v>
      </c>
      <c r="E1555" s="5" t="s">
        <v>3</v>
      </c>
      <c r="F1555" s="5" t="s">
        <v>11</v>
      </c>
      <c r="G1555" s="5" t="s">
        <v>36</v>
      </c>
      <c r="H1555">
        <v>54</v>
      </c>
      <c r="I1555" s="4">
        <v>557820</v>
      </c>
      <c r="J1555" s="4">
        <v>218700</v>
      </c>
    </row>
    <row r="1556" spans="2:10" x14ac:dyDescent="0.3">
      <c r="B1556" s="7">
        <v>44713</v>
      </c>
      <c r="C1556" s="3">
        <f t="shared" si="48"/>
        <v>2022</v>
      </c>
      <c r="D1556" s="3">
        <f t="shared" si="49"/>
        <v>202206</v>
      </c>
      <c r="E1556" s="5" t="s">
        <v>3</v>
      </c>
      <c r="F1556" s="5" t="s">
        <v>11</v>
      </c>
      <c r="G1556" s="5" t="s">
        <v>36</v>
      </c>
      <c r="H1556">
        <v>51</v>
      </c>
      <c r="I1556" s="4">
        <v>539580</v>
      </c>
      <c r="J1556" s="4">
        <v>206550</v>
      </c>
    </row>
    <row r="1557" spans="2:10" x14ac:dyDescent="0.3">
      <c r="B1557" s="7">
        <v>44743</v>
      </c>
      <c r="C1557" s="3">
        <f t="shared" si="48"/>
        <v>2022</v>
      </c>
      <c r="D1557" s="3">
        <f t="shared" si="49"/>
        <v>202207</v>
      </c>
      <c r="E1557" s="5" t="s">
        <v>3</v>
      </c>
      <c r="F1557" s="5" t="s">
        <v>11</v>
      </c>
      <c r="G1557" s="5" t="s">
        <v>36</v>
      </c>
      <c r="H1557">
        <v>54</v>
      </c>
      <c r="I1557" s="4">
        <v>460944</v>
      </c>
      <c r="J1557" s="4">
        <v>218700</v>
      </c>
    </row>
    <row r="1558" spans="2:10" x14ac:dyDescent="0.3">
      <c r="B1558" s="7">
        <v>44774</v>
      </c>
      <c r="C1558" s="3">
        <f t="shared" si="48"/>
        <v>2022</v>
      </c>
      <c r="D1558" s="3">
        <f t="shared" si="49"/>
        <v>202208</v>
      </c>
      <c r="E1558" s="5" t="s">
        <v>3</v>
      </c>
      <c r="F1558" s="5" t="s">
        <v>11</v>
      </c>
      <c r="G1558" s="5" t="s">
        <v>36</v>
      </c>
      <c r="H1558">
        <v>45</v>
      </c>
      <c r="I1558" s="4">
        <v>435510</v>
      </c>
      <c r="J1558" s="4">
        <v>182250</v>
      </c>
    </row>
    <row r="1559" spans="2:10" x14ac:dyDescent="0.3">
      <c r="B1559" s="7">
        <v>44805</v>
      </c>
      <c r="C1559" s="3">
        <f t="shared" si="48"/>
        <v>2022</v>
      </c>
      <c r="D1559" s="3">
        <f t="shared" si="49"/>
        <v>202209</v>
      </c>
      <c r="E1559" s="5" t="s">
        <v>3</v>
      </c>
      <c r="F1559" s="5" t="s">
        <v>11</v>
      </c>
      <c r="G1559" s="5" t="s">
        <v>36</v>
      </c>
      <c r="H1559">
        <v>48</v>
      </c>
      <c r="I1559" s="4">
        <v>500976</v>
      </c>
      <c r="J1559" s="4">
        <v>194400</v>
      </c>
    </row>
    <row r="1560" spans="2:10" x14ac:dyDescent="0.3">
      <c r="B1560" s="7">
        <v>44835</v>
      </c>
      <c r="C1560" s="3">
        <f t="shared" si="48"/>
        <v>2022</v>
      </c>
      <c r="D1560" s="3">
        <f t="shared" si="49"/>
        <v>202210</v>
      </c>
      <c r="E1560" s="5" t="s">
        <v>3</v>
      </c>
      <c r="F1560" s="5" t="s">
        <v>11</v>
      </c>
      <c r="G1560" s="5" t="s">
        <v>36</v>
      </c>
      <c r="H1560">
        <v>40</v>
      </c>
      <c r="I1560" s="4">
        <v>431120</v>
      </c>
      <c r="J1560" s="4">
        <v>162000</v>
      </c>
    </row>
    <row r="1561" spans="2:10" x14ac:dyDescent="0.3">
      <c r="B1561" s="7">
        <v>44866</v>
      </c>
      <c r="C1561" s="3">
        <f t="shared" si="48"/>
        <v>2022</v>
      </c>
      <c r="D1561" s="3">
        <f t="shared" si="49"/>
        <v>202211</v>
      </c>
      <c r="E1561" s="5" t="s">
        <v>3</v>
      </c>
      <c r="F1561" s="5" t="s">
        <v>11</v>
      </c>
      <c r="G1561" s="5" t="s">
        <v>36</v>
      </c>
      <c r="H1561">
        <v>29</v>
      </c>
      <c r="I1561" s="4">
        <v>285186</v>
      </c>
      <c r="J1561" s="4">
        <v>117450</v>
      </c>
    </row>
    <row r="1562" spans="2:10" x14ac:dyDescent="0.3">
      <c r="B1562" s="7">
        <v>44896</v>
      </c>
      <c r="C1562" s="3">
        <f t="shared" si="48"/>
        <v>2022</v>
      </c>
      <c r="D1562" s="3">
        <f t="shared" si="49"/>
        <v>202212</v>
      </c>
      <c r="E1562" s="5" t="s">
        <v>3</v>
      </c>
      <c r="F1562" s="5" t="s">
        <v>11</v>
      </c>
      <c r="G1562" s="5" t="s">
        <v>36</v>
      </c>
      <c r="H1562">
        <v>34</v>
      </c>
      <c r="I1562" s="4">
        <v>338266</v>
      </c>
      <c r="J1562" s="4">
        <v>137700</v>
      </c>
    </row>
    <row r="1563" spans="2:10" x14ac:dyDescent="0.3">
      <c r="B1563" s="7">
        <v>44197</v>
      </c>
      <c r="C1563" s="3">
        <f t="shared" si="48"/>
        <v>2021</v>
      </c>
      <c r="D1563" s="3">
        <f t="shared" si="49"/>
        <v>202101</v>
      </c>
      <c r="E1563" s="5" t="s">
        <v>3</v>
      </c>
      <c r="F1563" s="5" t="s">
        <v>11</v>
      </c>
      <c r="G1563" s="5" t="s">
        <v>37</v>
      </c>
      <c r="H1563">
        <v>47</v>
      </c>
      <c r="I1563" s="4">
        <v>375624</v>
      </c>
      <c r="J1563" s="4">
        <v>187529.99999999997</v>
      </c>
    </row>
    <row r="1564" spans="2:10" x14ac:dyDescent="0.3">
      <c r="B1564" s="7">
        <v>44228</v>
      </c>
      <c r="C1564" s="3">
        <f t="shared" si="48"/>
        <v>2021</v>
      </c>
      <c r="D1564" s="3">
        <f t="shared" si="49"/>
        <v>202102</v>
      </c>
      <c r="E1564" s="5" t="s">
        <v>3</v>
      </c>
      <c r="F1564" s="5" t="s">
        <v>11</v>
      </c>
      <c r="G1564" s="5" t="s">
        <v>37</v>
      </c>
      <c r="H1564">
        <v>29</v>
      </c>
      <c r="I1564" s="4">
        <v>248791</v>
      </c>
      <c r="J1564" s="4">
        <v>115709.99999999999</v>
      </c>
    </row>
    <row r="1565" spans="2:10" x14ac:dyDescent="0.3">
      <c r="B1565" s="7">
        <v>44256</v>
      </c>
      <c r="C1565" s="3">
        <f t="shared" si="48"/>
        <v>2021</v>
      </c>
      <c r="D1565" s="3">
        <f t="shared" si="49"/>
        <v>202103</v>
      </c>
      <c r="E1565" s="5" t="s">
        <v>3</v>
      </c>
      <c r="F1565" s="5" t="s">
        <v>11</v>
      </c>
      <c r="G1565" s="5" t="s">
        <v>37</v>
      </c>
      <c r="H1565">
        <v>24</v>
      </c>
      <c r="I1565" s="4">
        <v>196608</v>
      </c>
      <c r="J1565" s="4">
        <v>95759.999999999985</v>
      </c>
    </row>
    <row r="1566" spans="2:10" x14ac:dyDescent="0.3">
      <c r="B1566" s="7">
        <v>44287</v>
      </c>
      <c r="C1566" s="3">
        <f t="shared" si="48"/>
        <v>2021</v>
      </c>
      <c r="D1566" s="3">
        <f t="shared" si="49"/>
        <v>202104</v>
      </c>
      <c r="E1566" s="5" t="s">
        <v>3</v>
      </c>
      <c r="F1566" s="5" t="s">
        <v>11</v>
      </c>
      <c r="G1566" s="5" t="s">
        <v>37</v>
      </c>
      <c r="H1566">
        <v>44</v>
      </c>
      <c r="I1566" s="4">
        <v>386452</v>
      </c>
      <c r="J1566" s="4">
        <v>175559.99999999997</v>
      </c>
    </row>
    <row r="1567" spans="2:10" x14ac:dyDescent="0.3">
      <c r="B1567" s="7">
        <v>44317</v>
      </c>
      <c r="C1567" s="3">
        <f t="shared" si="48"/>
        <v>2021</v>
      </c>
      <c r="D1567" s="3">
        <f t="shared" si="49"/>
        <v>202105</v>
      </c>
      <c r="E1567" s="5" t="s">
        <v>3</v>
      </c>
      <c r="F1567" s="5" t="s">
        <v>11</v>
      </c>
      <c r="G1567" s="5" t="s">
        <v>37</v>
      </c>
      <c r="H1567">
        <v>55</v>
      </c>
      <c r="I1567" s="4">
        <v>529100</v>
      </c>
      <c r="J1567" s="4">
        <v>219449.99999999997</v>
      </c>
    </row>
    <row r="1568" spans="2:10" x14ac:dyDescent="0.3">
      <c r="B1568" s="7">
        <v>44348</v>
      </c>
      <c r="C1568" s="3">
        <f t="shared" si="48"/>
        <v>2021</v>
      </c>
      <c r="D1568" s="3">
        <f t="shared" si="49"/>
        <v>202106</v>
      </c>
      <c r="E1568" s="5" t="s">
        <v>3</v>
      </c>
      <c r="F1568" s="5" t="s">
        <v>11</v>
      </c>
      <c r="G1568" s="5" t="s">
        <v>37</v>
      </c>
      <c r="H1568">
        <v>52</v>
      </c>
      <c r="I1568" s="4">
        <v>429780</v>
      </c>
      <c r="J1568" s="4">
        <v>207479.99999999997</v>
      </c>
    </row>
    <row r="1569" spans="2:10" x14ac:dyDescent="0.3">
      <c r="B1569" s="7">
        <v>44378</v>
      </c>
      <c r="C1569" s="3">
        <f t="shared" si="48"/>
        <v>2021</v>
      </c>
      <c r="D1569" s="3">
        <f t="shared" si="49"/>
        <v>202107</v>
      </c>
      <c r="E1569" s="5" t="s">
        <v>3</v>
      </c>
      <c r="F1569" s="5" t="s">
        <v>11</v>
      </c>
      <c r="G1569" s="5" t="s">
        <v>37</v>
      </c>
      <c r="H1569">
        <v>55</v>
      </c>
      <c r="I1569" s="4">
        <v>368665</v>
      </c>
      <c r="J1569" s="4">
        <v>219449.99999999997</v>
      </c>
    </row>
    <row r="1570" spans="2:10" x14ac:dyDescent="0.3">
      <c r="B1570" s="7">
        <v>44409</v>
      </c>
      <c r="C1570" s="3">
        <f t="shared" si="48"/>
        <v>2021</v>
      </c>
      <c r="D1570" s="3">
        <f t="shared" si="49"/>
        <v>202108</v>
      </c>
      <c r="E1570" s="5" t="s">
        <v>3</v>
      </c>
      <c r="F1570" s="5" t="s">
        <v>11</v>
      </c>
      <c r="G1570" s="5" t="s">
        <v>37</v>
      </c>
      <c r="H1570">
        <v>47</v>
      </c>
      <c r="I1570" s="4">
        <v>364391</v>
      </c>
      <c r="J1570" s="4">
        <v>187529.99999999997</v>
      </c>
    </row>
    <row r="1571" spans="2:10" x14ac:dyDescent="0.3">
      <c r="B1571" s="7">
        <v>44440</v>
      </c>
      <c r="C1571" s="3">
        <f t="shared" si="48"/>
        <v>2021</v>
      </c>
      <c r="D1571" s="3">
        <f t="shared" si="49"/>
        <v>202109</v>
      </c>
      <c r="E1571" s="5" t="s">
        <v>3</v>
      </c>
      <c r="F1571" s="5" t="s">
        <v>11</v>
      </c>
      <c r="G1571" s="5" t="s">
        <v>37</v>
      </c>
      <c r="H1571">
        <v>50</v>
      </c>
      <c r="I1571" s="4">
        <v>369250</v>
      </c>
      <c r="J1571" s="4">
        <v>199499.99999999997</v>
      </c>
    </row>
    <row r="1572" spans="2:10" x14ac:dyDescent="0.3">
      <c r="B1572" s="7">
        <v>44470</v>
      </c>
      <c r="C1572" s="3">
        <f t="shared" si="48"/>
        <v>2021</v>
      </c>
      <c r="D1572" s="3">
        <f t="shared" si="49"/>
        <v>202110</v>
      </c>
      <c r="E1572" s="5" t="s">
        <v>3</v>
      </c>
      <c r="F1572" s="5" t="s">
        <v>11</v>
      </c>
      <c r="G1572" s="5" t="s">
        <v>37</v>
      </c>
      <c r="H1572">
        <v>41</v>
      </c>
      <c r="I1572" s="4">
        <v>333371</v>
      </c>
      <c r="J1572" s="4">
        <v>163589.99999999997</v>
      </c>
    </row>
    <row r="1573" spans="2:10" x14ac:dyDescent="0.3">
      <c r="B1573" s="7">
        <v>44501</v>
      </c>
      <c r="C1573" s="3">
        <f t="shared" si="48"/>
        <v>2021</v>
      </c>
      <c r="D1573" s="3">
        <f t="shared" si="49"/>
        <v>202111</v>
      </c>
      <c r="E1573" s="5" t="s">
        <v>3</v>
      </c>
      <c r="F1573" s="5" t="s">
        <v>11</v>
      </c>
      <c r="G1573" s="5" t="s">
        <v>37</v>
      </c>
      <c r="H1573">
        <v>29</v>
      </c>
      <c r="I1573" s="4">
        <v>252967</v>
      </c>
      <c r="J1573" s="4">
        <v>115709.99999999999</v>
      </c>
    </row>
    <row r="1574" spans="2:10" x14ac:dyDescent="0.3">
      <c r="B1574" s="7">
        <v>44531</v>
      </c>
      <c r="C1574" s="3">
        <f t="shared" si="48"/>
        <v>2021</v>
      </c>
      <c r="D1574" s="3">
        <f t="shared" si="49"/>
        <v>202112</v>
      </c>
      <c r="E1574" s="5" t="s">
        <v>3</v>
      </c>
      <c r="F1574" s="5" t="s">
        <v>11</v>
      </c>
      <c r="G1574" s="5" t="s">
        <v>37</v>
      </c>
      <c r="H1574">
        <v>35</v>
      </c>
      <c r="I1574" s="4">
        <v>285565</v>
      </c>
      <c r="J1574" s="4">
        <v>139649.99999999997</v>
      </c>
    </row>
    <row r="1575" spans="2:10" x14ac:dyDescent="0.3">
      <c r="B1575" s="7">
        <v>44562</v>
      </c>
      <c r="C1575" s="3">
        <f t="shared" si="48"/>
        <v>2022</v>
      </c>
      <c r="D1575" s="3">
        <f t="shared" si="49"/>
        <v>202201</v>
      </c>
      <c r="E1575" s="5" t="s">
        <v>3</v>
      </c>
      <c r="F1575" s="5" t="s">
        <v>11</v>
      </c>
      <c r="G1575" s="5" t="s">
        <v>37</v>
      </c>
      <c r="H1575">
        <v>51</v>
      </c>
      <c r="I1575" s="4">
        <v>428808</v>
      </c>
      <c r="J1575" s="4">
        <v>203489.99999999997</v>
      </c>
    </row>
    <row r="1576" spans="2:10" x14ac:dyDescent="0.3">
      <c r="B1576" s="7">
        <v>44593</v>
      </c>
      <c r="C1576" s="3">
        <f t="shared" si="48"/>
        <v>2022</v>
      </c>
      <c r="D1576" s="3">
        <f t="shared" si="49"/>
        <v>202202</v>
      </c>
      <c r="E1576" s="5" t="s">
        <v>3</v>
      </c>
      <c r="F1576" s="5" t="s">
        <v>11</v>
      </c>
      <c r="G1576" s="5" t="s">
        <v>37</v>
      </c>
      <c r="H1576">
        <v>32</v>
      </c>
      <c r="I1576" s="4">
        <v>279008</v>
      </c>
      <c r="J1576" s="4">
        <v>127679.99999999999</v>
      </c>
    </row>
    <row r="1577" spans="2:10" x14ac:dyDescent="0.3">
      <c r="B1577" s="7">
        <v>44621</v>
      </c>
      <c r="C1577" s="3">
        <f t="shared" si="48"/>
        <v>2022</v>
      </c>
      <c r="D1577" s="3">
        <f t="shared" si="49"/>
        <v>202203</v>
      </c>
      <c r="E1577" s="5" t="s">
        <v>3</v>
      </c>
      <c r="F1577" s="5" t="s">
        <v>11</v>
      </c>
      <c r="G1577" s="5" t="s">
        <v>37</v>
      </c>
      <c r="H1577">
        <v>26</v>
      </c>
      <c r="I1577" s="4">
        <v>213174</v>
      </c>
      <c r="J1577" s="4">
        <v>103739.99999999999</v>
      </c>
    </row>
    <row r="1578" spans="2:10" x14ac:dyDescent="0.3">
      <c r="B1578" s="7">
        <v>44652</v>
      </c>
      <c r="C1578" s="3">
        <f t="shared" si="48"/>
        <v>2022</v>
      </c>
      <c r="D1578" s="3">
        <f t="shared" si="49"/>
        <v>202204</v>
      </c>
      <c r="E1578" s="5" t="s">
        <v>3</v>
      </c>
      <c r="F1578" s="5" t="s">
        <v>11</v>
      </c>
      <c r="G1578" s="5" t="s">
        <v>37</v>
      </c>
      <c r="H1578">
        <v>48</v>
      </c>
      <c r="I1578" s="4">
        <v>448032</v>
      </c>
      <c r="J1578" s="4">
        <v>191519.99999999997</v>
      </c>
    </row>
    <row r="1579" spans="2:10" x14ac:dyDescent="0.3">
      <c r="B1579" s="7">
        <v>44682</v>
      </c>
      <c r="C1579" s="3">
        <f t="shared" si="48"/>
        <v>2022</v>
      </c>
      <c r="D1579" s="3">
        <f t="shared" si="49"/>
        <v>202205</v>
      </c>
      <c r="E1579" s="5" t="s">
        <v>3</v>
      </c>
      <c r="F1579" s="5" t="s">
        <v>11</v>
      </c>
      <c r="G1579" s="5" t="s">
        <v>37</v>
      </c>
      <c r="H1579">
        <v>61</v>
      </c>
      <c r="I1579" s="4">
        <v>572790</v>
      </c>
      <c r="J1579" s="4">
        <v>243389.99999999997</v>
      </c>
    </row>
    <row r="1580" spans="2:10" x14ac:dyDescent="0.3">
      <c r="B1580" s="7">
        <v>44713</v>
      </c>
      <c r="C1580" s="3">
        <f t="shared" si="48"/>
        <v>2022</v>
      </c>
      <c r="D1580" s="3">
        <f t="shared" si="49"/>
        <v>202206</v>
      </c>
      <c r="E1580" s="5" t="s">
        <v>3</v>
      </c>
      <c r="F1580" s="5" t="s">
        <v>11</v>
      </c>
      <c r="G1580" s="5" t="s">
        <v>37</v>
      </c>
      <c r="H1580">
        <v>58</v>
      </c>
      <c r="I1580" s="4">
        <v>471946</v>
      </c>
      <c r="J1580" s="4">
        <v>231419.99999999997</v>
      </c>
    </row>
    <row r="1581" spans="2:10" x14ac:dyDescent="0.3">
      <c r="B1581" s="7">
        <v>44743</v>
      </c>
      <c r="C1581" s="3">
        <f t="shared" si="48"/>
        <v>2022</v>
      </c>
      <c r="D1581" s="3">
        <f t="shared" si="49"/>
        <v>202207</v>
      </c>
      <c r="E1581" s="5" t="s">
        <v>3</v>
      </c>
      <c r="F1581" s="5" t="s">
        <v>11</v>
      </c>
      <c r="G1581" s="5" t="s">
        <v>37</v>
      </c>
      <c r="H1581">
        <v>61</v>
      </c>
      <c r="I1581" s="4">
        <v>390461</v>
      </c>
      <c r="J1581" s="4">
        <v>243389.99999999997</v>
      </c>
    </row>
    <row r="1582" spans="2:10" x14ac:dyDescent="0.3">
      <c r="B1582" s="7">
        <v>44774</v>
      </c>
      <c r="C1582" s="3">
        <f t="shared" si="48"/>
        <v>2022</v>
      </c>
      <c r="D1582" s="3">
        <f t="shared" si="49"/>
        <v>202208</v>
      </c>
      <c r="E1582" s="5" t="s">
        <v>3</v>
      </c>
      <c r="F1582" s="5" t="s">
        <v>11</v>
      </c>
      <c r="G1582" s="5" t="s">
        <v>37</v>
      </c>
      <c r="H1582">
        <v>51</v>
      </c>
      <c r="I1582" s="4">
        <v>411621</v>
      </c>
      <c r="J1582" s="4">
        <v>203489.99999999997</v>
      </c>
    </row>
    <row r="1583" spans="2:10" x14ac:dyDescent="0.3">
      <c r="B1583" s="7">
        <v>44805</v>
      </c>
      <c r="C1583" s="3">
        <f t="shared" si="48"/>
        <v>2022</v>
      </c>
      <c r="D1583" s="3">
        <f t="shared" si="49"/>
        <v>202209</v>
      </c>
      <c r="E1583" s="5" t="s">
        <v>3</v>
      </c>
      <c r="F1583" s="5" t="s">
        <v>11</v>
      </c>
      <c r="G1583" s="5" t="s">
        <v>37</v>
      </c>
      <c r="H1583">
        <v>54</v>
      </c>
      <c r="I1583" s="4">
        <v>427734</v>
      </c>
      <c r="J1583" s="4">
        <v>215459.99999999997</v>
      </c>
    </row>
    <row r="1584" spans="2:10" x14ac:dyDescent="0.3">
      <c r="B1584" s="7">
        <v>44835</v>
      </c>
      <c r="C1584" s="3">
        <f t="shared" si="48"/>
        <v>2022</v>
      </c>
      <c r="D1584" s="3">
        <f t="shared" si="49"/>
        <v>202210</v>
      </c>
      <c r="E1584" s="5" t="s">
        <v>3</v>
      </c>
      <c r="F1584" s="5" t="s">
        <v>11</v>
      </c>
      <c r="G1584" s="5" t="s">
        <v>37</v>
      </c>
      <c r="H1584">
        <v>45</v>
      </c>
      <c r="I1584" s="4">
        <v>393615</v>
      </c>
      <c r="J1584" s="4">
        <v>179549.99999999997</v>
      </c>
    </row>
    <row r="1585" spans="2:10" x14ac:dyDescent="0.3">
      <c r="B1585" s="7">
        <v>44866</v>
      </c>
      <c r="C1585" s="3">
        <f t="shared" si="48"/>
        <v>2022</v>
      </c>
      <c r="D1585" s="3">
        <f t="shared" si="49"/>
        <v>202211</v>
      </c>
      <c r="E1585" s="5" t="s">
        <v>3</v>
      </c>
      <c r="F1585" s="5" t="s">
        <v>11</v>
      </c>
      <c r="G1585" s="5" t="s">
        <v>37</v>
      </c>
      <c r="H1585">
        <v>32</v>
      </c>
      <c r="I1585" s="4">
        <v>250496</v>
      </c>
      <c r="J1585" s="4">
        <v>127679.99999999999</v>
      </c>
    </row>
    <row r="1586" spans="2:10" x14ac:dyDescent="0.3">
      <c r="B1586" s="7">
        <v>44896</v>
      </c>
      <c r="C1586" s="3">
        <f t="shared" si="48"/>
        <v>2022</v>
      </c>
      <c r="D1586" s="3">
        <f t="shared" si="49"/>
        <v>202212</v>
      </c>
      <c r="E1586" s="5" t="s">
        <v>3</v>
      </c>
      <c r="F1586" s="5" t="s">
        <v>11</v>
      </c>
      <c r="G1586" s="5" t="s">
        <v>37</v>
      </c>
      <c r="H1586">
        <v>39</v>
      </c>
      <c r="I1586" s="4">
        <v>281853</v>
      </c>
      <c r="J1586" s="4">
        <v>155609.99999999997</v>
      </c>
    </row>
    <row r="1587" spans="2:10" x14ac:dyDescent="0.3">
      <c r="B1587" s="7">
        <v>44197</v>
      </c>
      <c r="C1587" s="3">
        <f t="shared" si="48"/>
        <v>2021</v>
      </c>
      <c r="D1587" s="3">
        <f t="shared" si="49"/>
        <v>202101</v>
      </c>
      <c r="E1587" s="5" t="s">
        <v>3</v>
      </c>
      <c r="F1587" s="5" t="s">
        <v>11</v>
      </c>
      <c r="G1587" s="5" t="s">
        <v>38</v>
      </c>
      <c r="H1587">
        <v>41</v>
      </c>
      <c r="I1587" s="4">
        <v>418856</v>
      </c>
      <c r="J1587" s="4">
        <v>170765</v>
      </c>
    </row>
    <row r="1588" spans="2:10" x14ac:dyDescent="0.3">
      <c r="B1588" s="7">
        <v>44228</v>
      </c>
      <c r="C1588" s="3">
        <f t="shared" si="48"/>
        <v>2021</v>
      </c>
      <c r="D1588" s="3">
        <f t="shared" si="49"/>
        <v>202102</v>
      </c>
      <c r="E1588" s="5" t="s">
        <v>3</v>
      </c>
      <c r="F1588" s="5" t="s">
        <v>11</v>
      </c>
      <c r="G1588" s="5" t="s">
        <v>38</v>
      </c>
      <c r="H1588">
        <v>26</v>
      </c>
      <c r="I1588" s="4">
        <v>262704</v>
      </c>
      <c r="J1588" s="4">
        <v>108290</v>
      </c>
    </row>
    <row r="1589" spans="2:10" x14ac:dyDescent="0.3">
      <c r="B1589" s="7">
        <v>44256</v>
      </c>
      <c r="C1589" s="3">
        <f t="shared" si="48"/>
        <v>2021</v>
      </c>
      <c r="D1589" s="3">
        <f t="shared" si="49"/>
        <v>202103</v>
      </c>
      <c r="E1589" s="5" t="s">
        <v>3</v>
      </c>
      <c r="F1589" s="5" t="s">
        <v>11</v>
      </c>
      <c r="G1589" s="5" t="s">
        <v>38</v>
      </c>
      <c r="H1589">
        <v>21</v>
      </c>
      <c r="I1589" s="4">
        <v>184632</v>
      </c>
      <c r="J1589" s="4">
        <v>87465</v>
      </c>
    </row>
    <row r="1590" spans="2:10" x14ac:dyDescent="0.3">
      <c r="B1590" s="7">
        <v>44287</v>
      </c>
      <c r="C1590" s="3">
        <f t="shared" si="48"/>
        <v>2021</v>
      </c>
      <c r="D1590" s="3">
        <f t="shared" si="49"/>
        <v>202104</v>
      </c>
      <c r="E1590" s="5" t="s">
        <v>3</v>
      </c>
      <c r="F1590" s="5" t="s">
        <v>11</v>
      </c>
      <c r="G1590" s="5" t="s">
        <v>38</v>
      </c>
      <c r="H1590">
        <v>38</v>
      </c>
      <c r="I1590" s="4">
        <v>401812</v>
      </c>
      <c r="J1590" s="4">
        <v>158270</v>
      </c>
    </row>
    <row r="1591" spans="2:10" x14ac:dyDescent="0.3">
      <c r="B1591" s="7">
        <v>44317</v>
      </c>
      <c r="C1591" s="3">
        <f t="shared" si="48"/>
        <v>2021</v>
      </c>
      <c r="D1591" s="3">
        <f t="shared" si="49"/>
        <v>202105</v>
      </c>
      <c r="E1591" s="5" t="s">
        <v>3</v>
      </c>
      <c r="F1591" s="5" t="s">
        <v>11</v>
      </c>
      <c r="G1591" s="5" t="s">
        <v>38</v>
      </c>
      <c r="H1591">
        <v>48</v>
      </c>
      <c r="I1591" s="4">
        <v>500160</v>
      </c>
      <c r="J1591" s="4">
        <v>199920</v>
      </c>
    </row>
    <row r="1592" spans="2:10" x14ac:dyDescent="0.3">
      <c r="B1592" s="7">
        <v>44348</v>
      </c>
      <c r="C1592" s="3">
        <f t="shared" si="48"/>
        <v>2021</v>
      </c>
      <c r="D1592" s="3">
        <f t="shared" si="49"/>
        <v>202106</v>
      </c>
      <c r="E1592" s="5" t="s">
        <v>3</v>
      </c>
      <c r="F1592" s="5" t="s">
        <v>11</v>
      </c>
      <c r="G1592" s="5" t="s">
        <v>38</v>
      </c>
      <c r="H1592">
        <v>46</v>
      </c>
      <c r="I1592" s="4">
        <v>436356</v>
      </c>
      <c r="J1592" s="4">
        <v>191590</v>
      </c>
    </row>
    <row r="1593" spans="2:10" x14ac:dyDescent="0.3">
      <c r="B1593" s="7">
        <v>44378</v>
      </c>
      <c r="C1593" s="3">
        <f t="shared" si="48"/>
        <v>2021</v>
      </c>
      <c r="D1593" s="3">
        <f t="shared" si="49"/>
        <v>202107</v>
      </c>
      <c r="E1593" s="5" t="s">
        <v>3</v>
      </c>
      <c r="F1593" s="5" t="s">
        <v>11</v>
      </c>
      <c r="G1593" s="5" t="s">
        <v>38</v>
      </c>
      <c r="H1593">
        <v>48</v>
      </c>
      <c r="I1593" s="4">
        <v>404736</v>
      </c>
      <c r="J1593" s="4">
        <v>199920</v>
      </c>
    </row>
    <row r="1594" spans="2:10" x14ac:dyDescent="0.3">
      <c r="B1594" s="7">
        <v>44409</v>
      </c>
      <c r="C1594" s="3">
        <f t="shared" si="48"/>
        <v>2021</v>
      </c>
      <c r="D1594" s="3">
        <f t="shared" si="49"/>
        <v>202108</v>
      </c>
      <c r="E1594" s="5" t="s">
        <v>3</v>
      </c>
      <c r="F1594" s="5" t="s">
        <v>11</v>
      </c>
      <c r="G1594" s="5" t="s">
        <v>38</v>
      </c>
      <c r="H1594">
        <v>41</v>
      </c>
      <c r="I1594" s="4">
        <v>354445</v>
      </c>
      <c r="J1594" s="4">
        <v>170765</v>
      </c>
    </row>
    <row r="1595" spans="2:10" x14ac:dyDescent="0.3">
      <c r="B1595" s="7">
        <v>44440</v>
      </c>
      <c r="C1595" s="3">
        <f t="shared" si="48"/>
        <v>2021</v>
      </c>
      <c r="D1595" s="3">
        <f t="shared" si="49"/>
        <v>202109</v>
      </c>
      <c r="E1595" s="5" t="s">
        <v>3</v>
      </c>
      <c r="F1595" s="5" t="s">
        <v>11</v>
      </c>
      <c r="G1595" s="5" t="s">
        <v>38</v>
      </c>
      <c r="H1595">
        <v>43</v>
      </c>
      <c r="I1595" s="4">
        <v>409661</v>
      </c>
      <c r="J1595" s="4">
        <v>179095</v>
      </c>
    </row>
    <row r="1596" spans="2:10" x14ac:dyDescent="0.3">
      <c r="B1596" s="7">
        <v>44470</v>
      </c>
      <c r="C1596" s="3">
        <f t="shared" si="48"/>
        <v>2021</v>
      </c>
      <c r="D1596" s="3">
        <f t="shared" si="49"/>
        <v>202110</v>
      </c>
      <c r="E1596" s="5" t="s">
        <v>3</v>
      </c>
      <c r="F1596" s="5" t="s">
        <v>11</v>
      </c>
      <c r="G1596" s="5" t="s">
        <v>38</v>
      </c>
      <c r="H1596">
        <v>36</v>
      </c>
      <c r="I1596" s="4">
        <v>377532</v>
      </c>
      <c r="J1596" s="4">
        <v>149940</v>
      </c>
    </row>
    <row r="1597" spans="2:10" x14ac:dyDescent="0.3">
      <c r="B1597" s="7">
        <v>44501</v>
      </c>
      <c r="C1597" s="3">
        <f t="shared" si="48"/>
        <v>2021</v>
      </c>
      <c r="D1597" s="3">
        <f t="shared" si="49"/>
        <v>202111</v>
      </c>
      <c r="E1597" s="5" t="s">
        <v>3</v>
      </c>
      <c r="F1597" s="5" t="s">
        <v>11</v>
      </c>
      <c r="G1597" s="5" t="s">
        <v>38</v>
      </c>
      <c r="H1597">
        <v>26</v>
      </c>
      <c r="I1597" s="4">
        <v>261872</v>
      </c>
      <c r="J1597" s="4">
        <v>108290</v>
      </c>
    </row>
    <row r="1598" spans="2:10" x14ac:dyDescent="0.3">
      <c r="B1598" s="7">
        <v>44531</v>
      </c>
      <c r="C1598" s="3">
        <f t="shared" si="48"/>
        <v>2021</v>
      </c>
      <c r="D1598" s="3">
        <f t="shared" si="49"/>
        <v>202112</v>
      </c>
      <c r="E1598" s="5" t="s">
        <v>3</v>
      </c>
      <c r="F1598" s="5" t="s">
        <v>11</v>
      </c>
      <c r="G1598" s="5" t="s">
        <v>38</v>
      </c>
      <c r="H1598">
        <v>31</v>
      </c>
      <c r="I1598" s="4">
        <v>294469</v>
      </c>
      <c r="J1598" s="4">
        <v>129115</v>
      </c>
    </row>
    <row r="1599" spans="2:10" x14ac:dyDescent="0.3">
      <c r="B1599" s="7">
        <v>44562</v>
      </c>
      <c r="C1599" s="3">
        <f t="shared" si="48"/>
        <v>2022</v>
      </c>
      <c r="D1599" s="3">
        <f t="shared" si="49"/>
        <v>202201</v>
      </c>
      <c r="E1599" s="5" t="s">
        <v>3</v>
      </c>
      <c r="F1599" s="5" t="s">
        <v>11</v>
      </c>
      <c r="G1599" s="5" t="s">
        <v>38</v>
      </c>
      <c r="H1599">
        <v>45</v>
      </c>
      <c r="I1599" s="4">
        <v>459225</v>
      </c>
      <c r="J1599" s="4">
        <v>187425</v>
      </c>
    </row>
    <row r="1600" spans="2:10" x14ac:dyDescent="0.3">
      <c r="B1600" s="7">
        <v>44593</v>
      </c>
      <c r="C1600" s="3">
        <f t="shared" si="48"/>
        <v>2022</v>
      </c>
      <c r="D1600" s="3">
        <f t="shared" si="49"/>
        <v>202202</v>
      </c>
      <c r="E1600" s="5" t="s">
        <v>3</v>
      </c>
      <c r="F1600" s="5" t="s">
        <v>11</v>
      </c>
      <c r="G1600" s="5" t="s">
        <v>38</v>
      </c>
      <c r="H1600">
        <v>28</v>
      </c>
      <c r="I1600" s="4">
        <v>278040</v>
      </c>
      <c r="J1600" s="4">
        <v>116620</v>
      </c>
    </row>
    <row r="1601" spans="2:10" x14ac:dyDescent="0.3">
      <c r="B1601" s="7">
        <v>44621</v>
      </c>
      <c r="C1601" s="3">
        <f t="shared" si="48"/>
        <v>2022</v>
      </c>
      <c r="D1601" s="3">
        <f t="shared" si="49"/>
        <v>202203</v>
      </c>
      <c r="E1601" s="5" t="s">
        <v>3</v>
      </c>
      <c r="F1601" s="5" t="s">
        <v>11</v>
      </c>
      <c r="G1601" s="5" t="s">
        <v>38</v>
      </c>
      <c r="H1601">
        <v>23</v>
      </c>
      <c r="I1601" s="4">
        <v>216844</v>
      </c>
      <c r="J1601" s="4">
        <v>95795</v>
      </c>
    </row>
    <row r="1602" spans="2:10" x14ac:dyDescent="0.3">
      <c r="B1602" s="7">
        <v>44652</v>
      </c>
      <c r="C1602" s="3">
        <f t="shared" si="48"/>
        <v>2022</v>
      </c>
      <c r="D1602" s="3">
        <f t="shared" si="49"/>
        <v>202204</v>
      </c>
      <c r="E1602" s="5" t="s">
        <v>3</v>
      </c>
      <c r="F1602" s="5" t="s">
        <v>11</v>
      </c>
      <c r="G1602" s="5" t="s">
        <v>38</v>
      </c>
      <c r="H1602">
        <v>42</v>
      </c>
      <c r="I1602" s="4">
        <v>444192</v>
      </c>
      <c r="J1602" s="4">
        <v>174930</v>
      </c>
    </row>
    <row r="1603" spans="2:10" x14ac:dyDescent="0.3">
      <c r="B1603" s="7">
        <v>44682</v>
      </c>
      <c r="C1603" s="3">
        <f t="shared" ref="C1603:C1666" si="50">YEAR(B1603)</f>
        <v>2022</v>
      </c>
      <c r="D1603" s="3">
        <f t="shared" ref="D1603:D1666" si="51">VALUE(TEXT(B1603,"ГГГГММ"))</f>
        <v>202205</v>
      </c>
      <c r="E1603" s="5" t="s">
        <v>3</v>
      </c>
      <c r="F1603" s="5" t="s">
        <v>11</v>
      </c>
      <c r="G1603" s="5" t="s">
        <v>38</v>
      </c>
      <c r="H1603">
        <v>53</v>
      </c>
      <c r="I1603" s="4">
        <v>562807</v>
      </c>
      <c r="J1603" s="4">
        <v>220745</v>
      </c>
    </row>
    <row r="1604" spans="2:10" x14ac:dyDescent="0.3">
      <c r="B1604" s="7">
        <v>44713</v>
      </c>
      <c r="C1604" s="3">
        <f t="shared" si="50"/>
        <v>2022</v>
      </c>
      <c r="D1604" s="3">
        <f t="shared" si="51"/>
        <v>202206</v>
      </c>
      <c r="E1604" s="5" t="s">
        <v>3</v>
      </c>
      <c r="F1604" s="5" t="s">
        <v>11</v>
      </c>
      <c r="G1604" s="5" t="s">
        <v>38</v>
      </c>
      <c r="H1604">
        <v>50</v>
      </c>
      <c r="I1604" s="4">
        <v>482800</v>
      </c>
      <c r="J1604" s="4">
        <v>208250</v>
      </c>
    </row>
    <row r="1605" spans="2:10" x14ac:dyDescent="0.3">
      <c r="B1605" s="7">
        <v>44743</v>
      </c>
      <c r="C1605" s="3">
        <f t="shared" si="50"/>
        <v>2022</v>
      </c>
      <c r="D1605" s="3">
        <f t="shared" si="51"/>
        <v>202207</v>
      </c>
      <c r="E1605" s="5" t="s">
        <v>3</v>
      </c>
      <c r="F1605" s="5" t="s">
        <v>11</v>
      </c>
      <c r="G1605" s="5" t="s">
        <v>38</v>
      </c>
      <c r="H1605">
        <v>53</v>
      </c>
      <c r="I1605" s="4">
        <v>439370</v>
      </c>
      <c r="J1605" s="4">
        <v>220745</v>
      </c>
    </row>
    <row r="1606" spans="2:10" x14ac:dyDescent="0.3">
      <c r="B1606" s="7">
        <v>44774</v>
      </c>
      <c r="C1606" s="3">
        <f t="shared" si="50"/>
        <v>2022</v>
      </c>
      <c r="D1606" s="3">
        <f t="shared" si="51"/>
        <v>202208</v>
      </c>
      <c r="E1606" s="5" t="s">
        <v>3</v>
      </c>
      <c r="F1606" s="5" t="s">
        <v>11</v>
      </c>
      <c r="G1606" s="5" t="s">
        <v>38</v>
      </c>
      <c r="H1606">
        <v>45</v>
      </c>
      <c r="I1606" s="4">
        <v>415350</v>
      </c>
      <c r="J1606" s="4">
        <v>187425</v>
      </c>
    </row>
    <row r="1607" spans="2:10" x14ac:dyDescent="0.3">
      <c r="B1607" s="7">
        <v>44805</v>
      </c>
      <c r="C1607" s="3">
        <f t="shared" si="50"/>
        <v>2022</v>
      </c>
      <c r="D1607" s="3">
        <f t="shared" si="51"/>
        <v>202209</v>
      </c>
      <c r="E1607" s="5" t="s">
        <v>3</v>
      </c>
      <c r="F1607" s="5" t="s">
        <v>11</v>
      </c>
      <c r="G1607" s="5" t="s">
        <v>38</v>
      </c>
      <c r="H1607">
        <v>48</v>
      </c>
      <c r="I1607" s="4">
        <v>469488</v>
      </c>
      <c r="J1607" s="4">
        <v>199920</v>
      </c>
    </row>
    <row r="1608" spans="2:10" x14ac:dyDescent="0.3">
      <c r="B1608" s="7">
        <v>44835</v>
      </c>
      <c r="C1608" s="3">
        <f t="shared" si="50"/>
        <v>2022</v>
      </c>
      <c r="D1608" s="3">
        <f t="shared" si="51"/>
        <v>202210</v>
      </c>
      <c r="E1608" s="5" t="s">
        <v>3</v>
      </c>
      <c r="F1608" s="5" t="s">
        <v>11</v>
      </c>
      <c r="G1608" s="5" t="s">
        <v>38</v>
      </c>
      <c r="H1608">
        <v>39</v>
      </c>
      <c r="I1608" s="4">
        <v>381888</v>
      </c>
      <c r="J1608" s="4">
        <v>162435</v>
      </c>
    </row>
    <row r="1609" spans="2:10" x14ac:dyDescent="0.3">
      <c r="B1609" s="7">
        <v>44866</v>
      </c>
      <c r="C1609" s="3">
        <f t="shared" si="50"/>
        <v>2022</v>
      </c>
      <c r="D1609" s="3">
        <f t="shared" si="51"/>
        <v>202211</v>
      </c>
      <c r="E1609" s="5" t="s">
        <v>3</v>
      </c>
      <c r="F1609" s="5" t="s">
        <v>11</v>
      </c>
      <c r="G1609" s="5" t="s">
        <v>38</v>
      </c>
      <c r="H1609">
        <v>28</v>
      </c>
      <c r="I1609" s="4">
        <v>277004</v>
      </c>
      <c r="J1609" s="4">
        <v>116620</v>
      </c>
    </row>
    <row r="1610" spans="2:10" x14ac:dyDescent="0.3">
      <c r="B1610" s="7">
        <v>44896</v>
      </c>
      <c r="C1610" s="3">
        <f t="shared" si="50"/>
        <v>2022</v>
      </c>
      <c r="D1610" s="3">
        <f t="shared" si="51"/>
        <v>202212</v>
      </c>
      <c r="E1610" s="5" t="s">
        <v>3</v>
      </c>
      <c r="F1610" s="5" t="s">
        <v>11</v>
      </c>
      <c r="G1610" s="5" t="s">
        <v>38</v>
      </c>
      <c r="H1610">
        <v>34</v>
      </c>
      <c r="I1610" s="4">
        <v>311202</v>
      </c>
      <c r="J1610" s="4">
        <v>141610</v>
      </c>
    </row>
    <row r="1611" spans="2:10" x14ac:dyDescent="0.3">
      <c r="B1611" s="7">
        <v>44197</v>
      </c>
      <c r="C1611" s="3">
        <f t="shared" si="50"/>
        <v>2021</v>
      </c>
      <c r="D1611" s="3">
        <f t="shared" si="51"/>
        <v>202101</v>
      </c>
      <c r="E1611" s="5" t="s">
        <v>3</v>
      </c>
      <c r="F1611" s="5" t="s">
        <v>11</v>
      </c>
      <c r="G1611" s="5" t="s">
        <v>39</v>
      </c>
      <c r="H1611">
        <v>41</v>
      </c>
      <c r="I1611" s="4">
        <v>301965</v>
      </c>
      <c r="J1611" s="4">
        <v>125460</v>
      </c>
    </row>
    <row r="1612" spans="2:10" x14ac:dyDescent="0.3">
      <c r="B1612" s="7">
        <v>44228</v>
      </c>
      <c r="C1612" s="3">
        <f t="shared" si="50"/>
        <v>2021</v>
      </c>
      <c r="D1612" s="3">
        <f t="shared" si="51"/>
        <v>202102</v>
      </c>
      <c r="E1612" s="5" t="s">
        <v>3</v>
      </c>
      <c r="F1612" s="5" t="s">
        <v>11</v>
      </c>
      <c r="G1612" s="5" t="s">
        <v>39</v>
      </c>
      <c r="H1612">
        <v>26</v>
      </c>
      <c r="I1612" s="4">
        <v>199212</v>
      </c>
      <c r="J1612" s="4">
        <v>79560</v>
      </c>
    </row>
    <row r="1613" spans="2:10" x14ac:dyDescent="0.3">
      <c r="B1613" s="7">
        <v>44256</v>
      </c>
      <c r="C1613" s="3">
        <f t="shared" si="50"/>
        <v>2021</v>
      </c>
      <c r="D1613" s="3">
        <f t="shared" si="51"/>
        <v>202103</v>
      </c>
      <c r="E1613" s="5" t="s">
        <v>3</v>
      </c>
      <c r="F1613" s="5" t="s">
        <v>11</v>
      </c>
      <c r="G1613" s="5" t="s">
        <v>39</v>
      </c>
      <c r="H1613">
        <v>21</v>
      </c>
      <c r="I1613" s="4">
        <v>135954</v>
      </c>
      <c r="J1613" s="4">
        <v>64260</v>
      </c>
    </row>
    <row r="1614" spans="2:10" x14ac:dyDescent="0.3">
      <c r="B1614" s="7">
        <v>44287</v>
      </c>
      <c r="C1614" s="3">
        <f t="shared" si="50"/>
        <v>2021</v>
      </c>
      <c r="D1614" s="3">
        <f t="shared" si="51"/>
        <v>202104</v>
      </c>
      <c r="E1614" s="5" t="s">
        <v>3</v>
      </c>
      <c r="F1614" s="5" t="s">
        <v>11</v>
      </c>
      <c r="G1614" s="5" t="s">
        <v>39</v>
      </c>
      <c r="H1614">
        <v>38</v>
      </c>
      <c r="I1614" s="4">
        <v>307572</v>
      </c>
      <c r="J1614" s="4">
        <v>116280</v>
      </c>
    </row>
    <row r="1615" spans="2:10" x14ac:dyDescent="0.3">
      <c r="B1615" s="7">
        <v>44317</v>
      </c>
      <c r="C1615" s="3">
        <f t="shared" si="50"/>
        <v>2021</v>
      </c>
      <c r="D1615" s="3">
        <f t="shared" si="51"/>
        <v>202105</v>
      </c>
      <c r="E1615" s="5" t="s">
        <v>3</v>
      </c>
      <c r="F1615" s="5" t="s">
        <v>11</v>
      </c>
      <c r="G1615" s="5" t="s">
        <v>39</v>
      </c>
      <c r="H1615">
        <v>48</v>
      </c>
      <c r="I1615" s="4">
        <v>380736</v>
      </c>
      <c r="J1615" s="4">
        <v>146880</v>
      </c>
    </row>
    <row r="1616" spans="2:10" x14ac:dyDescent="0.3">
      <c r="B1616" s="7">
        <v>44348</v>
      </c>
      <c r="C1616" s="3">
        <f t="shared" si="50"/>
        <v>2021</v>
      </c>
      <c r="D1616" s="3">
        <f t="shared" si="51"/>
        <v>202106</v>
      </c>
      <c r="E1616" s="5" t="s">
        <v>3</v>
      </c>
      <c r="F1616" s="5" t="s">
        <v>11</v>
      </c>
      <c r="G1616" s="5" t="s">
        <v>39</v>
      </c>
      <c r="H1616">
        <v>46</v>
      </c>
      <c r="I1616" s="4">
        <v>316986</v>
      </c>
      <c r="J1616" s="4">
        <v>140760</v>
      </c>
    </row>
    <row r="1617" spans="2:10" x14ac:dyDescent="0.3">
      <c r="B1617" s="7">
        <v>44378</v>
      </c>
      <c r="C1617" s="3">
        <f t="shared" si="50"/>
        <v>2021</v>
      </c>
      <c r="D1617" s="3">
        <f t="shared" si="51"/>
        <v>202107</v>
      </c>
      <c r="E1617" s="5" t="s">
        <v>3</v>
      </c>
      <c r="F1617" s="5" t="s">
        <v>11</v>
      </c>
      <c r="G1617" s="5" t="s">
        <v>39</v>
      </c>
      <c r="H1617">
        <v>48</v>
      </c>
      <c r="I1617" s="4">
        <v>289680</v>
      </c>
      <c r="J1617" s="4">
        <v>146880</v>
      </c>
    </row>
    <row r="1618" spans="2:10" x14ac:dyDescent="0.3">
      <c r="B1618" s="7">
        <v>44409</v>
      </c>
      <c r="C1618" s="3">
        <f t="shared" si="50"/>
        <v>2021</v>
      </c>
      <c r="D1618" s="3">
        <f t="shared" si="51"/>
        <v>202108</v>
      </c>
      <c r="E1618" s="5" t="s">
        <v>3</v>
      </c>
      <c r="F1618" s="5" t="s">
        <v>11</v>
      </c>
      <c r="G1618" s="5" t="s">
        <v>39</v>
      </c>
      <c r="H1618">
        <v>41</v>
      </c>
      <c r="I1618" s="4">
        <v>253462</v>
      </c>
      <c r="J1618" s="4">
        <v>125460</v>
      </c>
    </row>
    <row r="1619" spans="2:10" x14ac:dyDescent="0.3">
      <c r="B1619" s="7">
        <v>44440</v>
      </c>
      <c r="C1619" s="3">
        <f t="shared" si="50"/>
        <v>2021</v>
      </c>
      <c r="D1619" s="3">
        <f t="shared" si="51"/>
        <v>202109</v>
      </c>
      <c r="E1619" s="5" t="s">
        <v>3</v>
      </c>
      <c r="F1619" s="5" t="s">
        <v>11</v>
      </c>
      <c r="G1619" s="5" t="s">
        <v>39</v>
      </c>
      <c r="H1619">
        <v>43</v>
      </c>
      <c r="I1619" s="4">
        <v>285219</v>
      </c>
      <c r="J1619" s="4">
        <v>131580</v>
      </c>
    </row>
    <row r="1620" spans="2:10" x14ac:dyDescent="0.3">
      <c r="B1620" s="7">
        <v>44470</v>
      </c>
      <c r="C1620" s="3">
        <f t="shared" si="50"/>
        <v>2021</v>
      </c>
      <c r="D1620" s="3">
        <f t="shared" si="51"/>
        <v>202110</v>
      </c>
      <c r="E1620" s="5" t="s">
        <v>3</v>
      </c>
      <c r="F1620" s="5" t="s">
        <v>11</v>
      </c>
      <c r="G1620" s="5" t="s">
        <v>39</v>
      </c>
      <c r="H1620">
        <v>36</v>
      </c>
      <c r="I1620" s="4">
        <v>256644</v>
      </c>
      <c r="J1620" s="4">
        <v>110160</v>
      </c>
    </row>
    <row r="1621" spans="2:10" x14ac:dyDescent="0.3">
      <c r="B1621" s="7">
        <v>44501</v>
      </c>
      <c r="C1621" s="3">
        <f t="shared" si="50"/>
        <v>2021</v>
      </c>
      <c r="D1621" s="3">
        <f t="shared" si="51"/>
        <v>202111</v>
      </c>
      <c r="E1621" s="5" t="s">
        <v>3</v>
      </c>
      <c r="F1621" s="5" t="s">
        <v>11</v>
      </c>
      <c r="G1621" s="5" t="s">
        <v>39</v>
      </c>
      <c r="H1621">
        <v>26</v>
      </c>
      <c r="I1621" s="4">
        <v>173524</v>
      </c>
      <c r="J1621" s="4">
        <v>79560</v>
      </c>
    </row>
    <row r="1622" spans="2:10" x14ac:dyDescent="0.3">
      <c r="B1622" s="7">
        <v>44531</v>
      </c>
      <c r="C1622" s="3">
        <f t="shared" si="50"/>
        <v>2021</v>
      </c>
      <c r="D1622" s="3">
        <f t="shared" si="51"/>
        <v>202112</v>
      </c>
      <c r="E1622" s="5" t="s">
        <v>3</v>
      </c>
      <c r="F1622" s="5" t="s">
        <v>11</v>
      </c>
      <c r="G1622" s="5" t="s">
        <v>39</v>
      </c>
      <c r="H1622">
        <v>31</v>
      </c>
      <c r="I1622" s="4">
        <v>220534</v>
      </c>
      <c r="J1622" s="4">
        <v>94860</v>
      </c>
    </row>
    <row r="1623" spans="2:10" x14ac:dyDescent="0.3">
      <c r="B1623" s="7">
        <v>44562</v>
      </c>
      <c r="C1623" s="3">
        <f t="shared" si="50"/>
        <v>2022</v>
      </c>
      <c r="D1623" s="3">
        <f t="shared" si="51"/>
        <v>202201</v>
      </c>
      <c r="E1623" s="5" t="s">
        <v>3</v>
      </c>
      <c r="F1623" s="5" t="s">
        <v>11</v>
      </c>
      <c r="G1623" s="5" t="s">
        <v>39</v>
      </c>
      <c r="H1623">
        <v>45</v>
      </c>
      <c r="I1623" s="4">
        <v>311445</v>
      </c>
      <c r="J1623" s="4">
        <v>137700</v>
      </c>
    </row>
    <row r="1624" spans="2:10" x14ac:dyDescent="0.3">
      <c r="B1624" s="7">
        <v>44593</v>
      </c>
      <c r="C1624" s="3">
        <f t="shared" si="50"/>
        <v>2022</v>
      </c>
      <c r="D1624" s="3">
        <f t="shared" si="51"/>
        <v>202202</v>
      </c>
      <c r="E1624" s="5" t="s">
        <v>3</v>
      </c>
      <c r="F1624" s="5" t="s">
        <v>11</v>
      </c>
      <c r="G1624" s="5" t="s">
        <v>39</v>
      </c>
      <c r="H1624">
        <v>28</v>
      </c>
      <c r="I1624" s="4">
        <v>194124</v>
      </c>
      <c r="J1624" s="4">
        <v>85680</v>
      </c>
    </row>
    <row r="1625" spans="2:10" x14ac:dyDescent="0.3">
      <c r="B1625" s="7">
        <v>44621</v>
      </c>
      <c r="C1625" s="3">
        <f t="shared" si="50"/>
        <v>2022</v>
      </c>
      <c r="D1625" s="3">
        <f t="shared" si="51"/>
        <v>202203</v>
      </c>
      <c r="E1625" s="5" t="s">
        <v>3</v>
      </c>
      <c r="F1625" s="5" t="s">
        <v>11</v>
      </c>
      <c r="G1625" s="5" t="s">
        <v>39</v>
      </c>
      <c r="H1625">
        <v>23</v>
      </c>
      <c r="I1625" s="4">
        <v>148327</v>
      </c>
      <c r="J1625" s="4">
        <v>70380</v>
      </c>
    </row>
    <row r="1626" spans="2:10" x14ac:dyDescent="0.3">
      <c r="B1626" s="7">
        <v>44652</v>
      </c>
      <c r="C1626" s="3">
        <f t="shared" si="50"/>
        <v>2022</v>
      </c>
      <c r="D1626" s="3">
        <f t="shared" si="51"/>
        <v>202204</v>
      </c>
      <c r="E1626" s="5" t="s">
        <v>3</v>
      </c>
      <c r="F1626" s="5" t="s">
        <v>11</v>
      </c>
      <c r="G1626" s="5" t="s">
        <v>39</v>
      </c>
      <c r="H1626">
        <v>42</v>
      </c>
      <c r="I1626" s="4">
        <v>308532</v>
      </c>
      <c r="J1626" s="4">
        <v>128520</v>
      </c>
    </row>
    <row r="1627" spans="2:10" x14ac:dyDescent="0.3">
      <c r="B1627" s="7">
        <v>44682</v>
      </c>
      <c r="C1627" s="3">
        <f t="shared" si="50"/>
        <v>2022</v>
      </c>
      <c r="D1627" s="3">
        <f t="shared" si="51"/>
        <v>202205</v>
      </c>
      <c r="E1627" s="5" t="s">
        <v>3</v>
      </c>
      <c r="F1627" s="5" t="s">
        <v>11</v>
      </c>
      <c r="G1627" s="5" t="s">
        <v>39</v>
      </c>
      <c r="H1627">
        <v>53</v>
      </c>
      <c r="I1627" s="4">
        <v>421085</v>
      </c>
      <c r="J1627" s="4">
        <v>162180</v>
      </c>
    </row>
    <row r="1628" spans="2:10" x14ac:dyDescent="0.3">
      <c r="B1628" s="7">
        <v>44713</v>
      </c>
      <c r="C1628" s="3">
        <f t="shared" si="50"/>
        <v>2022</v>
      </c>
      <c r="D1628" s="3">
        <f t="shared" si="51"/>
        <v>202206</v>
      </c>
      <c r="E1628" s="5" t="s">
        <v>3</v>
      </c>
      <c r="F1628" s="5" t="s">
        <v>11</v>
      </c>
      <c r="G1628" s="5" t="s">
        <v>39</v>
      </c>
      <c r="H1628">
        <v>50</v>
      </c>
      <c r="I1628" s="4">
        <v>356250</v>
      </c>
      <c r="J1628" s="4">
        <v>153000</v>
      </c>
    </row>
    <row r="1629" spans="2:10" x14ac:dyDescent="0.3">
      <c r="B1629" s="7">
        <v>44743</v>
      </c>
      <c r="C1629" s="3">
        <f t="shared" si="50"/>
        <v>2022</v>
      </c>
      <c r="D1629" s="3">
        <f t="shared" si="51"/>
        <v>202207</v>
      </c>
      <c r="E1629" s="5" t="s">
        <v>3</v>
      </c>
      <c r="F1629" s="5" t="s">
        <v>11</v>
      </c>
      <c r="G1629" s="5" t="s">
        <v>39</v>
      </c>
      <c r="H1629">
        <v>53</v>
      </c>
      <c r="I1629" s="4">
        <v>336126</v>
      </c>
      <c r="J1629" s="4">
        <v>162180</v>
      </c>
    </row>
    <row r="1630" spans="2:10" x14ac:dyDescent="0.3">
      <c r="B1630" s="7">
        <v>44774</v>
      </c>
      <c r="C1630" s="3">
        <f t="shared" si="50"/>
        <v>2022</v>
      </c>
      <c r="D1630" s="3">
        <f t="shared" si="51"/>
        <v>202208</v>
      </c>
      <c r="E1630" s="5" t="s">
        <v>3</v>
      </c>
      <c r="F1630" s="5" t="s">
        <v>11</v>
      </c>
      <c r="G1630" s="5" t="s">
        <v>39</v>
      </c>
      <c r="H1630">
        <v>45</v>
      </c>
      <c r="I1630" s="4">
        <v>325260</v>
      </c>
      <c r="J1630" s="4">
        <v>137700</v>
      </c>
    </row>
    <row r="1631" spans="2:10" x14ac:dyDescent="0.3">
      <c r="B1631" s="7">
        <v>44805</v>
      </c>
      <c r="C1631" s="3">
        <f t="shared" si="50"/>
        <v>2022</v>
      </c>
      <c r="D1631" s="3">
        <f t="shared" si="51"/>
        <v>202209</v>
      </c>
      <c r="E1631" s="5" t="s">
        <v>3</v>
      </c>
      <c r="F1631" s="5" t="s">
        <v>11</v>
      </c>
      <c r="G1631" s="5" t="s">
        <v>39</v>
      </c>
      <c r="H1631">
        <v>48</v>
      </c>
      <c r="I1631" s="4">
        <v>345984</v>
      </c>
      <c r="J1631" s="4">
        <v>146880</v>
      </c>
    </row>
    <row r="1632" spans="2:10" x14ac:dyDescent="0.3">
      <c r="B1632" s="7">
        <v>44835</v>
      </c>
      <c r="C1632" s="3">
        <f t="shared" si="50"/>
        <v>2022</v>
      </c>
      <c r="D1632" s="3">
        <f t="shared" si="51"/>
        <v>202210</v>
      </c>
      <c r="E1632" s="5" t="s">
        <v>3</v>
      </c>
      <c r="F1632" s="5" t="s">
        <v>11</v>
      </c>
      <c r="G1632" s="5" t="s">
        <v>39</v>
      </c>
      <c r="H1632">
        <v>39</v>
      </c>
      <c r="I1632" s="4">
        <v>279123</v>
      </c>
      <c r="J1632" s="4">
        <v>119340</v>
      </c>
    </row>
    <row r="1633" spans="2:10" x14ac:dyDescent="0.3">
      <c r="B1633" s="7">
        <v>44866</v>
      </c>
      <c r="C1633" s="3">
        <f t="shared" si="50"/>
        <v>2022</v>
      </c>
      <c r="D1633" s="3">
        <f t="shared" si="51"/>
        <v>202211</v>
      </c>
      <c r="E1633" s="5" t="s">
        <v>3</v>
      </c>
      <c r="F1633" s="5" t="s">
        <v>11</v>
      </c>
      <c r="G1633" s="5" t="s">
        <v>39</v>
      </c>
      <c r="H1633">
        <v>28</v>
      </c>
      <c r="I1633" s="4">
        <v>200536</v>
      </c>
      <c r="J1633" s="4">
        <v>85680</v>
      </c>
    </row>
    <row r="1634" spans="2:10" x14ac:dyDescent="0.3">
      <c r="B1634" s="7">
        <v>44896</v>
      </c>
      <c r="C1634" s="3">
        <f t="shared" si="50"/>
        <v>2022</v>
      </c>
      <c r="D1634" s="3">
        <f t="shared" si="51"/>
        <v>202212</v>
      </c>
      <c r="E1634" s="5" t="s">
        <v>3</v>
      </c>
      <c r="F1634" s="5" t="s">
        <v>11</v>
      </c>
      <c r="G1634" s="5" t="s">
        <v>39</v>
      </c>
      <c r="H1634">
        <v>34</v>
      </c>
      <c r="I1634" s="4">
        <v>240550</v>
      </c>
      <c r="J1634" s="4">
        <v>104040</v>
      </c>
    </row>
    <row r="1635" spans="2:10" x14ac:dyDescent="0.3">
      <c r="B1635" s="7">
        <v>44197</v>
      </c>
      <c r="C1635" s="3">
        <f t="shared" si="50"/>
        <v>2021</v>
      </c>
      <c r="D1635" s="3">
        <f t="shared" si="51"/>
        <v>202101</v>
      </c>
      <c r="E1635" s="5" t="s">
        <v>3</v>
      </c>
      <c r="F1635" s="5" t="s">
        <v>11</v>
      </c>
      <c r="G1635" s="5" t="s">
        <v>40</v>
      </c>
      <c r="H1635">
        <v>43</v>
      </c>
      <c r="I1635" s="4">
        <v>371993</v>
      </c>
      <c r="J1635" s="4">
        <v>148608</v>
      </c>
    </row>
    <row r="1636" spans="2:10" x14ac:dyDescent="0.3">
      <c r="B1636" s="7">
        <v>44228</v>
      </c>
      <c r="C1636" s="3">
        <f t="shared" si="50"/>
        <v>2021</v>
      </c>
      <c r="D1636" s="3">
        <f t="shared" si="51"/>
        <v>202102</v>
      </c>
      <c r="E1636" s="5" t="s">
        <v>3</v>
      </c>
      <c r="F1636" s="5" t="s">
        <v>11</v>
      </c>
      <c r="G1636" s="5" t="s">
        <v>40</v>
      </c>
      <c r="H1636">
        <v>27</v>
      </c>
      <c r="I1636" s="4">
        <v>230553</v>
      </c>
      <c r="J1636" s="4">
        <v>93312</v>
      </c>
    </row>
    <row r="1637" spans="2:10" x14ac:dyDescent="0.3">
      <c r="B1637" s="7">
        <v>44256</v>
      </c>
      <c r="C1637" s="3">
        <f t="shared" si="50"/>
        <v>2021</v>
      </c>
      <c r="D1637" s="3">
        <f t="shared" si="51"/>
        <v>202103</v>
      </c>
      <c r="E1637" s="5" t="s">
        <v>3</v>
      </c>
      <c r="F1637" s="5" t="s">
        <v>11</v>
      </c>
      <c r="G1637" s="5" t="s">
        <v>40</v>
      </c>
      <c r="H1637">
        <v>22</v>
      </c>
      <c r="I1637" s="4">
        <v>174460</v>
      </c>
      <c r="J1637" s="4">
        <v>76032</v>
      </c>
    </row>
    <row r="1638" spans="2:10" x14ac:dyDescent="0.3">
      <c r="B1638" s="7">
        <v>44287</v>
      </c>
      <c r="C1638" s="3">
        <f t="shared" si="50"/>
        <v>2021</v>
      </c>
      <c r="D1638" s="3">
        <f t="shared" si="51"/>
        <v>202104</v>
      </c>
      <c r="E1638" s="5" t="s">
        <v>3</v>
      </c>
      <c r="F1638" s="5" t="s">
        <v>11</v>
      </c>
      <c r="G1638" s="5" t="s">
        <v>40</v>
      </c>
      <c r="H1638">
        <v>40</v>
      </c>
      <c r="I1638" s="4">
        <v>344080</v>
      </c>
      <c r="J1638" s="4">
        <v>138240</v>
      </c>
    </row>
    <row r="1639" spans="2:10" x14ac:dyDescent="0.3">
      <c r="B1639" s="7">
        <v>44317</v>
      </c>
      <c r="C1639" s="3">
        <f t="shared" si="50"/>
        <v>2021</v>
      </c>
      <c r="D1639" s="3">
        <f t="shared" si="51"/>
        <v>202105</v>
      </c>
      <c r="E1639" s="5" t="s">
        <v>3</v>
      </c>
      <c r="F1639" s="5" t="s">
        <v>11</v>
      </c>
      <c r="G1639" s="5" t="s">
        <v>40</v>
      </c>
      <c r="H1639">
        <v>51</v>
      </c>
      <c r="I1639" s="4">
        <v>463029</v>
      </c>
      <c r="J1639" s="4">
        <v>176256</v>
      </c>
    </row>
    <row r="1640" spans="2:10" x14ac:dyDescent="0.3">
      <c r="B1640" s="7">
        <v>44348</v>
      </c>
      <c r="C1640" s="3">
        <f t="shared" si="50"/>
        <v>2021</v>
      </c>
      <c r="D1640" s="3">
        <f t="shared" si="51"/>
        <v>202106</v>
      </c>
      <c r="E1640" s="5" t="s">
        <v>3</v>
      </c>
      <c r="F1640" s="5" t="s">
        <v>11</v>
      </c>
      <c r="G1640" s="5" t="s">
        <v>40</v>
      </c>
      <c r="H1640">
        <v>48</v>
      </c>
      <c r="I1640" s="4">
        <v>434304</v>
      </c>
      <c r="J1640" s="4">
        <v>165888</v>
      </c>
    </row>
    <row r="1641" spans="2:10" x14ac:dyDescent="0.3">
      <c r="B1641" s="7">
        <v>44378</v>
      </c>
      <c r="C1641" s="3">
        <f t="shared" si="50"/>
        <v>2021</v>
      </c>
      <c r="D1641" s="3">
        <f t="shared" si="51"/>
        <v>202107</v>
      </c>
      <c r="E1641" s="5" t="s">
        <v>3</v>
      </c>
      <c r="F1641" s="5" t="s">
        <v>11</v>
      </c>
      <c r="G1641" s="5" t="s">
        <v>40</v>
      </c>
      <c r="H1641">
        <v>51</v>
      </c>
      <c r="I1641" s="4">
        <v>323187</v>
      </c>
      <c r="J1641" s="4">
        <v>176256</v>
      </c>
    </row>
    <row r="1642" spans="2:10" x14ac:dyDescent="0.3">
      <c r="B1642" s="7">
        <v>44409</v>
      </c>
      <c r="C1642" s="3">
        <f t="shared" si="50"/>
        <v>2021</v>
      </c>
      <c r="D1642" s="3">
        <f t="shared" si="51"/>
        <v>202108</v>
      </c>
      <c r="E1642" s="5" t="s">
        <v>3</v>
      </c>
      <c r="F1642" s="5" t="s">
        <v>11</v>
      </c>
      <c r="G1642" s="5" t="s">
        <v>40</v>
      </c>
      <c r="H1642">
        <v>43</v>
      </c>
      <c r="I1642" s="4">
        <v>342667</v>
      </c>
      <c r="J1642" s="4">
        <v>148608</v>
      </c>
    </row>
    <row r="1643" spans="2:10" x14ac:dyDescent="0.3">
      <c r="B1643" s="7">
        <v>44440</v>
      </c>
      <c r="C1643" s="3">
        <f t="shared" si="50"/>
        <v>2021</v>
      </c>
      <c r="D1643" s="3">
        <f t="shared" si="51"/>
        <v>202109</v>
      </c>
      <c r="E1643" s="5" t="s">
        <v>3</v>
      </c>
      <c r="F1643" s="5" t="s">
        <v>11</v>
      </c>
      <c r="G1643" s="5" t="s">
        <v>40</v>
      </c>
      <c r="H1643">
        <v>45</v>
      </c>
      <c r="I1643" s="4">
        <v>351315</v>
      </c>
      <c r="J1643" s="4">
        <v>155520</v>
      </c>
    </row>
    <row r="1644" spans="2:10" x14ac:dyDescent="0.3">
      <c r="B1644" s="7">
        <v>44470</v>
      </c>
      <c r="C1644" s="3">
        <f t="shared" si="50"/>
        <v>2021</v>
      </c>
      <c r="D1644" s="3">
        <f t="shared" si="51"/>
        <v>202110</v>
      </c>
      <c r="E1644" s="5" t="s">
        <v>3</v>
      </c>
      <c r="F1644" s="5" t="s">
        <v>11</v>
      </c>
      <c r="G1644" s="5" t="s">
        <v>40</v>
      </c>
      <c r="H1644">
        <v>37</v>
      </c>
      <c r="I1644" s="4">
        <v>322233</v>
      </c>
      <c r="J1644" s="4">
        <v>127872</v>
      </c>
    </row>
    <row r="1645" spans="2:10" x14ac:dyDescent="0.3">
      <c r="B1645" s="7">
        <v>44501</v>
      </c>
      <c r="C1645" s="3">
        <f t="shared" si="50"/>
        <v>2021</v>
      </c>
      <c r="D1645" s="3">
        <f t="shared" si="51"/>
        <v>202111</v>
      </c>
      <c r="E1645" s="5" t="s">
        <v>3</v>
      </c>
      <c r="F1645" s="5" t="s">
        <v>11</v>
      </c>
      <c r="G1645" s="5" t="s">
        <v>40</v>
      </c>
      <c r="H1645">
        <v>27</v>
      </c>
      <c r="I1645" s="4">
        <v>215865</v>
      </c>
      <c r="J1645" s="4">
        <v>93312</v>
      </c>
    </row>
    <row r="1646" spans="2:10" x14ac:dyDescent="0.3">
      <c r="B1646" s="7">
        <v>44531</v>
      </c>
      <c r="C1646" s="3">
        <f t="shared" si="50"/>
        <v>2021</v>
      </c>
      <c r="D1646" s="3">
        <f t="shared" si="51"/>
        <v>202112</v>
      </c>
      <c r="E1646" s="5" t="s">
        <v>3</v>
      </c>
      <c r="F1646" s="5" t="s">
        <v>11</v>
      </c>
      <c r="G1646" s="5" t="s">
        <v>40</v>
      </c>
      <c r="H1646">
        <v>32</v>
      </c>
      <c r="I1646" s="4">
        <v>267264</v>
      </c>
      <c r="J1646" s="4">
        <v>110592</v>
      </c>
    </row>
    <row r="1647" spans="2:10" x14ac:dyDescent="0.3">
      <c r="B1647" s="7">
        <v>44562</v>
      </c>
      <c r="C1647" s="3">
        <f t="shared" si="50"/>
        <v>2022</v>
      </c>
      <c r="D1647" s="3">
        <f t="shared" si="51"/>
        <v>202201</v>
      </c>
      <c r="E1647" s="5" t="s">
        <v>3</v>
      </c>
      <c r="F1647" s="5" t="s">
        <v>11</v>
      </c>
      <c r="G1647" s="5" t="s">
        <v>40</v>
      </c>
      <c r="H1647">
        <v>47</v>
      </c>
      <c r="I1647" s="4">
        <v>410921</v>
      </c>
      <c r="J1647" s="4">
        <v>162432</v>
      </c>
    </row>
    <row r="1648" spans="2:10" x14ac:dyDescent="0.3">
      <c r="B1648" s="7">
        <v>44593</v>
      </c>
      <c r="C1648" s="3">
        <f t="shared" si="50"/>
        <v>2022</v>
      </c>
      <c r="D1648" s="3">
        <f t="shared" si="51"/>
        <v>202202</v>
      </c>
      <c r="E1648" s="5" t="s">
        <v>3</v>
      </c>
      <c r="F1648" s="5" t="s">
        <v>11</v>
      </c>
      <c r="G1648" s="5" t="s">
        <v>40</v>
      </c>
      <c r="H1648">
        <v>29</v>
      </c>
      <c r="I1648" s="4">
        <v>252532</v>
      </c>
      <c r="J1648" s="4">
        <v>100224</v>
      </c>
    </row>
    <row r="1649" spans="2:10" x14ac:dyDescent="0.3">
      <c r="B1649" s="7">
        <v>44621</v>
      </c>
      <c r="C1649" s="3">
        <f t="shared" si="50"/>
        <v>2022</v>
      </c>
      <c r="D1649" s="3">
        <f t="shared" si="51"/>
        <v>202203</v>
      </c>
      <c r="E1649" s="5" t="s">
        <v>3</v>
      </c>
      <c r="F1649" s="5" t="s">
        <v>11</v>
      </c>
      <c r="G1649" s="5" t="s">
        <v>40</v>
      </c>
      <c r="H1649">
        <v>24</v>
      </c>
      <c r="I1649" s="4">
        <v>190608</v>
      </c>
      <c r="J1649" s="4">
        <v>82944</v>
      </c>
    </row>
    <row r="1650" spans="2:10" x14ac:dyDescent="0.3">
      <c r="B1650" s="7">
        <v>44652</v>
      </c>
      <c r="C1650" s="3">
        <f t="shared" si="50"/>
        <v>2022</v>
      </c>
      <c r="D1650" s="3">
        <f t="shared" si="51"/>
        <v>202204</v>
      </c>
      <c r="E1650" s="5" t="s">
        <v>3</v>
      </c>
      <c r="F1650" s="5" t="s">
        <v>11</v>
      </c>
      <c r="G1650" s="5" t="s">
        <v>40</v>
      </c>
      <c r="H1650">
        <v>44</v>
      </c>
      <c r="I1650" s="4">
        <v>397672</v>
      </c>
      <c r="J1650" s="4">
        <v>152064</v>
      </c>
    </row>
    <row r="1651" spans="2:10" x14ac:dyDescent="0.3">
      <c r="B1651" s="7">
        <v>44682</v>
      </c>
      <c r="C1651" s="3">
        <f t="shared" si="50"/>
        <v>2022</v>
      </c>
      <c r="D1651" s="3">
        <f t="shared" si="51"/>
        <v>202205</v>
      </c>
      <c r="E1651" s="5" t="s">
        <v>3</v>
      </c>
      <c r="F1651" s="5" t="s">
        <v>11</v>
      </c>
      <c r="G1651" s="5" t="s">
        <v>40</v>
      </c>
      <c r="H1651">
        <v>56</v>
      </c>
      <c r="I1651" s="4">
        <v>511168</v>
      </c>
      <c r="J1651" s="4">
        <v>193536</v>
      </c>
    </row>
    <row r="1652" spans="2:10" x14ac:dyDescent="0.3">
      <c r="B1652" s="7">
        <v>44713</v>
      </c>
      <c r="C1652" s="3">
        <f t="shared" si="50"/>
        <v>2022</v>
      </c>
      <c r="D1652" s="3">
        <f t="shared" si="51"/>
        <v>202206</v>
      </c>
      <c r="E1652" s="5" t="s">
        <v>3</v>
      </c>
      <c r="F1652" s="5" t="s">
        <v>11</v>
      </c>
      <c r="G1652" s="5" t="s">
        <v>40</v>
      </c>
      <c r="H1652">
        <v>53</v>
      </c>
      <c r="I1652" s="4">
        <v>428982</v>
      </c>
      <c r="J1652" s="4">
        <v>183168</v>
      </c>
    </row>
    <row r="1653" spans="2:10" x14ac:dyDescent="0.3">
      <c r="B1653" s="7">
        <v>44743</v>
      </c>
      <c r="C1653" s="3">
        <f t="shared" si="50"/>
        <v>2022</v>
      </c>
      <c r="D1653" s="3">
        <f t="shared" si="51"/>
        <v>202207</v>
      </c>
      <c r="E1653" s="5" t="s">
        <v>3</v>
      </c>
      <c r="F1653" s="5" t="s">
        <v>11</v>
      </c>
      <c r="G1653" s="5" t="s">
        <v>40</v>
      </c>
      <c r="H1653">
        <v>56</v>
      </c>
      <c r="I1653" s="4">
        <v>390320</v>
      </c>
      <c r="J1653" s="4">
        <v>193536</v>
      </c>
    </row>
    <row r="1654" spans="2:10" x14ac:dyDescent="0.3">
      <c r="B1654" s="7">
        <v>44774</v>
      </c>
      <c r="C1654" s="3">
        <f t="shared" si="50"/>
        <v>2022</v>
      </c>
      <c r="D1654" s="3">
        <f t="shared" si="51"/>
        <v>202208</v>
      </c>
      <c r="E1654" s="5" t="s">
        <v>3</v>
      </c>
      <c r="F1654" s="5" t="s">
        <v>11</v>
      </c>
      <c r="G1654" s="5" t="s">
        <v>40</v>
      </c>
      <c r="H1654">
        <v>47</v>
      </c>
      <c r="I1654" s="4">
        <v>374543</v>
      </c>
      <c r="J1654" s="4">
        <v>162432</v>
      </c>
    </row>
    <row r="1655" spans="2:10" x14ac:dyDescent="0.3">
      <c r="B1655" s="7">
        <v>44805</v>
      </c>
      <c r="C1655" s="3">
        <f t="shared" si="50"/>
        <v>2022</v>
      </c>
      <c r="D1655" s="3">
        <f t="shared" si="51"/>
        <v>202209</v>
      </c>
      <c r="E1655" s="5" t="s">
        <v>3</v>
      </c>
      <c r="F1655" s="5" t="s">
        <v>11</v>
      </c>
      <c r="G1655" s="5" t="s">
        <v>40</v>
      </c>
      <c r="H1655">
        <v>50</v>
      </c>
      <c r="I1655" s="4">
        <v>388100</v>
      </c>
      <c r="J1655" s="4">
        <v>172800</v>
      </c>
    </row>
    <row r="1656" spans="2:10" x14ac:dyDescent="0.3">
      <c r="B1656" s="7">
        <v>44835</v>
      </c>
      <c r="C1656" s="3">
        <f t="shared" si="50"/>
        <v>2022</v>
      </c>
      <c r="D1656" s="3">
        <f t="shared" si="51"/>
        <v>202210</v>
      </c>
      <c r="E1656" s="5" t="s">
        <v>3</v>
      </c>
      <c r="F1656" s="5" t="s">
        <v>11</v>
      </c>
      <c r="G1656" s="5" t="s">
        <v>40</v>
      </c>
      <c r="H1656">
        <v>41</v>
      </c>
      <c r="I1656" s="4">
        <v>351042</v>
      </c>
      <c r="J1656" s="4">
        <v>141696</v>
      </c>
    </row>
    <row r="1657" spans="2:10" x14ac:dyDescent="0.3">
      <c r="B1657" s="7">
        <v>44866</v>
      </c>
      <c r="C1657" s="3">
        <f t="shared" si="50"/>
        <v>2022</v>
      </c>
      <c r="D1657" s="3">
        <f t="shared" si="51"/>
        <v>202211</v>
      </c>
      <c r="E1657" s="5" t="s">
        <v>3</v>
      </c>
      <c r="F1657" s="5" t="s">
        <v>11</v>
      </c>
      <c r="G1657" s="5" t="s">
        <v>40</v>
      </c>
      <c r="H1657">
        <v>29</v>
      </c>
      <c r="I1657" s="4">
        <v>235045</v>
      </c>
      <c r="J1657" s="4">
        <v>100224</v>
      </c>
    </row>
    <row r="1658" spans="2:10" x14ac:dyDescent="0.3">
      <c r="B1658" s="7">
        <v>44896</v>
      </c>
      <c r="C1658" s="3">
        <f t="shared" si="50"/>
        <v>2022</v>
      </c>
      <c r="D1658" s="3">
        <f t="shared" si="51"/>
        <v>202212</v>
      </c>
      <c r="E1658" s="5" t="s">
        <v>3</v>
      </c>
      <c r="F1658" s="5" t="s">
        <v>11</v>
      </c>
      <c r="G1658" s="5" t="s">
        <v>40</v>
      </c>
      <c r="H1658">
        <v>35</v>
      </c>
      <c r="I1658" s="4">
        <v>286510</v>
      </c>
      <c r="J1658" s="4">
        <v>120960</v>
      </c>
    </row>
    <row r="1659" spans="2:10" x14ac:dyDescent="0.3">
      <c r="B1659" s="7">
        <v>44197</v>
      </c>
      <c r="C1659" s="3">
        <f t="shared" si="50"/>
        <v>2021</v>
      </c>
      <c r="D1659" s="3">
        <f t="shared" si="51"/>
        <v>202101</v>
      </c>
      <c r="E1659" s="5" t="s">
        <v>3</v>
      </c>
      <c r="F1659" s="5" t="s">
        <v>11</v>
      </c>
      <c r="G1659" s="5" t="s">
        <v>41</v>
      </c>
      <c r="H1659">
        <v>44</v>
      </c>
      <c r="I1659" s="4">
        <v>477444</v>
      </c>
      <c r="J1659" s="4">
        <v>228228</v>
      </c>
    </row>
    <row r="1660" spans="2:10" x14ac:dyDescent="0.3">
      <c r="B1660" s="7">
        <v>44228</v>
      </c>
      <c r="C1660" s="3">
        <f t="shared" si="50"/>
        <v>2021</v>
      </c>
      <c r="D1660" s="3">
        <f t="shared" si="51"/>
        <v>202102</v>
      </c>
      <c r="E1660" s="5" t="s">
        <v>3</v>
      </c>
      <c r="F1660" s="5" t="s">
        <v>11</v>
      </c>
      <c r="G1660" s="5" t="s">
        <v>41</v>
      </c>
      <c r="H1660">
        <v>28</v>
      </c>
      <c r="I1660" s="4">
        <v>295344</v>
      </c>
      <c r="J1660" s="4">
        <v>145236</v>
      </c>
    </row>
    <row r="1661" spans="2:10" x14ac:dyDescent="0.3">
      <c r="B1661" s="7">
        <v>44256</v>
      </c>
      <c r="C1661" s="3">
        <f t="shared" si="50"/>
        <v>2021</v>
      </c>
      <c r="D1661" s="3">
        <f t="shared" si="51"/>
        <v>202103</v>
      </c>
      <c r="E1661" s="5" t="s">
        <v>3</v>
      </c>
      <c r="F1661" s="5" t="s">
        <v>11</v>
      </c>
      <c r="G1661" s="5" t="s">
        <v>41</v>
      </c>
      <c r="H1661">
        <v>22</v>
      </c>
      <c r="I1661" s="4">
        <v>222310</v>
      </c>
      <c r="J1661" s="4">
        <v>114114</v>
      </c>
    </row>
    <row r="1662" spans="2:10" x14ac:dyDescent="0.3">
      <c r="B1662" s="7">
        <v>44287</v>
      </c>
      <c r="C1662" s="3">
        <f t="shared" si="50"/>
        <v>2021</v>
      </c>
      <c r="D1662" s="3">
        <f t="shared" si="51"/>
        <v>202104</v>
      </c>
      <c r="E1662" s="5" t="s">
        <v>3</v>
      </c>
      <c r="F1662" s="5" t="s">
        <v>11</v>
      </c>
      <c r="G1662" s="5" t="s">
        <v>41</v>
      </c>
      <c r="H1662">
        <v>41</v>
      </c>
      <c r="I1662" s="4">
        <v>446982</v>
      </c>
      <c r="J1662" s="4">
        <v>212667</v>
      </c>
    </row>
    <row r="1663" spans="2:10" x14ac:dyDescent="0.3">
      <c r="B1663" s="7">
        <v>44317</v>
      </c>
      <c r="C1663" s="3">
        <f t="shared" si="50"/>
        <v>2021</v>
      </c>
      <c r="D1663" s="3">
        <f t="shared" si="51"/>
        <v>202105</v>
      </c>
      <c r="E1663" s="5" t="s">
        <v>3</v>
      </c>
      <c r="F1663" s="5" t="s">
        <v>11</v>
      </c>
      <c r="G1663" s="5" t="s">
        <v>41</v>
      </c>
      <c r="H1663">
        <v>52</v>
      </c>
      <c r="I1663" s="4">
        <v>562276</v>
      </c>
      <c r="J1663" s="4">
        <v>269724</v>
      </c>
    </row>
    <row r="1664" spans="2:10" x14ac:dyDescent="0.3">
      <c r="B1664" s="7">
        <v>44348</v>
      </c>
      <c r="C1664" s="3">
        <f t="shared" si="50"/>
        <v>2021</v>
      </c>
      <c r="D1664" s="3">
        <f t="shared" si="51"/>
        <v>202106</v>
      </c>
      <c r="E1664" s="5" t="s">
        <v>3</v>
      </c>
      <c r="F1664" s="5" t="s">
        <v>11</v>
      </c>
      <c r="G1664" s="5" t="s">
        <v>41</v>
      </c>
      <c r="H1664">
        <v>49</v>
      </c>
      <c r="I1664" s="4">
        <v>525525</v>
      </c>
      <c r="J1664" s="4">
        <v>254163</v>
      </c>
    </row>
    <row r="1665" spans="2:10" x14ac:dyDescent="0.3">
      <c r="B1665" s="7">
        <v>44378</v>
      </c>
      <c r="C1665" s="3">
        <f t="shared" si="50"/>
        <v>2021</v>
      </c>
      <c r="D1665" s="3">
        <f t="shared" si="51"/>
        <v>202107</v>
      </c>
      <c r="E1665" s="5" t="s">
        <v>3</v>
      </c>
      <c r="F1665" s="5" t="s">
        <v>11</v>
      </c>
      <c r="G1665" s="5" t="s">
        <v>41</v>
      </c>
      <c r="H1665">
        <v>52</v>
      </c>
      <c r="I1665" s="4">
        <v>451880</v>
      </c>
      <c r="J1665" s="4">
        <v>269724</v>
      </c>
    </row>
    <row r="1666" spans="2:10" x14ac:dyDescent="0.3">
      <c r="B1666" s="7">
        <v>44409</v>
      </c>
      <c r="C1666" s="3">
        <f t="shared" si="50"/>
        <v>2021</v>
      </c>
      <c r="D1666" s="3">
        <f t="shared" si="51"/>
        <v>202108</v>
      </c>
      <c r="E1666" s="5" t="s">
        <v>3</v>
      </c>
      <c r="F1666" s="5" t="s">
        <v>11</v>
      </c>
      <c r="G1666" s="5" t="s">
        <v>41</v>
      </c>
      <c r="H1666">
        <v>44</v>
      </c>
      <c r="I1666" s="4">
        <v>422752</v>
      </c>
      <c r="J1666" s="4">
        <v>228228</v>
      </c>
    </row>
    <row r="1667" spans="2:10" x14ac:dyDescent="0.3">
      <c r="B1667" s="7">
        <v>44440</v>
      </c>
      <c r="C1667" s="3">
        <f t="shared" ref="C1667:C1730" si="52">YEAR(B1667)</f>
        <v>2021</v>
      </c>
      <c r="D1667" s="3">
        <f t="shared" ref="D1667:D1730" si="53">VALUE(TEXT(B1667,"ГГГГММ"))</f>
        <v>202109</v>
      </c>
      <c r="E1667" s="5" t="s">
        <v>3</v>
      </c>
      <c r="F1667" s="5" t="s">
        <v>11</v>
      </c>
      <c r="G1667" s="5" t="s">
        <v>41</v>
      </c>
      <c r="H1667">
        <v>47</v>
      </c>
      <c r="I1667" s="4">
        <v>478413</v>
      </c>
      <c r="J1667" s="4">
        <v>243789</v>
      </c>
    </row>
    <row r="1668" spans="2:10" x14ac:dyDescent="0.3">
      <c r="B1668" s="7">
        <v>44470</v>
      </c>
      <c r="C1668" s="3">
        <f t="shared" si="52"/>
        <v>2021</v>
      </c>
      <c r="D1668" s="3">
        <f t="shared" si="53"/>
        <v>202110</v>
      </c>
      <c r="E1668" s="5" t="s">
        <v>3</v>
      </c>
      <c r="F1668" s="5" t="s">
        <v>11</v>
      </c>
      <c r="G1668" s="5" t="s">
        <v>41</v>
      </c>
      <c r="H1668">
        <v>39</v>
      </c>
      <c r="I1668" s="4">
        <v>418821</v>
      </c>
      <c r="J1668" s="4">
        <v>202293</v>
      </c>
    </row>
    <row r="1669" spans="2:10" x14ac:dyDescent="0.3">
      <c r="B1669" s="7">
        <v>44501</v>
      </c>
      <c r="C1669" s="3">
        <f t="shared" si="52"/>
        <v>2021</v>
      </c>
      <c r="D1669" s="3">
        <f t="shared" si="53"/>
        <v>202111</v>
      </c>
      <c r="E1669" s="5" t="s">
        <v>3</v>
      </c>
      <c r="F1669" s="5" t="s">
        <v>11</v>
      </c>
      <c r="G1669" s="5" t="s">
        <v>41</v>
      </c>
      <c r="H1669">
        <v>28</v>
      </c>
      <c r="I1669" s="4">
        <v>297388</v>
      </c>
      <c r="J1669" s="4">
        <v>145236</v>
      </c>
    </row>
    <row r="1670" spans="2:10" x14ac:dyDescent="0.3">
      <c r="B1670" s="7">
        <v>44531</v>
      </c>
      <c r="C1670" s="3">
        <f t="shared" si="52"/>
        <v>2021</v>
      </c>
      <c r="D1670" s="3">
        <f t="shared" si="53"/>
        <v>202112</v>
      </c>
      <c r="E1670" s="5" t="s">
        <v>3</v>
      </c>
      <c r="F1670" s="5" t="s">
        <v>11</v>
      </c>
      <c r="G1670" s="5" t="s">
        <v>41</v>
      </c>
      <c r="H1670">
        <v>33</v>
      </c>
      <c r="I1670" s="4">
        <v>339669</v>
      </c>
      <c r="J1670" s="4">
        <v>171171</v>
      </c>
    </row>
    <row r="1671" spans="2:10" x14ac:dyDescent="0.3">
      <c r="B1671" s="7">
        <v>44562</v>
      </c>
      <c r="C1671" s="3">
        <f t="shared" si="52"/>
        <v>2022</v>
      </c>
      <c r="D1671" s="3">
        <f t="shared" si="53"/>
        <v>202201</v>
      </c>
      <c r="E1671" s="5" t="s">
        <v>3</v>
      </c>
      <c r="F1671" s="5" t="s">
        <v>11</v>
      </c>
      <c r="G1671" s="5" t="s">
        <v>41</v>
      </c>
      <c r="H1671">
        <v>48</v>
      </c>
      <c r="I1671" s="4">
        <v>492672</v>
      </c>
      <c r="J1671" s="4">
        <v>248976</v>
      </c>
    </row>
    <row r="1672" spans="2:10" x14ac:dyDescent="0.3">
      <c r="B1672" s="7">
        <v>44593</v>
      </c>
      <c r="C1672" s="3">
        <f t="shared" si="52"/>
        <v>2022</v>
      </c>
      <c r="D1672" s="3">
        <f t="shared" si="53"/>
        <v>202202</v>
      </c>
      <c r="E1672" s="5" t="s">
        <v>3</v>
      </c>
      <c r="F1672" s="5" t="s">
        <v>11</v>
      </c>
      <c r="G1672" s="5" t="s">
        <v>41</v>
      </c>
      <c r="H1672">
        <v>30</v>
      </c>
      <c r="I1672" s="4">
        <v>312630</v>
      </c>
      <c r="J1672" s="4">
        <v>155610</v>
      </c>
    </row>
    <row r="1673" spans="2:10" x14ac:dyDescent="0.3">
      <c r="B1673" s="7">
        <v>44621</v>
      </c>
      <c r="C1673" s="3">
        <f t="shared" si="52"/>
        <v>2022</v>
      </c>
      <c r="D1673" s="3">
        <f t="shared" si="53"/>
        <v>202203</v>
      </c>
      <c r="E1673" s="5" t="s">
        <v>3</v>
      </c>
      <c r="F1673" s="5" t="s">
        <v>11</v>
      </c>
      <c r="G1673" s="5" t="s">
        <v>41</v>
      </c>
      <c r="H1673">
        <v>24</v>
      </c>
      <c r="I1673" s="4">
        <v>245760</v>
      </c>
      <c r="J1673" s="4">
        <v>124488</v>
      </c>
    </row>
    <row r="1674" spans="2:10" x14ac:dyDescent="0.3">
      <c r="B1674" s="7">
        <v>44652</v>
      </c>
      <c r="C1674" s="3">
        <f t="shared" si="52"/>
        <v>2022</v>
      </c>
      <c r="D1674" s="3">
        <f t="shared" si="53"/>
        <v>202204</v>
      </c>
      <c r="E1674" s="5" t="s">
        <v>3</v>
      </c>
      <c r="F1674" s="5" t="s">
        <v>11</v>
      </c>
      <c r="G1674" s="5" t="s">
        <v>41</v>
      </c>
      <c r="H1674">
        <v>45</v>
      </c>
      <c r="I1674" s="4">
        <v>456840</v>
      </c>
      <c r="J1674" s="4">
        <v>233415</v>
      </c>
    </row>
    <row r="1675" spans="2:10" x14ac:dyDescent="0.3">
      <c r="B1675" s="7">
        <v>44682</v>
      </c>
      <c r="C1675" s="3">
        <f t="shared" si="52"/>
        <v>2022</v>
      </c>
      <c r="D1675" s="3">
        <f t="shared" si="53"/>
        <v>202205</v>
      </c>
      <c r="E1675" s="5" t="s">
        <v>3</v>
      </c>
      <c r="F1675" s="5" t="s">
        <v>11</v>
      </c>
      <c r="G1675" s="5" t="s">
        <v>41</v>
      </c>
      <c r="H1675">
        <v>57</v>
      </c>
      <c r="I1675" s="4">
        <v>635607</v>
      </c>
      <c r="J1675" s="4">
        <v>295659</v>
      </c>
    </row>
    <row r="1676" spans="2:10" x14ac:dyDescent="0.3">
      <c r="B1676" s="7">
        <v>44713</v>
      </c>
      <c r="C1676" s="3">
        <f t="shared" si="52"/>
        <v>2022</v>
      </c>
      <c r="D1676" s="3">
        <f t="shared" si="53"/>
        <v>202206</v>
      </c>
      <c r="E1676" s="5" t="s">
        <v>3</v>
      </c>
      <c r="F1676" s="5" t="s">
        <v>11</v>
      </c>
      <c r="G1676" s="5" t="s">
        <v>41</v>
      </c>
      <c r="H1676">
        <v>54</v>
      </c>
      <c r="I1676" s="4">
        <v>560790</v>
      </c>
      <c r="J1676" s="4">
        <v>280098</v>
      </c>
    </row>
    <row r="1677" spans="2:10" x14ac:dyDescent="0.3">
      <c r="B1677" s="7">
        <v>44743</v>
      </c>
      <c r="C1677" s="3">
        <f t="shared" si="52"/>
        <v>2022</v>
      </c>
      <c r="D1677" s="3">
        <f t="shared" si="53"/>
        <v>202207</v>
      </c>
      <c r="E1677" s="5" t="s">
        <v>3</v>
      </c>
      <c r="F1677" s="5" t="s">
        <v>11</v>
      </c>
      <c r="G1677" s="5" t="s">
        <v>41</v>
      </c>
      <c r="H1677">
        <v>57</v>
      </c>
      <c r="I1677" s="4">
        <v>492708</v>
      </c>
      <c r="J1677" s="4">
        <v>295659</v>
      </c>
    </row>
    <row r="1678" spans="2:10" x14ac:dyDescent="0.3">
      <c r="B1678" s="7">
        <v>44774</v>
      </c>
      <c r="C1678" s="3">
        <f t="shared" si="52"/>
        <v>2022</v>
      </c>
      <c r="D1678" s="3">
        <f t="shared" si="53"/>
        <v>202208</v>
      </c>
      <c r="E1678" s="5" t="s">
        <v>3</v>
      </c>
      <c r="F1678" s="5" t="s">
        <v>11</v>
      </c>
      <c r="G1678" s="5" t="s">
        <v>41</v>
      </c>
      <c r="H1678">
        <v>48</v>
      </c>
      <c r="I1678" s="4">
        <v>464256</v>
      </c>
      <c r="J1678" s="4">
        <v>248976</v>
      </c>
    </row>
    <row r="1679" spans="2:10" x14ac:dyDescent="0.3">
      <c r="B1679" s="7">
        <v>44805</v>
      </c>
      <c r="C1679" s="3">
        <f t="shared" si="52"/>
        <v>2022</v>
      </c>
      <c r="D1679" s="3">
        <f t="shared" si="53"/>
        <v>202209</v>
      </c>
      <c r="E1679" s="5" t="s">
        <v>3</v>
      </c>
      <c r="F1679" s="5" t="s">
        <v>11</v>
      </c>
      <c r="G1679" s="5" t="s">
        <v>41</v>
      </c>
      <c r="H1679">
        <v>51</v>
      </c>
      <c r="I1679" s="4">
        <v>510816</v>
      </c>
      <c r="J1679" s="4">
        <v>264537</v>
      </c>
    </row>
    <row r="1680" spans="2:10" x14ac:dyDescent="0.3">
      <c r="B1680" s="7">
        <v>44835</v>
      </c>
      <c r="C1680" s="3">
        <f t="shared" si="52"/>
        <v>2022</v>
      </c>
      <c r="D1680" s="3">
        <f t="shared" si="53"/>
        <v>202210</v>
      </c>
      <c r="E1680" s="5" t="s">
        <v>3</v>
      </c>
      <c r="F1680" s="5" t="s">
        <v>11</v>
      </c>
      <c r="G1680" s="5" t="s">
        <v>41</v>
      </c>
      <c r="H1680">
        <v>42</v>
      </c>
      <c r="I1680" s="4">
        <v>427980</v>
      </c>
      <c r="J1680" s="4">
        <v>217854</v>
      </c>
    </row>
    <row r="1681" spans="2:10" x14ac:dyDescent="0.3">
      <c r="B1681" s="7">
        <v>44866</v>
      </c>
      <c r="C1681" s="3">
        <f t="shared" si="52"/>
        <v>2022</v>
      </c>
      <c r="D1681" s="3">
        <f t="shared" si="53"/>
        <v>202211</v>
      </c>
      <c r="E1681" s="5" t="s">
        <v>3</v>
      </c>
      <c r="F1681" s="5" t="s">
        <v>11</v>
      </c>
      <c r="G1681" s="5" t="s">
        <v>41</v>
      </c>
      <c r="H1681">
        <v>30</v>
      </c>
      <c r="I1681" s="4">
        <v>323670</v>
      </c>
      <c r="J1681" s="4">
        <v>155610</v>
      </c>
    </row>
    <row r="1682" spans="2:10" x14ac:dyDescent="0.3">
      <c r="B1682" s="7">
        <v>44896</v>
      </c>
      <c r="C1682" s="3">
        <f t="shared" si="52"/>
        <v>2022</v>
      </c>
      <c r="D1682" s="3">
        <f t="shared" si="53"/>
        <v>202212</v>
      </c>
      <c r="E1682" s="5" t="s">
        <v>3</v>
      </c>
      <c r="F1682" s="5" t="s">
        <v>11</v>
      </c>
      <c r="G1682" s="5" t="s">
        <v>41</v>
      </c>
      <c r="H1682">
        <v>36</v>
      </c>
      <c r="I1682" s="4">
        <v>340092</v>
      </c>
      <c r="J1682" s="4">
        <v>186732</v>
      </c>
    </row>
    <row r="1683" spans="2:10" x14ac:dyDescent="0.3">
      <c r="B1683" s="7">
        <v>44197</v>
      </c>
      <c r="C1683" s="3">
        <f t="shared" si="52"/>
        <v>2021</v>
      </c>
      <c r="D1683" s="3">
        <f t="shared" si="53"/>
        <v>202101</v>
      </c>
      <c r="E1683" s="5" t="s">
        <v>3</v>
      </c>
      <c r="F1683" s="5" t="s">
        <v>12</v>
      </c>
      <c r="G1683" s="5" t="s">
        <v>42</v>
      </c>
      <c r="H1683">
        <v>47</v>
      </c>
      <c r="I1683" s="4">
        <v>623267</v>
      </c>
      <c r="J1683" s="4">
        <v>282000</v>
      </c>
    </row>
    <row r="1684" spans="2:10" x14ac:dyDescent="0.3">
      <c r="B1684" s="7">
        <v>44228</v>
      </c>
      <c r="C1684" s="3">
        <f t="shared" si="52"/>
        <v>2021</v>
      </c>
      <c r="D1684" s="3">
        <f t="shared" si="53"/>
        <v>202102</v>
      </c>
      <c r="E1684" s="5" t="s">
        <v>3</v>
      </c>
      <c r="F1684" s="5" t="s">
        <v>12</v>
      </c>
      <c r="G1684" s="5" t="s">
        <v>42</v>
      </c>
      <c r="H1684">
        <v>30</v>
      </c>
      <c r="I1684" s="4">
        <v>406470</v>
      </c>
      <c r="J1684" s="4">
        <v>180000</v>
      </c>
    </row>
    <row r="1685" spans="2:10" x14ac:dyDescent="0.3">
      <c r="B1685" s="7">
        <v>44256</v>
      </c>
      <c r="C1685" s="3">
        <f t="shared" si="52"/>
        <v>2021</v>
      </c>
      <c r="D1685" s="3">
        <f t="shared" si="53"/>
        <v>202103</v>
      </c>
      <c r="E1685" s="5" t="s">
        <v>3</v>
      </c>
      <c r="F1685" s="5" t="s">
        <v>12</v>
      </c>
      <c r="G1685" s="5" t="s">
        <v>42</v>
      </c>
      <c r="H1685">
        <v>24</v>
      </c>
      <c r="I1685" s="4">
        <v>313440</v>
      </c>
      <c r="J1685" s="4">
        <v>144000</v>
      </c>
    </row>
    <row r="1686" spans="2:10" x14ac:dyDescent="0.3">
      <c r="B1686" s="7">
        <v>44287</v>
      </c>
      <c r="C1686" s="3">
        <f t="shared" si="52"/>
        <v>2021</v>
      </c>
      <c r="D1686" s="3">
        <f t="shared" si="53"/>
        <v>202104</v>
      </c>
      <c r="E1686" s="5" t="s">
        <v>3</v>
      </c>
      <c r="F1686" s="5" t="s">
        <v>12</v>
      </c>
      <c r="G1686" s="5" t="s">
        <v>42</v>
      </c>
      <c r="H1686">
        <v>44</v>
      </c>
      <c r="I1686" s="4">
        <v>585904</v>
      </c>
      <c r="J1686" s="4">
        <v>264000</v>
      </c>
    </row>
    <row r="1687" spans="2:10" x14ac:dyDescent="0.3">
      <c r="B1687" s="7">
        <v>44317</v>
      </c>
      <c r="C1687" s="3">
        <f t="shared" si="52"/>
        <v>2021</v>
      </c>
      <c r="D1687" s="3">
        <f t="shared" si="53"/>
        <v>202105</v>
      </c>
      <c r="E1687" s="5" t="s">
        <v>3</v>
      </c>
      <c r="F1687" s="5" t="s">
        <v>12</v>
      </c>
      <c r="G1687" s="5" t="s">
        <v>42</v>
      </c>
      <c r="H1687">
        <v>56</v>
      </c>
      <c r="I1687" s="4">
        <v>768152</v>
      </c>
      <c r="J1687" s="4">
        <v>336000</v>
      </c>
    </row>
    <row r="1688" spans="2:10" x14ac:dyDescent="0.3">
      <c r="B1688" s="7">
        <v>44348</v>
      </c>
      <c r="C1688" s="3">
        <f t="shared" si="52"/>
        <v>2021</v>
      </c>
      <c r="D1688" s="3">
        <f t="shared" si="53"/>
        <v>202106</v>
      </c>
      <c r="E1688" s="5" t="s">
        <v>3</v>
      </c>
      <c r="F1688" s="5" t="s">
        <v>12</v>
      </c>
      <c r="G1688" s="5" t="s">
        <v>42</v>
      </c>
      <c r="H1688">
        <v>53</v>
      </c>
      <c r="I1688" s="4">
        <v>716242</v>
      </c>
      <c r="J1688" s="4">
        <v>318000</v>
      </c>
    </row>
    <row r="1689" spans="2:10" x14ac:dyDescent="0.3">
      <c r="B1689" s="7">
        <v>44378</v>
      </c>
      <c r="C1689" s="3">
        <f t="shared" si="52"/>
        <v>2021</v>
      </c>
      <c r="D1689" s="3">
        <f t="shared" si="53"/>
        <v>202107</v>
      </c>
      <c r="E1689" s="5" t="s">
        <v>3</v>
      </c>
      <c r="F1689" s="5" t="s">
        <v>12</v>
      </c>
      <c r="G1689" s="5" t="s">
        <v>42</v>
      </c>
      <c r="H1689">
        <v>56</v>
      </c>
      <c r="I1689" s="4">
        <v>664440</v>
      </c>
      <c r="J1689" s="4">
        <v>336000</v>
      </c>
    </row>
    <row r="1690" spans="2:10" x14ac:dyDescent="0.3">
      <c r="B1690" s="7">
        <v>44409</v>
      </c>
      <c r="C1690" s="3">
        <f t="shared" si="52"/>
        <v>2021</v>
      </c>
      <c r="D1690" s="3">
        <f t="shared" si="53"/>
        <v>202108</v>
      </c>
      <c r="E1690" s="5" t="s">
        <v>3</v>
      </c>
      <c r="F1690" s="5" t="s">
        <v>12</v>
      </c>
      <c r="G1690" s="5" t="s">
        <v>42</v>
      </c>
      <c r="H1690">
        <v>47</v>
      </c>
      <c r="I1690" s="4">
        <v>619836</v>
      </c>
      <c r="J1690" s="4">
        <v>282000</v>
      </c>
    </row>
    <row r="1691" spans="2:10" x14ac:dyDescent="0.3">
      <c r="B1691" s="7">
        <v>44440</v>
      </c>
      <c r="C1691" s="3">
        <f t="shared" si="52"/>
        <v>2021</v>
      </c>
      <c r="D1691" s="3">
        <f t="shared" si="53"/>
        <v>202109</v>
      </c>
      <c r="E1691" s="5" t="s">
        <v>3</v>
      </c>
      <c r="F1691" s="5" t="s">
        <v>12</v>
      </c>
      <c r="G1691" s="5" t="s">
        <v>42</v>
      </c>
      <c r="H1691">
        <v>50</v>
      </c>
      <c r="I1691" s="4">
        <v>627900</v>
      </c>
      <c r="J1691" s="4">
        <v>300000</v>
      </c>
    </row>
    <row r="1692" spans="2:10" x14ac:dyDescent="0.3">
      <c r="B1692" s="7">
        <v>44470</v>
      </c>
      <c r="C1692" s="3">
        <f t="shared" si="52"/>
        <v>2021</v>
      </c>
      <c r="D1692" s="3">
        <f t="shared" si="53"/>
        <v>202110</v>
      </c>
      <c r="E1692" s="5" t="s">
        <v>3</v>
      </c>
      <c r="F1692" s="5" t="s">
        <v>12</v>
      </c>
      <c r="G1692" s="5" t="s">
        <v>42</v>
      </c>
      <c r="H1692">
        <v>41</v>
      </c>
      <c r="I1692" s="4">
        <v>559445</v>
      </c>
      <c r="J1692" s="4">
        <v>246000</v>
      </c>
    </row>
    <row r="1693" spans="2:10" x14ac:dyDescent="0.3">
      <c r="B1693" s="7">
        <v>44501</v>
      </c>
      <c r="C1693" s="3">
        <f t="shared" si="52"/>
        <v>2021</v>
      </c>
      <c r="D1693" s="3">
        <f t="shared" si="53"/>
        <v>202111</v>
      </c>
      <c r="E1693" s="5" t="s">
        <v>3</v>
      </c>
      <c r="F1693" s="5" t="s">
        <v>12</v>
      </c>
      <c r="G1693" s="5" t="s">
        <v>42</v>
      </c>
      <c r="H1693">
        <v>30</v>
      </c>
      <c r="I1693" s="4">
        <v>390990</v>
      </c>
      <c r="J1693" s="4">
        <v>180000</v>
      </c>
    </row>
    <row r="1694" spans="2:10" x14ac:dyDescent="0.3">
      <c r="B1694" s="7">
        <v>44531</v>
      </c>
      <c r="C1694" s="3">
        <f t="shared" si="52"/>
        <v>2021</v>
      </c>
      <c r="D1694" s="3">
        <f t="shared" si="53"/>
        <v>202112</v>
      </c>
      <c r="E1694" s="5" t="s">
        <v>3</v>
      </c>
      <c r="F1694" s="5" t="s">
        <v>12</v>
      </c>
      <c r="G1694" s="5" t="s">
        <v>42</v>
      </c>
      <c r="H1694">
        <v>35</v>
      </c>
      <c r="I1694" s="4">
        <v>450660</v>
      </c>
      <c r="J1694" s="4">
        <v>210000</v>
      </c>
    </row>
    <row r="1695" spans="2:10" x14ac:dyDescent="0.3">
      <c r="B1695" s="7">
        <v>44562</v>
      </c>
      <c r="C1695" s="3">
        <f t="shared" si="52"/>
        <v>2022</v>
      </c>
      <c r="D1695" s="3">
        <f t="shared" si="53"/>
        <v>202201</v>
      </c>
      <c r="E1695" s="5" t="s">
        <v>3</v>
      </c>
      <c r="F1695" s="5" t="s">
        <v>12</v>
      </c>
      <c r="G1695" s="5" t="s">
        <v>42</v>
      </c>
      <c r="H1695">
        <v>52</v>
      </c>
      <c r="I1695" s="4">
        <v>665288</v>
      </c>
      <c r="J1695" s="4">
        <v>312000</v>
      </c>
    </row>
    <row r="1696" spans="2:10" x14ac:dyDescent="0.3">
      <c r="B1696" s="7">
        <v>44593</v>
      </c>
      <c r="C1696" s="3">
        <f t="shared" si="52"/>
        <v>2022</v>
      </c>
      <c r="D1696" s="3">
        <f t="shared" si="53"/>
        <v>202202</v>
      </c>
      <c r="E1696" s="5" t="s">
        <v>3</v>
      </c>
      <c r="F1696" s="5" t="s">
        <v>12</v>
      </c>
      <c r="G1696" s="5" t="s">
        <v>42</v>
      </c>
      <c r="H1696">
        <v>33</v>
      </c>
      <c r="I1696" s="4">
        <v>450318</v>
      </c>
      <c r="J1696" s="4">
        <v>198000</v>
      </c>
    </row>
    <row r="1697" spans="2:10" x14ac:dyDescent="0.3">
      <c r="B1697" s="7">
        <v>44621</v>
      </c>
      <c r="C1697" s="3">
        <f t="shared" si="52"/>
        <v>2022</v>
      </c>
      <c r="D1697" s="3">
        <f t="shared" si="53"/>
        <v>202203</v>
      </c>
      <c r="E1697" s="5" t="s">
        <v>3</v>
      </c>
      <c r="F1697" s="5" t="s">
        <v>12</v>
      </c>
      <c r="G1697" s="5" t="s">
        <v>42</v>
      </c>
      <c r="H1697">
        <v>26</v>
      </c>
      <c r="I1697" s="4">
        <v>331318</v>
      </c>
      <c r="J1697" s="4">
        <v>156000</v>
      </c>
    </row>
    <row r="1698" spans="2:10" x14ac:dyDescent="0.3">
      <c r="B1698" s="7">
        <v>44652</v>
      </c>
      <c r="C1698" s="3">
        <f t="shared" si="52"/>
        <v>2022</v>
      </c>
      <c r="D1698" s="3">
        <f t="shared" si="53"/>
        <v>202204</v>
      </c>
      <c r="E1698" s="5" t="s">
        <v>3</v>
      </c>
      <c r="F1698" s="5" t="s">
        <v>12</v>
      </c>
      <c r="G1698" s="5" t="s">
        <v>42</v>
      </c>
      <c r="H1698">
        <v>49</v>
      </c>
      <c r="I1698" s="4">
        <v>675122</v>
      </c>
      <c r="J1698" s="4">
        <v>294000</v>
      </c>
    </row>
    <row r="1699" spans="2:10" x14ac:dyDescent="0.3">
      <c r="B1699" s="7">
        <v>44682</v>
      </c>
      <c r="C1699" s="3">
        <f t="shared" si="52"/>
        <v>2022</v>
      </c>
      <c r="D1699" s="3">
        <f t="shared" si="53"/>
        <v>202205</v>
      </c>
      <c r="E1699" s="5" t="s">
        <v>3</v>
      </c>
      <c r="F1699" s="5" t="s">
        <v>12</v>
      </c>
      <c r="G1699" s="5" t="s">
        <v>42</v>
      </c>
      <c r="H1699">
        <v>61</v>
      </c>
      <c r="I1699" s="4">
        <v>855342</v>
      </c>
      <c r="J1699" s="4">
        <v>366000</v>
      </c>
    </row>
    <row r="1700" spans="2:10" x14ac:dyDescent="0.3">
      <c r="B1700" s="7">
        <v>44713</v>
      </c>
      <c r="C1700" s="3">
        <f t="shared" si="52"/>
        <v>2022</v>
      </c>
      <c r="D1700" s="3">
        <f t="shared" si="53"/>
        <v>202206</v>
      </c>
      <c r="E1700" s="5" t="s">
        <v>3</v>
      </c>
      <c r="F1700" s="5" t="s">
        <v>12</v>
      </c>
      <c r="G1700" s="5" t="s">
        <v>42</v>
      </c>
      <c r="H1700">
        <v>58</v>
      </c>
      <c r="I1700" s="4">
        <v>750926</v>
      </c>
      <c r="J1700" s="4">
        <v>348000</v>
      </c>
    </row>
    <row r="1701" spans="2:10" x14ac:dyDescent="0.3">
      <c r="B1701" s="7">
        <v>44743</v>
      </c>
      <c r="C1701" s="3">
        <f t="shared" si="52"/>
        <v>2022</v>
      </c>
      <c r="D1701" s="3">
        <f t="shared" si="53"/>
        <v>202207</v>
      </c>
      <c r="E1701" s="5" t="s">
        <v>3</v>
      </c>
      <c r="F1701" s="5" t="s">
        <v>12</v>
      </c>
      <c r="G1701" s="5" t="s">
        <v>42</v>
      </c>
      <c r="H1701">
        <v>61</v>
      </c>
      <c r="I1701" s="4">
        <v>692289</v>
      </c>
      <c r="J1701" s="4">
        <v>366000</v>
      </c>
    </row>
    <row r="1702" spans="2:10" x14ac:dyDescent="0.3">
      <c r="B1702" s="7">
        <v>44774</v>
      </c>
      <c r="C1702" s="3">
        <f t="shared" si="52"/>
        <v>2022</v>
      </c>
      <c r="D1702" s="3">
        <f t="shared" si="53"/>
        <v>202208</v>
      </c>
      <c r="E1702" s="5" t="s">
        <v>3</v>
      </c>
      <c r="F1702" s="5" t="s">
        <v>12</v>
      </c>
      <c r="G1702" s="5" t="s">
        <v>42</v>
      </c>
      <c r="H1702">
        <v>52</v>
      </c>
      <c r="I1702" s="4">
        <v>664404</v>
      </c>
      <c r="J1702" s="4">
        <v>312000</v>
      </c>
    </row>
    <row r="1703" spans="2:10" x14ac:dyDescent="0.3">
      <c r="B1703" s="7">
        <v>44805</v>
      </c>
      <c r="C1703" s="3">
        <f t="shared" si="52"/>
        <v>2022</v>
      </c>
      <c r="D1703" s="3">
        <f t="shared" si="53"/>
        <v>202209</v>
      </c>
      <c r="E1703" s="5" t="s">
        <v>3</v>
      </c>
      <c r="F1703" s="5" t="s">
        <v>12</v>
      </c>
      <c r="G1703" s="5" t="s">
        <v>42</v>
      </c>
      <c r="H1703">
        <v>55</v>
      </c>
      <c r="I1703" s="4">
        <v>708455</v>
      </c>
      <c r="J1703" s="4">
        <v>330000</v>
      </c>
    </row>
    <row r="1704" spans="2:10" x14ac:dyDescent="0.3">
      <c r="B1704" s="7">
        <v>44835</v>
      </c>
      <c r="C1704" s="3">
        <f t="shared" si="52"/>
        <v>2022</v>
      </c>
      <c r="D1704" s="3">
        <f t="shared" si="53"/>
        <v>202210</v>
      </c>
      <c r="E1704" s="5" t="s">
        <v>3</v>
      </c>
      <c r="F1704" s="5" t="s">
        <v>12</v>
      </c>
      <c r="G1704" s="5" t="s">
        <v>42</v>
      </c>
      <c r="H1704">
        <v>45</v>
      </c>
      <c r="I1704" s="4">
        <v>576720</v>
      </c>
      <c r="J1704" s="4">
        <v>270000</v>
      </c>
    </row>
    <row r="1705" spans="2:10" x14ac:dyDescent="0.3">
      <c r="B1705" s="7">
        <v>44866</v>
      </c>
      <c r="C1705" s="3">
        <f t="shared" si="52"/>
        <v>2022</v>
      </c>
      <c r="D1705" s="3">
        <f t="shared" si="53"/>
        <v>202211</v>
      </c>
      <c r="E1705" s="5" t="s">
        <v>3</v>
      </c>
      <c r="F1705" s="5" t="s">
        <v>12</v>
      </c>
      <c r="G1705" s="5" t="s">
        <v>42</v>
      </c>
      <c r="H1705">
        <v>33</v>
      </c>
      <c r="I1705" s="4">
        <v>434544</v>
      </c>
      <c r="J1705" s="4">
        <v>198000</v>
      </c>
    </row>
    <row r="1706" spans="2:10" x14ac:dyDescent="0.3">
      <c r="B1706" s="7">
        <v>44896</v>
      </c>
      <c r="C1706" s="3">
        <f t="shared" si="52"/>
        <v>2022</v>
      </c>
      <c r="D1706" s="3">
        <f t="shared" si="53"/>
        <v>202212</v>
      </c>
      <c r="E1706" s="5" t="s">
        <v>3</v>
      </c>
      <c r="F1706" s="5" t="s">
        <v>12</v>
      </c>
      <c r="G1706" s="5" t="s">
        <v>42</v>
      </c>
      <c r="H1706">
        <v>39</v>
      </c>
      <c r="I1706" s="4">
        <v>500136</v>
      </c>
      <c r="J1706" s="4">
        <v>234000</v>
      </c>
    </row>
    <row r="1707" spans="2:10" x14ac:dyDescent="0.3">
      <c r="B1707" s="7">
        <v>44197</v>
      </c>
      <c r="C1707" s="3">
        <f t="shared" si="52"/>
        <v>2021</v>
      </c>
      <c r="D1707" s="3">
        <f t="shared" si="53"/>
        <v>202101</v>
      </c>
      <c r="E1707" s="5" t="s">
        <v>3</v>
      </c>
      <c r="F1707" s="5" t="s">
        <v>12</v>
      </c>
      <c r="G1707" s="5" t="s">
        <v>43</v>
      </c>
      <c r="H1707">
        <v>34</v>
      </c>
      <c r="I1707" s="4">
        <v>332384</v>
      </c>
      <c r="J1707" s="4">
        <v>180540</v>
      </c>
    </row>
    <row r="1708" spans="2:10" x14ac:dyDescent="0.3">
      <c r="B1708" s="7">
        <v>44228</v>
      </c>
      <c r="C1708" s="3">
        <f t="shared" si="52"/>
        <v>2021</v>
      </c>
      <c r="D1708" s="3">
        <f t="shared" si="53"/>
        <v>202102</v>
      </c>
      <c r="E1708" s="5" t="s">
        <v>3</v>
      </c>
      <c r="F1708" s="5" t="s">
        <v>12</v>
      </c>
      <c r="G1708" s="5" t="s">
        <v>43</v>
      </c>
      <c r="H1708">
        <v>22</v>
      </c>
      <c r="I1708" s="4">
        <v>222244</v>
      </c>
      <c r="J1708" s="4">
        <v>116820</v>
      </c>
    </row>
    <row r="1709" spans="2:10" x14ac:dyDescent="0.3">
      <c r="B1709" s="7">
        <v>44256</v>
      </c>
      <c r="C1709" s="3">
        <f t="shared" si="52"/>
        <v>2021</v>
      </c>
      <c r="D1709" s="3">
        <f t="shared" si="53"/>
        <v>202103</v>
      </c>
      <c r="E1709" s="5" t="s">
        <v>3</v>
      </c>
      <c r="F1709" s="5" t="s">
        <v>12</v>
      </c>
      <c r="G1709" s="5" t="s">
        <v>43</v>
      </c>
      <c r="H1709">
        <v>17</v>
      </c>
      <c r="I1709" s="4">
        <v>159154</v>
      </c>
      <c r="J1709" s="4">
        <v>90270</v>
      </c>
    </row>
    <row r="1710" spans="2:10" x14ac:dyDescent="0.3">
      <c r="B1710" s="7">
        <v>44287</v>
      </c>
      <c r="C1710" s="3">
        <f t="shared" si="52"/>
        <v>2021</v>
      </c>
      <c r="D1710" s="3">
        <f t="shared" si="53"/>
        <v>202104</v>
      </c>
      <c r="E1710" s="5" t="s">
        <v>3</v>
      </c>
      <c r="F1710" s="5" t="s">
        <v>12</v>
      </c>
      <c r="G1710" s="5" t="s">
        <v>43</v>
      </c>
      <c r="H1710">
        <v>32</v>
      </c>
      <c r="I1710" s="4">
        <v>336928</v>
      </c>
      <c r="J1710" s="4">
        <v>169920</v>
      </c>
    </row>
    <row r="1711" spans="2:10" x14ac:dyDescent="0.3">
      <c r="B1711" s="7">
        <v>44317</v>
      </c>
      <c r="C1711" s="3">
        <f t="shared" si="52"/>
        <v>2021</v>
      </c>
      <c r="D1711" s="3">
        <f t="shared" si="53"/>
        <v>202105</v>
      </c>
      <c r="E1711" s="5" t="s">
        <v>3</v>
      </c>
      <c r="F1711" s="5" t="s">
        <v>12</v>
      </c>
      <c r="G1711" s="5" t="s">
        <v>43</v>
      </c>
      <c r="H1711">
        <v>41</v>
      </c>
      <c r="I1711" s="4">
        <v>455223</v>
      </c>
      <c r="J1711" s="4">
        <v>217710</v>
      </c>
    </row>
    <row r="1712" spans="2:10" x14ac:dyDescent="0.3">
      <c r="B1712" s="7">
        <v>44348</v>
      </c>
      <c r="C1712" s="3">
        <f t="shared" si="52"/>
        <v>2021</v>
      </c>
      <c r="D1712" s="3">
        <f t="shared" si="53"/>
        <v>202106</v>
      </c>
      <c r="E1712" s="5" t="s">
        <v>3</v>
      </c>
      <c r="F1712" s="5" t="s">
        <v>12</v>
      </c>
      <c r="G1712" s="5" t="s">
        <v>43</v>
      </c>
      <c r="H1712">
        <v>38</v>
      </c>
      <c r="I1712" s="4">
        <v>372324</v>
      </c>
      <c r="J1712" s="4">
        <v>201780</v>
      </c>
    </row>
    <row r="1713" spans="2:10" x14ac:dyDescent="0.3">
      <c r="B1713" s="7">
        <v>44378</v>
      </c>
      <c r="C1713" s="3">
        <f t="shared" si="52"/>
        <v>2021</v>
      </c>
      <c r="D1713" s="3">
        <f t="shared" si="53"/>
        <v>202107</v>
      </c>
      <c r="E1713" s="5" t="s">
        <v>3</v>
      </c>
      <c r="F1713" s="5" t="s">
        <v>12</v>
      </c>
      <c r="G1713" s="5" t="s">
        <v>43</v>
      </c>
      <c r="H1713">
        <v>41</v>
      </c>
      <c r="I1713" s="4">
        <v>357397</v>
      </c>
      <c r="J1713" s="4">
        <v>217710</v>
      </c>
    </row>
    <row r="1714" spans="2:10" x14ac:dyDescent="0.3">
      <c r="B1714" s="7">
        <v>44409</v>
      </c>
      <c r="C1714" s="3">
        <f t="shared" si="52"/>
        <v>2021</v>
      </c>
      <c r="D1714" s="3">
        <f t="shared" si="53"/>
        <v>202108</v>
      </c>
      <c r="E1714" s="5" t="s">
        <v>3</v>
      </c>
      <c r="F1714" s="5" t="s">
        <v>12</v>
      </c>
      <c r="G1714" s="5" t="s">
        <v>43</v>
      </c>
      <c r="H1714">
        <v>34</v>
      </c>
      <c r="I1714" s="4">
        <v>351696</v>
      </c>
      <c r="J1714" s="4">
        <v>180540</v>
      </c>
    </row>
    <row r="1715" spans="2:10" x14ac:dyDescent="0.3">
      <c r="B1715" s="7">
        <v>44440</v>
      </c>
      <c r="C1715" s="3">
        <f t="shared" si="52"/>
        <v>2021</v>
      </c>
      <c r="D1715" s="3">
        <f t="shared" si="53"/>
        <v>202109</v>
      </c>
      <c r="E1715" s="5" t="s">
        <v>3</v>
      </c>
      <c r="F1715" s="5" t="s">
        <v>12</v>
      </c>
      <c r="G1715" s="5" t="s">
        <v>43</v>
      </c>
      <c r="H1715">
        <v>36</v>
      </c>
      <c r="I1715" s="4">
        <v>363204</v>
      </c>
      <c r="J1715" s="4">
        <v>191160</v>
      </c>
    </row>
    <row r="1716" spans="2:10" x14ac:dyDescent="0.3">
      <c r="B1716" s="7">
        <v>44470</v>
      </c>
      <c r="C1716" s="3">
        <f t="shared" si="52"/>
        <v>2021</v>
      </c>
      <c r="D1716" s="3">
        <f t="shared" si="53"/>
        <v>202110</v>
      </c>
      <c r="E1716" s="5" t="s">
        <v>3</v>
      </c>
      <c r="F1716" s="5" t="s">
        <v>12</v>
      </c>
      <c r="G1716" s="5" t="s">
        <v>43</v>
      </c>
      <c r="H1716">
        <v>30</v>
      </c>
      <c r="I1716" s="4">
        <v>327030</v>
      </c>
      <c r="J1716" s="4">
        <v>159300</v>
      </c>
    </row>
    <row r="1717" spans="2:10" x14ac:dyDescent="0.3">
      <c r="B1717" s="7">
        <v>44501</v>
      </c>
      <c r="C1717" s="3">
        <f t="shared" si="52"/>
        <v>2021</v>
      </c>
      <c r="D1717" s="3">
        <f t="shared" si="53"/>
        <v>202111</v>
      </c>
      <c r="E1717" s="5" t="s">
        <v>3</v>
      </c>
      <c r="F1717" s="5" t="s">
        <v>12</v>
      </c>
      <c r="G1717" s="5" t="s">
        <v>43</v>
      </c>
      <c r="H1717">
        <v>22</v>
      </c>
      <c r="I1717" s="4">
        <v>232078</v>
      </c>
      <c r="J1717" s="4">
        <v>116820</v>
      </c>
    </row>
    <row r="1718" spans="2:10" x14ac:dyDescent="0.3">
      <c r="B1718" s="7">
        <v>44531</v>
      </c>
      <c r="C1718" s="3">
        <f t="shared" si="52"/>
        <v>2021</v>
      </c>
      <c r="D1718" s="3">
        <f t="shared" si="53"/>
        <v>202112</v>
      </c>
      <c r="E1718" s="5" t="s">
        <v>3</v>
      </c>
      <c r="F1718" s="5" t="s">
        <v>12</v>
      </c>
      <c r="G1718" s="5" t="s">
        <v>43</v>
      </c>
      <c r="H1718">
        <v>26</v>
      </c>
      <c r="I1718" s="4">
        <v>263536</v>
      </c>
      <c r="J1718" s="4">
        <v>138060</v>
      </c>
    </row>
    <row r="1719" spans="2:10" x14ac:dyDescent="0.3">
      <c r="B1719" s="7">
        <v>44562</v>
      </c>
      <c r="C1719" s="3">
        <f t="shared" si="52"/>
        <v>2022</v>
      </c>
      <c r="D1719" s="3">
        <f t="shared" si="53"/>
        <v>202201</v>
      </c>
      <c r="E1719" s="5" t="s">
        <v>3</v>
      </c>
      <c r="F1719" s="5" t="s">
        <v>12</v>
      </c>
      <c r="G1719" s="5" t="s">
        <v>43</v>
      </c>
      <c r="H1719">
        <v>38</v>
      </c>
      <c r="I1719" s="4">
        <v>390716</v>
      </c>
      <c r="J1719" s="4">
        <v>201780</v>
      </c>
    </row>
    <row r="1720" spans="2:10" x14ac:dyDescent="0.3">
      <c r="B1720" s="7">
        <v>44593</v>
      </c>
      <c r="C1720" s="3">
        <f t="shared" si="52"/>
        <v>2022</v>
      </c>
      <c r="D1720" s="3">
        <f t="shared" si="53"/>
        <v>202202</v>
      </c>
      <c r="E1720" s="5" t="s">
        <v>3</v>
      </c>
      <c r="F1720" s="5" t="s">
        <v>12</v>
      </c>
      <c r="G1720" s="5" t="s">
        <v>43</v>
      </c>
      <c r="H1720">
        <v>24</v>
      </c>
      <c r="I1720" s="4">
        <v>258768</v>
      </c>
      <c r="J1720" s="4">
        <v>127440</v>
      </c>
    </row>
    <row r="1721" spans="2:10" x14ac:dyDescent="0.3">
      <c r="B1721" s="7">
        <v>44621</v>
      </c>
      <c r="C1721" s="3">
        <f t="shared" si="52"/>
        <v>2022</v>
      </c>
      <c r="D1721" s="3">
        <f t="shared" si="53"/>
        <v>202203</v>
      </c>
      <c r="E1721" s="5" t="s">
        <v>3</v>
      </c>
      <c r="F1721" s="5" t="s">
        <v>12</v>
      </c>
      <c r="G1721" s="5" t="s">
        <v>43</v>
      </c>
      <c r="H1721">
        <v>19</v>
      </c>
      <c r="I1721" s="4">
        <v>188385</v>
      </c>
      <c r="J1721" s="4">
        <v>100890</v>
      </c>
    </row>
    <row r="1722" spans="2:10" x14ac:dyDescent="0.3">
      <c r="B1722" s="7">
        <v>44652</v>
      </c>
      <c r="C1722" s="3">
        <f t="shared" si="52"/>
        <v>2022</v>
      </c>
      <c r="D1722" s="3">
        <f t="shared" si="53"/>
        <v>202204</v>
      </c>
      <c r="E1722" s="5" t="s">
        <v>3</v>
      </c>
      <c r="F1722" s="5" t="s">
        <v>12</v>
      </c>
      <c r="G1722" s="5" t="s">
        <v>43</v>
      </c>
      <c r="H1722">
        <v>35</v>
      </c>
      <c r="I1722" s="4">
        <v>376915</v>
      </c>
      <c r="J1722" s="4">
        <v>185850</v>
      </c>
    </row>
    <row r="1723" spans="2:10" x14ac:dyDescent="0.3">
      <c r="B1723" s="7">
        <v>44682</v>
      </c>
      <c r="C1723" s="3">
        <f t="shared" si="52"/>
        <v>2022</v>
      </c>
      <c r="D1723" s="3">
        <f t="shared" si="53"/>
        <v>202205</v>
      </c>
      <c r="E1723" s="5" t="s">
        <v>3</v>
      </c>
      <c r="F1723" s="5" t="s">
        <v>12</v>
      </c>
      <c r="G1723" s="5" t="s">
        <v>43</v>
      </c>
      <c r="H1723">
        <v>45</v>
      </c>
      <c r="I1723" s="4">
        <v>518760</v>
      </c>
      <c r="J1723" s="4">
        <v>238950</v>
      </c>
    </row>
    <row r="1724" spans="2:10" x14ac:dyDescent="0.3">
      <c r="B1724" s="7">
        <v>44713</v>
      </c>
      <c r="C1724" s="3">
        <f t="shared" si="52"/>
        <v>2022</v>
      </c>
      <c r="D1724" s="3">
        <f t="shared" si="53"/>
        <v>202206</v>
      </c>
      <c r="E1724" s="5" t="s">
        <v>3</v>
      </c>
      <c r="F1724" s="5" t="s">
        <v>12</v>
      </c>
      <c r="G1724" s="5" t="s">
        <v>43</v>
      </c>
      <c r="H1724">
        <v>42</v>
      </c>
      <c r="I1724" s="4">
        <v>428736</v>
      </c>
      <c r="J1724" s="4">
        <v>223020</v>
      </c>
    </row>
    <row r="1725" spans="2:10" x14ac:dyDescent="0.3">
      <c r="B1725" s="7">
        <v>44743</v>
      </c>
      <c r="C1725" s="3">
        <f t="shared" si="52"/>
        <v>2022</v>
      </c>
      <c r="D1725" s="3">
        <f t="shared" si="53"/>
        <v>202207</v>
      </c>
      <c r="E1725" s="5" t="s">
        <v>3</v>
      </c>
      <c r="F1725" s="5" t="s">
        <v>12</v>
      </c>
      <c r="G1725" s="5" t="s">
        <v>43</v>
      </c>
      <c r="H1725">
        <v>45</v>
      </c>
      <c r="I1725" s="4">
        <v>409410</v>
      </c>
      <c r="J1725" s="4">
        <v>238950</v>
      </c>
    </row>
    <row r="1726" spans="2:10" x14ac:dyDescent="0.3">
      <c r="B1726" s="7">
        <v>44774</v>
      </c>
      <c r="C1726" s="3">
        <f t="shared" si="52"/>
        <v>2022</v>
      </c>
      <c r="D1726" s="3">
        <f t="shared" si="53"/>
        <v>202208</v>
      </c>
      <c r="E1726" s="5" t="s">
        <v>3</v>
      </c>
      <c r="F1726" s="5" t="s">
        <v>12</v>
      </c>
      <c r="G1726" s="5" t="s">
        <v>43</v>
      </c>
      <c r="H1726">
        <v>38</v>
      </c>
      <c r="I1726" s="4">
        <v>382090</v>
      </c>
      <c r="J1726" s="4">
        <v>201780</v>
      </c>
    </row>
    <row r="1727" spans="2:10" x14ac:dyDescent="0.3">
      <c r="B1727" s="7">
        <v>44805</v>
      </c>
      <c r="C1727" s="3">
        <f t="shared" si="52"/>
        <v>2022</v>
      </c>
      <c r="D1727" s="3">
        <f t="shared" si="53"/>
        <v>202209</v>
      </c>
      <c r="E1727" s="5" t="s">
        <v>3</v>
      </c>
      <c r="F1727" s="5" t="s">
        <v>12</v>
      </c>
      <c r="G1727" s="5" t="s">
        <v>43</v>
      </c>
      <c r="H1727">
        <v>40</v>
      </c>
      <c r="I1727" s="4">
        <v>414520</v>
      </c>
      <c r="J1727" s="4">
        <v>212400</v>
      </c>
    </row>
    <row r="1728" spans="2:10" x14ac:dyDescent="0.3">
      <c r="B1728" s="7">
        <v>44835</v>
      </c>
      <c r="C1728" s="3">
        <f t="shared" si="52"/>
        <v>2022</v>
      </c>
      <c r="D1728" s="3">
        <f t="shared" si="53"/>
        <v>202210</v>
      </c>
      <c r="E1728" s="5" t="s">
        <v>3</v>
      </c>
      <c r="F1728" s="5" t="s">
        <v>12</v>
      </c>
      <c r="G1728" s="5" t="s">
        <v>43</v>
      </c>
      <c r="H1728">
        <v>33</v>
      </c>
      <c r="I1728" s="4">
        <v>349800</v>
      </c>
      <c r="J1728" s="4">
        <v>175230</v>
      </c>
    </row>
    <row r="1729" spans="2:10" x14ac:dyDescent="0.3">
      <c r="B1729" s="7">
        <v>44866</v>
      </c>
      <c r="C1729" s="3">
        <f t="shared" si="52"/>
        <v>2022</v>
      </c>
      <c r="D1729" s="3">
        <f t="shared" si="53"/>
        <v>202211</v>
      </c>
      <c r="E1729" s="5" t="s">
        <v>3</v>
      </c>
      <c r="F1729" s="5" t="s">
        <v>12</v>
      </c>
      <c r="G1729" s="5" t="s">
        <v>43</v>
      </c>
      <c r="H1729">
        <v>24</v>
      </c>
      <c r="I1729" s="4">
        <v>241296</v>
      </c>
      <c r="J1729" s="4">
        <v>127440</v>
      </c>
    </row>
    <row r="1730" spans="2:10" x14ac:dyDescent="0.3">
      <c r="B1730" s="7">
        <v>44896</v>
      </c>
      <c r="C1730" s="3">
        <f t="shared" si="52"/>
        <v>2022</v>
      </c>
      <c r="D1730" s="3">
        <f t="shared" si="53"/>
        <v>202212</v>
      </c>
      <c r="E1730" s="5" t="s">
        <v>3</v>
      </c>
      <c r="F1730" s="5" t="s">
        <v>12</v>
      </c>
      <c r="G1730" s="5" t="s">
        <v>43</v>
      </c>
      <c r="H1730">
        <v>28</v>
      </c>
      <c r="I1730" s="4">
        <v>288232</v>
      </c>
      <c r="J1730" s="4">
        <v>148680</v>
      </c>
    </row>
    <row r="1731" spans="2:10" x14ac:dyDescent="0.3">
      <c r="B1731" s="7">
        <v>44197</v>
      </c>
      <c r="C1731" s="3">
        <f t="shared" ref="C1731:C1794" si="54">YEAR(B1731)</f>
        <v>2021</v>
      </c>
      <c r="D1731" s="3">
        <f t="shared" ref="D1731:D1794" si="55">VALUE(TEXT(B1731,"ГГГГММ"))</f>
        <v>202101</v>
      </c>
      <c r="E1731" s="5" t="s">
        <v>3</v>
      </c>
      <c r="F1731" s="5" t="s">
        <v>12</v>
      </c>
      <c r="G1731" s="5" t="s">
        <v>44</v>
      </c>
      <c r="H1731">
        <v>33</v>
      </c>
      <c r="I1731" s="4">
        <v>270105</v>
      </c>
      <c r="J1731" s="4">
        <v>106260</v>
      </c>
    </row>
    <row r="1732" spans="2:10" x14ac:dyDescent="0.3">
      <c r="B1732" s="7">
        <v>44228</v>
      </c>
      <c r="C1732" s="3">
        <f t="shared" si="54"/>
        <v>2021</v>
      </c>
      <c r="D1732" s="3">
        <f t="shared" si="55"/>
        <v>202102</v>
      </c>
      <c r="E1732" s="5" t="s">
        <v>3</v>
      </c>
      <c r="F1732" s="5" t="s">
        <v>12</v>
      </c>
      <c r="G1732" s="5" t="s">
        <v>44</v>
      </c>
      <c r="H1732">
        <v>21</v>
      </c>
      <c r="I1732" s="4">
        <v>182952</v>
      </c>
      <c r="J1732" s="4">
        <v>67620</v>
      </c>
    </row>
    <row r="1733" spans="2:10" x14ac:dyDescent="0.3">
      <c r="B1733" s="7">
        <v>44256</v>
      </c>
      <c r="C1733" s="3">
        <f t="shared" si="54"/>
        <v>2021</v>
      </c>
      <c r="D1733" s="3">
        <f t="shared" si="55"/>
        <v>202103</v>
      </c>
      <c r="E1733" s="5" t="s">
        <v>3</v>
      </c>
      <c r="F1733" s="5" t="s">
        <v>12</v>
      </c>
      <c r="G1733" s="5" t="s">
        <v>44</v>
      </c>
      <c r="H1733">
        <v>17</v>
      </c>
      <c r="I1733" s="4">
        <v>135201</v>
      </c>
      <c r="J1733" s="4">
        <v>54740</v>
      </c>
    </row>
    <row r="1734" spans="2:10" x14ac:dyDescent="0.3">
      <c r="B1734" s="7">
        <v>44287</v>
      </c>
      <c r="C1734" s="3">
        <f t="shared" si="54"/>
        <v>2021</v>
      </c>
      <c r="D1734" s="3">
        <f t="shared" si="55"/>
        <v>202104</v>
      </c>
      <c r="E1734" s="5" t="s">
        <v>3</v>
      </c>
      <c r="F1734" s="5" t="s">
        <v>12</v>
      </c>
      <c r="G1734" s="5" t="s">
        <v>44</v>
      </c>
      <c r="H1734">
        <v>31</v>
      </c>
      <c r="I1734" s="4">
        <v>272242</v>
      </c>
      <c r="J1734" s="4">
        <v>99820</v>
      </c>
    </row>
    <row r="1735" spans="2:10" x14ac:dyDescent="0.3">
      <c r="B1735" s="7">
        <v>44317</v>
      </c>
      <c r="C1735" s="3">
        <f t="shared" si="54"/>
        <v>2021</v>
      </c>
      <c r="D1735" s="3">
        <f t="shared" si="55"/>
        <v>202105</v>
      </c>
      <c r="E1735" s="5" t="s">
        <v>3</v>
      </c>
      <c r="F1735" s="5" t="s">
        <v>12</v>
      </c>
      <c r="G1735" s="5" t="s">
        <v>44</v>
      </c>
      <c r="H1735">
        <v>39</v>
      </c>
      <c r="I1735" s="4">
        <v>361959</v>
      </c>
      <c r="J1735" s="4">
        <v>125580</v>
      </c>
    </row>
    <row r="1736" spans="2:10" x14ac:dyDescent="0.3">
      <c r="B1736" s="7">
        <v>44348</v>
      </c>
      <c r="C1736" s="3">
        <f t="shared" si="54"/>
        <v>2021</v>
      </c>
      <c r="D1736" s="3">
        <f t="shared" si="55"/>
        <v>202106</v>
      </c>
      <c r="E1736" s="5" t="s">
        <v>3</v>
      </c>
      <c r="F1736" s="5" t="s">
        <v>12</v>
      </c>
      <c r="G1736" s="5" t="s">
        <v>44</v>
      </c>
      <c r="H1736">
        <v>37</v>
      </c>
      <c r="I1736" s="4">
        <v>299922</v>
      </c>
      <c r="J1736" s="4">
        <v>119140</v>
      </c>
    </row>
    <row r="1737" spans="2:10" x14ac:dyDescent="0.3">
      <c r="B1737" s="7">
        <v>44378</v>
      </c>
      <c r="C1737" s="3">
        <f t="shared" si="54"/>
        <v>2021</v>
      </c>
      <c r="D1737" s="3">
        <f t="shared" si="55"/>
        <v>202107</v>
      </c>
      <c r="E1737" s="5" t="s">
        <v>3</v>
      </c>
      <c r="F1737" s="5" t="s">
        <v>12</v>
      </c>
      <c r="G1737" s="5" t="s">
        <v>44</v>
      </c>
      <c r="H1737">
        <v>39</v>
      </c>
      <c r="I1737" s="4">
        <v>248079</v>
      </c>
      <c r="J1737" s="4">
        <v>125580</v>
      </c>
    </row>
    <row r="1738" spans="2:10" x14ac:dyDescent="0.3">
      <c r="B1738" s="7">
        <v>44409</v>
      </c>
      <c r="C1738" s="3">
        <f t="shared" si="54"/>
        <v>2021</v>
      </c>
      <c r="D1738" s="3">
        <f t="shared" si="55"/>
        <v>202108</v>
      </c>
      <c r="E1738" s="5" t="s">
        <v>3</v>
      </c>
      <c r="F1738" s="5" t="s">
        <v>12</v>
      </c>
      <c r="G1738" s="5" t="s">
        <v>44</v>
      </c>
      <c r="H1738">
        <v>33</v>
      </c>
      <c r="I1738" s="4">
        <v>239778</v>
      </c>
      <c r="J1738" s="4">
        <v>106260</v>
      </c>
    </row>
    <row r="1739" spans="2:10" x14ac:dyDescent="0.3">
      <c r="B1739" s="7">
        <v>44440</v>
      </c>
      <c r="C1739" s="3">
        <f t="shared" si="54"/>
        <v>2021</v>
      </c>
      <c r="D1739" s="3">
        <f t="shared" si="55"/>
        <v>202109</v>
      </c>
      <c r="E1739" s="5" t="s">
        <v>3</v>
      </c>
      <c r="F1739" s="5" t="s">
        <v>12</v>
      </c>
      <c r="G1739" s="5" t="s">
        <v>44</v>
      </c>
      <c r="H1739">
        <v>35</v>
      </c>
      <c r="I1739" s="4">
        <v>261205</v>
      </c>
      <c r="J1739" s="4">
        <v>112700</v>
      </c>
    </row>
    <row r="1740" spans="2:10" x14ac:dyDescent="0.3">
      <c r="B1740" s="7">
        <v>44470</v>
      </c>
      <c r="C1740" s="3">
        <f t="shared" si="54"/>
        <v>2021</v>
      </c>
      <c r="D1740" s="3">
        <f t="shared" si="55"/>
        <v>202110</v>
      </c>
      <c r="E1740" s="5" t="s">
        <v>3</v>
      </c>
      <c r="F1740" s="5" t="s">
        <v>12</v>
      </c>
      <c r="G1740" s="5" t="s">
        <v>44</v>
      </c>
      <c r="H1740">
        <v>29</v>
      </c>
      <c r="I1740" s="4">
        <v>235132</v>
      </c>
      <c r="J1740" s="4">
        <v>93380</v>
      </c>
    </row>
    <row r="1741" spans="2:10" x14ac:dyDescent="0.3">
      <c r="B1741" s="7">
        <v>44501</v>
      </c>
      <c r="C1741" s="3">
        <f t="shared" si="54"/>
        <v>2021</v>
      </c>
      <c r="D1741" s="3">
        <f t="shared" si="55"/>
        <v>202111</v>
      </c>
      <c r="E1741" s="5" t="s">
        <v>3</v>
      </c>
      <c r="F1741" s="5" t="s">
        <v>12</v>
      </c>
      <c r="G1741" s="5" t="s">
        <v>44</v>
      </c>
      <c r="H1741">
        <v>21</v>
      </c>
      <c r="I1741" s="4">
        <v>159894</v>
      </c>
      <c r="J1741" s="4">
        <v>67620</v>
      </c>
    </row>
    <row r="1742" spans="2:10" x14ac:dyDescent="0.3">
      <c r="B1742" s="7">
        <v>44531</v>
      </c>
      <c r="C1742" s="3">
        <f t="shared" si="54"/>
        <v>2021</v>
      </c>
      <c r="D1742" s="3">
        <f t="shared" si="55"/>
        <v>202112</v>
      </c>
      <c r="E1742" s="5" t="s">
        <v>3</v>
      </c>
      <c r="F1742" s="5" t="s">
        <v>12</v>
      </c>
      <c r="G1742" s="5" t="s">
        <v>44</v>
      </c>
      <c r="H1742">
        <v>25</v>
      </c>
      <c r="I1742" s="4">
        <v>204525</v>
      </c>
      <c r="J1742" s="4">
        <v>80500</v>
      </c>
    </row>
    <row r="1743" spans="2:10" x14ac:dyDescent="0.3">
      <c r="B1743" s="7">
        <v>44562</v>
      </c>
      <c r="C1743" s="3">
        <f t="shared" si="54"/>
        <v>2022</v>
      </c>
      <c r="D1743" s="3">
        <f t="shared" si="55"/>
        <v>202201</v>
      </c>
      <c r="E1743" s="5" t="s">
        <v>3</v>
      </c>
      <c r="F1743" s="5" t="s">
        <v>12</v>
      </c>
      <c r="G1743" s="5" t="s">
        <v>44</v>
      </c>
      <c r="H1743">
        <v>36</v>
      </c>
      <c r="I1743" s="4">
        <v>292212</v>
      </c>
      <c r="J1743" s="4">
        <v>115920</v>
      </c>
    </row>
    <row r="1744" spans="2:10" x14ac:dyDescent="0.3">
      <c r="B1744" s="7">
        <v>44593</v>
      </c>
      <c r="C1744" s="3">
        <f t="shared" si="54"/>
        <v>2022</v>
      </c>
      <c r="D1744" s="3">
        <f t="shared" si="55"/>
        <v>202202</v>
      </c>
      <c r="E1744" s="5" t="s">
        <v>3</v>
      </c>
      <c r="F1744" s="5" t="s">
        <v>12</v>
      </c>
      <c r="G1744" s="5" t="s">
        <v>44</v>
      </c>
      <c r="H1744">
        <v>23</v>
      </c>
      <c r="I1744" s="4">
        <v>208288</v>
      </c>
      <c r="J1744" s="4">
        <v>74060</v>
      </c>
    </row>
    <row r="1745" spans="2:10" x14ac:dyDescent="0.3">
      <c r="B1745" s="7">
        <v>44621</v>
      </c>
      <c r="C1745" s="3">
        <f t="shared" si="54"/>
        <v>2022</v>
      </c>
      <c r="D1745" s="3">
        <f t="shared" si="55"/>
        <v>202203</v>
      </c>
      <c r="E1745" s="5" t="s">
        <v>3</v>
      </c>
      <c r="F1745" s="5" t="s">
        <v>12</v>
      </c>
      <c r="G1745" s="5" t="s">
        <v>44</v>
      </c>
      <c r="H1745">
        <v>18</v>
      </c>
      <c r="I1745" s="4">
        <v>146016</v>
      </c>
      <c r="J1745" s="4">
        <v>57960</v>
      </c>
    </row>
    <row r="1746" spans="2:10" x14ac:dyDescent="0.3">
      <c r="B1746" s="7">
        <v>44652</v>
      </c>
      <c r="C1746" s="3">
        <f t="shared" si="54"/>
        <v>2022</v>
      </c>
      <c r="D1746" s="3">
        <f t="shared" si="55"/>
        <v>202204</v>
      </c>
      <c r="E1746" s="5" t="s">
        <v>3</v>
      </c>
      <c r="F1746" s="5" t="s">
        <v>12</v>
      </c>
      <c r="G1746" s="5" t="s">
        <v>44</v>
      </c>
      <c r="H1746">
        <v>34</v>
      </c>
      <c r="I1746" s="4">
        <v>296446</v>
      </c>
      <c r="J1746" s="4">
        <v>109480</v>
      </c>
    </row>
    <row r="1747" spans="2:10" x14ac:dyDescent="0.3">
      <c r="B1747" s="7">
        <v>44682</v>
      </c>
      <c r="C1747" s="3">
        <f t="shared" si="54"/>
        <v>2022</v>
      </c>
      <c r="D1747" s="3">
        <f t="shared" si="55"/>
        <v>202205</v>
      </c>
      <c r="E1747" s="5" t="s">
        <v>3</v>
      </c>
      <c r="F1747" s="5" t="s">
        <v>12</v>
      </c>
      <c r="G1747" s="5" t="s">
        <v>44</v>
      </c>
      <c r="H1747">
        <v>42</v>
      </c>
      <c r="I1747" s="4">
        <v>399042</v>
      </c>
      <c r="J1747" s="4">
        <v>135240</v>
      </c>
    </row>
    <row r="1748" spans="2:10" x14ac:dyDescent="0.3">
      <c r="B1748" s="7">
        <v>44713</v>
      </c>
      <c r="C1748" s="3">
        <f t="shared" si="54"/>
        <v>2022</v>
      </c>
      <c r="D1748" s="3">
        <f t="shared" si="55"/>
        <v>202206</v>
      </c>
      <c r="E1748" s="5" t="s">
        <v>3</v>
      </c>
      <c r="F1748" s="5" t="s">
        <v>12</v>
      </c>
      <c r="G1748" s="5" t="s">
        <v>44</v>
      </c>
      <c r="H1748">
        <v>40</v>
      </c>
      <c r="I1748" s="4">
        <v>321920</v>
      </c>
      <c r="J1748" s="4">
        <v>128800</v>
      </c>
    </row>
    <row r="1749" spans="2:10" x14ac:dyDescent="0.3">
      <c r="B1749" s="7">
        <v>44743</v>
      </c>
      <c r="C1749" s="3">
        <f t="shared" si="54"/>
        <v>2022</v>
      </c>
      <c r="D1749" s="3">
        <f t="shared" si="55"/>
        <v>202207</v>
      </c>
      <c r="E1749" s="5" t="s">
        <v>3</v>
      </c>
      <c r="F1749" s="5" t="s">
        <v>12</v>
      </c>
      <c r="G1749" s="5" t="s">
        <v>44</v>
      </c>
      <c r="H1749">
        <v>42</v>
      </c>
      <c r="I1749" s="4">
        <v>297612</v>
      </c>
      <c r="J1749" s="4">
        <v>135240</v>
      </c>
    </row>
    <row r="1750" spans="2:10" x14ac:dyDescent="0.3">
      <c r="B1750" s="7">
        <v>44774</v>
      </c>
      <c r="C1750" s="3">
        <f t="shared" si="54"/>
        <v>2022</v>
      </c>
      <c r="D1750" s="3">
        <f t="shared" si="55"/>
        <v>202208</v>
      </c>
      <c r="E1750" s="5" t="s">
        <v>3</v>
      </c>
      <c r="F1750" s="5" t="s">
        <v>12</v>
      </c>
      <c r="G1750" s="5" t="s">
        <v>44</v>
      </c>
      <c r="H1750">
        <v>36</v>
      </c>
      <c r="I1750" s="4">
        <v>273996</v>
      </c>
      <c r="J1750" s="4">
        <v>115920</v>
      </c>
    </row>
    <row r="1751" spans="2:10" x14ac:dyDescent="0.3">
      <c r="B1751" s="7">
        <v>44805</v>
      </c>
      <c r="C1751" s="3">
        <f t="shared" si="54"/>
        <v>2022</v>
      </c>
      <c r="D1751" s="3">
        <f t="shared" si="55"/>
        <v>202209</v>
      </c>
      <c r="E1751" s="5" t="s">
        <v>3</v>
      </c>
      <c r="F1751" s="5" t="s">
        <v>12</v>
      </c>
      <c r="G1751" s="5" t="s">
        <v>44</v>
      </c>
      <c r="H1751">
        <v>38</v>
      </c>
      <c r="I1751" s="4">
        <v>292144</v>
      </c>
      <c r="J1751" s="4">
        <v>122360</v>
      </c>
    </row>
    <row r="1752" spans="2:10" x14ac:dyDescent="0.3">
      <c r="B1752" s="7">
        <v>44835</v>
      </c>
      <c r="C1752" s="3">
        <f t="shared" si="54"/>
        <v>2022</v>
      </c>
      <c r="D1752" s="3">
        <f t="shared" si="55"/>
        <v>202210</v>
      </c>
      <c r="E1752" s="5" t="s">
        <v>3</v>
      </c>
      <c r="F1752" s="5" t="s">
        <v>12</v>
      </c>
      <c r="G1752" s="5" t="s">
        <v>44</v>
      </c>
      <c r="H1752">
        <v>31</v>
      </c>
      <c r="I1752" s="4">
        <v>265763</v>
      </c>
      <c r="J1752" s="4">
        <v>99820</v>
      </c>
    </row>
    <row r="1753" spans="2:10" x14ac:dyDescent="0.3">
      <c r="B1753" s="7">
        <v>44866</v>
      </c>
      <c r="C1753" s="3">
        <f t="shared" si="54"/>
        <v>2022</v>
      </c>
      <c r="D1753" s="3">
        <f t="shared" si="55"/>
        <v>202211</v>
      </c>
      <c r="E1753" s="5" t="s">
        <v>3</v>
      </c>
      <c r="F1753" s="5" t="s">
        <v>12</v>
      </c>
      <c r="G1753" s="5" t="s">
        <v>44</v>
      </c>
      <c r="H1753">
        <v>23</v>
      </c>
      <c r="I1753" s="4">
        <v>191038</v>
      </c>
      <c r="J1753" s="4">
        <v>74060</v>
      </c>
    </row>
    <row r="1754" spans="2:10" x14ac:dyDescent="0.3">
      <c r="B1754" s="7">
        <v>44896</v>
      </c>
      <c r="C1754" s="3">
        <f t="shared" si="54"/>
        <v>2022</v>
      </c>
      <c r="D1754" s="3">
        <f t="shared" si="55"/>
        <v>202212</v>
      </c>
      <c r="E1754" s="5" t="s">
        <v>3</v>
      </c>
      <c r="F1754" s="5" t="s">
        <v>12</v>
      </c>
      <c r="G1754" s="5" t="s">
        <v>44</v>
      </c>
      <c r="H1754">
        <v>27</v>
      </c>
      <c r="I1754" s="4">
        <v>206442</v>
      </c>
      <c r="J1754" s="4">
        <v>86940</v>
      </c>
    </row>
    <row r="1755" spans="2:10" x14ac:dyDescent="0.3">
      <c r="B1755" s="7">
        <v>44197</v>
      </c>
      <c r="C1755" s="3">
        <f t="shared" si="54"/>
        <v>2021</v>
      </c>
      <c r="D1755" s="3">
        <f t="shared" si="55"/>
        <v>202101</v>
      </c>
      <c r="E1755" s="5" t="s">
        <v>3</v>
      </c>
      <c r="F1755" s="5" t="s">
        <v>12</v>
      </c>
      <c r="G1755" s="5" t="s">
        <v>45</v>
      </c>
      <c r="H1755">
        <v>40</v>
      </c>
      <c r="I1755" s="4">
        <v>304560</v>
      </c>
      <c r="J1755" s="4">
        <v>132600</v>
      </c>
    </row>
    <row r="1756" spans="2:10" x14ac:dyDescent="0.3">
      <c r="B1756" s="7">
        <v>44228</v>
      </c>
      <c r="C1756" s="3">
        <f t="shared" si="54"/>
        <v>2021</v>
      </c>
      <c r="D1756" s="3">
        <f t="shared" si="55"/>
        <v>202102</v>
      </c>
      <c r="E1756" s="5" t="s">
        <v>3</v>
      </c>
      <c r="F1756" s="5" t="s">
        <v>12</v>
      </c>
      <c r="G1756" s="5" t="s">
        <v>45</v>
      </c>
      <c r="H1756">
        <v>25</v>
      </c>
      <c r="I1756" s="4">
        <v>202775</v>
      </c>
      <c r="J1756" s="4">
        <v>82875</v>
      </c>
    </row>
    <row r="1757" spans="2:10" x14ac:dyDescent="0.3">
      <c r="B1757" s="7">
        <v>44256</v>
      </c>
      <c r="C1757" s="3">
        <f t="shared" si="54"/>
        <v>2021</v>
      </c>
      <c r="D1757" s="3">
        <f t="shared" si="55"/>
        <v>202103</v>
      </c>
      <c r="E1757" s="5" t="s">
        <v>3</v>
      </c>
      <c r="F1757" s="5" t="s">
        <v>12</v>
      </c>
      <c r="G1757" s="5" t="s">
        <v>45</v>
      </c>
      <c r="H1757">
        <v>20</v>
      </c>
      <c r="I1757" s="4">
        <v>135700</v>
      </c>
      <c r="J1757" s="4">
        <v>66300</v>
      </c>
    </row>
    <row r="1758" spans="2:10" x14ac:dyDescent="0.3">
      <c r="B1758" s="7">
        <v>44287</v>
      </c>
      <c r="C1758" s="3">
        <f t="shared" si="54"/>
        <v>2021</v>
      </c>
      <c r="D1758" s="3">
        <f t="shared" si="55"/>
        <v>202104</v>
      </c>
      <c r="E1758" s="5" t="s">
        <v>3</v>
      </c>
      <c r="F1758" s="5" t="s">
        <v>12</v>
      </c>
      <c r="G1758" s="5" t="s">
        <v>45</v>
      </c>
      <c r="H1758">
        <v>38</v>
      </c>
      <c r="I1758" s="4">
        <v>304722</v>
      </c>
      <c r="J1758" s="4">
        <v>125970</v>
      </c>
    </row>
    <row r="1759" spans="2:10" x14ac:dyDescent="0.3">
      <c r="B1759" s="7">
        <v>44317</v>
      </c>
      <c r="C1759" s="3">
        <f t="shared" si="54"/>
        <v>2021</v>
      </c>
      <c r="D1759" s="3">
        <f t="shared" si="55"/>
        <v>202105</v>
      </c>
      <c r="E1759" s="5" t="s">
        <v>3</v>
      </c>
      <c r="F1759" s="5" t="s">
        <v>12</v>
      </c>
      <c r="G1759" s="5" t="s">
        <v>45</v>
      </c>
      <c r="H1759">
        <v>48</v>
      </c>
      <c r="I1759" s="4">
        <v>428304</v>
      </c>
      <c r="J1759" s="4">
        <v>159120</v>
      </c>
    </row>
    <row r="1760" spans="2:10" x14ac:dyDescent="0.3">
      <c r="B1760" s="7">
        <v>44348</v>
      </c>
      <c r="C1760" s="3">
        <f t="shared" si="54"/>
        <v>2021</v>
      </c>
      <c r="D1760" s="3">
        <f t="shared" si="55"/>
        <v>202106</v>
      </c>
      <c r="E1760" s="5" t="s">
        <v>3</v>
      </c>
      <c r="F1760" s="5" t="s">
        <v>12</v>
      </c>
      <c r="G1760" s="5" t="s">
        <v>45</v>
      </c>
      <c r="H1760">
        <v>45</v>
      </c>
      <c r="I1760" s="4">
        <v>347625</v>
      </c>
      <c r="J1760" s="4">
        <v>149175</v>
      </c>
    </row>
    <row r="1761" spans="2:10" x14ac:dyDescent="0.3">
      <c r="B1761" s="7">
        <v>44378</v>
      </c>
      <c r="C1761" s="3">
        <f t="shared" si="54"/>
        <v>2021</v>
      </c>
      <c r="D1761" s="3">
        <f t="shared" si="55"/>
        <v>202107</v>
      </c>
      <c r="E1761" s="5" t="s">
        <v>3</v>
      </c>
      <c r="F1761" s="5" t="s">
        <v>12</v>
      </c>
      <c r="G1761" s="5" t="s">
        <v>45</v>
      </c>
      <c r="H1761">
        <v>48</v>
      </c>
      <c r="I1761" s="4">
        <v>314112</v>
      </c>
      <c r="J1761" s="4">
        <v>159120</v>
      </c>
    </row>
    <row r="1762" spans="2:10" x14ac:dyDescent="0.3">
      <c r="B1762" s="7">
        <v>44409</v>
      </c>
      <c r="C1762" s="3">
        <f t="shared" si="54"/>
        <v>2021</v>
      </c>
      <c r="D1762" s="3">
        <f t="shared" si="55"/>
        <v>202108</v>
      </c>
      <c r="E1762" s="5" t="s">
        <v>3</v>
      </c>
      <c r="F1762" s="5" t="s">
        <v>12</v>
      </c>
      <c r="G1762" s="5" t="s">
        <v>45</v>
      </c>
      <c r="H1762">
        <v>40</v>
      </c>
      <c r="I1762" s="4">
        <v>274080</v>
      </c>
      <c r="J1762" s="4">
        <v>132600</v>
      </c>
    </row>
    <row r="1763" spans="2:10" x14ac:dyDescent="0.3">
      <c r="B1763" s="7">
        <v>44440</v>
      </c>
      <c r="C1763" s="3">
        <f t="shared" si="54"/>
        <v>2021</v>
      </c>
      <c r="D1763" s="3">
        <f t="shared" si="55"/>
        <v>202109</v>
      </c>
      <c r="E1763" s="5" t="s">
        <v>3</v>
      </c>
      <c r="F1763" s="5" t="s">
        <v>12</v>
      </c>
      <c r="G1763" s="5" t="s">
        <v>45</v>
      </c>
      <c r="H1763">
        <v>43</v>
      </c>
      <c r="I1763" s="4">
        <v>301430</v>
      </c>
      <c r="J1763" s="4">
        <v>142545</v>
      </c>
    </row>
    <row r="1764" spans="2:10" x14ac:dyDescent="0.3">
      <c r="B1764" s="7">
        <v>44470</v>
      </c>
      <c r="C1764" s="3">
        <f t="shared" si="54"/>
        <v>2021</v>
      </c>
      <c r="D1764" s="3">
        <f t="shared" si="55"/>
        <v>202110</v>
      </c>
      <c r="E1764" s="5" t="s">
        <v>3</v>
      </c>
      <c r="F1764" s="5" t="s">
        <v>12</v>
      </c>
      <c r="G1764" s="5" t="s">
        <v>45</v>
      </c>
      <c r="H1764">
        <v>35</v>
      </c>
      <c r="I1764" s="4">
        <v>274645</v>
      </c>
      <c r="J1764" s="4">
        <v>116025</v>
      </c>
    </row>
    <row r="1765" spans="2:10" x14ac:dyDescent="0.3">
      <c r="B1765" s="7">
        <v>44501</v>
      </c>
      <c r="C1765" s="3">
        <f t="shared" si="54"/>
        <v>2021</v>
      </c>
      <c r="D1765" s="3">
        <f t="shared" si="55"/>
        <v>202111</v>
      </c>
      <c r="E1765" s="5" t="s">
        <v>3</v>
      </c>
      <c r="F1765" s="5" t="s">
        <v>12</v>
      </c>
      <c r="G1765" s="5" t="s">
        <v>45</v>
      </c>
      <c r="H1765">
        <v>25</v>
      </c>
      <c r="I1765" s="4">
        <v>195825</v>
      </c>
      <c r="J1765" s="4">
        <v>82875</v>
      </c>
    </row>
    <row r="1766" spans="2:10" x14ac:dyDescent="0.3">
      <c r="B1766" s="7">
        <v>44531</v>
      </c>
      <c r="C1766" s="3">
        <f t="shared" si="54"/>
        <v>2021</v>
      </c>
      <c r="D1766" s="3">
        <f t="shared" si="55"/>
        <v>202112</v>
      </c>
      <c r="E1766" s="5" t="s">
        <v>3</v>
      </c>
      <c r="F1766" s="5" t="s">
        <v>12</v>
      </c>
      <c r="G1766" s="5" t="s">
        <v>45</v>
      </c>
      <c r="H1766">
        <v>30</v>
      </c>
      <c r="I1766" s="4">
        <v>211320</v>
      </c>
      <c r="J1766" s="4">
        <v>99450</v>
      </c>
    </row>
    <row r="1767" spans="2:10" x14ac:dyDescent="0.3">
      <c r="B1767" s="7">
        <v>44562</v>
      </c>
      <c r="C1767" s="3">
        <f t="shared" si="54"/>
        <v>2022</v>
      </c>
      <c r="D1767" s="3">
        <f t="shared" si="55"/>
        <v>202201</v>
      </c>
      <c r="E1767" s="5" t="s">
        <v>3</v>
      </c>
      <c r="F1767" s="5" t="s">
        <v>12</v>
      </c>
      <c r="G1767" s="5" t="s">
        <v>45</v>
      </c>
      <c r="H1767">
        <v>44</v>
      </c>
      <c r="I1767" s="4">
        <v>326392</v>
      </c>
      <c r="J1767" s="4">
        <v>145860</v>
      </c>
    </row>
    <row r="1768" spans="2:10" x14ac:dyDescent="0.3">
      <c r="B1768" s="7">
        <v>44593</v>
      </c>
      <c r="C1768" s="3">
        <f t="shared" si="54"/>
        <v>2022</v>
      </c>
      <c r="D1768" s="3">
        <f t="shared" si="55"/>
        <v>202202</v>
      </c>
      <c r="E1768" s="5" t="s">
        <v>3</v>
      </c>
      <c r="F1768" s="5" t="s">
        <v>12</v>
      </c>
      <c r="G1768" s="5" t="s">
        <v>45</v>
      </c>
      <c r="H1768">
        <v>28</v>
      </c>
      <c r="I1768" s="4">
        <v>215600</v>
      </c>
      <c r="J1768" s="4">
        <v>92820</v>
      </c>
    </row>
    <row r="1769" spans="2:10" x14ac:dyDescent="0.3">
      <c r="B1769" s="7">
        <v>44621</v>
      </c>
      <c r="C1769" s="3">
        <f t="shared" si="54"/>
        <v>2022</v>
      </c>
      <c r="D1769" s="3">
        <f t="shared" si="55"/>
        <v>202203</v>
      </c>
      <c r="E1769" s="5" t="s">
        <v>3</v>
      </c>
      <c r="F1769" s="5" t="s">
        <v>12</v>
      </c>
      <c r="G1769" s="5" t="s">
        <v>45</v>
      </c>
      <c r="H1769">
        <v>22</v>
      </c>
      <c r="I1769" s="4">
        <v>167420</v>
      </c>
      <c r="J1769" s="4">
        <v>72930</v>
      </c>
    </row>
    <row r="1770" spans="2:10" x14ac:dyDescent="0.3">
      <c r="B1770" s="7">
        <v>44652</v>
      </c>
      <c r="C1770" s="3">
        <f t="shared" si="54"/>
        <v>2022</v>
      </c>
      <c r="D1770" s="3">
        <f t="shared" si="55"/>
        <v>202204</v>
      </c>
      <c r="E1770" s="5" t="s">
        <v>3</v>
      </c>
      <c r="F1770" s="5" t="s">
        <v>12</v>
      </c>
      <c r="G1770" s="5" t="s">
        <v>45</v>
      </c>
      <c r="H1770">
        <v>42</v>
      </c>
      <c r="I1770" s="4">
        <v>371154</v>
      </c>
      <c r="J1770" s="4">
        <v>139230</v>
      </c>
    </row>
    <row r="1771" spans="2:10" x14ac:dyDescent="0.3">
      <c r="B1771" s="7">
        <v>44682</v>
      </c>
      <c r="C1771" s="3">
        <f t="shared" si="54"/>
        <v>2022</v>
      </c>
      <c r="D1771" s="3">
        <f t="shared" si="55"/>
        <v>202205</v>
      </c>
      <c r="E1771" s="5" t="s">
        <v>3</v>
      </c>
      <c r="F1771" s="5" t="s">
        <v>12</v>
      </c>
      <c r="G1771" s="5" t="s">
        <v>45</v>
      </c>
      <c r="H1771">
        <v>53</v>
      </c>
      <c r="I1771" s="4">
        <v>438999</v>
      </c>
      <c r="J1771" s="4">
        <v>175695</v>
      </c>
    </row>
    <row r="1772" spans="2:10" x14ac:dyDescent="0.3">
      <c r="B1772" s="7">
        <v>44713</v>
      </c>
      <c r="C1772" s="3">
        <f t="shared" si="54"/>
        <v>2022</v>
      </c>
      <c r="D1772" s="3">
        <f t="shared" si="55"/>
        <v>202206</v>
      </c>
      <c r="E1772" s="5" t="s">
        <v>3</v>
      </c>
      <c r="F1772" s="5" t="s">
        <v>12</v>
      </c>
      <c r="G1772" s="5" t="s">
        <v>45</v>
      </c>
      <c r="H1772">
        <v>50</v>
      </c>
      <c r="I1772" s="4">
        <v>392100</v>
      </c>
      <c r="J1772" s="4">
        <v>165750</v>
      </c>
    </row>
    <row r="1773" spans="2:10" x14ac:dyDescent="0.3">
      <c r="B1773" s="7">
        <v>44743</v>
      </c>
      <c r="C1773" s="3">
        <f t="shared" si="54"/>
        <v>2022</v>
      </c>
      <c r="D1773" s="3">
        <f t="shared" si="55"/>
        <v>202207</v>
      </c>
      <c r="E1773" s="5" t="s">
        <v>3</v>
      </c>
      <c r="F1773" s="5" t="s">
        <v>12</v>
      </c>
      <c r="G1773" s="5" t="s">
        <v>45</v>
      </c>
      <c r="H1773">
        <v>53</v>
      </c>
      <c r="I1773" s="4">
        <v>341373</v>
      </c>
      <c r="J1773" s="4">
        <v>175695</v>
      </c>
    </row>
    <row r="1774" spans="2:10" x14ac:dyDescent="0.3">
      <c r="B1774" s="7">
        <v>44774</v>
      </c>
      <c r="C1774" s="3">
        <f t="shared" si="54"/>
        <v>2022</v>
      </c>
      <c r="D1774" s="3">
        <f t="shared" si="55"/>
        <v>202208</v>
      </c>
      <c r="E1774" s="5" t="s">
        <v>3</v>
      </c>
      <c r="F1774" s="5" t="s">
        <v>12</v>
      </c>
      <c r="G1774" s="5" t="s">
        <v>45</v>
      </c>
      <c r="H1774">
        <v>44</v>
      </c>
      <c r="I1774" s="4">
        <v>301620</v>
      </c>
      <c r="J1774" s="4">
        <v>145860</v>
      </c>
    </row>
    <row r="1775" spans="2:10" x14ac:dyDescent="0.3">
      <c r="B1775" s="7">
        <v>44805</v>
      </c>
      <c r="C1775" s="3">
        <f t="shared" si="54"/>
        <v>2022</v>
      </c>
      <c r="D1775" s="3">
        <f t="shared" si="55"/>
        <v>202209</v>
      </c>
      <c r="E1775" s="5" t="s">
        <v>3</v>
      </c>
      <c r="F1775" s="5" t="s">
        <v>12</v>
      </c>
      <c r="G1775" s="5" t="s">
        <v>45</v>
      </c>
      <c r="H1775">
        <v>47</v>
      </c>
      <c r="I1775" s="4">
        <v>327872</v>
      </c>
      <c r="J1775" s="4">
        <v>155805</v>
      </c>
    </row>
    <row r="1776" spans="2:10" x14ac:dyDescent="0.3">
      <c r="B1776" s="7">
        <v>44835</v>
      </c>
      <c r="C1776" s="3">
        <f t="shared" si="54"/>
        <v>2022</v>
      </c>
      <c r="D1776" s="3">
        <f t="shared" si="55"/>
        <v>202210</v>
      </c>
      <c r="E1776" s="5" t="s">
        <v>3</v>
      </c>
      <c r="F1776" s="5" t="s">
        <v>12</v>
      </c>
      <c r="G1776" s="5" t="s">
        <v>45</v>
      </c>
      <c r="H1776">
        <v>39</v>
      </c>
      <c r="I1776" s="4">
        <v>295815</v>
      </c>
      <c r="J1776" s="4">
        <v>129285</v>
      </c>
    </row>
    <row r="1777" spans="2:10" x14ac:dyDescent="0.3">
      <c r="B1777" s="7">
        <v>44866</v>
      </c>
      <c r="C1777" s="3">
        <f t="shared" si="54"/>
        <v>2022</v>
      </c>
      <c r="D1777" s="3">
        <f t="shared" si="55"/>
        <v>202211</v>
      </c>
      <c r="E1777" s="5" t="s">
        <v>3</v>
      </c>
      <c r="F1777" s="5" t="s">
        <v>12</v>
      </c>
      <c r="G1777" s="5" t="s">
        <v>45</v>
      </c>
      <c r="H1777">
        <v>28</v>
      </c>
      <c r="I1777" s="4">
        <v>205492</v>
      </c>
      <c r="J1777" s="4">
        <v>92820</v>
      </c>
    </row>
    <row r="1778" spans="2:10" x14ac:dyDescent="0.3">
      <c r="B1778" s="7">
        <v>44896</v>
      </c>
      <c r="C1778" s="3">
        <f t="shared" si="54"/>
        <v>2022</v>
      </c>
      <c r="D1778" s="3">
        <f t="shared" si="55"/>
        <v>202212</v>
      </c>
      <c r="E1778" s="5" t="s">
        <v>3</v>
      </c>
      <c r="F1778" s="5" t="s">
        <v>12</v>
      </c>
      <c r="G1778" s="5" t="s">
        <v>45</v>
      </c>
      <c r="H1778">
        <v>33</v>
      </c>
      <c r="I1778" s="4">
        <v>252384</v>
      </c>
      <c r="J1778" s="4">
        <v>109395</v>
      </c>
    </row>
    <row r="1779" spans="2:10" x14ac:dyDescent="0.3">
      <c r="B1779" s="7">
        <v>44197</v>
      </c>
      <c r="C1779" s="3">
        <f t="shared" si="54"/>
        <v>2021</v>
      </c>
      <c r="D1779" s="3">
        <f t="shared" si="55"/>
        <v>202101</v>
      </c>
      <c r="E1779" s="5" t="s">
        <v>3</v>
      </c>
      <c r="F1779" s="5" t="s">
        <v>12</v>
      </c>
      <c r="G1779" s="5" t="s">
        <v>46</v>
      </c>
      <c r="H1779">
        <v>44</v>
      </c>
      <c r="I1779" s="4">
        <v>495924</v>
      </c>
      <c r="J1779" s="4">
        <v>206800</v>
      </c>
    </row>
    <row r="1780" spans="2:10" x14ac:dyDescent="0.3">
      <c r="B1780" s="7">
        <v>44228</v>
      </c>
      <c r="C1780" s="3">
        <f t="shared" si="54"/>
        <v>2021</v>
      </c>
      <c r="D1780" s="3">
        <f t="shared" si="55"/>
        <v>202102</v>
      </c>
      <c r="E1780" s="5" t="s">
        <v>3</v>
      </c>
      <c r="F1780" s="5" t="s">
        <v>12</v>
      </c>
      <c r="G1780" s="5" t="s">
        <v>46</v>
      </c>
      <c r="H1780">
        <v>28</v>
      </c>
      <c r="I1780" s="4">
        <v>333368</v>
      </c>
      <c r="J1780" s="4">
        <v>131600</v>
      </c>
    </row>
    <row r="1781" spans="2:10" x14ac:dyDescent="0.3">
      <c r="B1781" s="7">
        <v>44256</v>
      </c>
      <c r="C1781" s="3">
        <f t="shared" si="54"/>
        <v>2021</v>
      </c>
      <c r="D1781" s="3">
        <f t="shared" si="55"/>
        <v>202103</v>
      </c>
      <c r="E1781" s="5" t="s">
        <v>3</v>
      </c>
      <c r="F1781" s="5" t="s">
        <v>12</v>
      </c>
      <c r="G1781" s="5" t="s">
        <v>46</v>
      </c>
      <c r="H1781">
        <v>22</v>
      </c>
      <c r="I1781" s="4">
        <v>241230</v>
      </c>
      <c r="J1781" s="4">
        <v>103400</v>
      </c>
    </row>
    <row r="1782" spans="2:10" x14ac:dyDescent="0.3">
      <c r="B1782" s="7">
        <v>44287</v>
      </c>
      <c r="C1782" s="3">
        <f t="shared" si="54"/>
        <v>2021</v>
      </c>
      <c r="D1782" s="3">
        <f t="shared" si="55"/>
        <v>202104</v>
      </c>
      <c r="E1782" s="5" t="s">
        <v>3</v>
      </c>
      <c r="F1782" s="5" t="s">
        <v>12</v>
      </c>
      <c r="G1782" s="5" t="s">
        <v>46</v>
      </c>
      <c r="H1782">
        <v>42</v>
      </c>
      <c r="I1782" s="4">
        <v>475734</v>
      </c>
      <c r="J1782" s="4">
        <v>197400</v>
      </c>
    </row>
    <row r="1783" spans="2:10" x14ac:dyDescent="0.3">
      <c r="B1783" s="7">
        <v>44317</v>
      </c>
      <c r="C1783" s="3">
        <f t="shared" si="54"/>
        <v>2021</v>
      </c>
      <c r="D1783" s="3">
        <f t="shared" si="55"/>
        <v>202105</v>
      </c>
      <c r="E1783" s="5" t="s">
        <v>3</v>
      </c>
      <c r="F1783" s="5" t="s">
        <v>12</v>
      </c>
      <c r="G1783" s="5" t="s">
        <v>46</v>
      </c>
      <c r="H1783">
        <v>53</v>
      </c>
      <c r="I1783" s="4">
        <v>599536</v>
      </c>
      <c r="J1783" s="4">
        <v>249100</v>
      </c>
    </row>
    <row r="1784" spans="2:10" x14ac:dyDescent="0.3">
      <c r="B1784" s="7">
        <v>44348</v>
      </c>
      <c r="C1784" s="3">
        <f t="shared" si="54"/>
        <v>2021</v>
      </c>
      <c r="D1784" s="3">
        <f t="shared" si="55"/>
        <v>202106</v>
      </c>
      <c r="E1784" s="5" t="s">
        <v>3</v>
      </c>
      <c r="F1784" s="5" t="s">
        <v>12</v>
      </c>
      <c r="G1784" s="5" t="s">
        <v>46</v>
      </c>
      <c r="H1784">
        <v>50</v>
      </c>
      <c r="I1784" s="4">
        <v>556000</v>
      </c>
      <c r="J1784" s="4">
        <v>235000</v>
      </c>
    </row>
    <row r="1785" spans="2:10" x14ac:dyDescent="0.3">
      <c r="B1785" s="7">
        <v>44378</v>
      </c>
      <c r="C1785" s="3">
        <f t="shared" si="54"/>
        <v>2021</v>
      </c>
      <c r="D1785" s="3">
        <f t="shared" si="55"/>
        <v>202107</v>
      </c>
      <c r="E1785" s="5" t="s">
        <v>3</v>
      </c>
      <c r="F1785" s="5" t="s">
        <v>12</v>
      </c>
      <c r="G1785" s="5" t="s">
        <v>46</v>
      </c>
      <c r="H1785">
        <v>53</v>
      </c>
      <c r="I1785" s="4">
        <v>539699</v>
      </c>
      <c r="J1785" s="4">
        <v>249100</v>
      </c>
    </row>
    <row r="1786" spans="2:10" x14ac:dyDescent="0.3">
      <c r="B1786" s="7">
        <v>44409</v>
      </c>
      <c r="C1786" s="3">
        <f t="shared" si="54"/>
        <v>2021</v>
      </c>
      <c r="D1786" s="3">
        <f t="shared" si="55"/>
        <v>202108</v>
      </c>
      <c r="E1786" s="5" t="s">
        <v>3</v>
      </c>
      <c r="F1786" s="5" t="s">
        <v>12</v>
      </c>
      <c r="G1786" s="5" t="s">
        <v>46</v>
      </c>
      <c r="H1786">
        <v>44</v>
      </c>
      <c r="I1786" s="4">
        <v>466840</v>
      </c>
      <c r="J1786" s="4">
        <v>206800</v>
      </c>
    </row>
    <row r="1787" spans="2:10" x14ac:dyDescent="0.3">
      <c r="B1787" s="7">
        <v>44440</v>
      </c>
      <c r="C1787" s="3">
        <f t="shared" si="54"/>
        <v>2021</v>
      </c>
      <c r="D1787" s="3">
        <f t="shared" si="55"/>
        <v>202109</v>
      </c>
      <c r="E1787" s="5" t="s">
        <v>3</v>
      </c>
      <c r="F1787" s="5" t="s">
        <v>12</v>
      </c>
      <c r="G1787" s="5" t="s">
        <v>46</v>
      </c>
      <c r="H1787">
        <v>47</v>
      </c>
      <c r="I1787" s="4">
        <v>508540</v>
      </c>
      <c r="J1787" s="4">
        <v>220900</v>
      </c>
    </row>
    <row r="1788" spans="2:10" x14ac:dyDescent="0.3">
      <c r="B1788" s="7">
        <v>44470</v>
      </c>
      <c r="C1788" s="3">
        <f t="shared" si="54"/>
        <v>2021</v>
      </c>
      <c r="D1788" s="3">
        <f t="shared" si="55"/>
        <v>202110</v>
      </c>
      <c r="E1788" s="5" t="s">
        <v>3</v>
      </c>
      <c r="F1788" s="5" t="s">
        <v>12</v>
      </c>
      <c r="G1788" s="5" t="s">
        <v>46</v>
      </c>
      <c r="H1788">
        <v>39</v>
      </c>
      <c r="I1788" s="4">
        <v>462189</v>
      </c>
      <c r="J1788" s="4">
        <v>183300</v>
      </c>
    </row>
    <row r="1789" spans="2:10" x14ac:dyDescent="0.3">
      <c r="B1789" s="7">
        <v>44501</v>
      </c>
      <c r="C1789" s="3">
        <f t="shared" si="54"/>
        <v>2021</v>
      </c>
      <c r="D1789" s="3">
        <f t="shared" si="55"/>
        <v>202111</v>
      </c>
      <c r="E1789" s="5" t="s">
        <v>3</v>
      </c>
      <c r="F1789" s="5" t="s">
        <v>12</v>
      </c>
      <c r="G1789" s="5" t="s">
        <v>46</v>
      </c>
      <c r="H1789">
        <v>28</v>
      </c>
      <c r="I1789" s="4">
        <v>324604</v>
      </c>
      <c r="J1789" s="4">
        <v>131600</v>
      </c>
    </row>
    <row r="1790" spans="2:10" x14ac:dyDescent="0.3">
      <c r="B1790" s="7">
        <v>44531</v>
      </c>
      <c r="C1790" s="3">
        <f t="shared" si="54"/>
        <v>2021</v>
      </c>
      <c r="D1790" s="3">
        <f t="shared" si="55"/>
        <v>202112</v>
      </c>
      <c r="E1790" s="5" t="s">
        <v>3</v>
      </c>
      <c r="F1790" s="5" t="s">
        <v>12</v>
      </c>
      <c r="G1790" s="5" t="s">
        <v>46</v>
      </c>
      <c r="H1790">
        <v>33</v>
      </c>
      <c r="I1790" s="4">
        <v>372372</v>
      </c>
      <c r="J1790" s="4">
        <v>155100</v>
      </c>
    </row>
    <row r="1791" spans="2:10" x14ac:dyDescent="0.3">
      <c r="B1791" s="7">
        <v>44562</v>
      </c>
      <c r="C1791" s="3">
        <f t="shared" si="54"/>
        <v>2022</v>
      </c>
      <c r="D1791" s="3">
        <f t="shared" si="55"/>
        <v>202201</v>
      </c>
      <c r="E1791" s="5" t="s">
        <v>3</v>
      </c>
      <c r="F1791" s="5" t="s">
        <v>12</v>
      </c>
      <c r="G1791" s="5" t="s">
        <v>46</v>
      </c>
      <c r="H1791">
        <v>49</v>
      </c>
      <c r="I1791" s="4">
        <v>577171</v>
      </c>
      <c r="J1791" s="4">
        <v>230300</v>
      </c>
    </row>
    <row r="1792" spans="2:10" x14ac:dyDescent="0.3">
      <c r="B1792" s="7">
        <v>44593</v>
      </c>
      <c r="C1792" s="3">
        <f t="shared" si="54"/>
        <v>2022</v>
      </c>
      <c r="D1792" s="3">
        <f t="shared" si="55"/>
        <v>202202</v>
      </c>
      <c r="E1792" s="5" t="s">
        <v>3</v>
      </c>
      <c r="F1792" s="5" t="s">
        <v>12</v>
      </c>
      <c r="G1792" s="5" t="s">
        <v>46</v>
      </c>
      <c r="H1792">
        <v>31</v>
      </c>
      <c r="I1792" s="4">
        <v>366389</v>
      </c>
      <c r="J1792" s="4">
        <v>145700</v>
      </c>
    </row>
    <row r="1793" spans="2:10" x14ac:dyDescent="0.3">
      <c r="B1793" s="7">
        <v>44621</v>
      </c>
      <c r="C1793" s="3">
        <f t="shared" si="54"/>
        <v>2022</v>
      </c>
      <c r="D1793" s="3">
        <f t="shared" si="55"/>
        <v>202203</v>
      </c>
      <c r="E1793" s="5" t="s">
        <v>3</v>
      </c>
      <c r="F1793" s="5" t="s">
        <v>12</v>
      </c>
      <c r="G1793" s="5" t="s">
        <v>46</v>
      </c>
      <c r="H1793">
        <v>25</v>
      </c>
      <c r="I1793" s="4">
        <v>274150</v>
      </c>
      <c r="J1793" s="4">
        <v>117500</v>
      </c>
    </row>
    <row r="1794" spans="2:10" x14ac:dyDescent="0.3">
      <c r="B1794" s="7">
        <v>44652</v>
      </c>
      <c r="C1794" s="3">
        <f t="shared" si="54"/>
        <v>2022</v>
      </c>
      <c r="D1794" s="3">
        <f t="shared" si="55"/>
        <v>202204</v>
      </c>
      <c r="E1794" s="5" t="s">
        <v>3</v>
      </c>
      <c r="F1794" s="5" t="s">
        <v>12</v>
      </c>
      <c r="G1794" s="5" t="s">
        <v>46</v>
      </c>
      <c r="H1794">
        <v>46</v>
      </c>
      <c r="I1794" s="4">
        <v>545330</v>
      </c>
      <c r="J1794" s="4">
        <v>216200</v>
      </c>
    </row>
    <row r="1795" spans="2:10" x14ac:dyDescent="0.3">
      <c r="B1795" s="7">
        <v>44682</v>
      </c>
      <c r="C1795" s="3">
        <f t="shared" ref="C1795:C1858" si="56">YEAR(B1795)</f>
        <v>2022</v>
      </c>
      <c r="D1795" s="3">
        <f t="shared" ref="D1795:D1858" si="57">VALUE(TEXT(B1795,"ГГГГММ"))</f>
        <v>202205</v>
      </c>
      <c r="E1795" s="5" t="s">
        <v>3</v>
      </c>
      <c r="F1795" s="5" t="s">
        <v>12</v>
      </c>
      <c r="G1795" s="5" t="s">
        <v>46</v>
      </c>
      <c r="H1795">
        <v>58</v>
      </c>
      <c r="I1795" s="4">
        <v>721752</v>
      </c>
      <c r="J1795" s="4">
        <v>272600</v>
      </c>
    </row>
    <row r="1796" spans="2:10" x14ac:dyDescent="0.3">
      <c r="B1796" s="7">
        <v>44713</v>
      </c>
      <c r="C1796" s="3">
        <f t="shared" si="56"/>
        <v>2022</v>
      </c>
      <c r="D1796" s="3">
        <f t="shared" si="57"/>
        <v>202206</v>
      </c>
      <c r="E1796" s="5" t="s">
        <v>3</v>
      </c>
      <c r="F1796" s="5" t="s">
        <v>12</v>
      </c>
      <c r="G1796" s="5" t="s">
        <v>46</v>
      </c>
      <c r="H1796">
        <v>55</v>
      </c>
      <c r="I1796" s="4">
        <v>597575</v>
      </c>
      <c r="J1796" s="4">
        <v>258500</v>
      </c>
    </row>
    <row r="1797" spans="2:10" x14ac:dyDescent="0.3">
      <c r="B1797" s="7">
        <v>44743</v>
      </c>
      <c r="C1797" s="3">
        <f t="shared" si="56"/>
        <v>2022</v>
      </c>
      <c r="D1797" s="3">
        <f t="shared" si="57"/>
        <v>202207</v>
      </c>
      <c r="E1797" s="5" t="s">
        <v>3</v>
      </c>
      <c r="F1797" s="5" t="s">
        <v>12</v>
      </c>
      <c r="G1797" s="5" t="s">
        <v>46</v>
      </c>
      <c r="H1797">
        <v>58</v>
      </c>
      <c r="I1797" s="4">
        <v>561208</v>
      </c>
      <c r="J1797" s="4">
        <v>272600</v>
      </c>
    </row>
    <row r="1798" spans="2:10" x14ac:dyDescent="0.3">
      <c r="B1798" s="7">
        <v>44774</v>
      </c>
      <c r="C1798" s="3">
        <f t="shared" si="56"/>
        <v>2022</v>
      </c>
      <c r="D1798" s="3">
        <f t="shared" si="57"/>
        <v>202208</v>
      </c>
      <c r="E1798" s="5" t="s">
        <v>3</v>
      </c>
      <c r="F1798" s="5" t="s">
        <v>12</v>
      </c>
      <c r="G1798" s="5" t="s">
        <v>46</v>
      </c>
      <c r="H1798">
        <v>49</v>
      </c>
      <c r="I1798" s="4">
        <v>519253</v>
      </c>
      <c r="J1798" s="4">
        <v>230300</v>
      </c>
    </row>
    <row r="1799" spans="2:10" x14ac:dyDescent="0.3">
      <c r="B1799" s="7">
        <v>44805</v>
      </c>
      <c r="C1799" s="3">
        <f t="shared" si="56"/>
        <v>2022</v>
      </c>
      <c r="D1799" s="3">
        <f t="shared" si="57"/>
        <v>202209</v>
      </c>
      <c r="E1799" s="5" t="s">
        <v>3</v>
      </c>
      <c r="F1799" s="5" t="s">
        <v>12</v>
      </c>
      <c r="G1799" s="5" t="s">
        <v>46</v>
      </c>
      <c r="H1799">
        <v>52</v>
      </c>
      <c r="I1799" s="4">
        <v>534924</v>
      </c>
      <c r="J1799" s="4">
        <v>244400</v>
      </c>
    </row>
    <row r="1800" spans="2:10" x14ac:dyDescent="0.3">
      <c r="B1800" s="7">
        <v>44835</v>
      </c>
      <c r="C1800" s="3">
        <f t="shared" si="56"/>
        <v>2022</v>
      </c>
      <c r="D1800" s="3">
        <f t="shared" si="57"/>
        <v>202210</v>
      </c>
      <c r="E1800" s="5" t="s">
        <v>3</v>
      </c>
      <c r="F1800" s="5" t="s">
        <v>12</v>
      </c>
      <c r="G1800" s="5" t="s">
        <v>46</v>
      </c>
      <c r="H1800">
        <v>43</v>
      </c>
      <c r="I1800" s="4">
        <v>515914</v>
      </c>
      <c r="J1800" s="4">
        <v>202100</v>
      </c>
    </row>
    <row r="1801" spans="2:10" x14ac:dyDescent="0.3">
      <c r="B1801" s="7">
        <v>44866</v>
      </c>
      <c r="C1801" s="3">
        <f t="shared" si="56"/>
        <v>2022</v>
      </c>
      <c r="D1801" s="3">
        <f t="shared" si="57"/>
        <v>202211</v>
      </c>
      <c r="E1801" s="5" t="s">
        <v>3</v>
      </c>
      <c r="F1801" s="5" t="s">
        <v>12</v>
      </c>
      <c r="G1801" s="5" t="s">
        <v>46</v>
      </c>
      <c r="H1801">
        <v>31</v>
      </c>
      <c r="I1801" s="4">
        <v>343666</v>
      </c>
      <c r="J1801" s="4">
        <v>145700</v>
      </c>
    </row>
    <row r="1802" spans="2:10" x14ac:dyDescent="0.3">
      <c r="B1802" s="7">
        <v>44896</v>
      </c>
      <c r="C1802" s="3">
        <f t="shared" si="56"/>
        <v>2022</v>
      </c>
      <c r="D1802" s="3">
        <f t="shared" si="57"/>
        <v>202212</v>
      </c>
      <c r="E1802" s="5" t="s">
        <v>3</v>
      </c>
      <c r="F1802" s="5" t="s">
        <v>12</v>
      </c>
      <c r="G1802" s="5" t="s">
        <v>46</v>
      </c>
      <c r="H1802">
        <v>37</v>
      </c>
      <c r="I1802" s="4">
        <v>405705</v>
      </c>
      <c r="J1802" s="4">
        <v>173900</v>
      </c>
    </row>
    <row r="1803" spans="2:10" x14ac:dyDescent="0.3">
      <c r="B1803" s="7">
        <v>44197</v>
      </c>
      <c r="C1803" s="3">
        <f t="shared" si="56"/>
        <v>2021</v>
      </c>
      <c r="D1803" s="3">
        <f t="shared" si="57"/>
        <v>202101</v>
      </c>
      <c r="E1803" s="5" t="s">
        <v>3</v>
      </c>
      <c r="F1803" s="5" t="s">
        <v>12</v>
      </c>
      <c r="G1803" s="5" t="s">
        <v>47</v>
      </c>
      <c r="H1803">
        <v>47</v>
      </c>
      <c r="I1803" s="4">
        <v>490868</v>
      </c>
      <c r="J1803" s="4">
        <v>252343</v>
      </c>
    </row>
    <row r="1804" spans="2:10" x14ac:dyDescent="0.3">
      <c r="B1804" s="7">
        <v>44228</v>
      </c>
      <c r="C1804" s="3">
        <f t="shared" si="56"/>
        <v>2021</v>
      </c>
      <c r="D1804" s="3">
        <f t="shared" si="57"/>
        <v>202102</v>
      </c>
      <c r="E1804" s="5" t="s">
        <v>3</v>
      </c>
      <c r="F1804" s="5" t="s">
        <v>12</v>
      </c>
      <c r="G1804" s="5" t="s">
        <v>47</v>
      </c>
      <c r="H1804">
        <v>29</v>
      </c>
      <c r="I1804" s="4">
        <v>295104</v>
      </c>
      <c r="J1804" s="4">
        <v>155701</v>
      </c>
    </row>
    <row r="1805" spans="2:10" x14ac:dyDescent="0.3">
      <c r="B1805" s="7">
        <v>44256</v>
      </c>
      <c r="C1805" s="3">
        <f t="shared" si="56"/>
        <v>2021</v>
      </c>
      <c r="D1805" s="3">
        <f t="shared" si="57"/>
        <v>202103</v>
      </c>
      <c r="E1805" s="5" t="s">
        <v>3</v>
      </c>
      <c r="F1805" s="5" t="s">
        <v>12</v>
      </c>
      <c r="G1805" s="5" t="s">
        <v>47</v>
      </c>
      <c r="H1805">
        <v>24</v>
      </c>
      <c r="I1805" s="4">
        <v>237288</v>
      </c>
      <c r="J1805" s="4">
        <v>128856</v>
      </c>
    </row>
    <row r="1806" spans="2:10" x14ac:dyDescent="0.3">
      <c r="B1806" s="7">
        <v>44287</v>
      </c>
      <c r="C1806" s="3">
        <f t="shared" si="56"/>
        <v>2021</v>
      </c>
      <c r="D1806" s="3">
        <f t="shared" si="57"/>
        <v>202104</v>
      </c>
      <c r="E1806" s="5" t="s">
        <v>3</v>
      </c>
      <c r="F1806" s="5" t="s">
        <v>12</v>
      </c>
      <c r="G1806" s="5" t="s">
        <v>47</v>
      </c>
      <c r="H1806">
        <v>44</v>
      </c>
      <c r="I1806" s="4">
        <v>488136</v>
      </c>
      <c r="J1806" s="4">
        <v>236236</v>
      </c>
    </row>
    <row r="1807" spans="2:10" x14ac:dyDescent="0.3">
      <c r="B1807" s="7">
        <v>44317</v>
      </c>
      <c r="C1807" s="3">
        <f t="shared" si="56"/>
        <v>2021</v>
      </c>
      <c r="D1807" s="3">
        <f t="shared" si="57"/>
        <v>202105</v>
      </c>
      <c r="E1807" s="5" t="s">
        <v>3</v>
      </c>
      <c r="F1807" s="5" t="s">
        <v>12</v>
      </c>
      <c r="G1807" s="5" t="s">
        <v>47</v>
      </c>
      <c r="H1807">
        <v>55</v>
      </c>
      <c r="I1807" s="4">
        <v>619300</v>
      </c>
      <c r="J1807" s="4">
        <v>295295</v>
      </c>
    </row>
    <row r="1808" spans="2:10" x14ac:dyDescent="0.3">
      <c r="B1808" s="7">
        <v>44348</v>
      </c>
      <c r="C1808" s="3">
        <f t="shared" si="56"/>
        <v>2021</v>
      </c>
      <c r="D1808" s="3">
        <f t="shared" si="57"/>
        <v>202106</v>
      </c>
      <c r="E1808" s="5" t="s">
        <v>3</v>
      </c>
      <c r="F1808" s="5" t="s">
        <v>12</v>
      </c>
      <c r="G1808" s="5" t="s">
        <v>47</v>
      </c>
      <c r="H1808">
        <v>53</v>
      </c>
      <c r="I1808" s="4">
        <v>558408</v>
      </c>
      <c r="J1808" s="4">
        <v>284557</v>
      </c>
    </row>
    <row r="1809" spans="2:10" x14ac:dyDescent="0.3">
      <c r="B1809" s="7">
        <v>44378</v>
      </c>
      <c r="C1809" s="3">
        <f t="shared" si="56"/>
        <v>2021</v>
      </c>
      <c r="D1809" s="3">
        <f t="shared" si="57"/>
        <v>202107</v>
      </c>
      <c r="E1809" s="5" t="s">
        <v>3</v>
      </c>
      <c r="F1809" s="5" t="s">
        <v>12</v>
      </c>
      <c r="G1809" s="5" t="s">
        <v>47</v>
      </c>
      <c r="H1809">
        <v>55</v>
      </c>
      <c r="I1809" s="4">
        <v>456830</v>
      </c>
      <c r="J1809" s="4">
        <v>295295</v>
      </c>
    </row>
    <row r="1810" spans="2:10" x14ac:dyDescent="0.3">
      <c r="B1810" s="7">
        <v>44409</v>
      </c>
      <c r="C1810" s="3">
        <f t="shared" si="56"/>
        <v>2021</v>
      </c>
      <c r="D1810" s="3">
        <f t="shared" si="57"/>
        <v>202108</v>
      </c>
      <c r="E1810" s="5" t="s">
        <v>3</v>
      </c>
      <c r="F1810" s="5" t="s">
        <v>12</v>
      </c>
      <c r="G1810" s="5" t="s">
        <v>47</v>
      </c>
      <c r="H1810">
        <v>47</v>
      </c>
      <c r="I1810" s="4">
        <v>448850</v>
      </c>
      <c r="J1810" s="4">
        <v>252343</v>
      </c>
    </row>
    <row r="1811" spans="2:10" x14ac:dyDescent="0.3">
      <c r="B1811" s="7">
        <v>44440</v>
      </c>
      <c r="C1811" s="3">
        <f t="shared" si="56"/>
        <v>2021</v>
      </c>
      <c r="D1811" s="3">
        <f t="shared" si="57"/>
        <v>202109</v>
      </c>
      <c r="E1811" s="5" t="s">
        <v>3</v>
      </c>
      <c r="F1811" s="5" t="s">
        <v>12</v>
      </c>
      <c r="G1811" s="5" t="s">
        <v>47</v>
      </c>
      <c r="H1811">
        <v>50</v>
      </c>
      <c r="I1811" s="4">
        <v>476900</v>
      </c>
      <c r="J1811" s="4">
        <v>268450</v>
      </c>
    </row>
    <row r="1812" spans="2:10" x14ac:dyDescent="0.3">
      <c r="B1812" s="7">
        <v>44470</v>
      </c>
      <c r="C1812" s="3">
        <f t="shared" si="56"/>
        <v>2021</v>
      </c>
      <c r="D1812" s="3">
        <f t="shared" si="57"/>
        <v>202110</v>
      </c>
      <c r="E1812" s="5" t="s">
        <v>3</v>
      </c>
      <c r="F1812" s="5" t="s">
        <v>12</v>
      </c>
      <c r="G1812" s="5" t="s">
        <v>47</v>
      </c>
      <c r="H1812">
        <v>41</v>
      </c>
      <c r="I1812" s="4">
        <v>432468</v>
      </c>
      <c r="J1812" s="4">
        <v>220129</v>
      </c>
    </row>
    <row r="1813" spans="2:10" x14ac:dyDescent="0.3">
      <c r="B1813" s="7">
        <v>44501</v>
      </c>
      <c r="C1813" s="3">
        <f t="shared" si="56"/>
        <v>2021</v>
      </c>
      <c r="D1813" s="3">
        <f t="shared" si="57"/>
        <v>202111</v>
      </c>
      <c r="E1813" s="5" t="s">
        <v>3</v>
      </c>
      <c r="F1813" s="5" t="s">
        <v>12</v>
      </c>
      <c r="G1813" s="5" t="s">
        <v>47</v>
      </c>
      <c r="H1813">
        <v>29</v>
      </c>
      <c r="I1813" s="4">
        <v>305573</v>
      </c>
      <c r="J1813" s="4">
        <v>155701</v>
      </c>
    </row>
    <row r="1814" spans="2:10" x14ac:dyDescent="0.3">
      <c r="B1814" s="7">
        <v>44531</v>
      </c>
      <c r="C1814" s="3">
        <f t="shared" si="56"/>
        <v>2021</v>
      </c>
      <c r="D1814" s="3">
        <f t="shared" si="57"/>
        <v>202112</v>
      </c>
      <c r="E1814" s="5" t="s">
        <v>3</v>
      </c>
      <c r="F1814" s="5" t="s">
        <v>12</v>
      </c>
      <c r="G1814" s="5" t="s">
        <v>47</v>
      </c>
      <c r="H1814">
        <v>35</v>
      </c>
      <c r="I1814" s="4">
        <v>338345</v>
      </c>
      <c r="J1814" s="4">
        <v>187915</v>
      </c>
    </row>
    <row r="1815" spans="2:10" x14ac:dyDescent="0.3">
      <c r="B1815" s="7">
        <v>44562</v>
      </c>
      <c r="C1815" s="3">
        <f t="shared" si="56"/>
        <v>2022</v>
      </c>
      <c r="D1815" s="3">
        <f t="shared" si="57"/>
        <v>202201</v>
      </c>
      <c r="E1815" s="5" t="s">
        <v>3</v>
      </c>
      <c r="F1815" s="5" t="s">
        <v>12</v>
      </c>
      <c r="G1815" s="5" t="s">
        <v>47</v>
      </c>
      <c r="H1815">
        <v>51</v>
      </c>
      <c r="I1815" s="4">
        <v>540651</v>
      </c>
      <c r="J1815" s="4">
        <v>273819</v>
      </c>
    </row>
    <row r="1816" spans="2:10" x14ac:dyDescent="0.3">
      <c r="B1816" s="7">
        <v>44593</v>
      </c>
      <c r="C1816" s="3">
        <f t="shared" si="56"/>
        <v>2022</v>
      </c>
      <c r="D1816" s="3">
        <f t="shared" si="57"/>
        <v>202202</v>
      </c>
      <c r="E1816" s="5" t="s">
        <v>3</v>
      </c>
      <c r="F1816" s="5" t="s">
        <v>12</v>
      </c>
      <c r="G1816" s="5" t="s">
        <v>47</v>
      </c>
      <c r="H1816">
        <v>32</v>
      </c>
      <c r="I1816" s="4">
        <v>321536</v>
      </c>
      <c r="J1816" s="4">
        <v>171808</v>
      </c>
    </row>
    <row r="1817" spans="2:10" x14ac:dyDescent="0.3">
      <c r="B1817" s="7">
        <v>44621</v>
      </c>
      <c r="C1817" s="3">
        <f t="shared" si="56"/>
        <v>2022</v>
      </c>
      <c r="D1817" s="3">
        <f t="shared" si="57"/>
        <v>202203</v>
      </c>
      <c r="E1817" s="5" t="s">
        <v>3</v>
      </c>
      <c r="F1817" s="5" t="s">
        <v>12</v>
      </c>
      <c r="G1817" s="5" t="s">
        <v>47</v>
      </c>
      <c r="H1817">
        <v>26</v>
      </c>
      <c r="I1817" s="4">
        <v>259142</v>
      </c>
      <c r="J1817" s="4">
        <v>139594</v>
      </c>
    </row>
    <row r="1818" spans="2:10" x14ac:dyDescent="0.3">
      <c r="B1818" s="7">
        <v>44652</v>
      </c>
      <c r="C1818" s="3">
        <f t="shared" si="56"/>
        <v>2022</v>
      </c>
      <c r="D1818" s="3">
        <f t="shared" si="57"/>
        <v>202204</v>
      </c>
      <c r="E1818" s="5" t="s">
        <v>3</v>
      </c>
      <c r="F1818" s="5" t="s">
        <v>12</v>
      </c>
      <c r="G1818" s="5" t="s">
        <v>47</v>
      </c>
      <c r="H1818">
        <v>48</v>
      </c>
      <c r="I1818" s="4">
        <v>537696</v>
      </c>
      <c r="J1818" s="4">
        <v>257712</v>
      </c>
    </row>
    <row r="1819" spans="2:10" x14ac:dyDescent="0.3">
      <c r="B1819" s="7">
        <v>44682</v>
      </c>
      <c r="C1819" s="3">
        <f t="shared" si="56"/>
        <v>2022</v>
      </c>
      <c r="D1819" s="3">
        <f t="shared" si="57"/>
        <v>202205</v>
      </c>
      <c r="E1819" s="5" t="s">
        <v>3</v>
      </c>
      <c r="F1819" s="5" t="s">
        <v>12</v>
      </c>
      <c r="G1819" s="5" t="s">
        <v>47</v>
      </c>
      <c r="H1819">
        <v>61</v>
      </c>
      <c r="I1819" s="4">
        <v>682529</v>
      </c>
      <c r="J1819" s="4">
        <v>327509</v>
      </c>
    </row>
    <row r="1820" spans="2:10" x14ac:dyDescent="0.3">
      <c r="B1820" s="7">
        <v>44713</v>
      </c>
      <c r="C1820" s="3">
        <f t="shared" si="56"/>
        <v>2022</v>
      </c>
      <c r="D1820" s="3">
        <f t="shared" si="57"/>
        <v>202206</v>
      </c>
      <c r="E1820" s="5" t="s">
        <v>3</v>
      </c>
      <c r="F1820" s="5" t="s">
        <v>12</v>
      </c>
      <c r="G1820" s="5" t="s">
        <v>47</v>
      </c>
      <c r="H1820">
        <v>58</v>
      </c>
      <c r="I1820" s="4">
        <v>597458</v>
      </c>
      <c r="J1820" s="4">
        <v>311402</v>
      </c>
    </row>
    <row r="1821" spans="2:10" x14ac:dyDescent="0.3">
      <c r="B1821" s="7">
        <v>44743</v>
      </c>
      <c r="C1821" s="3">
        <f t="shared" si="56"/>
        <v>2022</v>
      </c>
      <c r="D1821" s="3">
        <f t="shared" si="57"/>
        <v>202207</v>
      </c>
      <c r="E1821" s="5" t="s">
        <v>3</v>
      </c>
      <c r="F1821" s="5" t="s">
        <v>12</v>
      </c>
      <c r="G1821" s="5" t="s">
        <v>47</v>
      </c>
      <c r="H1821">
        <v>61</v>
      </c>
      <c r="I1821" s="4">
        <v>535885</v>
      </c>
      <c r="J1821" s="4">
        <v>327509</v>
      </c>
    </row>
    <row r="1822" spans="2:10" x14ac:dyDescent="0.3">
      <c r="B1822" s="7">
        <v>44774</v>
      </c>
      <c r="C1822" s="3">
        <f t="shared" si="56"/>
        <v>2022</v>
      </c>
      <c r="D1822" s="3">
        <f t="shared" si="57"/>
        <v>202208</v>
      </c>
      <c r="E1822" s="5" t="s">
        <v>3</v>
      </c>
      <c r="F1822" s="5" t="s">
        <v>12</v>
      </c>
      <c r="G1822" s="5" t="s">
        <v>47</v>
      </c>
      <c r="H1822">
        <v>51</v>
      </c>
      <c r="I1822" s="4">
        <v>504747</v>
      </c>
      <c r="J1822" s="4">
        <v>273819</v>
      </c>
    </row>
    <row r="1823" spans="2:10" x14ac:dyDescent="0.3">
      <c r="B1823" s="7">
        <v>44805</v>
      </c>
      <c r="C1823" s="3">
        <f t="shared" si="56"/>
        <v>2022</v>
      </c>
      <c r="D1823" s="3">
        <f t="shared" si="57"/>
        <v>202209</v>
      </c>
      <c r="E1823" s="5" t="s">
        <v>3</v>
      </c>
      <c r="F1823" s="5" t="s">
        <v>12</v>
      </c>
      <c r="G1823" s="5" t="s">
        <v>47</v>
      </c>
      <c r="H1823">
        <v>55</v>
      </c>
      <c r="I1823" s="4">
        <v>564190</v>
      </c>
      <c r="J1823" s="4">
        <v>295295</v>
      </c>
    </row>
    <row r="1824" spans="2:10" x14ac:dyDescent="0.3">
      <c r="B1824" s="7">
        <v>44835</v>
      </c>
      <c r="C1824" s="3">
        <f t="shared" si="56"/>
        <v>2022</v>
      </c>
      <c r="D1824" s="3">
        <f t="shared" si="57"/>
        <v>202210</v>
      </c>
      <c r="E1824" s="5" t="s">
        <v>3</v>
      </c>
      <c r="F1824" s="5" t="s">
        <v>12</v>
      </c>
      <c r="G1824" s="5" t="s">
        <v>47</v>
      </c>
      <c r="H1824">
        <v>45</v>
      </c>
      <c r="I1824" s="4">
        <v>490950</v>
      </c>
      <c r="J1824" s="4">
        <v>241605</v>
      </c>
    </row>
    <row r="1825" spans="2:10" x14ac:dyDescent="0.3">
      <c r="B1825" s="7">
        <v>44866</v>
      </c>
      <c r="C1825" s="3">
        <f t="shared" si="56"/>
        <v>2022</v>
      </c>
      <c r="D1825" s="3">
        <f t="shared" si="57"/>
        <v>202211</v>
      </c>
      <c r="E1825" s="5" t="s">
        <v>3</v>
      </c>
      <c r="F1825" s="5" t="s">
        <v>12</v>
      </c>
      <c r="G1825" s="5" t="s">
        <v>47</v>
      </c>
      <c r="H1825">
        <v>32</v>
      </c>
      <c r="I1825" s="4">
        <v>323264</v>
      </c>
      <c r="J1825" s="4">
        <v>171808</v>
      </c>
    </row>
    <row r="1826" spans="2:10" x14ac:dyDescent="0.3">
      <c r="B1826" s="7">
        <v>44896</v>
      </c>
      <c r="C1826" s="3">
        <f t="shared" si="56"/>
        <v>2022</v>
      </c>
      <c r="D1826" s="3">
        <f t="shared" si="57"/>
        <v>202212</v>
      </c>
      <c r="E1826" s="5" t="s">
        <v>3</v>
      </c>
      <c r="F1826" s="5" t="s">
        <v>12</v>
      </c>
      <c r="G1826" s="5" t="s">
        <v>47</v>
      </c>
      <c r="H1826">
        <v>39</v>
      </c>
      <c r="I1826" s="4">
        <v>404040</v>
      </c>
      <c r="J1826" s="4">
        <v>209391</v>
      </c>
    </row>
    <row r="1827" spans="2:10" x14ac:dyDescent="0.3">
      <c r="B1827" s="7">
        <v>44197</v>
      </c>
      <c r="C1827" s="3">
        <f t="shared" si="56"/>
        <v>2021</v>
      </c>
      <c r="D1827" s="3">
        <f t="shared" si="57"/>
        <v>202101</v>
      </c>
      <c r="E1827" s="5" t="s">
        <v>3</v>
      </c>
      <c r="F1827" s="5" t="s">
        <v>12</v>
      </c>
      <c r="G1827" s="5" t="s">
        <v>48</v>
      </c>
      <c r="H1827">
        <v>33</v>
      </c>
      <c r="I1827" s="4">
        <v>394944</v>
      </c>
      <c r="J1827" s="4">
        <v>181500</v>
      </c>
    </row>
    <row r="1828" spans="2:10" x14ac:dyDescent="0.3">
      <c r="B1828" s="7">
        <v>44228</v>
      </c>
      <c r="C1828" s="3">
        <f t="shared" si="56"/>
        <v>2021</v>
      </c>
      <c r="D1828" s="3">
        <f t="shared" si="57"/>
        <v>202102</v>
      </c>
      <c r="E1828" s="5" t="s">
        <v>3</v>
      </c>
      <c r="F1828" s="5" t="s">
        <v>12</v>
      </c>
      <c r="G1828" s="5" t="s">
        <v>48</v>
      </c>
      <c r="H1828">
        <v>21</v>
      </c>
      <c r="I1828" s="4">
        <v>259245</v>
      </c>
      <c r="J1828" s="4">
        <v>115500</v>
      </c>
    </row>
    <row r="1829" spans="2:10" x14ac:dyDescent="0.3">
      <c r="B1829" s="7">
        <v>44256</v>
      </c>
      <c r="C1829" s="3">
        <f t="shared" si="56"/>
        <v>2021</v>
      </c>
      <c r="D1829" s="3">
        <f t="shared" si="57"/>
        <v>202103</v>
      </c>
      <c r="E1829" s="5" t="s">
        <v>3</v>
      </c>
      <c r="F1829" s="5" t="s">
        <v>12</v>
      </c>
      <c r="G1829" s="5" t="s">
        <v>48</v>
      </c>
      <c r="H1829">
        <v>17</v>
      </c>
      <c r="I1829" s="4">
        <v>192950</v>
      </c>
      <c r="J1829" s="4">
        <v>93500</v>
      </c>
    </row>
    <row r="1830" spans="2:10" x14ac:dyDescent="0.3">
      <c r="B1830" s="7">
        <v>44287</v>
      </c>
      <c r="C1830" s="3">
        <f t="shared" si="56"/>
        <v>2021</v>
      </c>
      <c r="D1830" s="3">
        <f t="shared" si="57"/>
        <v>202104</v>
      </c>
      <c r="E1830" s="5" t="s">
        <v>3</v>
      </c>
      <c r="F1830" s="5" t="s">
        <v>12</v>
      </c>
      <c r="G1830" s="5" t="s">
        <v>48</v>
      </c>
      <c r="H1830">
        <v>31</v>
      </c>
      <c r="I1830" s="4">
        <v>387252</v>
      </c>
      <c r="J1830" s="4">
        <v>170500</v>
      </c>
    </row>
    <row r="1831" spans="2:10" x14ac:dyDescent="0.3">
      <c r="B1831" s="7">
        <v>44317</v>
      </c>
      <c r="C1831" s="3">
        <f t="shared" si="56"/>
        <v>2021</v>
      </c>
      <c r="D1831" s="3">
        <f t="shared" si="57"/>
        <v>202105</v>
      </c>
      <c r="E1831" s="5" t="s">
        <v>3</v>
      </c>
      <c r="F1831" s="5" t="s">
        <v>12</v>
      </c>
      <c r="G1831" s="5" t="s">
        <v>48</v>
      </c>
      <c r="H1831">
        <v>40</v>
      </c>
      <c r="I1831" s="4">
        <v>529280</v>
      </c>
      <c r="J1831" s="4">
        <v>220000</v>
      </c>
    </row>
    <row r="1832" spans="2:10" x14ac:dyDescent="0.3">
      <c r="B1832" s="7">
        <v>44348</v>
      </c>
      <c r="C1832" s="3">
        <f t="shared" si="56"/>
        <v>2021</v>
      </c>
      <c r="D1832" s="3">
        <f t="shared" si="57"/>
        <v>202106</v>
      </c>
      <c r="E1832" s="5" t="s">
        <v>3</v>
      </c>
      <c r="F1832" s="5" t="s">
        <v>12</v>
      </c>
      <c r="G1832" s="5" t="s">
        <v>48</v>
      </c>
      <c r="H1832">
        <v>38</v>
      </c>
      <c r="I1832" s="4">
        <v>467172</v>
      </c>
      <c r="J1832" s="4">
        <v>209000</v>
      </c>
    </row>
    <row r="1833" spans="2:10" x14ac:dyDescent="0.3">
      <c r="B1833" s="7">
        <v>44378</v>
      </c>
      <c r="C1833" s="3">
        <f t="shared" si="56"/>
        <v>2021</v>
      </c>
      <c r="D1833" s="3">
        <f t="shared" si="57"/>
        <v>202107</v>
      </c>
      <c r="E1833" s="5" t="s">
        <v>3</v>
      </c>
      <c r="F1833" s="5" t="s">
        <v>12</v>
      </c>
      <c r="G1833" s="5" t="s">
        <v>48</v>
      </c>
      <c r="H1833">
        <v>40</v>
      </c>
      <c r="I1833" s="4">
        <v>421520</v>
      </c>
      <c r="J1833" s="4">
        <v>220000</v>
      </c>
    </row>
    <row r="1834" spans="2:10" x14ac:dyDescent="0.3">
      <c r="B1834" s="7">
        <v>44409</v>
      </c>
      <c r="C1834" s="3">
        <f t="shared" si="56"/>
        <v>2021</v>
      </c>
      <c r="D1834" s="3">
        <f t="shared" si="57"/>
        <v>202108</v>
      </c>
      <c r="E1834" s="5" t="s">
        <v>3</v>
      </c>
      <c r="F1834" s="5" t="s">
        <v>12</v>
      </c>
      <c r="G1834" s="5" t="s">
        <v>48</v>
      </c>
      <c r="H1834">
        <v>33</v>
      </c>
      <c r="I1834" s="4">
        <v>396363</v>
      </c>
      <c r="J1834" s="4">
        <v>181500</v>
      </c>
    </row>
    <row r="1835" spans="2:10" x14ac:dyDescent="0.3">
      <c r="B1835" s="7">
        <v>44440</v>
      </c>
      <c r="C1835" s="3">
        <f t="shared" si="56"/>
        <v>2021</v>
      </c>
      <c r="D1835" s="3">
        <f t="shared" si="57"/>
        <v>202109</v>
      </c>
      <c r="E1835" s="5" t="s">
        <v>3</v>
      </c>
      <c r="F1835" s="5" t="s">
        <v>12</v>
      </c>
      <c r="G1835" s="5" t="s">
        <v>48</v>
      </c>
      <c r="H1835">
        <v>35</v>
      </c>
      <c r="I1835" s="4">
        <v>396130</v>
      </c>
      <c r="J1835" s="4">
        <v>192500</v>
      </c>
    </row>
    <row r="1836" spans="2:10" x14ac:dyDescent="0.3">
      <c r="B1836" s="7">
        <v>44470</v>
      </c>
      <c r="C1836" s="3">
        <f t="shared" si="56"/>
        <v>2021</v>
      </c>
      <c r="D1836" s="3">
        <f t="shared" si="57"/>
        <v>202110</v>
      </c>
      <c r="E1836" s="5" t="s">
        <v>3</v>
      </c>
      <c r="F1836" s="5" t="s">
        <v>12</v>
      </c>
      <c r="G1836" s="5" t="s">
        <v>48</v>
      </c>
      <c r="H1836">
        <v>29</v>
      </c>
      <c r="I1836" s="4">
        <v>364762</v>
      </c>
      <c r="J1836" s="4">
        <v>159500</v>
      </c>
    </row>
    <row r="1837" spans="2:10" x14ac:dyDescent="0.3">
      <c r="B1837" s="7">
        <v>44501</v>
      </c>
      <c r="C1837" s="3">
        <f t="shared" si="56"/>
        <v>2021</v>
      </c>
      <c r="D1837" s="3">
        <f t="shared" si="57"/>
        <v>202111</v>
      </c>
      <c r="E1837" s="5" t="s">
        <v>3</v>
      </c>
      <c r="F1837" s="5" t="s">
        <v>12</v>
      </c>
      <c r="G1837" s="5" t="s">
        <v>48</v>
      </c>
      <c r="H1837">
        <v>21</v>
      </c>
      <c r="I1837" s="4">
        <v>258384</v>
      </c>
      <c r="J1837" s="4">
        <v>115500</v>
      </c>
    </row>
    <row r="1838" spans="2:10" x14ac:dyDescent="0.3">
      <c r="B1838" s="7">
        <v>44531</v>
      </c>
      <c r="C1838" s="3">
        <f t="shared" si="56"/>
        <v>2021</v>
      </c>
      <c r="D1838" s="3">
        <f t="shared" si="57"/>
        <v>202112</v>
      </c>
      <c r="E1838" s="5" t="s">
        <v>3</v>
      </c>
      <c r="F1838" s="5" t="s">
        <v>12</v>
      </c>
      <c r="G1838" s="5" t="s">
        <v>48</v>
      </c>
      <c r="H1838">
        <v>25</v>
      </c>
      <c r="I1838" s="4">
        <v>305450</v>
      </c>
      <c r="J1838" s="4">
        <v>137500</v>
      </c>
    </row>
    <row r="1839" spans="2:10" x14ac:dyDescent="0.3">
      <c r="B1839" s="7">
        <v>44562</v>
      </c>
      <c r="C1839" s="3">
        <f t="shared" si="56"/>
        <v>2022</v>
      </c>
      <c r="D1839" s="3">
        <f t="shared" si="57"/>
        <v>202201</v>
      </c>
      <c r="E1839" s="5" t="s">
        <v>3</v>
      </c>
      <c r="F1839" s="5" t="s">
        <v>12</v>
      </c>
      <c r="G1839" s="5" t="s">
        <v>48</v>
      </c>
      <c r="H1839">
        <v>37</v>
      </c>
      <c r="I1839" s="4">
        <v>449920</v>
      </c>
      <c r="J1839" s="4">
        <v>203500</v>
      </c>
    </row>
    <row r="1840" spans="2:10" x14ac:dyDescent="0.3">
      <c r="B1840" s="7">
        <v>44593</v>
      </c>
      <c r="C1840" s="3">
        <f t="shared" si="56"/>
        <v>2022</v>
      </c>
      <c r="D1840" s="3">
        <f t="shared" si="57"/>
        <v>202202</v>
      </c>
      <c r="E1840" s="5" t="s">
        <v>3</v>
      </c>
      <c r="F1840" s="5" t="s">
        <v>12</v>
      </c>
      <c r="G1840" s="5" t="s">
        <v>48</v>
      </c>
      <c r="H1840">
        <v>23</v>
      </c>
      <c r="I1840" s="4">
        <v>276920</v>
      </c>
      <c r="J1840" s="4">
        <v>126500</v>
      </c>
    </row>
    <row r="1841" spans="2:10" x14ac:dyDescent="0.3">
      <c r="B1841" s="7">
        <v>44621</v>
      </c>
      <c r="C1841" s="3">
        <f t="shared" si="56"/>
        <v>2022</v>
      </c>
      <c r="D1841" s="3">
        <f t="shared" si="57"/>
        <v>202203</v>
      </c>
      <c r="E1841" s="5" t="s">
        <v>3</v>
      </c>
      <c r="F1841" s="5" t="s">
        <v>12</v>
      </c>
      <c r="G1841" s="5" t="s">
        <v>48</v>
      </c>
      <c r="H1841">
        <v>19</v>
      </c>
      <c r="I1841" s="4">
        <v>233358</v>
      </c>
      <c r="J1841" s="4">
        <v>104500</v>
      </c>
    </row>
    <row r="1842" spans="2:10" x14ac:dyDescent="0.3">
      <c r="B1842" s="7">
        <v>44652</v>
      </c>
      <c r="C1842" s="3">
        <f t="shared" si="56"/>
        <v>2022</v>
      </c>
      <c r="D1842" s="3">
        <f t="shared" si="57"/>
        <v>202204</v>
      </c>
      <c r="E1842" s="5" t="s">
        <v>3</v>
      </c>
      <c r="F1842" s="5" t="s">
        <v>12</v>
      </c>
      <c r="G1842" s="5" t="s">
        <v>48</v>
      </c>
      <c r="H1842">
        <v>34</v>
      </c>
      <c r="I1842" s="4">
        <v>431222</v>
      </c>
      <c r="J1842" s="4">
        <v>187000</v>
      </c>
    </row>
    <row r="1843" spans="2:10" x14ac:dyDescent="0.3">
      <c r="B1843" s="7">
        <v>44682</v>
      </c>
      <c r="C1843" s="3">
        <f t="shared" si="56"/>
        <v>2022</v>
      </c>
      <c r="D1843" s="3">
        <f t="shared" si="57"/>
        <v>202205</v>
      </c>
      <c r="E1843" s="5" t="s">
        <v>3</v>
      </c>
      <c r="F1843" s="5" t="s">
        <v>12</v>
      </c>
      <c r="G1843" s="5" t="s">
        <v>48</v>
      </c>
      <c r="H1843">
        <v>44</v>
      </c>
      <c r="I1843" s="4">
        <v>555676</v>
      </c>
      <c r="J1843" s="4">
        <v>242000</v>
      </c>
    </row>
    <row r="1844" spans="2:10" x14ac:dyDescent="0.3">
      <c r="B1844" s="7">
        <v>44713</v>
      </c>
      <c r="C1844" s="3">
        <f t="shared" si="56"/>
        <v>2022</v>
      </c>
      <c r="D1844" s="3">
        <f t="shared" si="57"/>
        <v>202206</v>
      </c>
      <c r="E1844" s="5" t="s">
        <v>3</v>
      </c>
      <c r="F1844" s="5" t="s">
        <v>12</v>
      </c>
      <c r="G1844" s="5" t="s">
        <v>48</v>
      </c>
      <c r="H1844">
        <v>41</v>
      </c>
      <c r="I1844" s="4">
        <v>525415</v>
      </c>
      <c r="J1844" s="4">
        <v>225500</v>
      </c>
    </row>
    <row r="1845" spans="2:10" x14ac:dyDescent="0.3">
      <c r="B1845" s="7">
        <v>44743</v>
      </c>
      <c r="C1845" s="3">
        <f t="shared" si="56"/>
        <v>2022</v>
      </c>
      <c r="D1845" s="3">
        <f t="shared" si="57"/>
        <v>202207</v>
      </c>
      <c r="E1845" s="5" t="s">
        <v>3</v>
      </c>
      <c r="F1845" s="5" t="s">
        <v>12</v>
      </c>
      <c r="G1845" s="5" t="s">
        <v>48</v>
      </c>
      <c r="H1845">
        <v>44</v>
      </c>
      <c r="I1845" s="4">
        <v>467324</v>
      </c>
      <c r="J1845" s="4">
        <v>242000</v>
      </c>
    </row>
    <row r="1846" spans="2:10" x14ac:dyDescent="0.3">
      <c r="B1846" s="7">
        <v>44774</v>
      </c>
      <c r="C1846" s="3">
        <f t="shared" si="56"/>
        <v>2022</v>
      </c>
      <c r="D1846" s="3">
        <f t="shared" si="57"/>
        <v>202208</v>
      </c>
      <c r="E1846" s="5" t="s">
        <v>3</v>
      </c>
      <c r="F1846" s="5" t="s">
        <v>12</v>
      </c>
      <c r="G1846" s="5" t="s">
        <v>48</v>
      </c>
      <c r="H1846">
        <v>37</v>
      </c>
      <c r="I1846" s="4">
        <v>445369</v>
      </c>
      <c r="J1846" s="4">
        <v>203500</v>
      </c>
    </row>
    <row r="1847" spans="2:10" x14ac:dyDescent="0.3">
      <c r="B1847" s="7">
        <v>44805</v>
      </c>
      <c r="C1847" s="3">
        <f t="shared" si="56"/>
        <v>2022</v>
      </c>
      <c r="D1847" s="3">
        <f t="shared" si="57"/>
        <v>202209</v>
      </c>
      <c r="E1847" s="5" t="s">
        <v>3</v>
      </c>
      <c r="F1847" s="5" t="s">
        <v>12</v>
      </c>
      <c r="G1847" s="5" t="s">
        <v>48</v>
      </c>
      <c r="H1847">
        <v>39</v>
      </c>
      <c r="I1847" s="4">
        <v>440427</v>
      </c>
      <c r="J1847" s="4">
        <v>214500</v>
      </c>
    </row>
    <row r="1848" spans="2:10" x14ac:dyDescent="0.3">
      <c r="B1848" s="7">
        <v>44835</v>
      </c>
      <c r="C1848" s="3">
        <f t="shared" si="56"/>
        <v>2022</v>
      </c>
      <c r="D1848" s="3">
        <f t="shared" si="57"/>
        <v>202210</v>
      </c>
      <c r="E1848" s="5" t="s">
        <v>3</v>
      </c>
      <c r="F1848" s="5" t="s">
        <v>12</v>
      </c>
      <c r="G1848" s="5" t="s">
        <v>48</v>
      </c>
      <c r="H1848">
        <v>32</v>
      </c>
      <c r="I1848" s="4">
        <v>387584</v>
      </c>
      <c r="J1848" s="4">
        <v>176000</v>
      </c>
    </row>
    <row r="1849" spans="2:10" x14ac:dyDescent="0.3">
      <c r="B1849" s="7">
        <v>44866</v>
      </c>
      <c r="C1849" s="3">
        <f t="shared" si="56"/>
        <v>2022</v>
      </c>
      <c r="D1849" s="3">
        <f t="shared" si="57"/>
        <v>202211</v>
      </c>
      <c r="E1849" s="5" t="s">
        <v>3</v>
      </c>
      <c r="F1849" s="5" t="s">
        <v>12</v>
      </c>
      <c r="G1849" s="5" t="s">
        <v>48</v>
      </c>
      <c r="H1849">
        <v>23</v>
      </c>
      <c r="I1849" s="4">
        <v>287799</v>
      </c>
      <c r="J1849" s="4">
        <v>126500</v>
      </c>
    </row>
    <row r="1850" spans="2:10" x14ac:dyDescent="0.3">
      <c r="B1850" s="7">
        <v>44896</v>
      </c>
      <c r="C1850" s="3">
        <f t="shared" si="56"/>
        <v>2022</v>
      </c>
      <c r="D1850" s="3">
        <f t="shared" si="57"/>
        <v>202212</v>
      </c>
      <c r="E1850" s="5" t="s">
        <v>3</v>
      </c>
      <c r="F1850" s="5" t="s">
        <v>12</v>
      </c>
      <c r="G1850" s="5" t="s">
        <v>48</v>
      </c>
      <c r="H1850">
        <v>28</v>
      </c>
      <c r="I1850" s="4">
        <v>342104</v>
      </c>
      <c r="J1850" s="4">
        <v>154000</v>
      </c>
    </row>
    <row r="1851" spans="2:10" x14ac:dyDescent="0.3">
      <c r="B1851" s="7">
        <v>44197</v>
      </c>
      <c r="C1851" s="3">
        <f t="shared" si="56"/>
        <v>2021</v>
      </c>
      <c r="D1851" s="3">
        <f t="shared" si="57"/>
        <v>202101</v>
      </c>
      <c r="E1851" s="5" t="s">
        <v>3</v>
      </c>
      <c r="F1851" s="5" t="s">
        <v>13</v>
      </c>
      <c r="G1851" s="5" t="s">
        <v>49</v>
      </c>
      <c r="H1851">
        <v>11</v>
      </c>
      <c r="I1851" s="4">
        <v>41712</v>
      </c>
      <c r="J1851" s="4">
        <v>16632</v>
      </c>
    </row>
    <row r="1852" spans="2:10" x14ac:dyDescent="0.3">
      <c r="B1852" s="7">
        <v>44228</v>
      </c>
      <c r="C1852" s="3">
        <f t="shared" si="56"/>
        <v>2021</v>
      </c>
      <c r="D1852" s="3">
        <f t="shared" si="57"/>
        <v>202102</v>
      </c>
      <c r="E1852" s="5" t="s">
        <v>3</v>
      </c>
      <c r="F1852" s="5" t="s">
        <v>13</v>
      </c>
      <c r="G1852" s="5" t="s">
        <v>49</v>
      </c>
      <c r="H1852">
        <v>7</v>
      </c>
      <c r="I1852" s="4">
        <v>32396</v>
      </c>
      <c r="J1852" s="4">
        <v>10584</v>
      </c>
    </row>
    <row r="1853" spans="2:10" x14ac:dyDescent="0.3">
      <c r="B1853" s="7">
        <v>44256</v>
      </c>
      <c r="C1853" s="3">
        <f t="shared" si="56"/>
        <v>2021</v>
      </c>
      <c r="D1853" s="3">
        <f t="shared" si="57"/>
        <v>202103</v>
      </c>
      <c r="E1853" s="5" t="s">
        <v>3</v>
      </c>
      <c r="F1853" s="5" t="s">
        <v>13</v>
      </c>
      <c r="G1853" s="5" t="s">
        <v>49</v>
      </c>
      <c r="H1853">
        <v>6</v>
      </c>
      <c r="I1853" s="4">
        <v>18414</v>
      </c>
      <c r="J1853" s="4">
        <v>9072</v>
      </c>
    </row>
    <row r="1854" spans="2:10" x14ac:dyDescent="0.3">
      <c r="B1854" s="7">
        <v>44287</v>
      </c>
      <c r="C1854" s="3">
        <f t="shared" si="56"/>
        <v>2021</v>
      </c>
      <c r="D1854" s="3">
        <f t="shared" si="57"/>
        <v>202104</v>
      </c>
      <c r="E1854" s="5" t="s">
        <v>3</v>
      </c>
      <c r="F1854" s="5" t="s">
        <v>13</v>
      </c>
      <c r="G1854" s="5" t="s">
        <v>49</v>
      </c>
      <c r="H1854">
        <v>10</v>
      </c>
      <c r="I1854" s="4">
        <v>40850</v>
      </c>
      <c r="J1854" s="4">
        <v>15120</v>
      </c>
    </row>
    <row r="1855" spans="2:10" x14ac:dyDescent="0.3">
      <c r="B1855" s="7">
        <v>44317</v>
      </c>
      <c r="C1855" s="3">
        <f t="shared" si="56"/>
        <v>2021</v>
      </c>
      <c r="D1855" s="3">
        <f t="shared" si="57"/>
        <v>202105</v>
      </c>
      <c r="E1855" s="5" t="s">
        <v>3</v>
      </c>
      <c r="F1855" s="5" t="s">
        <v>13</v>
      </c>
      <c r="G1855" s="5" t="s">
        <v>49</v>
      </c>
      <c r="H1855">
        <v>12</v>
      </c>
      <c r="I1855" s="4">
        <v>64932</v>
      </c>
      <c r="J1855" s="4">
        <v>18144</v>
      </c>
    </row>
    <row r="1856" spans="2:10" x14ac:dyDescent="0.3">
      <c r="B1856" s="7">
        <v>44348</v>
      </c>
      <c r="C1856" s="3">
        <f t="shared" si="56"/>
        <v>2021</v>
      </c>
      <c r="D1856" s="3">
        <f t="shared" si="57"/>
        <v>202106</v>
      </c>
      <c r="E1856" s="5" t="s">
        <v>3</v>
      </c>
      <c r="F1856" s="5" t="s">
        <v>13</v>
      </c>
      <c r="G1856" s="5" t="s">
        <v>49</v>
      </c>
      <c r="H1856">
        <v>12</v>
      </c>
      <c r="I1856" s="4">
        <v>44340</v>
      </c>
      <c r="J1856" s="4">
        <v>18144</v>
      </c>
    </row>
    <row r="1857" spans="2:10" x14ac:dyDescent="0.3">
      <c r="B1857" s="7">
        <v>44378</v>
      </c>
      <c r="C1857" s="3">
        <f t="shared" si="56"/>
        <v>2021</v>
      </c>
      <c r="D1857" s="3">
        <f t="shared" si="57"/>
        <v>202107</v>
      </c>
      <c r="E1857" s="5" t="s">
        <v>3</v>
      </c>
      <c r="F1857" s="5" t="s">
        <v>13</v>
      </c>
      <c r="G1857" s="5" t="s">
        <v>49</v>
      </c>
      <c r="H1857">
        <v>12</v>
      </c>
      <c r="I1857" s="4">
        <v>33552</v>
      </c>
      <c r="J1857" s="4">
        <v>18144</v>
      </c>
    </row>
    <row r="1858" spans="2:10" x14ac:dyDescent="0.3">
      <c r="B1858" s="7">
        <v>44409</v>
      </c>
      <c r="C1858" s="3">
        <f t="shared" si="56"/>
        <v>2021</v>
      </c>
      <c r="D1858" s="3">
        <f t="shared" si="57"/>
        <v>202108</v>
      </c>
      <c r="E1858" s="5" t="s">
        <v>3</v>
      </c>
      <c r="F1858" s="5" t="s">
        <v>13</v>
      </c>
      <c r="G1858" s="5" t="s">
        <v>49</v>
      </c>
      <c r="H1858">
        <v>11</v>
      </c>
      <c r="I1858" s="4">
        <v>43153</v>
      </c>
      <c r="J1858" s="4">
        <v>16632</v>
      </c>
    </row>
    <row r="1859" spans="2:10" x14ac:dyDescent="0.3">
      <c r="B1859" s="7">
        <v>44440</v>
      </c>
      <c r="C1859" s="3">
        <f t="shared" ref="C1859:C1922" si="58">YEAR(B1859)</f>
        <v>2021</v>
      </c>
      <c r="D1859" s="3">
        <f t="shared" ref="D1859:D1922" si="59">VALUE(TEXT(B1859,"ГГГГММ"))</f>
        <v>202109</v>
      </c>
      <c r="E1859" s="5" t="s">
        <v>3</v>
      </c>
      <c r="F1859" s="5" t="s">
        <v>13</v>
      </c>
      <c r="G1859" s="5" t="s">
        <v>49</v>
      </c>
      <c r="H1859">
        <v>11</v>
      </c>
      <c r="I1859" s="4">
        <v>44858</v>
      </c>
      <c r="J1859" s="4">
        <v>16632</v>
      </c>
    </row>
    <row r="1860" spans="2:10" x14ac:dyDescent="0.3">
      <c r="B1860" s="7">
        <v>44470</v>
      </c>
      <c r="C1860" s="3">
        <f t="shared" si="58"/>
        <v>2021</v>
      </c>
      <c r="D1860" s="3">
        <f t="shared" si="59"/>
        <v>202110</v>
      </c>
      <c r="E1860" s="5" t="s">
        <v>3</v>
      </c>
      <c r="F1860" s="5" t="s">
        <v>13</v>
      </c>
      <c r="G1860" s="5" t="s">
        <v>49</v>
      </c>
      <c r="H1860">
        <v>9</v>
      </c>
      <c r="I1860" s="4">
        <v>33714</v>
      </c>
      <c r="J1860" s="4">
        <v>13608</v>
      </c>
    </row>
    <row r="1861" spans="2:10" x14ac:dyDescent="0.3">
      <c r="B1861" s="7">
        <v>44501</v>
      </c>
      <c r="C1861" s="3">
        <f t="shared" si="58"/>
        <v>2021</v>
      </c>
      <c r="D1861" s="3">
        <f t="shared" si="59"/>
        <v>202111</v>
      </c>
      <c r="E1861" s="5" t="s">
        <v>3</v>
      </c>
      <c r="F1861" s="5" t="s">
        <v>13</v>
      </c>
      <c r="G1861" s="5" t="s">
        <v>49</v>
      </c>
      <c r="H1861">
        <v>7</v>
      </c>
      <c r="I1861" s="4">
        <v>28658</v>
      </c>
      <c r="J1861" s="4">
        <v>10584</v>
      </c>
    </row>
    <row r="1862" spans="2:10" x14ac:dyDescent="0.3">
      <c r="B1862" s="7">
        <v>44531</v>
      </c>
      <c r="C1862" s="3">
        <f t="shared" si="58"/>
        <v>2021</v>
      </c>
      <c r="D1862" s="3">
        <f t="shared" si="59"/>
        <v>202112</v>
      </c>
      <c r="E1862" s="5" t="s">
        <v>3</v>
      </c>
      <c r="F1862" s="5" t="s">
        <v>13</v>
      </c>
      <c r="G1862" s="5" t="s">
        <v>49</v>
      </c>
      <c r="H1862">
        <v>8</v>
      </c>
      <c r="I1862" s="4">
        <v>33128</v>
      </c>
      <c r="J1862" s="4">
        <v>12096</v>
      </c>
    </row>
    <row r="1863" spans="2:10" x14ac:dyDescent="0.3">
      <c r="B1863" s="7">
        <v>44562</v>
      </c>
      <c r="C1863" s="3">
        <f t="shared" si="58"/>
        <v>2022</v>
      </c>
      <c r="D1863" s="3">
        <f t="shared" si="59"/>
        <v>202201</v>
      </c>
      <c r="E1863" s="5" t="s">
        <v>3</v>
      </c>
      <c r="F1863" s="5" t="s">
        <v>13</v>
      </c>
      <c r="G1863" s="5" t="s">
        <v>49</v>
      </c>
      <c r="H1863">
        <v>12</v>
      </c>
      <c r="I1863" s="4">
        <v>51960</v>
      </c>
      <c r="J1863" s="4">
        <v>18144</v>
      </c>
    </row>
    <row r="1864" spans="2:10" x14ac:dyDescent="0.3">
      <c r="B1864" s="7">
        <v>44593</v>
      </c>
      <c r="C1864" s="3">
        <f t="shared" si="58"/>
        <v>2022</v>
      </c>
      <c r="D1864" s="3">
        <f t="shared" si="59"/>
        <v>202202</v>
      </c>
      <c r="E1864" s="5" t="s">
        <v>3</v>
      </c>
      <c r="F1864" s="5" t="s">
        <v>13</v>
      </c>
      <c r="G1864" s="5" t="s">
        <v>49</v>
      </c>
      <c r="H1864">
        <v>7</v>
      </c>
      <c r="I1864" s="4">
        <v>30744</v>
      </c>
      <c r="J1864" s="4">
        <v>10584</v>
      </c>
    </row>
    <row r="1865" spans="2:10" x14ac:dyDescent="0.3">
      <c r="B1865" s="7">
        <v>44621</v>
      </c>
      <c r="C1865" s="3">
        <f t="shared" si="58"/>
        <v>2022</v>
      </c>
      <c r="D1865" s="3">
        <f t="shared" si="59"/>
        <v>202203</v>
      </c>
      <c r="E1865" s="5" t="s">
        <v>3</v>
      </c>
      <c r="F1865" s="5" t="s">
        <v>13</v>
      </c>
      <c r="G1865" s="5" t="s">
        <v>49</v>
      </c>
      <c r="H1865">
        <v>6</v>
      </c>
      <c r="I1865" s="4">
        <v>19380</v>
      </c>
      <c r="J1865" s="4">
        <v>9072</v>
      </c>
    </row>
    <row r="1866" spans="2:10" x14ac:dyDescent="0.3">
      <c r="B1866" s="7">
        <v>44652</v>
      </c>
      <c r="C1866" s="3">
        <f t="shared" si="58"/>
        <v>2022</v>
      </c>
      <c r="D1866" s="3">
        <f t="shared" si="59"/>
        <v>202204</v>
      </c>
      <c r="E1866" s="5" t="s">
        <v>3</v>
      </c>
      <c r="F1866" s="5" t="s">
        <v>13</v>
      </c>
      <c r="G1866" s="5" t="s">
        <v>49</v>
      </c>
      <c r="H1866">
        <v>11</v>
      </c>
      <c r="I1866" s="4">
        <v>54692</v>
      </c>
      <c r="J1866" s="4">
        <v>16632</v>
      </c>
    </row>
    <row r="1867" spans="2:10" x14ac:dyDescent="0.3">
      <c r="B1867" s="7">
        <v>44682</v>
      </c>
      <c r="C1867" s="3">
        <f t="shared" si="58"/>
        <v>2022</v>
      </c>
      <c r="D1867" s="3">
        <f t="shared" si="59"/>
        <v>202205</v>
      </c>
      <c r="E1867" s="5" t="s">
        <v>3</v>
      </c>
      <c r="F1867" s="5" t="s">
        <v>13</v>
      </c>
      <c r="G1867" s="5" t="s">
        <v>49</v>
      </c>
      <c r="H1867">
        <v>14</v>
      </c>
      <c r="I1867" s="4">
        <v>67172</v>
      </c>
      <c r="J1867" s="4">
        <v>21168</v>
      </c>
    </row>
    <row r="1868" spans="2:10" x14ac:dyDescent="0.3">
      <c r="B1868" s="7">
        <v>44713</v>
      </c>
      <c r="C1868" s="3">
        <f t="shared" si="58"/>
        <v>2022</v>
      </c>
      <c r="D1868" s="3">
        <f t="shared" si="59"/>
        <v>202206</v>
      </c>
      <c r="E1868" s="5" t="s">
        <v>3</v>
      </c>
      <c r="F1868" s="5" t="s">
        <v>13</v>
      </c>
      <c r="G1868" s="5" t="s">
        <v>49</v>
      </c>
      <c r="H1868">
        <v>13</v>
      </c>
      <c r="I1868" s="4">
        <v>57434</v>
      </c>
      <c r="J1868" s="4">
        <v>19656</v>
      </c>
    </row>
    <row r="1869" spans="2:10" x14ac:dyDescent="0.3">
      <c r="B1869" s="7">
        <v>44743</v>
      </c>
      <c r="C1869" s="3">
        <f t="shared" si="58"/>
        <v>2022</v>
      </c>
      <c r="D1869" s="3">
        <f t="shared" si="59"/>
        <v>202207</v>
      </c>
      <c r="E1869" s="5" t="s">
        <v>3</v>
      </c>
      <c r="F1869" s="5" t="s">
        <v>13</v>
      </c>
      <c r="G1869" s="5" t="s">
        <v>49</v>
      </c>
      <c r="H1869">
        <v>14</v>
      </c>
      <c r="I1869" s="4">
        <v>43344</v>
      </c>
      <c r="J1869" s="4">
        <v>21168</v>
      </c>
    </row>
    <row r="1870" spans="2:10" x14ac:dyDescent="0.3">
      <c r="B1870" s="7">
        <v>44774</v>
      </c>
      <c r="C1870" s="3">
        <f t="shared" si="58"/>
        <v>2022</v>
      </c>
      <c r="D1870" s="3">
        <f t="shared" si="59"/>
        <v>202208</v>
      </c>
      <c r="E1870" s="5" t="s">
        <v>3</v>
      </c>
      <c r="F1870" s="5" t="s">
        <v>13</v>
      </c>
      <c r="G1870" s="5" t="s">
        <v>49</v>
      </c>
      <c r="H1870">
        <v>12</v>
      </c>
      <c r="I1870" s="4">
        <v>48996</v>
      </c>
      <c r="J1870" s="4">
        <v>18144</v>
      </c>
    </row>
    <row r="1871" spans="2:10" x14ac:dyDescent="0.3">
      <c r="B1871" s="7">
        <v>44805</v>
      </c>
      <c r="C1871" s="3">
        <f t="shared" si="58"/>
        <v>2022</v>
      </c>
      <c r="D1871" s="3">
        <f t="shared" si="59"/>
        <v>202209</v>
      </c>
      <c r="E1871" s="5" t="s">
        <v>3</v>
      </c>
      <c r="F1871" s="5" t="s">
        <v>13</v>
      </c>
      <c r="G1871" s="5" t="s">
        <v>49</v>
      </c>
      <c r="H1871">
        <v>12</v>
      </c>
      <c r="I1871" s="4">
        <v>47016</v>
      </c>
      <c r="J1871" s="4">
        <v>18144</v>
      </c>
    </row>
    <row r="1872" spans="2:10" x14ac:dyDescent="0.3">
      <c r="B1872" s="7">
        <v>44835</v>
      </c>
      <c r="C1872" s="3">
        <f t="shared" si="58"/>
        <v>2022</v>
      </c>
      <c r="D1872" s="3">
        <f t="shared" si="59"/>
        <v>202210</v>
      </c>
      <c r="E1872" s="5" t="s">
        <v>3</v>
      </c>
      <c r="F1872" s="5" t="s">
        <v>13</v>
      </c>
      <c r="G1872" s="5" t="s">
        <v>49</v>
      </c>
      <c r="H1872">
        <v>10</v>
      </c>
      <c r="I1872" s="4">
        <v>39650</v>
      </c>
      <c r="J1872" s="4">
        <v>15120</v>
      </c>
    </row>
    <row r="1873" spans="2:10" x14ac:dyDescent="0.3">
      <c r="B1873" s="7">
        <v>44866</v>
      </c>
      <c r="C1873" s="3">
        <f t="shared" si="58"/>
        <v>2022</v>
      </c>
      <c r="D1873" s="3">
        <f t="shared" si="59"/>
        <v>202211</v>
      </c>
      <c r="E1873" s="5" t="s">
        <v>3</v>
      </c>
      <c r="F1873" s="5" t="s">
        <v>13</v>
      </c>
      <c r="G1873" s="5" t="s">
        <v>49</v>
      </c>
      <c r="H1873">
        <v>7</v>
      </c>
      <c r="I1873" s="4">
        <v>25837</v>
      </c>
      <c r="J1873" s="4">
        <v>10584</v>
      </c>
    </row>
    <row r="1874" spans="2:10" x14ac:dyDescent="0.3">
      <c r="B1874" s="7">
        <v>44896</v>
      </c>
      <c r="C1874" s="3">
        <f t="shared" si="58"/>
        <v>2022</v>
      </c>
      <c r="D1874" s="3">
        <f t="shared" si="59"/>
        <v>202212</v>
      </c>
      <c r="E1874" s="5" t="s">
        <v>3</v>
      </c>
      <c r="F1874" s="5" t="s">
        <v>13</v>
      </c>
      <c r="G1874" s="5" t="s">
        <v>49</v>
      </c>
      <c r="H1874">
        <v>9</v>
      </c>
      <c r="I1874" s="4">
        <v>28179</v>
      </c>
      <c r="J1874" s="4">
        <v>13608</v>
      </c>
    </row>
    <row r="1875" spans="2:10" x14ac:dyDescent="0.3">
      <c r="B1875" s="7">
        <v>44197</v>
      </c>
      <c r="C1875" s="3">
        <f t="shared" si="58"/>
        <v>2021</v>
      </c>
      <c r="D1875" s="3">
        <f t="shared" si="59"/>
        <v>202101</v>
      </c>
      <c r="E1875" s="5" t="s">
        <v>3</v>
      </c>
      <c r="F1875" s="5" t="s">
        <v>13</v>
      </c>
      <c r="G1875" s="5" t="s">
        <v>50</v>
      </c>
      <c r="H1875">
        <v>13</v>
      </c>
      <c r="I1875" s="4">
        <v>45669</v>
      </c>
      <c r="J1875" s="4">
        <v>10166</v>
      </c>
    </row>
    <row r="1876" spans="2:10" x14ac:dyDescent="0.3">
      <c r="B1876" s="7">
        <v>44228</v>
      </c>
      <c r="C1876" s="3">
        <f t="shared" si="58"/>
        <v>2021</v>
      </c>
      <c r="D1876" s="3">
        <f t="shared" si="59"/>
        <v>202102</v>
      </c>
      <c r="E1876" s="5" t="s">
        <v>3</v>
      </c>
      <c r="F1876" s="5" t="s">
        <v>13</v>
      </c>
      <c r="G1876" s="5" t="s">
        <v>50</v>
      </c>
      <c r="H1876">
        <v>8</v>
      </c>
      <c r="I1876" s="4">
        <v>24440</v>
      </c>
      <c r="J1876" s="4">
        <v>6256</v>
      </c>
    </row>
    <row r="1877" spans="2:10" x14ac:dyDescent="0.3">
      <c r="B1877" s="7">
        <v>44256</v>
      </c>
      <c r="C1877" s="3">
        <f t="shared" si="58"/>
        <v>2021</v>
      </c>
      <c r="D1877" s="3">
        <f t="shared" si="59"/>
        <v>202103</v>
      </c>
      <c r="E1877" s="5" t="s">
        <v>3</v>
      </c>
      <c r="F1877" s="5" t="s">
        <v>13</v>
      </c>
      <c r="G1877" s="5" t="s">
        <v>50</v>
      </c>
      <c r="H1877">
        <v>7</v>
      </c>
      <c r="I1877" s="4">
        <v>18886</v>
      </c>
      <c r="J1877" s="4">
        <v>5474</v>
      </c>
    </row>
    <row r="1878" spans="2:10" x14ac:dyDescent="0.3">
      <c r="B1878" s="7">
        <v>44287</v>
      </c>
      <c r="C1878" s="3">
        <f t="shared" si="58"/>
        <v>2021</v>
      </c>
      <c r="D1878" s="3">
        <f t="shared" si="59"/>
        <v>202104</v>
      </c>
      <c r="E1878" s="5" t="s">
        <v>3</v>
      </c>
      <c r="F1878" s="5" t="s">
        <v>13</v>
      </c>
      <c r="G1878" s="5" t="s">
        <v>50</v>
      </c>
      <c r="H1878">
        <v>12</v>
      </c>
      <c r="I1878" s="4">
        <v>43836</v>
      </c>
      <c r="J1878" s="4">
        <v>9384</v>
      </c>
    </row>
    <row r="1879" spans="2:10" x14ac:dyDescent="0.3">
      <c r="B1879" s="7">
        <v>44317</v>
      </c>
      <c r="C1879" s="3">
        <f t="shared" si="58"/>
        <v>2021</v>
      </c>
      <c r="D1879" s="3">
        <f t="shared" si="59"/>
        <v>202105</v>
      </c>
      <c r="E1879" s="5" t="s">
        <v>3</v>
      </c>
      <c r="F1879" s="5" t="s">
        <v>13</v>
      </c>
      <c r="G1879" s="5" t="s">
        <v>50</v>
      </c>
      <c r="H1879">
        <v>15</v>
      </c>
      <c r="I1879" s="4">
        <v>52065</v>
      </c>
      <c r="J1879" s="4">
        <v>11730</v>
      </c>
    </row>
    <row r="1880" spans="2:10" x14ac:dyDescent="0.3">
      <c r="B1880" s="7">
        <v>44348</v>
      </c>
      <c r="C1880" s="3">
        <f t="shared" si="58"/>
        <v>2021</v>
      </c>
      <c r="D1880" s="3">
        <f t="shared" si="59"/>
        <v>202106</v>
      </c>
      <c r="E1880" s="5" t="s">
        <v>3</v>
      </c>
      <c r="F1880" s="5" t="s">
        <v>13</v>
      </c>
      <c r="G1880" s="5" t="s">
        <v>50</v>
      </c>
      <c r="H1880">
        <v>14</v>
      </c>
      <c r="I1880" s="4">
        <v>43722</v>
      </c>
      <c r="J1880" s="4">
        <v>10948</v>
      </c>
    </row>
    <row r="1881" spans="2:10" x14ac:dyDescent="0.3">
      <c r="B1881" s="7">
        <v>44378</v>
      </c>
      <c r="C1881" s="3">
        <f t="shared" si="58"/>
        <v>2021</v>
      </c>
      <c r="D1881" s="3">
        <f t="shared" si="59"/>
        <v>202107</v>
      </c>
      <c r="E1881" s="5" t="s">
        <v>3</v>
      </c>
      <c r="F1881" s="5" t="s">
        <v>13</v>
      </c>
      <c r="G1881" s="5" t="s">
        <v>50</v>
      </c>
      <c r="H1881">
        <v>15</v>
      </c>
      <c r="I1881" s="4">
        <v>26235</v>
      </c>
      <c r="J1881" s="4">
        <v>11730</v>
      </c>
    </row>
    <row r="1882" spans="2:10" x14ac:dyDescent="0.3">
      <c r="B1882" s="7">
        <v>44409</v>
      </c>
      <c r="C1882" s="3">
        <f t="shared" si="58"/>
        <v>2021</v>
      </c>
      <c r="D1882" s="3">
        <f t="shared" si="59"/>
        <v>202108</v>
      </c>
      <c r="E1882" s="5" t="s">
        <v>3</v>
      </c>
      <c r="F1882" s="5" t="s">
        <v>13</v>
      </c>
      <c r="G1882" s="5" t="s">
        <v>50</v>
      </c>
      <c r="H1882">
        <v>13</v>
      </c>
      <c r="I1882" s="4">
        <v>31044</v>
      </c>
      <c r="J1882" s="4">
        <v>10166</v>
      </c>
    </row>
    <row r="1883" spans="2:10" x14ac:dyDescent="0.3">
      <c r="B1883" s="7">
        <v>44440</v>
      </c>
      <c r="C1883" s="3">
        <f t="shared" si="58"/>
        <v>2021</v>
      </c>
      <c r="D1883" s="3">
        <f t="shared" si="59"/>
        <v>202109</v>
      </c>
      <c r="E1883" s="5" t="s">
        <v>3</v>
      </c>
      <c r="F1883" s="5" t="s">
        <v>13</v>
      </c>
      <c r="G1883" s="5" t="s">
        <v>50</v>
      </c>
      <c r="H1883">
        <v>14</v>
      </c>
      <c r="I1883" s="4">
        <v>31584</v>
      </c>
      <c r="J1883" s="4">
        <v>10948</v>
      </c>
    </row>
    <row r="1884" spans="2:10" x14ac:dyDescent="0.3">
      <c r="B1884" s="7">
        <v>44470</v>
      </c>
      <c r="C1884" s="3">
        <f t="shared" si="58"/>
        <v>2021</v>
      </c>
      <c r="D1884" s="3">
        <f t="shared" si="59"/>
        <v>202110</v>
      </c>
      <c r="E1884" s="5" t="s">
        <v>3</v>
      </c>
      <c r="F1884" s="5" t="s">
        <v>13</v>
      </c>
      <c r="G1884" s="5" t="s">
        <v>50</v>
      </c>
      <c r="H1884">
        <v>11</v>
      </c>
      <c r="I1884" s="4">
        <v>30250</v>
      </c>
      <c r="J1884" s="4">
        <v>8602</v>
      </c>
    </row>
    <row r="1885" spans="2:10" x14ac:dyDescent="0.3">
      <c r="B1885" s="7">
        <v>44501</v>
      </c>
      <c r="C1885" s="3">
        <f t="shared" si="58"/>
        <v>2021</v>
      </c>
      <c r="D1885" s="3">
        <f t="shared" si="59"/>
        <v>202111</v>
      </c>
      <c r="E1885" s="5" t="s">
        <v>3</v>
      </c>
      <c r="F1885" s="5" t="s">
        <v>13</v>
      </c>
      <c r="G1885" s="5" t="s">
        <v>50</v>
      </c>
      <c r="H1885">
        <v>8</v>
      </c>
      <c r="I1885" s="4">
        <v>26920</v>
      </c>
      <c r="J1885" s="4">
        <v>6256</v>
      </c>
    </row>
    <row r="1886" spans="2:10" x14ac:dyDescent="0.3">
      <c r="B1886" s="7">
        <v>44531</v>
      </c>
      <c r="C1886" s="3">
        <f t="shared" si="58"/>
        <v>2021</v>
      </c>
      <c r="D1886" s="3">
        <f t="shared" si="59"/>
        <v>202112</v>
      </c>
      <c r="E1886" s="5" t="s">
        <v>3</v>
      </c>
      <c r="F1886" s="5" t="s">
        <v>13</v>
      </c>
      <c r="G1886" s="5" t="s">
        <v>50</v>
      </c>
      <c r="H1886">
        <v>10</v>
      </c>
      <c r="I1886" s="4">
        <v>21790</v>
      </c>
      <c r="J1886" s="4">
        <v>7820</v>
      </c>
    </row>
    <row r="1887" spans="2:10" x14ac:dyDescent="0.3">
      <c r="B1887" s="7">
        <v>44562</v>
      </c>
      <c r="C1887" s="3">
        <f t="shared" si="58"/>
        <v>2022</v>
      </c>
      <c r="D1887" s="3">
        <f t="shared" si="59"/>
        <v>202201</v>
      </c>
      <c r="E1887" s="5" t="s">
        <v>3</v>
      </c>
      <c r="F1887" s="5" t="s">
        <v>13</v>
      </c>
      <c r="G1887" s="5" t="s">
        <v>50</v>
      </c>
      <c r="H1887">
        <v>14</v>
      </c>
      <c r="I1887" s="4">
        <v>36820</v>
      </c>
      <c r="J1887" s="4">
        <v>10948</v>
      </c>
    </row>
    <row r="1888" spans="2:10" x14ac:dyDescent="0.3">
      <c r="B1888" s="7">
        <v>44593</v>
      </c>
      <c r="C1888" s="3">
        <f t="shared" si="58"/>
        <v>2022</v>
      </c>
      <c r="D1888" s="3">
        <f t="shared" si="59"/>
        <v>202202</v>
      </c>
      <c r="E1888" s="5" t="s">
        <v>3</v>
      </c>
      <c r="F1888" s="5" t="s">
        <v>13</v>
      </c>
      <c r="G1888" s="5" t="s">
        <v>50</v>
      </c>
      <c r="H1888">
        <v>9</v>
      </c>
      <c r="I1888" s="4">
        <v>26370</v>
      </c>
      <c r="J1888" s="4">
        <v>7038</v>
      </c>
    </row>
    <row r="1889" spans="2:10" x14ac:dyDescent="0.3">
      <c r="B1889" s="7">
        <v>44621</v>
      </c>
      <c r="C1889" s="3">
        <f t="shared" si="58"/>
        <v>2022</v>
      </c>
      <c r="D1889" s="3">
        <f t="shared" si="59"/>
        <v>202203</v>
      </c>
      <c r="E1889" s="5" t="s">
        <v>3</v>
      </c>
      <c r="F1889" s="5" t="s">
        <v>13</v>
      </c>
      <c r="G1889" s="5" t="s">
        <v>50</v>
      </c>
      <c r="H1889">
        <v>7</v>
      </c>
      <c r="I1889" s="4">
        <v>13965</v>
      </c>
      <c r="J1889" s="4">
        <v>5474</v>
      </c>
    </row>
    <row r="1890" spans="2:10" x14ac:dyDescent="0.3">
      <c r="B1890" s="7">
        <v>44652</v>
      </c>
      <c r="C1890" s="3">
        <f t="shared" si="58"/>
        <v>2022</v>
      </c>
      <c r="D1890" s="3">
        <f t="shared" si="59"/>
        <v>202204</v>
      </c>
      <c r="E1890" s="5" t="s">
        <v>3</v>
      </c>
      <c r="F1890" s="5" t="s">
        <v>13</v>
      </c>
      <c r="G1890" s="5" t="s">
        <v>50</v>
      </c>
      <c r="H1890">
        <v>13</v>
      </c>
      <c r="I1890" s="4">
        <v>41210</v>
      </c>
      <c r="J1890" s="4">
        <v>10166</v>
      </c>
    </row>
    <row r="1891" spans="2:10" x14ac:dyDescent="0.3">
      <c r="B1891" s="7">
        <v>44682</v>
      </c>
      <c r="C1891" s="3">
        <f t="shared" si="58"/>
        <v>2022</v>
      </c>
      <c r="D1891" s="3">
        <f t="shared" si="59"/>
        <v>202205</v>
      </c>
      <c r="E1891" s="5" t="s">
        <v>3</v>
      </c>
      <c r="F1891" s="5" t="s">
        <v>13</v>
      </c>
      <c r="G1891" s="5" t="s">
        <v>50</v>
      </c>
      <c r="H1891">
        <v>17</v>
      </c>
      <c r="I1891" s="4">
        <v>54978</v>
      </c>
      <c r="J1891" s="4">
        <v>13294</v>
      </c>
    </row>
    <row r="1892" spans="2:10" x14ac:dyDescent="0.3">
      <c r="B1892" s="7">
        <v>44713</v>
      </c>
      <c r="C1892" s="3">
        <f t="shared" si="58"/>
        <v>2022</v>
      </c>
      <c r="D1892" s="3">
        <f t="shared" si="59"/>
        <v>202206</v>
      </c>
      <c r="E1892" s="5" t="s">
        <v>3</v>
      </c>
      <c r="F1892" s="5" t="s">
        <v>13</v>
      </c>
      <c r="G1892" s="5" t="s">
        <v>50</v>
      </c>
      <c r="H1892">
        <v>16</v>
      </c>
      <c r="I1892" s="4">
        <v>48448</v>
      </c>
      <c r="J1892" s="4">
        <v>12512</v>
      </c>
    </row>
    <row r="1893" spans="2:10" x14ac:dyDescent="0.3">
      <c r="B1893" s="7">
        <v>44743</v>
      </c>
      <c r="C1893" s="3">
        <f t="shared" si="58"/>
        <v>2022</v>
      </c>
      <c r="D1893" s="3">
        <f t="shared" si="59"/>
        <v>202207</v>
      </c>
      <c r="E1893" s="5" t="s">
        <v>3</v>
      </c>
      <c r="F1893" s="5" t="s">
        <v>13</v>
      </c>
      <c r="G1893" s="5" t="s">
        <v>50</v>
      </c>
      <c r="H1893">
        <v>17</v>
      </c>
      <c r="I1893" s="4">
        <v>19176</v>
      </c>
      <c r="J1893" s="4">
        <v>13294</v>
      </c>
    </row>
    <row r="1894" spans="2:10" x14ac:dyDescent="0.3">
      <c r="B1894" s="7">
        <v>44774</v>
      </c>
      <c r="C1894" s="3">
        <f t="shared" si="58"/>
        <v>2022</v>
      </c>
      <c r="D1894" s="3">
        <f t="shared" si="59"/>
        <v>202208</v>
      </c>
      <c r="E1894" s="5" t="s">
        <v>3</v>
      </c>
      <c r="F1894" s="5" t="s">
        <v>13</v>
      </c>
      <c r="G1894" s="5" t="s">
        <v>50</v>
      </c>
      <c r="H1894">
        <v>14</v>
      </c>
      <c r="I1894" s="4">
        <v>36274</v>
      </c>
      <c r="J1894" s="4">
        <v>10948</v>
      </c>
    </row>
    <row r="1895" spans="2:10" x14ac:dyDescent="0.3">
      <c r="B1895" s="7">
        <v>44805</v>
      </c>
      <c r="C1895" s="3">
        <f t="shared" si="58"/>
        <v>2022</v>
      </c>
      <c r="D1895" s="3">
        <f t="shared" si="59"/>
        <v>202209</v>
      </c>
      <c r="E1895" s="5" t="s">
        <v>3</v>
      </c>
      <c r="F1895" s="5" t="s">
        <v>13</v>
      </c>
      <c r="G1895" s="5" t="s">
        <v>50</v>
      </c>
      <c r="H1895">
        <v>15</v>
      </c>
      <c r="I1895" s="4">
        <v>27825</v>
      </c>
      <c r="J1895" s="4">
        <v>11730</v>
      </c>
    </row>
    <row r="1896" spans="2:10" x14ac:dyDescent="0.3">
      <c r="B1896" s="7">
        <v>44835</v>
      </c>
      <c r="C1896" s="3">
        <f t="shared" si="58"/>
        <v>2022</v>
      </c>
      <c r="D1896" s="3">
        <f t="shared" si="59"/>
        <v>202210</v>
      </c>
      <c r="E1896" s="5" t="s">
        <v>3</v>
      </c>
      <c r="F1896" s="5" t="s">
        <v>13</v>
      </c>
      <c r="G1896" s="5" t="s">
        <v>50</v>
      </c>
      <c r="H1896">
        <v>12</v>
      </c>
      <c r="I1896" s="4">
        <v>34956</v>
      </c>
      <c r="J1896" s="4">
        <v>9384</v>
      </c>
    </row>
    <row r="1897" spans="2:10" x14ac:dyDescent="0.3">
      <c r="B1897" s="7">
        <v>44866</v>
      </c>
      <c r="C1897" s="3">
        <f t="shared" si="58"/>
        <v>2022</v>
      </c>
      <c r="D1897" s="3">
        <f t="shared" si="59"/>
        <v>202211</v>
      </c>
      <c r="E1897" s="5" t="s">
        <v>3</v>
      </c>
      <c r="F1897" s="5" t="s">
        <v>13</v>
      </c>
      <c r="G1897" s="5" t="s">
        <v>50</v>
      </c>
      <c r="H1897">
        <v>9</v>
      </c>
      <c r="I1897" s="4">
        <v>27909</v>
      </c>
      <c r="J1897" s="4">
        <v>7038</v>
      </c>
    </row>
    <row r="1898" spans="2:10" x14ac:dyDescent="0.3">
      <c r="B1898" s="7">
        <v>44896</v>
      </c>
      <c r="C1898" s="3">
        <f t="shared" si="58"/>
        <v>2022</v>
      </c>
      <c r="D1898" s="3">
        <f t="shared" si="59"/>
        <v>202212</v>
      </c>
      <c r="E1898" s="5" t="s">
        <v>3</v>
      </c>
      <c r="F1898" s="5" t="s">
        <v>13</v>
      </c>
      <c r="G1898" s="5" t="s">
        <v>50</v>
      </c>
      <c r="H1898">
        <v>11</v>
      </c>
      <c r="I1898" s="4">
        <v>27995</v>
      </c>
      <c r="J1898" s="4">
        <v>8602</v>
      </c>
    </row>
    <row r="1899" spans="2:10" x14ac:dyDescent="0.3">
      <c r="B1899" s="7">
        <v>44197</v>
      </c>
      <c r="C1899" s="3">
        <f t="shared" si="58"/>
        <v>2021</v>
      </c>
      <c r="D1899" s="3">
        <f t="shared" si="59"/>
        <v>202101</v>
      </c>
      <c r="E1899" s="5" t="s">
        <v>3</v>
      </c>
      <c r="F1899" s="5" t="s">
        <v>13</v>
      </c>
      <c r="G1899" s="5" t="s">
        <v>51</v>
      </c>
      <c r="H1899">
        <v>12</v>
      </c>
      <c r="I1899" s="4">
        <v>55632</v>
      </c>
      <c r="J1899" s="4">
        <v>21000</v>
      </c>
    </row>
    <row r="1900" spans="2:10" x14ac:dyDescent="0.3">
      <c r="B1900" s="7">
        <v>44228</v>
      </c>
      <c r="C1900" s="3">
        <f t="shared" si="58"/>
        <v>2021</v>
      </c>
      <c r="D1900" s="3">
        <f t="shared" si="59"/>
        <v>202102</v>
      </c>
      <c r="E1900" s="5" t="s">
        <v>3</v>
      </c>
      <c r="F1900" s="5" t="s">
        <v>13</v>
      </c>
      <c r="G1900" s="5" t="s">
        <v>51</v>
      </c>
      <c r="H1900">
        <v>7</v>
      </c>
      <c r="I1900" s="4">
        <v>33894</v>
      </c>
      <c r="J1900" s="4">
        <v>12250</v>
      </c>
    </row>
    <row r="1901" spans="2:10" x14ac:dyDescent="0.3">
      <c r="B1901" s="7">
        <v>44256</v>
      </c>
      <c r="C1901" s="3">
        <f t="shared" si="58"/>
        <v>2021</v>
      </c>
      <c r="D1901" s="3">
        <f t="shared" si="59"/>
        <v>202103</v>
      </c>
      <c r="E1901" s="5" t="s">
        <v>3</v>
      </c>
      <c r="F1901" s="5" t="s">
        <v>13</v>
      </c>
      <c r="G1901" s="5" t="s">
        <v>51</v>
      </c>
      <c r="H1901">
        <v>6</v>
      </c>
      <c r="I1901" s="4">
        <v>26916</v>
      </c>
      <c r="J1901" s="4">
        <v>10500</v>
      </c>
    </row>
    <row r="1902" spans="2:10" x14ac:dyDescent="0.3">
      <c r="B1902" s="7">
        <v>44287</v>
      </c>
      <c r="C1902" s="3">
        <f t="shared" si="58"/>
        <v>2021</v>
      </c>
      <c r="D1902" s="3">
        <f t="shared" si="59"/>
        <v>202104</v>
      </c>
      <c r="E1902" s="5" t="s">
        <v>3</v>
      </c>
      <c r="F1902" s="5" t="s">
        <v>13</v>
      </c>
      <c r="G1902" s="5" t="s">
        <v>51</v>
      </c>
      <c r="H1902">
        <v>11</v>
      </c>
      <c r="I1902" s="4">
        <v>54417</v>
      </c>
      <c r="J1902" s="4">
        <v>19250</v>
      </c>
    </row>
    <row r="1903" spans="2:10" x14ac:dyDescent="0.3">
      <c r="B1903" s="7">
        <v>44317</v>
      </c>
      <c r="C1903" s="3">
        <f t="shared" si="58"/>
        <v>2021</v>
      </c>
      <c r="D1903" s="3">
        <f t="shared" si="59"/>
        <v>202105</v>
      </c>
      <c r="E1903" s="5" t="s">
        <v>3</v>
      </c>
      <c r="F1903" s="5" t="s">
        <v>13</v>
      </c>
      <c r="G1903" s="5" t="s">
        <v>51</v>
      </c>
      <c r="H1903">
        <v>14</v>
      </c>
      <c r="I1903" s="4">
        <v>81452</v>
      </c>
      <c r="J1903" s="4">
        <v>24500</v>
      </c>
    </row>
    <row r="1904" spans="2:10" x14ac:dyDescent="0.3">
      <c r="B1904" s="7">
        <v>44348</v>
      </c>
      <c r="C1904" s="3">
        <f t="shared" si="58"/>
        <v>2021</v>
      </c>
      <c r="D1904" s="3">
        <f t="shared" si="59"/>
        <v>202106</v>
      </c>
      <c r="E1904" s="5" t="s">
        <v>3</v>
      </c>
      <c r="F1904" s="5" t="s">
        <v>13</v>
      </c>
      <c r="G1904" s="5" t="s">
        <v>51</v>
      </c>
      <c r="H1904">
        <v>13</v>
      </c>
      <c r="I1904" s="4">
        <v>69576</v>
      </c>
      <c r="J1904" s="4">
        <v>22750</v>
      </c>
    </row>
    <row r="1905" spans="2:10" x14ac:dyDescent="0.3">
      <c r="B1905" s="7">
        <v>44378</v>
      </c>
      <c r="C1905" s="3">
        <f t="shared" si="58"/>
        <v>2021</v>
      </c>
      <c r="D1905" s="3">
        <f t="shared" si="59"/>
        <v>202107</v>
      </c>
      <c r="E1905" s="5" t="s">
        <v>3</v>
      </c>
      <c r="F1905" s="5" t="s">
        <v>13</v>
      </c>
      <c r="G1905" s="5" t="s">
        <v>51</v>
      </c>
      <c r="H1905">
        <v>14</v>
      </c>
      <c r="I1905" s="4">
        <v>41608</v>
      </c>
      <c r="J1905" s="4">
        <v>24500</v>
      </c>
    </row>
    <row r="1906" spans="2:10" x14ac:dyDescent="0.3">
      <c r="B1906" s="7">
        <v>44409</v>
      </c>
      <c r="C1906" s="3">
        <f t="shared" si="58"/>
        <v>2021</v>
      </c>
      <c r="D1906" s="3">
        <f t="shared" si="59"/>
        <v>202108</v>
      </c>
      <c r="E1906" s="5" t="s">
        <v>3</v>
      </c>
      <c r="F1906" s="5" t="s">
        <v>13</v>
      </c>
      <c r="G1906" s="5" t="s">
        <v>51</v>
      </c>
      <c r="H1906">
        <v>12</v>
      </c>
      <c r="I1906" s="4">
        <v>52944</v>
      </c>
      <c r="J1906" s="4">
        <v>21000</v>
      </c>
    </row>
    <row r="1907" spans="2:10" x14ac:dyDescent="0.3">
      <c r="B1907" s="7">
        <v>44440</v>
      </c>
      <c r="C1907" s="3">
        <f t="shared" si="58"/>
        <v>2021</v>
      </c>
      <c r="D1907" s="3">
        <f t="shared" si="59"/>
        <v>202109</v>
      </c>
      <c r="E1907" s="5" t="s">
        <v>3</v>
      </c>
      <c r="F1907" s="5" t="s">
        <v>13</v>
      </c>
      <c r="G1907" s="5" t="s">
        <v>51</v>
      </c>
      <c r="H1907">
        <v>12</v>
      </c>
      <c r="I1907" s="4">
        <v>55596</v>
      </c>
      <c r="J1907" s="4">
        <v>21000</v>
      </c>
    </row>
    <row r="1908" spans="2:10" x14ac:dyDescent="0.3">
      <c r="B1908" s="7">
        <v>44470</v>
      </c>
      <c r="C1908" s="3">
        <f t="shared" si="58"/>
        <v>2021</v>
      </c>
      <c r="D1908" s="3">
        <f t="shared" si="59"/>
        <v>202110</v>
      </c>
      <c r="E1908" s="5" t="s">
        <v>3</v>
      </c>
      <c r="F1908" s="5" t="s">
        <v>13</v>
      </c>
      <c r="G1908" s="5" t="s">
        <v>51</v>
      </c>
      <c r="H1908">
        <v>10</v>
      </c>
      <c r="I1908" s="4">
        <v>50380</v>
      </c>
      <c r="J1908" s="4">
        <v>17500</v>
      </c>
    </row>
    <row r="1909" spans="2:10" x14ac:dyDescent="0.3">
      <c r="B1909" s="7">
        <v>44501</v>
      </c>
      <c r="C1909" s="3">
        <f t="shared" si="58"/>
        <v>2021</v>
      </c>
      <c r="D1909" s="3">
        <f t="shared" si="59"/>
        <v>202111</v>
      </c>
      <c r="E1909" s="5" t="s">
        <v>3</v>
      </c>
      <c r="F1909" s="5" t="s">
        <v>13</v>
      </c>
      <c r="G1909" s="5" t="s">
        <v>51</v>
      </c>
      <c r="H1909">
        <v>7</v>
      </c>
      <c r="I1909" s="4">
        <v>29862</v>
      </c>
      <c r="J1909" s="4">
        <v>12250</v>
      </c>
    </row>
    <row r="1910" spans="2:10" x14ac:dyDescent="0.3">
      <c r="B1910" s="7">
        <v>44531</v>
      </c>
      <c r="C1910" s="3">
        <f t="shared" si="58"/>
        <v>2021</v>
      </c>
      <c r="D1910" s="3">
        <f t="shared" si="59"/>
        <v>202112</v>
      </c>
      <c r="E1910" s="5" t="s">
        <v>3</v>
      </c>
      <c r="F1910" s="5" t="s">
        <v>13</v>
      </c>
      <c r="G1910" s="5" t="s">
        <v>51</v>
      </c>
      <c r="H1910">
        <v>9</v>
      </c>
      <c r="I1910" s="4">
        <v>41796</v>
      </c>
      <c r="J1910" s="4">
        <v>15750</v>
      </c>
    </row>
    <row r="1911" spans="2:10" x14ac:dyDescent="0.3">
      <c r="B1911" s="7">
        <v>44562</v>
      </c>
      <c r="C1911" s="3">
        <f t="shared" si="58"/>
        <v>2022</v>
      </c>
      <c r="D1911" s="3">
        <f t="shared" si="59"/>
        <v>202201</v>
      </c>
      <c r="E1911" s="5" t="s">
        <v>3</v>
      </c>
      <c r="F1911" s="5" t="s">
        <v>13</v>
      </c>
      <c r="G1911" s="5" t="s">
        <v>51</v>
      </c>
      <c r="H1911">
        <v>13</v>
      </c>
      <c r="I1911" s="4">
        <v>69706</v>
      </c>
      <c r="J1911" s="4">
        <v>22750</v>
      </c>
    </row>
    <row r="1912" spans="2:10" x14ac:dyDescent="0.3">
      <c r="B1912" s="7">
        <v>44593</v>
      </c>
      <c r="C1912" s="3">
        <f t="shared" si="58"/>
        <v>2022</v>
      </c>
      <c r="D1912" s="3">
        <f t="shared" si="59"/>
        <v>202202</v>
      </c>
      <c r="E1912" s="5" t="s">
        <v>3</v>
      </c>
      <c r="F1912" s="5" t="s">
        <v>13</v>
      </c>
      <c r="G1912" s="5" t="s">
        <v>51</v>
      </c>
      <c r="H1912">
        <v>8</v>
      </c>
      <c r="I1912" s="4">
        <v>37264</v>
      </c>
      <c r="J1912" s="4">
        <v>14000</v>
      </c>
    </row>
    <row r="1913" spans="2:10" x14ac:dyDescent="0.3">
      <c r="B1913" s="7">
        <v>44621</v>
      </c>
      <c r="C1913" s="3">
        <f t="shared" si="58"/>
        <v>2022</v>
      </c>
      <c r="D1913" s="3">
        <f t="shared" si="59"/>
        <v>202203</v>
      </c>
      <c r="E1913" s="5" t="s">
        <v>3</v>
      </c>
      <c r="F1913" s="5" t="s">
        <v>13</v>
      </c>
      <c r="G1913" s="5" t="s">
        <v>51</v>
      </c>
      <c r="H1913">
        <v>7</v>
      </c>
      <c r="I1913" s="4">
        <v>29771</v>
      </c>
      <c r="J1913" s="4">
        <v>12250</v>
      </c>
    </row>
    <row r="1914" spans="2:10" x14ac:dyDescent="0.3">
      <c r="B1914" s="7">
        <v>44652</v>
      </c>
      <c r="C1914" s="3">
        <f t="shared" si="58"/>
        <v>2022</v>
      </c>
      <c r="D1914" s="3">
        <f t="shared" si="59"/>
        <v>202204</v>
      </c>
      <c r="E1914" s="5" t="s">
        <v>3</v>
      </c>
      <c r="F1914" s="5" t="s">
        <v>13</v>
      </c>
      <c r="G1914" s="5" t="s">
        <v>51</v>
      </c>
      <c r="H1914">
        <v>12</v>
      </c>
      <c r="I1914" s="4">
        <v>66492</v>
      </c>
      <c r="J1914" s="4">
        <v>21000</v>
      </c>
    </row>
    <row r="1915" spans="2:10" x14ac:dyDescent="0.3">
      <c r="B1915" s="7">
        <v>44682</v>
      </c>
      <c r="C1915" s="3">
        <f t="shared" si="58"/>
        <v>2022</v>
      </c>
      <c r="D1915" s="3">
        <f t="shared" si="59"/>
        <v>202205</v>
      </c>
      <c r="E1915" s="5" t="s">
        <v>3</v>
      </c>
      <c r="F1915" s="5" t="s">
        <v>13</v>
      </c>
      <c r="G1915" s="5" t="s">
        <v>51</v>
      </c>
      <c r="H1915">
        <v>15</v>
      </c>
      <c r="I1915" s="4">
        <v>80865</v>
      </c>
      <c r="J1915" s="4">
        <v>26250</v>
      </c>
    </row>
    <row r="1916" spans="2:10" x14ac:dyDescent="0.3">
      <c r="B1916" s="7">
        <v>44713</v>
      </c>
      <c r="C1916" s="3">
        <f t="shared" si="58"/>
        <v>2022</v>
      </c>
      <c r="D1916" s="3">
        <f t="shared" si="59"/>
        <v>202206</v>
      </c>
      <c r="E1916" s="5" t="s">
        <v>3</v>
      </c>
      <c r="F1916" s="5" t="s">
        <v>13</v>
      </c>
      <c r="G1916" s="5" t="s">
        <v>51</v>
      </c>
      <c r="H1916">
        <v>14</v>
      </c>
      <c r="I1916" s="4">
        <v>71820</v>
      </c>
      <c r="J1916" s="4">
        <v>24500</v>
      </c>
    </row>
    <row r="1917" spans="2:10" x14ac:dyDescent="0.3">
      <c r="B1917" s="7">
        <v>44743</v>
      </c>
      <c r="C1917" s="3">
        <f t="shared" si="58"/>
        <v>2022</v>
      </c>
      <c r="D1917" s="3">
        <f t="shared" si="59"/>
        <v>202207</v>
      </c>
      <c r="E1917" s="5" t="s">
        <v>3</v>
      </c>
      <c r="F1917" s="5" t="s">
        <v>13</v>
      </c>
      <c r="G1917" s="5" t="s">
        <v>51</v>
      </c>
      <c r="H1917">
        <v>15</v>
      </c>
      <c r="I1917" s="4">
        <v>51390</v>
      </c>
      <c r="J1917" s="4">
        <v>26250</v>
      </c>
    </row>
    <row r="1918" spans="2:10" x14ac:dyDescent="0.3">
      <c r="B1918" s="7">
        <v>44774</v>
      </c>
      <c r="C1918" s="3">
        <f t="shared" si="58"/>
        <v>2022</v>
      </c>
      <c r="D1918" s="3">
        <f t="shared" si="59"/>
        <v>202208</v>
      </c>
      <c r="E1918" s="5" t="s">
        <v>3</v>
      </c>
      <c r="F1918" s="5" t="s">
        <v>13</v>
      </c>
      <c r="G1918" s="5" t="s">
        <v>51</v>
      </c>
      <c r="H1918">
        <v>13</v>
      </c>
      <c r="I1918" s="4">
        <v>47333</v>
      </c>
      <c r="J1918" s="4">
        <v>22750</v>
      </c>
    </row>
    <row r="1919" spans="2:10" x14ac:dyDescent="0.3">
      <c r="B1919" s="7">
        <v>44805</v>
      </c>
      <c r="C1919" s="3">
        <f t="shared" si="58"/>
        <v>2022</v>
      </c>
      <c r="D1919" s="3">
        <f t="shared" si="59"/>
        <v>202209</v>
      </c>
      <c r="E1919" s="5" t="s">
        <v>3</v>
      </c>
      <c r="F1919" s="5" t="s">
        <v>13</v>
      </c>
      <c r="G1919" s="5" t="s">
        <v>51</v>
      </c>
      <c r="H1919">
        <v>14</v>
      </c>
      <c r="I1919" s="4">
        <v>54110</v>
      </c>
      <c r="J1919" s="4">
        <v>24500</v>
      </c>
    </row>
    <row r="1920" spans="2:10" x14ac:dyDescent="0.3">
      <c r="B1920" s="7">
        <v>44835</v>
      </c>
      <c r="C1920" s="3">
        <f t="shared" si="58"/>
        <v>2022</v>
      </c>
      <c r="D1920" s="3">
        <f t="shared" si="59"/>
        <v>202210</v>
      </c>
      <c r="E1920" s="5" t="s">
        <v>3</v>
      </c>
      <c r="F1920" s="5" t="s">
        <v>13</v>
      </c>
      <c r="G1920" s="5" t="s">
        <v>51</v>
      </c>
      <c r="H1920">
        <v>11</v>
      </c>
      <c r="I1920" s="4">
        <v>54043</v>
      </c>
      <c r="J1920" s="4">
        <v>19250</v>
      </c>
    </row>
    <row r="1921" spans="2:10" x14ac:dyDescent="0.3">
      <c r="B1921" s="7">
        <v>44866</v>
      </c>
      <c r="C1921" s="3">
        <f t="shared" si="58"/>
        <v>2022</v>
      </c>
      <c r="D1921" s="3">
        <f t="shared" si="59"/>
        <v>202211</v>
      </c>
      <c r="E1921" s="5" t="s">
        <v>3</v>
      </c>
      <c r="F1921" s="5" t="s">
        <v>13</v>
      </c>
      <c r="G1921" s="5" t="s">
        <v>51</v>
      </c>
      <c r="H1921">
        <v>8</v>
      </c>
      <c r="I1921" s="4">
        <v>37856</v>
      </c>
      <c r="J1921" s="4">
        <v>14000</v>
      </c>
    </row>
    <row r="1922" spans="2:10" x14ac:dyDescent="0.3">
      <c r="B1922" s="7">
        <v>44896</v>
      </c>
      <c r="C1922" s="3">
        <f t="shared" si="58"/>
        <v>2022</v>
      </c>
      <c r="D1922" s="3">
        <f t="shared" si="59"/>
        <v>202212</v>
      </c>
      <c r="E1922" s="5" t="s">
        <v>3</v>
      </c>
      <c r="F1922" s="5" t="s">
        <v>13</v>
      </c>
      <c r="G1922" s="5" t="s">
        <v>51</v>
      </c>
      <c r="H1922">
        <v>10</v>
      </c>
      <c r="I1922" s="4">
        <v>46610</v>
      </c>
      <c r="J1922" s="4">
        <v>17500</v>
      </c>
    </row>
    <row r="1923" spans="2:10" x14ac:dyDescent="0.3">
      <c r="B1923" s="7">
        <v>44197</v>
      </c>
      <c r="C1923" s="3">
        <f t="shared" ref="C1923:C1986" si="60">YEAR(B1923)</f>
        <v>2021</v>
      </c>
      <c r="D1923" s="3">
        <f t="shared" ref="D1923:D1986" si="61">VALUE(TEXT(B1923,"ГГГГММ"))</f>
        <v>202101</v>
      </c>
      <c r="E1923" s="5" t="s">
        <v>3</v>
      </c>
      <c r="F1923" s="5" t="s">
        <v>13</v>
      </c>
      <c r="G1923" s="5" t="s">
        <v>52</v>
      </c>
      <c r="H1923">
        <v>11</v>
      </c>
      <c r="I1923" s="4">
        <v>51788</v>
      </c>
      <c r="J1923" s="4">
        <v>27720</v>
      </c>
    </row>
    <row r="1924" spans="2:10" x14ac:dyDescent="0.3">
      <c r="B1924" s="7">
        <v>44228</v>
      </c>
      <c r="C1924" s="3">
        <f t="shared" si="60"/>
        <v>2021</v>
      </c>
      <c r="D1924" s="3">
        <f t="shared" si="61"/>
        <v>202102</v>
      </c>
      <c r="E1924" s="5" t="s">
        <v>3</v>
      </c>
      <c r="F1924" s="5" t="s">
        <v>13</v>
      </c>
      <c r="G1924" s="5" t="s">
        <v>52</v>
      </c>
      <c r="H1924">
        <v>7</v>
      </c>
      <c r="I1924" s="4">
        <v>40320</v>
      </c>
      <c r="J1924" s="4">
        <v>17640</v>
      </c>
    </row>
    <row r="1925" spans="2:10" x14ac:dyDescent="0.3">
      <c r="B1925" s="7">
        <v>44256</v>
      </c>
      <c r="C1925" s="3">
        <f t="shared" si="60"/>
        <v>2021</v>
      </c>
      <c r="D1925" s="3">
        <f t="shared" si="61"/>
        <v>202103</v>
      </c>
      <c r="E1925" s="5" t="s">
        <v>3</v>
      </c>
      <c r="F1925" s="5" t="s">
        <v>13</v>
      </c>
      <c r="G1925" s="5" t="s">
        <v>52</v>
      </c>
      <c r="H1925">
        <v>6</v>
      </c>
      <c r="I1925" s="4">
        <v>29424</v>
      </c>
      <c r="J1925" s="4">
        <v>15120</v>
      </c>
    </row>
    <row r="1926" spans="2:10" x14ac:dyDescent="0.3">
      <c r="B1926" s="7">
        <v>44287</v>
      </c>
      <c r="C1926" s="3">
        <f t="shared" si="60"/>
        <v>2021</v>
      </c>
      <c r="D1926" s="3">
        <f t="shared" si="61"/>
        <v>202104</v>
      </c>
      <c r="E1926" s="5" t="s">
        <v>3</v>
      </c>
      <c r="F1926" s="5" t="s">
        <v>13</v>
      </c>
      <c r="G1926" s="5" t="s">
        <v>52</v>
      </c>
      <c r="H1926">
        <v>10</v>
      </c>
      <c r="I1926" s="4">
        <v>57620</v>
      </c>
      <c r="J1926" s="4">
        <v>25200</v>
      </c>
    </row>
    <row r="1927" spans="2:10" x14ac:dyDescent="0.3">
      <c r="B1927" s="7">
        <v>44317</v>
      </c>
      <c r="C1927" s="3">
        <f t="shared" si="60"/>
        <v>2021</v>
      </c>
      <c r="D1927" s="3">
        <f t="shared" si="61"/>
        <v>202105</v>
      </c>
      <c r="E1927" s="5" t="s">
        <v>3</v>
      </c>
      <c r="F1927" s="5" t="s">
        <v>13</v>
      </c>
      <c r="G1927" s="5" t="s">
        <v>52</v>
      </c>
      <c r="H1927">
        <v>12</v>
      </c>
      <c r="I1927" s="4">
        <v>70560</v>
      </c>
      <c r="J1927" s="4">
        <v>30240</v>
      </c>
    </row>
    <row r="1928" spans="2:10" x14ac:dyDescent="0.3">
      <c r="B1928" s="7">
        <v>44348</v>
      </c>
      <c r="C1928" s="3">
        <f t="shared" si="60"/>
        <v>2021</v>
      </c>
      <c r="D1928" s="3">
        <f t="shared" si="61"/>
        <v>202106</v>
      </c>
      <c r="E1928" s="5" t="s">
        <v>3</v>
      </c>
      <c r="F1928" s="5" t="s">
        <v>13</v>
      </c>
      <c r="G1928" s="5" t="s">
        <v>52</v>
      </c>
      <c r="H1928">
        <v>12</v>
      </c>
      <c r="I1928" s="4">
        <v>62484</v>
      </c>
      <c r="J1928" s="4">
        <v>30240</v>
      </c>
    </row>
    <row r="1929" spans="2:10" x14ac:dyDescent="0.3">
      <c r="B1929" s="7">
        <v>44378</v>
      </c>
      <c r="C1929" s="3">
        <f t="shared" si="60"/>
        <v>2021</v>
      </c>
      <c r="D1929" s="3">
        <f t="shared" si="61"/>
        <v>202107</v>
      </c>
      <c r="E1929" s="5" t="s">
        <v>3</v>
      </c>
      <c r="F1929" s="5" t="s">
        <v>13</v>
      </c>
      <c r="G1929" s="5" t="s">
        <v>52</v>
      </c>
      <c r="H1929">
        <v>12</v>
      </c>
      <c r="I1929" s="4">
        <v>41892</v>
      </c>
      <c r="J1929" s="4">
        <v>30240</v>
      </c>
    </row>
    <row r="1930" spans="2:10" x14ac:dyDescent="0.3">
      <c r="B1930" s="7">
        <v>44409</v>
      </c>
      <c r="C1930" s="3">
        <f t="shared" si="60"/>
        <v>2021</v>
      </c>
      <c r="D1930" s="3">
        <f t="shared" si="61"/>
        <v>202108</v>
      </c>
      <c r="E1930" s="5" t="s">
        <v>3</v>
      </c>
      <c r="F1930" s="5" t="s">
        <v>13</v>
      </c>
      <c r="G1930" s="5" t="s">
        <v>52</v>
      </c>
      <c r="H1930">
        <v>11</v>
      </c>
      <c r="I1930" s="4">
        <v>49291</v>
      </c>
      <c r="J1930" s="4">
        <v>27720</v>
      </c>
    </row>
    <row r="1931" spans="2:10" x14ac:dyDescent="0.3">
      <c r="B1931" s="7">
        <v>44440</v>
      </c>
      <c r="C1931" s="3">
        <f t="shared" si="60"/>
        <v>2021</v>
      </c>
      <c r="D1931" s="3">
        <f t="shared" si="61"/>
        <v>202109</v>
      </c>
      <c r="E1931" s="5" t="s">
        <v>3</v>
      </c>
      <c r="F1931" s="5" t="s">
        <v>13</v>
      </c>
      <c r="G1931" s="5" t="s">
        <v>52</v>
      </c>
      <c r="H1931">
        <v>11</v>
      </c>
      <c r="I1931" s="4">
        <v>52844</v>
      </c>
      <c r="J1931" s="4">
        <v>27720</v>
      </c>
    </row>
    <row r="1932" spans="2:10" x14ac:dyDescent="0.3">
      <c r="B1932" s="7">
        <v>44470</v>
      </c>
      <c r="C1932" s="3">
        <f t="shared" si="60"/>
        <v>2021</v>
      </c>
      <c r="D1932" s="3">
        <f t="shared" si="61"/>
        <v>202110</v>
      </c>
      <c r="E1932" s="5" t="s">
        <v>3</v>
      </c>
      <c r="F1932" s="5" t="s">
        <v>13</v>
      </c>
      <c r="G1932" s="5" t="s">
        <v>52</v>
      </c>
      <c r="H1932">
        <v>9</v>
      </c>
      <c r="I1932" s="4">
        <v>54315</v>
      </c>
      <c r="J1932" s="4">
        <v>22680</v>
      </c>
    </row>
    <row r="1933" spans="2:10" x14ac:dyDescent="0.3">
      <c r="B1933" s="7">
        <v>44501</v>
      </c>
      <c r="C1933" s="3">
        <f t="shared" si="60"/>
        <v>2021</v>
      </c>
      <c r="D1933" s="3">
        <f t="shared" si="61"/>
        <v>202111</v>
      </c>
      <c r="E1933" s="5" t="s">
        <v>3</v>
      </c>
      <c r="F1933" s="5" t="s">
        <v>13</v>
      </c>
      <c r="G1933" s="5" t="s">
        <v>52</v>
      </c>
      <c r="H1933">
        <v>7</v>
      </c>
      <c r="I1933" s="4">
        <v>40306</v>
      </c>
      <c r="J1933" s="4">
        <v>17640</v>
      </c>
    </row>
    <row r="1934" spans="2:10" x14ac:dyDescent="0.3">
      <c r="B1934" s="7">
        <v>44531</v>
      </c>
      <c r="C1934" s="3">
        <f t="shared" si="60"/>
        <v>2021</v>
      </c>
      <c r="D1934" s="3">
        <f t="shared" si="61"/>
        <v>202112</v>
      </c>
      <c r="E1934" s="5" t="s">
        <v>3</v>
      </c>
      <c r="F1934" s="5" t="s">
        <v>13</v>
      </c>
      <c r="G1934" s="5" t="s">
        <v>52</v>
      </c>
      <c r="H1934">
        <v>8</v>
      </c>
      <c r="I1934" s="4">
        <v>34776</v>
      </c>
      <c r="J1934" s="4">
        <v>20160</v>
      </c>
    </row>
    <row r="1935" spans="2:10" x14ac:dyDescent="0.3">
      <c r="B1935" s="7">
        <v>44562</v>
      </c>
      <c r="C1935" s="3">
        <f t="shared" si="60"/>
        <v>2022</v>
      </c>
      <c r="D1935" s="3">
        <f t="shared" si="61"/>
        <v>202201</v>
      </c>
      <c r="E1935" s="5" t="s">
        <v>3</v>
      </c>
      <c r="F1935" s="5" t="s">
        <v>13</v>
      </c>
      <c r="G1935" s="5" t="s">
        <v>52</v>
      </c>
      <c r="H1935">
        <v>12</v>
      </c>
      <c r="I1935" s="4">
        <v>62052</v>
      </c>
      <c r="J1935" s="4">
        <v>30240</v>
      </c>
    </row>
    <row r="1936" spans="2:10" x14ac:dyDescent="0.3">
      <c r="B1936" s="7">
        <v>44593</v>
      </c>
      <c r="C1936" s="3">
        <f t="shared" si="60"/>
        <v>2022</v>
      </c>
      <c r="D1936" s="3">
        <f t="shared" si="61"/>
        <v>202202</v>
      </c>
      <c r="E1936" s="5" t="s">
        <v>3</v>
      </c>
      <c r="F1936" s="5" t="s">
        <v>13</v>
      </c>
      <c r="G1936" s="5" t="s">
        <v>52</v>
      </c>
      <c r="H1936">
        <v>7</v>
      </c>
      <c r="I1936" s="4">
        <v>39585</v>
      </c>
      <c r="J1936" s="4">
        <v>17640</v>
      </c>
    </row>
    <row r="1937" spans="2:10" x14ac:dyDescent="0.3">
      <c r="B1937" s="7">
        <v>44621</v>
      </c>
      <c r="C1937" s="3">
        <f t="shared" si="60"/>
        <v>2022</v>
      </c>
      <c r="D1937" s="3">
        <f t="shared" si="61"/>
        <v>202203</v>
      </c>
      <c r="E1937" s="5" t="s">
        <v>3</v>
      </c>
      <c r="F1937" s="5" t="s">
        <v>13</v>
      </c>
      <c r="G1937" s="5" t="s">
        <v>52</v>
      </c>
      <c r="H1937">
        <v>6</v>
      </c>
      <c r="I1937" s="4">
        <v>27732</v>
      </c>
      <c r="J1937" s="4">
        <v>15120</v>
      </c>
    </row>
    <row r="1938" spans="2:10" x14ac:dyDescent="0.3">
      <c r="B1938" s="7">
        <v>44652</v>
      </c>
      <c r="C1938" s="3">
        <f t="shared" si="60"/>
        <v>2022</v>
      </c>
      <c r="D1938" s="3">
        <f t="shared" si="61"/>
        <v>202204</v>
      </c>
      <c r="E1938" s="5" t="s">
        <v>3</v>
      </c>
      <c r="F1938" s="5" t="s">
        <v>13</v>
      </c>
      <c r="G1938" s="5" t="s">
        <v>52</v>
      </c>
      <c r="H1938">
        <v>11</v>
      </c>
      <c r="I1938" s="4">
        <v>70345</v>
      </c>
      <c r="J1938" s="4">
        <v>27720</v>
      </c>
    </row>
    <row r="1939" spans="2:10" x14ac:dyDescent="0.3">
      <c r="B1939" s="7">
        <v>44682</v>
      </c>
      <c r="C1939" s="3">
        <f t="shared" si="60"/>
        <v>2022</v>
      </c>
      <c r="D1939" s="3">
        <f t="shared" si="61"/>
        <v>202205</v>
      </c>
      <c r="E1939" s="5" t="s">
        <v>3</v>
      </c>
      <c r="F1939" s="5" t="s">
        <v>13</v>
      </c>
      <c r="G1939" s="5" t="s">
        <v>52</v>
      </c>
      <c r="H1939">
        <v>14</v>
      </c>
      <c r="I1939" s="4">
        <v>85946</v>
      </c>
      <c r="J1939" s="4">
        <v>35280</v>
      </c>
    </row>
    <row r="1940" spans="2:10" x14ac:dyDescent="0.3">
      <c r="B1940" s="7">
        <v>44713</v>
      </c>
      <c r="C1940" s="3">
        <f t="shared" si="60"/>
        <v>2022</v>
      </c>
      <c r="D1940" s="3">
        <f t="shared" si="61"/>
        <v>202206</v>
      </c>
      <c r="E1940" s="5" t="s">
        <v>3</v>
      </c>
      <c r="F1940" s="5" t="s">
        <v>13</v>
      </c>
      <c r="G1940" s="5" t="s">
        <v>52</v>
      </c>
      <c r="H1940">
        <v>13</v>
      </c>
      <c r="I1940" s="4">
        <v>67951</v>
      </c>
      <c r="J1940" s="4">
        <v>32760</v>
      </c>
    </row>
    <row r="1941" spans="2:10" x14ac:dyDescent="0.3">
      <c r="B1941" s="7">
        <v>44743</v>
      </c>
      <c r="C1941" s="3">
        <f t="shared" si="60"/>
        <v>2022</v>
      </c>
      <c r="D1941" s="3">
        <f t="shared" si="61"/>
        <v>202207</v>
      </c>
      <c r="E1941" s="5" t="s">
        <v>3</v>
      </c>
      <c r="F1941" s="5" t="s">
        <v>13</v>
      </c>
      <c r="G1941" s="5" t="s">
        <v>52</v>
      </c>
      <c r="H1941">
        <v>14</v>
      </c>
      <c r="I1941" s="4">
        <v>52332</v>
      </c>
      <c r="J1941" s="4">
        <v>35280</v>
      </c>
    </row>
    <row r="1942" spans="2:10" x14ac:dyDescent="0.3">
      <c r="B1942" s="7">
        <v>44774</v>
      </c>
      <c r="C1942" s="3">
        <f t="shared" si="60"/>
        <v>2022</v>
      </c>
      <c r="D1942" s="3">
        <f t="shared" si="61"/>
        <v>202208</v>
      </c>
      <c r="E1942" s="5" t="s">
        <v>3</v>
      </c>
      <c r="F1942" s="5" t="s">
        <v>13</v>
      </c>
      <c r="G1942" s="5" t="s">
        <v>52</v>
      </c>
      <c r="H1942">
        <v>12</v>
      </c>
      <c r="I1942" s="4">
        <v>54888</v>
      </c>
      <c r="J1942" s="4">
        <v>30240</v>
      </c>
    </row>
    <row r="1943" spans="2:10" x14ac:dyDescent="0.3">
      <c r="B1943" s="7">
        <v>44805</v>
      </c>
      <c r="C1943" s="3">
        <f t="shared" si="60"/>
        <v>2022</v>
      </c>
      <c r="D1943" s="3">
        <f t="shared" si="61"/>
        <v>202209</v>
      </c>
      <c r="E1943" s="5" t="s">
        <v>3</v>
      </c>
      <c r="F1943" s="5" t="s">
        <v>13</v>
      </c>
      <c r="G1943" s="5" t="s">
        <v>52</v>
      </c>
      <c r="H1943">
        <v>12</v>
      </c>
      <c r="I1943" s="4">
        <v>63612</v>
      </c>
      <c r="J1943" s="4">
        <v>30240</v>
      </c>
    </row>
    <row r="1944" spans="2:10" x14ac:dyDescent="0.3">
      <c r="B1944" s="7">
        <v>44835</v>
      </c>
      <c r="C1944" s="3">
        <f t="shared" si="60"/>
        <v>2022</v>
      </c>
      <c r="D1944" s="3">
        <f t="shared" si="61"/>
        <v>202210</v>
      </c>
      <c r="E1944" s="5" t="s">
        <v>3</v>
      </c>
      <c r="F1944" s="5" t="s">
        <v>13</v>
      </c>
      <c r="G1944" s="5" t="s">
        <v>52</v>
      </c>
      <c r="H1944">
        <v>10</v>
      </c>
      <c r="I1944" s="4">
        <v>56150</v>
      </c>
      <c r="J1944" s="4">
        <v>25200</v>
      </c>
    </row>
    <row r="1945" spans="2:10" x14ac:dyDescent="0.3">
      <c r="B1945" s="7">
        <v>44866</v>
      </c>
      <c r="C1945" s="3">
        <f t="shared" si="60"/>
        <v>2022</v>
      </c>
      <c r="D1945" s="3">
        <f t="shared" si="61"/>
        <v>202211</v>
      </c>
      <c r="E1945" s="5" t="s">
        <v>3</v>
      </c>
      <c r="F1945" s="5" t="s">
        <v>13</v>
      </c>
      <c r="G1945" s="5" t="s">
        <v>52</v>
      </c>
      <c r="H1945">
        <v>7</v>
      </c>
      <c r="I1945" s="4">
        <v>37968</v>
      </c>
      <c r="J1945" s="4">
        <v>17640</v>
      </c>
    </row>
    <row r="1946" spans="2:10" x14ac:dyDescent="0.3">
      <c r="B1946" s="7">
        <v>44896</v>
      </c>
      <c r="C1946" s="3">
        <f t="shared" si="60"/>
        <v>2022</v>
      </c>
      <c r="D1946" s="3">
        <f t="shared" si="61"/>
        <v>202212</v>
      </c>
      <c r="E1946" s="5" t="s">
        <v>3</v>
      </c>
      <c r="F1946" s="5" t="s">
        <v>13</v>
      </c>
      <c r="G1946" s="5" t="s">
        <v>52</v>
      </c>
      <c r="H1946">
        <v>9</v>
      </c>
      <c r="I1946" s="4">
        <v>38565</v>
      </c>
      <c r="J1946" s="4">
        <v>22680</v>
      </c>
    </row>
    <row r="1947" spans="2:10" x14ac:dyDescent="0.3">
      <c r="B1947" s="7">
        <v>44197</v>
      </c>
      <c r="C1947" s="3">
        <f t="shared" si="60"/>
        <v>2021</v>
      </c>
      <c r="D1947" s="3">
        <f t="shared" si="61"/>
        <v>202101</v>
      </c>
      <c r="E1947" s="5" t="s">
        <v>3</v>
      </c>
      <c r="F1947" s="5" t="s">
        <v>13</v>
      </c>
      <c r="G1947" s="5" t="s">
        <v>53</v>
      </c>
      <c r="H1947">
        <v>13</v>
      </c>
      <c r="I1947" s="4">
        <v>42419</v>
      </c>
      <c r="J1947" s="4">
        <v>12012</v>
      </c>
    </row>
    <row r="1948" spans="2:10" x14ac:dyDescent="0.3">
      <c r="B1948" s="7">
        <v>44228</v>
      </c>
      <c r="C1948" s="3">
        <f t="shared" si="60"/>
        <v>2021</v>
      </c>
      <c r="D1948" s="3">
        <f t="shared" si="61"/>
        <v>202102</v>
      </c>
      <c r="E1948" s="5" t="s">
        <v>3</v>
      </c>
      <c r="F1948" s="5" t="s">
        <v>13</v>
      </c>
      <c r="G1948" s="5" t="s">
        <v>53</v>
      </c>
      <c r="H1948">
        <v>9</v>
      </c>
      <c r="I1948" s="4">
        <v>30969</v>
      </c>
      <c r="J1948" s="4">
        <v>8316</v>
      </c>
    </row>
    <row r="1949" spans="2:10" x14ac:dyDescent="0.3">
      <c r="B1949" s="7">
        <v>44256</v>
      </c>
      <c r="C1949" s="3">
        <f t="shared" si="60"/>
        <v>2021</v>
      </c>
      <c r="D1949" s="3">
        <f t="shared" si="61"/>
        <v>202103</v>
      </c>
      <c r="E1949" s="5" t="s">
        <v>3</v>
      </c>
      <c r="F1949" s="5" t="s">
        <v>13</v>
      </c>
      <c r="G1949" s="5" t="s">
        <v>53</v>
      </c>
      <c r="H1949">
        <v>7</v>
      </c>
      <c r="I1949" s="4">
        <v>20748</v>
      </c>
      <c r="J1949" s="4">
        <v>6468</v>
      </c>
    </row>
    <row r="1950" spans="2:10" x14ac:dyDescent="0.3">
      <c r="B1950" s="7">
        <v>44287</v>
      </c>
      <c r="C1950" s="3">
        <f t="shared" si="60"/>
        <v>2021</v>
      </c>
      <c r="D1950" s="3">
        <f t="shared" si="61"/>
        <v>202104</v>
      </c>
      <c r="E1950" s="5" t="s">
        <v>3</v>
      </c>
      <c r="F1950" s="5" t="s">
        <v>13</v>
      </c>
      <c r="G1950" s="5" t="s">
        <v>53</v>
      </c>
      <c r="H1950">
        <v>13</v>
      </c>
      <c r="I1950" s="4">
        <v>48763</v>
      </c>
      <c r="J1950" s="4">
        <v>12012</v>
      </c>
    </row>
    <row r="1951" spans="2:10" x14ac:dyDescent="0.3">
      <c r="B1951" s="7">
        <v>44317</v>
      </c>
      <c r="C1951" s="3">
        <f t="shared" si="60"/>
        <v>2021</v>
      </c>
      <c r="D1951" s="3">
        <f t="shared" si="61"/>
        <v>202105</v>
      </c>
      <c r="E1951" s="5" t="s">
        <v>3</v>
      </c>
      <c r="F1951" s="5" t="s">
        <v>13</v>
      </c>
      <c r="G1951" s="5" t="s">
        <v>53</v>
      </c>
      <c r="H1951">
        <v>16</v>
      </c>
      <c r="I1951" s="4">
        <v>62928</v>
      </c>
      <c r="J1951" s="4">
        <v>14784</v>
      </c>
    </row>
    <row r="1952" spans="2:10" x14ac:dyDescent="0.3">
      <c r="B1952" s="7">
        <v>44348</v>
      </c>
      <c r="C1952" s="3">
        <f t="shared" si="60"/>
        <v>2021</v>
      </c>
      <c r="D1952" s="3">
        <f t="shared" si="61"/>
        <v>202106</v>
      </c>
      <c r="E1952" s="5" t="s">
        <v>3</v>
      </c>
      <c r="F1952" s="5" t="s">
        <v>13</v>
      </c>
      <c r="G1952" s="5" t="s">
        <v>53</v>
      </c>
      <c r="H1952">
        <v>15</v>
      </c>
      <c r="I1952" s="4">
        <v>48690</v>
      </c>
      <c r="J1952" s="4">
        <v>13860</v>
      </c>
    </row>
    <row r="1953" spans="2:10" x14ac:dyDescent="0.3">
      <c r="B1953" s="7">
        <v>44378</v>
      </c>
      <c r="C1953" s="3">
        <f t="shared" si="60"/>
        <v>2021</v>
      </c>
      <c r="D1953" s="3">
        <f t="shared" si="61"/>
        <v>202107</v>
      </c>
      <c r="E1953" s="5" t="s">
        <v>3</v>
      </c>
      <c r="F1953" s="5" t="s">
        <v>13</v>
      </c>
      <c r="G1953" s="5" t="s">
        <v>53</v>
      </c>
      <c r="H1953">
        <v>16</v>
      </c>
      <c r="I1953" s="4">
        <v>20720</v>
      </c>
      <c r="J1953" s="4">
        <v>14784</v>
      </c>
    </row>
    <row r="1954" spans="2:10" x14ac:dyDescent="0.3">
      <c r="B1954" s="7">
        <v>44409</v>
      </c>
      <c r="C1954" s="3">
        <f t="shared" si="60"/>
        <v>2021</v>
      </c>
      <c r="D1954" s="3">
        <f t="shared" si="61"/>
        <v>202108</v>
      </c>
      <c r="E1954" s="5" t="s">
        <v>3</v>
      </c>
      <c r="F1954" s="5" t="s">
        <v>13</v>
      </c>
      <c r="G1954" s="5" t="s">
        <v>53</v>
      </c>
      <c r="H1954">
        <v>13</v>
      </c>
      <c r="I1954" s="4">
        <v>38090</v>
      </c>
      <c r="J1954" s="4">
        <v>12012</v>
      </c>
    </row>
    <row r="1955" spans="2:10" x14ac:dyDescent="0.3">
      <c r="B1955" s="7">
        <v>44440</v>
      </c>
      <c r="C1955" s="3">
        <f t="shared" si="60"/>
        <v>2021</v>
      </c>
      <c r="D1955" s="3">
        <f t="shared" si="61"/>
        <v>202109</v>
      </c>
      <c r="E1955" s="5" t="s">
        <v>3</v>
      </c>
      <c r="F1955" s="5" t="s">
        <v>13</v>
      </c>
      <c r="G1955" s="5" t="s">
        <v>53</v>
      </c>
      <c r="H1955">
        <v>14</v>
      </c>
      <c r="I1955" s="4">
        <v>46914</v>
      </c>
      <c r="J1955" s="4">
        <v>12936</v>
      </c>
    </row>
    <row r="1956" spans="2:10" x14ac:dyDescent="0.3">
      <c r="B1956" s="7">
        <v>44470</v>
      </c>
      <c r="C1956" s="3">
        <f t="shared" si="60"/>
        <v>2021</v>
      </c>
      <c r="D1956" s="3">
        <f t="shared" si="61"/>
        <v>202110</v>
      </c>
      <c r="E1956" s="5" t="s">
        <v>3</v>
      </c>
      <c r="F1956" s="5" t="s">
        <v>13</v>
      </c>
      <c r="G1956" s="5" t="s">
        <v>53</v>
      </c>
      <c r="H1956">
        <v>12</v>
      </c>
      <c r="I1956" s="4">
        <v>45252</v>
      </c>
      <c r="J1956" s="4">
        <v>11088</v>
      </c>
    </row>
    <row r="1957" spans="2:10" x14ac:dyDescent="0.3">
      <c r="B1957" s="7">
        <v>44501</v>
      </c>
      <c r="C1957" s="3">
        <f t="shared" si="60"/>
        <v>2021</v>
      </c>
      <c r="D1957" s="3">
        <f t="shared" si="61"/>
        <v>202111</v>
      </c>
      <c r="E1957" s="5" t="s">
        <v>3</v>
      </c>
      <c r="F1957" s="5" t="s">
        <v>13</v>
      </c>
      <c r="G1957" s="5" t="s">
        <v>53</v>
      </c>
      <c r="H1957">
        <v>9</v>
      </c>
      <c r="I1957" s="4">
        <v>25920</v>
      </c>
      <c r="J1957" s="4">
        <v>8316</v>
      </c>
    </row>
    <row r="1958" spans="2:10" x14ac:dyDescent="0.3">
      <c r="B1958" s="7">
        <v>44531</v>
      </c>
      <c r="C1958" s="3">
        <f t="shared" si="60"/>
        <v>2021</v>
      </c>
      <c r="D1958" s="3">
        <f t="shared" si="61"/>
        <v>202112</v>
      </c>
      <c r="E1958" s="5" t="s">
        <v>3</v>
      </c>
      <c r="F1958" s="5" t="s">
        <v>13</v>
      </c>
      <c r="G1958" s="5" t="s">
        <v>53</v>
      </c>
      <c r="H1958">
        <v>10</v>
      </c>
      <c r="I1958" s="4">
        <v>26740</v>
      </c>
      <c r="J1958" s="4">
        <v>9240</v>
      </c>
    </row>
    <row r="1959" spans="2:10" x14ac:dyDescent="0.3">
      <c r="B1959" s="7">
        <v>44562</v>
      </c>
      <c r="C1959" s="3">
        <f t="shared" si="60"/>
        <v>2022</v>
      </c>
      <c r="D1959" s="3">
        <f t="shared" si="61"/>
        <v>202201</v>
      </c>
      <c r="E1959" s="5" t="s">
        <v>3</v>
      </c>
      <c r="F1959" s="5" t="s">
        <v>13</v>
      </c>
      <c r="G1959" s="5" t="s">
        <v>53</v>
      </c>
      <c r="H1959">
        <v>15</v>
      </c>
      <c r="I1959" s="4">
        <v>54075</v>
      </c>
      <c r="J1959" s="4">
        <v>13860</v>
      </c>
    </row>
    <row r="1960" spans="2:10" x14ac:dyDescent="0.3">
      <c r="B1960" s="7">
        <v>44593</v>
      </c>
      <c r="C1960" s="3">
        <f t="shared" si="60"/>
        <v>2022</v>
      </c>
      <c r="D1960" s="3">
        <f t="shared" si="61"/>
        <v>202202</v>
      </c>
      <c r="E1960" s="5" t="s">
        <v>3</v>
      </c>
      <c r="F1960" s="5" t="s">
        <v>13</v>
      </c>
      <c r="G1960" s="5" t="s">
        <v>53</v>
      </c>
      <c r="H1960">
        <v>9</v>
      </c>
      <c r="I1960" s="4">
        <v>34605</v>
      </c>
      <c r="J1960" s="4">
        <v>8316</v>
      </c>
    </row>
    <row r="1961" spans="2:10" x14ac:dyDescent="0.3">
      <c r="B1961" s="7">
        <v>44621</v>
      </c>
      <c r="C1961" s="3">
        <f t="shared" si="60"/>
        <v>2022</v>
      </c>
      <c r="D1961" s="3">
        <f t="shared" si="61"/>
        <v>202203</v>
      </c>
      <c r="E1961" s="5" t="s">
        <v>3</v>
      </c>
      <c r="F1961" s="5" t="s">
        <v>13</v>
      </c>
      <c r="G1961" s="5" t="s">
        <v>53</v>
      </c>
      <c r="H1961">
        <v>8</v>
      </c>
      <c r="I1961" s="4">
        <v>22536</v>
      </c>
      <c r="J1961" s="4">
        <v>7392</v>
      </c>
    </row>
    <row r="1962" spans="2:10" x14ac:dyDescent="0.3">
      <c r="B1962" s="7">
        <v>44652</v>
      </c>
      <c r="C1962" s="3">
        <f t="shared" si="60"/>
        <v>2022</v>
      </c>
      <c r="D1962" s="3">
        <f t="shared" si="61"/>
        <v>202204</v>
      </c>
      <c r="E1962" s="5" t="s">
        <v>3</v>
      </c>
      <c r="F1962" s="5" t="s">
        <v>13</v>
      </c>
      <c r="G1962" s="5" t="s">
        <v>53</v>
      </c>
      <c r="H1962">
        <v>14</v>
      </c>
      <c r="I1962" s="4">
        <v>52710</v>
      </c>
      <c r="J1962" s="4">
        <v>12936</v>
      </c>
    </row>
    <row r="1963" spans="2:10" x14ac:dyDescent="0.3">
      <c r="B1963" s="7">
        <v>44682</v>
      </c>
      <c r="C1963" s="3">
        <f t="shared" si="60"/>
        <v>2022</v>
      </c>
      <c r="D1963" s="3">
        <f t="shared" si="61"/>
        <v>202205</v>
      </c>
      <c r="E1963" s="5" t="s">
        <v>3</v>
      </c>
      <c r="F1963" s="5" t="s">
        <v>13</v>
      </c>
      <c r="G1963" s="5" t="s">
        <v>53</v>
      </c>
      <c r="H1963">
        <v>17</v>
      </c>
      <c r="I1963" s="4">
        <v>70635</v>
      </c>
      <c r="J1963" s="4">
        <v>15708</v>
      </c>
    </row>
    <row r="1964" spans="2:10" x14ac:dyDescent="0.3">
      <c r="B1964" s="7">
        <v>44713</v>
      </c>
      <c r="C1964" s="3">
        <f t="shared" si="60"/>
        <v>2022</v>
      </c>
      <c r="D1964" s="3">
        <f t="shared" si="61"/>
        <v>202206</v>
      </c>
      <c r="E1964" s="5" t="s">
        <v>3</v>
      </c>
      <c r="F1964" s="5" t="s">
        <v>13</v>
      </c>
      <c r="G1964" s="5" t="s">
        <v>53</v>
      </c>
      <c r="H1964">
        <v>16</v>
      </c>
      <c r="I1964" s="4">
        <v>58080</v>
      </c>
      <c r="J1964" s="4">
        <v>14784</v>
      </c>
    </row>
    <row r="1965" spans="2:10" x14ac:dyDescent="0.3">
      <c r="B1965" s="7">
        <v>44743</v>
      </c>
      <c r="C1965" s="3">
        <f t="shared" si="60"/>
        <v>2022</v>
      </c>
      <c r="D1965" s="3">
        <f t="shared" si="61"/>
        <v>202207</v>
      </c>
      <c r="E1965" s="5" t="s">
        <v>3</v>
      </c>
      <c r="F1965" s="5" t="s">
        <v>13</v>
      </c>
      <c r="G1965" s="5" t="s">
        <v>53</v>
      </c>
      <c r="H1965">
        <v>17</v>
      </c>
      <c r="I1965" s="4">
        <v>27608</v>
      </c>
      <c r="J1965" s="4">
        <v>15708</v>
      </c>
    </row>
    <row r="1966" spans="2:10" x14ac:dyDescent="0.3">
      <c r="B1966" s="7">
        <v>44774</v>
      </c>
      <c r="C1966" s="3">
        <f t="shared" si="60"/>
        <v>2022</v>
      </c>
      <c r="D1966" s="3">
        <f t="shared" si="61"/>
        <v>202208</v>
      </c>
      <c r="E1966" s="5" t="s">
        <v>3</v>
      </c>
      <c r="F1966" s="5" t="s">
        <v>13</v>
      </c>
      <c r="G1966" s="5" t="s">
        <v>53</v>
      </c>
      <c r="H1966">
        <v>15</v>
      </c>
      <c r="I1966" s="4">
        <v>48465</v>
      </c>
      <c r="J1966" s="4">
        <v>13860</v>
      </c>
    </row>
    <row r="1967" spans="2:10" x14ac:dyDescent="0.3">
      <c r="B1967" s="7">
        <v>44805</v>
      </c>
      <c r="C1967" s="3">
        <f t="shared" si="60"/>
        <v>2022</v>
      </c>
      <c r="D1967" s="3">
        <f t="shared" si="61"/>
        <v>202209</v>
      </c>
      <c r="E1967" s="5" t="s">
        <v>3</v>
      </c>
      <c r="F1967" s="5" t="s">
        <v>13</v>
      </c>
      <c r="G1967" s="5" t="s">
        <v>53</v>
      </c>
      <c r="H1967">
        <v>16</v>
      </c>
      <c r="I1967" s="4">
        <v>53696</v>
      </c>
      <c r="J1967" s="4">
        <v>14784</v>
      </c>
    </row>
    <row r="1968" spans="2:10" x14ac:dyDescent="0.3">
      <c r="B1968" s="7">
        <v>44835</v>
      </c>
      <c r="C1968" s="3">
        <f t="shared" si="60"/>
        <v>2022</v>
      </c>
      <c r="D1968" s="3">
        <f t="shared" si="61"/>
        <v>202210</v>
      </c>
      <c r="E1968" s="5" t="s">
        <v>3</v>
      </c>
      <c r="F1968" s="5" t="s">
        <v>13</v>
      </c>
      <c r="G1968" s="5" t="s">
        <v>53</v>
      </c>
      <c r="H1968">
        <v>13</v>
      </c>
      <c r="I1968" s="4">
        <v>50934</v>
      </c>
      <c r="J1968" s="4">
        <v>12012</v>
      </c>
    </row>
    <row r="1969" spans="2:10" x14ac:dyDescent="0.3">
      <c r="B1969" s="7">
        <v>44866</v>
      </c>
      <c r="C1969" s="3">
        <f t="shared" si="60"/>
        <v>2022</v>
      </c>
      <c r="D1969" s="3">
        <f t="shared" si="61"/>
        <v>202211</v>
      </c>
      <c r="E1969" s="5" t="s">
        <v>3</v>
      </c>
      <c r="F1969" s="5" t="s">
        <v>13</v>
      </c>
      <c r="G1969" s="5" t="s">
        <v>53</v>
      </c>
      <c r="H1969">
        <v>9</v>
      </c>
      <c r="I1969" s="4">
        <v>35712</v>
      </c>
      <c r="J1969" s="4">
        <v>8316</v>
      </c>
    </row>
    <row r="1970" spans="2:10" x14ac:dyDescent="0.3">
      <c r="B1970" s="7">
        <v>44896</v>
      </c>
      <c r="C1970" s="3">
        <f t="shared" si="60"/>
        <v>2022</v>
      </c>
      <c r="D1970" s="3">
        <f t="shared" si="61"/>
        <v>202212</v>
      </c>
      <c r="E1970" s="5" t="s">
        <v>3</v>
      </c>
      <c r="F1970" s="5" t="s">
        <v>13</v>
      </c>
      <c r="G1970" s="5" t="s">
        <v>53</v>
      </c>
      <c r="H1970">
        <v>11</v>
      </c>
      <c r="I1970" s="4">
        <v>34034</v>
      </c>
      <c r="J1970" s="4">
        <v>10164</v>
      </c>
    </row>
    <row r="1971" spans="2:10" x14ac:dyDescent="0.3">
      <c r="B1971" s="7">
        <v>44197</v>
      </c>
      <c r="C1971" s="3">
        <f t="shared" si="60"/>
        <v>2021</v>
      </c>
      <c r="D1971" s="3">
        <f t="shared" si="61"/>
        <v>202101</v>
      </c>
      <c r="E1971" s="5" t="s">
        <v>3</v>
      </c>
      <c r="F1971" s="5" t="s">
        <v>13</v>
      </c>
      <c r="G1971" s="5" t="s">
        <v>54</v>
      </c>
      <c r="H1971">
        <v>11</v>
      </c>
      <c r="I1971" s="4">
        <v>45331</v>
      </c>
      <c r="J1971" s="4">
        <v>12012</v>
      </c>
    </row>
    <row r="1972" spans="2:10" x14ac:dyDescent="0.3">
      <c r="B1972" s="7">
        <v>44228</v>
      </c>
      <c r="C1972" s="3">
        <f t="shared" si="60"/>
        <v>2021</v>
      </c>
      <c r="D1972" s="3">
        <f t="shared" si="61"/>
        <v>202102</v>
      </c>
      <c r="E1972" s="5" t="s">
        <v>3</v>
      </c>
      <c r="F1972" s="5" t="s">
        <v>13</v>
      </c>
      <c r="G1972" s="5" t="s">
        <v>54</v>
      </c>
      <c r="H1972">
        <v>7</v>
      </c>
      <c r="I1972" s="4">
        <v>27993</v>
      </c>
      <c r="J1972" s="4">
        <v>7644</v>
      </c>
    </row>
    <row r="1973" spans="2:10" x14ac:dyDescent="0.3">
      <c r="B1973" s="7">
        <v>44256</v>
      </c>
      <c r="C1973" s="3">
        <f t="shared" si="60"/>
        <v>2021</v>
      </c>
      <c r="D1973" s="3">
        <f t="shared" si="61"/>
        <v>202103</v>
      </c>
      <c r="E1973" s="5" t="s">
        <v>3</v>
      </c>
      <c r="F1973" s="5" t="s">
        <v>13</v>
      </c>
      <c r="G1973" s="5" t="s">
        <v>54</v>
      </c>
      <c r="H1973">
        <v>6</v>
      </c>
      <c r="I1973" s="4">
        <v>18150</v>
      </c>
      <c r="J1973" s="4">
        <v>6552</v>
      </c>
    </row>
    <row r="1974" spans="2:10" x14ac:dyDescent="0.3">
      <c r="B1974" s="7">
        <v>44287</v>
      </c>
      <c r="C1974" s="3">
        <f t="shared" si="60"/>
        <v>2021</v>
      </c>
      <c r="D1974" s="3">
        <f t="shared" si="61"/>
        <v>202104</v>
      </c>
      <c r="E1974" s="5" t="s">
        <v>3</v>
      </c>
      <c r="F1974" s="5" t="s">
        <v>13</v>
      </c>
      <c r="G1974" s="5" t="s">
        <v>54</v>
      </c>
      <c r="H1974">
        <v>10</v>
      </c>
      <c r="I1974" s="4">
        <v>39180</v>
      </c>
      <c r="J1974" s="4">
        <v>10920</v>
      </c>
    </row>
    <row r="1975" spans="2:10" x14ac:dyDescent="0.3">
      <c r="B1975" s="7">
        <v>44317</v>
      </c>
      <c r="C1975" s="3">
        <f t="shared" si="60"/>
        <v>2021</v>
      </c>
      <c r="D1975" s="3">
        <f t="shared" si="61"/>
        <v>202105</v>
      </c>
      <c r="E1975" s="5" t="s">
        <v>3</v>
      </c>
      <c r="F1975" s="5" t="s">
        <v>13</v>
      </c>
      <c r="G1975" s="5" t="s">
        <v>54</v>
      </c>
      <c r="H1975">
        <v>13</v>
      </c>
      <c r="I1975" s="4">
        <v>52728</v>
      </c>
      <c r="J1975" s="4">
        <v>14196</v>
      </c>
    </row>
    <row r="1976" spans="2:10" x14ac:dyDescent="0.3">
      <c r="B1976" s="7">
        <v>44348</v>
      </c>
      <c r="C1976" s="3">
        <f t="shared" si="60"/>
        <v>2021</v>
      </c>
      <c r="D1976" s="3">
        <f t="shared" si="61"/>
        <v>202106</v>
      </c>
      <c r="E1976" s="5" t="s">
        <v>3</v>
      </c>
      <c r="F1976" s="5" t="s">
        <v>13</v>
      </c>
      <c r="G1976" s="5" t="s">
        <v>54</v>
      </c>
      <c r="H1976">
        <v>12</v>
      </c>
      <c r="I1976" s="4">
        <v>43356</v>
      </c>
      <c r="J1976" s="4">
        <v>13104</v>
      </c>
    </row>
    <row r="1977" spans="2:10" x14ac:dyDescent="0.3">
      <c r="B1977" s="7">
        <v>44378</v>
      </c>
      <c r="C1977" s="3">
        <f t="shared" si="60"/>
        <v>2021</v>
      </c>
      <c r="D1977" s="3">
        <f t="shared" si="61"/>
        <v>202107</v>
      </c>
      <c r="E1977" s="5" t="s">
        <v>3</v>
      </c>
      <c r="F1977" s="5" t="s">
        <v>13</v>
      </c>
      <c r="G1977" s="5" t="s">
        <v>54</v>
      </c>
      <c r="H1977">
        <v>13</v>
      </c>
      <c r="I1977" s="4">
        <v>28951</v>
      </c>
      <c r="J1977" s="4">
        <v>14196</v>
      </c>
    </row>
    <row r="1978" spans="2:10" x14ac:dyDescent="0.3">
      <c r="B1978" s="7">
        <v>44409</v>
      </c>
      <c r="C1978" s="3">
        <f t="shared" si="60"/>
        <v>2021</v>
      </c>
      <c r="D1978" s="3">
        <f t="shared" si="61"/>
        <v>202108</v>
      </c>
      <c r="E1978" s="5" t="s">
        <v>3</v>
      </c>
      <c r="F1978" s="5" t="s">
        <v>13</v>
      </c>
      <c r="G1978" s="5" t="s">
        <v>54</v>
      </c>
      <c r="H1978">
        <v>11</v>
      </c>
      <c r="I1978" s="4">
        <v>37378</v>
      </c>
      <c r="J1978" s="4">
        <v>12012</v>
      </c>
    </row>
    <row r="1979" spans="2:10" x14ac:dyDescent="0.3">
      <c r="B1979" s="7">
        <v>44440</v>
      </c>
      <c r="C1979" s="3">
        <f t="shared" si="60"/>
        <v>2021</v>
      </c>
      <c r="D1979" s="3">
        <f t="shared" si="61"/>
        <v>202109</v>
      </c>
      <c r="E1979" s="5" t="s">
        <v>3</v>
      </c>
      <c r="F1979" s="5" t="s">
        <v>13</v>
      </c>
      <c r="G1979" s="5" t="s">
        <v>54</v>
      </c>
      <c r="H1979">
        <v>11</v>
      </c>
      <c r="I1979" s="4">
        <v>41481</v>
      </c>
      <c r="J1979" s="4">
        <v>12012</v>
      </c>
    </row>
    <row r="1980" spans="2:10" x14ac:dyDescent="0.3">
      <c r="B1980" s="7">
        <v>44470</v>
      </c>
      <c r="C1980" s="3">
        <f t="shared" si="60"/>
        <v>2021</v>
      </c>
      <c r="D1980" s="3">
        <f t="shared" si="61"/>
        <v>202110</v>
      </c>
      <c r="E1980" s="5" t="s">
        <v>3</v>
      </c>
      <c r="F1980" s="5" t="s">
        <v>13</v>
      </c>
      <c r="G1980" s="5" t="s">
        <v>54</v>
      </c>
      <c r="H1980">
        <v>10</v>
      </c>
      <c r="I1980" s="4">
        <v>47200</v>
      </c>
      <c r="J1980" s="4">
        <v>10920</v>
      </c>
    </row>
    <row r="1981" spans="2:10" x14ac:dyDescent="0.3">
      <c r="B1981" s="7">
        <v>44501</v>
      </c>
      <c r="C1981" s="3">
        <f t="shared" si="60"/>
        <v>2021</v>
      </c>
      <c r="D1981" s="3">
        <f t="shared" si="61"/>
        <v>202111</v>
      </c>
      <c r="E1981" s="5" t="s">
        <v>3</v>
      </c>
      <c r="F1981" s="5" t="s">
        <v>13</v>
      </c>
      <c r="G1981" s="5" t="s">
        <v>54</v>
      </c>
      <c r="H1981">
        <v>7</v>
      </c>
      <c r="I1981" s="4">
        <v>23618</v>
      </c>
      <c r="J1981" s="4">
        <v>7644</v>
      </c>
    </row>
    <row r="1982" spans="2:10" x14ac:dyDescent="0.3">
      <c r="B1982" s="7">
        <v>44531</v>
      </c>
      <c r="C1982" s="3">
        <f t="shared" si="60"/>
        <v>2021</v>
      </c>
      <c r="D1982" s="3">
        <f t="shared" si="61"/>
        <v>202112</v>
      </c>
      <c r="E1982" s="5" t="s">
        <v>3</v>
      </c>
      <c r="F1982" s="5" t="s">
        <v>13</v>
      </c>
      <c r="G1982" s="5" t="s">
        <v>54</v>
      </c>
      <c r="H1982">
        <v>8</v>
      </c>
      <c r="I1982" s="4">
        <v>28576</v>
      </c>
      <c r="J1982" s="4">
        <v>8736</v>
      </c>
    </row>
    <row r="1983" spans="2:10" x14ac:dyDescent="0.3">
      <c r="B1983" s="7">
        <v>44562</v>
      </c>
      <c r="C1983" s="3">
        <f t="shared" si="60"/>
        <v>2022</v>
      </c>
      <c r="D1983" s="3">
        <f t="shared" si="61"/>
        <v>202201</v>
      </c>
      <c r="E1983" s="5" t="s">
        <v>3</v>
      </c>
      <c r="F1983" s="5" t="s">
        <v>13</v>
      </c>
      <c r="G1983" s="5" t="s">
        <v>54</v>
      </c>
      <c r="H1983">
        <v>12</v>
      </c>
      <c r="I1983" s="4">
        <v>44544</v>
      </c>
      <c r="J1983" s="4">
        <v>13104</v>
      </c>
    </row>
    <row r="1984" spans="2:10" x14ac:dyDescent="0.3">
      <c r="B1984" s="7">
        <v>44593</v>
      </c>
      <c r="C1984" s="3">
        <f t="shared" si="60"/>
        <v>2022</v>
      </c>
      <c r="D1984" s="3">
        <f t="shared" si="61"/>
        <v>202202</v>
      </c>
      <c r="E1984" s="5" t="s">
        <v>3</v>
      </c>
      <c r="F1984" s="5" t="s">
        <v>13</v>
      </c>
      <c r="G1984" s="5" t="s">
        <v>54</v>
      </c>
      <c r="H1984">
        <v>8</v>
      </c>
      <c r="I1984" s="4">
        <v>33448</v>
      </c>
      <c r="J1984" s="4">
        <v>8736</v>
      </c>
    </row>
    <row r="1985" spans="2:10" x14ac:dyDescent="0.3">
      <c r="B1985" s="7">
        <v>44621</v>
      </c>
      <c r="C1985" s="3">
        <f t="shared" si="60"/>
        <v>2022</v>
      </c>
      <c r="D1985" s="3">
        <f t="shared" si="61"/>
        <v>202203</v>
      </c>
      <c r="E1985" s="5" t="s">
        <v>3</v>
      </c>
      <c r="F1985" s="5" t="s">
        <v>13</v>
      </c>
      <c r="G1985" s="5" t="s">
        <v>54</v>
      </c>
      <c r="H1985">
        <v>6</v>
      </c>
      <c r="I1985" s="4">
        <v>18606</v>
      </c>
      <c r="J1985" s="4">
        <v>6552</v>
      </c>
    </row>
    <row r="1986" spans="2:10" x14ac:dyDescent="0.3">
      <c r="B1986" s="7">
        <v>44652</v>
      </c>
      <c r="C1986" s="3">
        <f t="shared" si="60"/>
        <v>2022</v>
      </c>
      <c r="D1986" s="3">
        <f t="shared" si="61"/>
        <v>202204</v>
      </c>
      <c r="E1986" s="5" t="s">
        <v>3</v>
      </c>
      <c r="F1986" s="5" t="s">
        <v>13</v>
      </c>
      <c r="G1986" s="5" t="s">
        <v>54</v>
      </c>
      <c r="H1986">
        <v>11</v>
      </c>
      <c r="I1986" s="4">
        <v>44231</v>
      </c>
      <c r="J1986" s="4">
        <v>12012</v>
      </c>
    </row>
    <row r="1987" spans="2:10" x14ac:dyDescent="0.3">
      <c r="B1987" s="7">
        <v>44682</v>
      </c>
      <c r="C1987" s="3">
        <f t="shared" ref="C1987:C2050" si="62">YEAR(B1987)</f>
        <v>2022</v>
      </c>
      <c r="D1987" s="3">
        <f t="shared" ref="D1987:D2050" si="63">VALUE(TEXT(B1987,"ГГГГММ"))</f>
        <v>202205</v>
      </c>
      <c r="E1987" s="5" t="s">
        <v>3</v>
      </c>
      <c r="F1987" s="5" t="s">
        <v>13</v>
      </c>
      <c r="G1987" s="5" t="s">
        <v>54</v>
      </c>
      <c r="H1987">
        <v>14</v>
      </c>
      <c r="I1987" s="4">
        <v>63042</v>
      </c>
      <c r="J1987" s="4">
        <v>15288</v>
      </c>
    </row>
    <row r="1988" spans="2:10" x14ac:dyDescent="0.3">
      <c r="B1988" s="7">
        <v>44713</v>
      </c>
      <c r="C1988" s="3">
        <f t="shared" si="62"/>
        <v>2022</v>
      </c>
      <c r="D1988" s="3">
        <f t="shared" si="63"/>
        <v>202206</v>
      </c>
      <c r="E1988" s="5" t="s">
        <v>3</v>
      </c>
      <c r="F1988" s="5" t="s">
        <v>13</v>
      </c>
      <c r="G1988" s="5" t="s">
        <v>54</v>
      </c>
      <c r="H1988">
        <v>13</v>
      </c>
      <c r="I1988" s="4">
        <v>52871</v>
      </c>
      <c r="J1988" s="4">
        <v>14196</v>
      </c>
    </row>
    <row r="1989" spans="2:10" x14ac:dyDescent="0.3">
      <c r="B1989" s="7">
        <v>44743</v>
      </c>
      <c r="C1989" s="3">
        <f t="shared" si="62"/>
        <v>2022</v>
      </c>
      <c r="D1989" s="3">
        <f t="shared" si="63"/>
        <v>202207</v>
      </c>
      <c r="E1989" s="5" t="s">
        <v>3</v>
      </c>
      <c r="F1989" s="5" t="s">
        <v>13</v>
      </c>
      <c r="G1989" s="5" t="s">
        <v>54</v>
      </c>
      <c r="H1989">
        <v>14</v>
      </c>
      <c r="I1989" s="4">
        <v>32340</v>
      </c>
      <c r="J1989" s="4">
        <v>15288</v>
      </c>
    </row>
    <row r="1990" spans="2:10" x14ac:dyDescent="0.3">
      <c r="B1990" s="7">
        <v>44774</v>
      </c>
      <c r="C1990" s="3">
        <f t="shared" si="62"/>
        <v>2022</v>
      </c>
      <c r="D1990" s="3">
        <f t="shared" si="63"/>
        <v>202208</v>
      </c>
      <c r="E1990" s="5" t="s">
        <v>3</v>
      </c>
      <c r="F1990" s="5" t="s">
        <v>13</v>
      </c>
      <c r="G1990" s="5" t="s">
        <v>54</v>
      </c>
      <c r="H1990">
        <v>12</v>
      </c>
      <c r="I1990" s="4">
        <v>31992</v>
      </c>
      <c r="J1990" s="4">
        <v>13104</v>
      </c>
    </row>
    <row r="1991" spans="2:10" x14ac:dyDescent="0.3">
      <c r="B1991" s="7">
        <v>44805</v>
      </c>
      <c r="C1991" s="3">
        <f t="shared" si="62"/>
        <v>2022</v>
      </c>
      <c r="D1991" s="3">
        <f t="shared" si="63"/>
        <v>202209</v>
      </c>
      <c r="E1991" s="5" t="s">
        <v>3</v>
      </c>
      <c r="F1991" s="5" t="s">
        <v>13</v>
      </c>
      <c r="G1991" s="5" t="s">
        <v>54</v>
      </c>
      <c r="H1991">
        <v>13</v>
      </c>
      <c r="I1991" s="4">
        <v>40989</v>
      </c>
      <c r="J1991" s="4">
        <v>14196</v>
      </c>
    </row>
    <row r="1992" spans="2:10" x14ac:dyDescent="0.3">
      <c r="B1992" s="7">
        <v>44835</v>
      </c>
      <c r="C1992" s="3">
        <f t="shared" si="62"/>
        <v>2022</v>
      </c>
      <c r="D1992" s="3">
        <f t="shared" si="63"/>
        <v>202210</v>
      </c>
      <c r="E1992" s="5" t="s">
        <v>3</v>
      </c>
      <c r="F1992" s="5" t="s">
        <v>13</v>
      </c>
      <c r="G1992" s="5" t="s">
        <v>54</v>
      </c>
      <c r="H1992">
        <v>10</v>
      </c>
      <c r="I1992" s="4">
        <v>41140</v>
      </c>
      <c r="J1992" s="4">
        <v>10920</v>
      </c>
    </row>
    <row r="1993" spans="2:10" x14ac:dyDescent="0.3">
      <c r="B1993" s="7">
        <v>44866</v>
      </c>
      <c r="C1993" s="3">
        <f t="shared" si="62"/>
        <v>2022</v>
      </c>
      <c r="D1993" s="3">
        <f t="shared" si="63"/>
        <v>202211</v>
      </c>
      <c r="E1993" s="5" t="s">
        <v>3</v>
      </c>
      <c r="F1993" s="5" t="s">
        <v>13</v>
      </c>
      <c r="G1993" s="5" t="s">
        <v>54</v>
      </c>
      <c r="H1993">
        <v>8</v>
      </c>
      <c r="I1993" s="4">
        <v>31312</v>
      </c>
      <c r="J1993" s="4">
        <v>8736</v>
      </c>
    </row>
    <row r="1994" spans="2:10" x14ac:dyDescent="0.3">
      <c r="B1994" s="7">
        <v>44896</v>
      </c>
      <c r="C1994" s="3">
        <f t="shared" si="62"/>
        <v>2022</v>
      </c>
      <c r="D1994" s="3">
        <f t="shared" si="63"/>
        <v>202212</v>
      </c>
      <c r="E1994" s="5" t="s">
        <v>3</v>
      </c>
      <c r="F1994" s="5" t="s">
        <v>13</v>
      </c>
      <c r="G1994" s="5" t="s">
        <v>54</v>
      </c>
      <c r="H1994">
        <v>9</v>
      </c>
      <c r="I1994" s="4">
        <v>28899</v>
      </c>
      <c r="J1994" s="4">
        <v>9828</v>
      </c>
    </row>
    <row r="1995" spans="2:10" x14ac:dyDescent="0.3">
      <c r="B1995" s="7">
        <v>44197</v>
      </c>
      <c r="C1995" s="3">
        <f t="shared" si="62"/>
        <v>2021</v>
      </c>
      <c r="D1995" s="3">
        <f t="shared" si="63"/>
        <v>202101</v>
      </c>
      <c r="E1995" s="5" t="s">
        <v>3</v>
      </c>
      <c r="F1995" s="5" t="s">
        <v>13</v>
      </c>
      <c r="G1995" s="5" t="s">
        <v>55</v>
      </c>
      <c r="H1995">
        <v>14</v>
      </c>
      <c r="I1995" s="4">
        <v>44856</v>
      </c>
      <c r="J1995" s="4">
        <v>12236</v>
      </c>
    </row>
    <row r="1996" spans="2:10" x14ac:dyDescent="0.3">
      <c r="B1996" s="7">
        <v>44228</v>
      </c>
      <c r="C1996" s="3">
        <f t="shared" si="62"/>
        <v>2021</v>
      </c>
      <c r="D1996" s="3">
        <f t="shared" si="63"/>
        <v>202102</v>
      </c>
      <c r="E1996" s="5" t="s">
        <v>3</v>
      </c>
      <c r="F1996" s="5" t="s">
        <v>13</v>
      </c>
      <c r="G1996" s="5" t="s">
        <v>55</v>
      </c>
      <c r="H1996">
        <v>9</v>
      </c>
      <c r="I1996" s="4">
        <v>32805</v>
      </c>
      <c r="J1996" s="4">
        <v>7866</v>
      </c>
    </row>
    <row r="1997" spans="2:10" x14ac:dyDescent="0.3">
      <c r="B1997" s="7">
        <v>44256</v>
      </c>
      <c r="C1997" s="3">
        <f t="shared" si="62"/>
        <v>2021</v>
      </c>
      <c r="D1997" s="3">
        <f t="shared" si="63"/>
        <v>202103</v>
      </c>
      <c r="E1997" s="5" t="s">
        <v>3</v>
      </c>
      <c r="F1997" s="5" t="s">
        <v>13</v>
      </c>
      <c r="G1997" s="5" t="s">
        <v>55</v>
      </c>
      <c r="H1997">
        <v>7</v>
      </c>
      <c r="I1997" s="4">
        <v>15813</v>
      </c>
      <c r="J1997" s="4">
        <v>6118</v>
      </c>
    </row>
    <row r="1998" spans="2:10" x14ac:dyDescent="0.3">
      <c r="B1998" s="7">
        <v>44287</v>
      </c>
      <c r="C1998" s="3">
        <f t="shared" si="62"/>
        <v>2021</v>
      </c>
      <c r="D1998" s="3">
        <f t="shared" si="63"/>
        <v>202104</v>
      </c>
      <c r="E1998" s="5" t="s">
        <v>3</v>
      </c>
      <c r="F1998" s="5" t="s">
        <v>13</v>
      </c>
      <c r="G1998" s="5" t="s">
        <v>55</v>
      </c>
      <c r="H1998">
        <v>13</v>
      </c>
      <c r="I1998" s="4">
        <v>51103</v>
      </c>
      <c r="J1998" s="4">
        <v>11362</v>
      </c>
    </row>
    <row r="1999" spans="2:10" x14ac:dyDescent="0.3">
      <c r="B1999" s="7">
        <v>44317</v>
      </c>
      <c r="C1999" s="3">
        <f t="shared" si="62"/>
        <v>2021</v>
      </c>
      <c r="D1999" s="3">
        <f t="shared" si="63"/>
        <v>202105</v>
      </c>
      <c r="E1999" s="5" t="s">
        <v>3</v>
      </c>
      <c r="F1999" s="5" t="s">
        <v>13</v>
      </c>
      <c r="G1999" s="5" t="s">
        <v>55</v>
      </c>
      <c r="H1999">
        <v>16</v>
      </c>
      <c r="I1999" s="4">
        <v>64288</v>
      </c>
      <c r="J1999" s="4">
        <v>13984</v>
      </c>
    </row>
    <row r="2000" spans="2:10" x14ac:dyDescent="0.3">
      <c r="B2000" s="7">
        <v>44348</v>
      </c>
      <c r="C2000" s="3">
        <f t="shared" si="62"/>
        <v>2021</v>
      </c>
      <c r="D2000" s="3">
        <f t="shared" si="63"/>
        <v>202106</v>
      </c>
      <c r="E2000" s="5" t="s">
        <v>3</v>
      </c>
      <c r="F2000" s="5" t="s">
        <v>13</v>
      </c>
      <c r="G2000" s="5" t="s">
        <v>55</v>
      </c>
      <c r="H2000">
        <v>15</v>
      </c>
      <c r="I2000" s="4">
        <v>49470</v>
      </c>
      <c r="J2000" s="4">
        <v>13110</v>
      </c>
    </row>
    <row r="2001" spans="2:10" x14ac:dyDescent="0.3">
      <c r="B2001" s="7">
        <v>44378</v>
      </c>
      <c r="C2001" s="3">
        <f t="shared" si="62"/>
        <v>2021</v>
      </c>
      <c r="D2001" s="3">
        <f t="shared" si="63"/>
        <v>202107</v>
      </c>
      <c r="E2001" s="5" t="s">
        <v>3</v>
      </c>
      <c r="F2001" s="5" t="s">
        <v>13</v>
      </c>
      <c r="G2001" s="5" t="s">
        <v>55</v>
      </c>
      <c r="H2001">
        <v>16</v>
      </c>
      <c r="I2001" s="4">
        <v>24736</v>
      </c>
      <c r="J2001" s="4">
        <v>13984</v>
      </c>
    </row>
    <row r="2002" spans="2:10" x14ac:dyDescent="0.3">
      <c r="B2002" s="7">
        <v>44409</v>
      </c>
      <c r="C2002" s="3">
        <f t="shared" si="62"/>
        <v>2021</v>
      </c>
      <c r="D2002" s="3">
        <f t="shared" si="63"/>
        <v>202108</v>
      </c>
      <c r="E2002" s="5" t="s">
        <v>3</v>
      </c>
      <c r="F2002" s="5" t="s">
        <v>13</v>
      </c>
      <c r="G2002" s="5" t="s">
        <v>55</v>
      </c>
      <c r="H2002">
        <v>14</v>
      </c>
      <c r="I2002" s="4">
        <v>32074</v>
      </c>
      <c r="J2002" s="4">
        <v>12236</v>
      </c>
    </row>
    <row r="2003" spans="2:10" x14ac:dyDescent="0.3">
      <c r="B2003" s="7">
        <v>44440</v>
      </c>
      <c r="C2003" s="3">
        <f t="shared" si="62"/>
        <v>2021</v>
      </c>
      <c r="D2003" s="3">
        <f t="shared" si="63"/>
        <v>202109</v>
      </c>
      <c r="E2003" s="5" t="s">
        <v>3</v>
      </c>
      <c r="F2003" s="5" t="s">
        <v>13</v>
      </c>
      <c r="G2003" s="5" t="s">
        <v>55</v>
      </c>
      <c r="H2003">
        <v>15</v>
      </c>
      <c r="I2003" s="4">
        <v>37560</v>
      </c>
      <c r="J2003" s="4">
        <v>13110</v>
      </c>
    </row>
    <row r="2004" spans="2:10" x14ac:dyDescent="0.3">
      <c r="B2004" s="7">
        <v>44470</v>
      </c>
      <c r="C2004" s="3">
        <f t="shared" si="62"/>
        <v>2021</v>
      </c>
      <c r="D2004" s="3">
        <f t="shared" si="63"/>
        <v>202110</v>
      </c>
      <c r="E2004" s="5" t="s">
        <v>3</v>
      </c>
      <c r="F2004" s="5" t="s">
        <v>13</v>
      </c>
      <c r="G2004" s="5" t="s">
        <v>55</v>
      </c>
      <c r="H2004">
        <v>12</v>
      </c>
      <c r="I2004" s="4">
        <v>44688</v>
      </c>
      <c r="J2004" s="4">
        <v>10488</v>
      </c>
    </row>
    <row r="2005" spans="2:10" x14ac:dyDescent="0.3">
      <c r="B2005" s="7">
        <v>44501</v>
      </c>
      <c r="C2005" s="3">
        <f t="shared" si="62"/>
        <v>2021</v>
      </c>
      <c r="D2005" s="3">
        <f t="shared" si="63"/>
        <v>202111</v>
      </c>
      <c r="E2005" s="5" t="s">
        <v>3</v>
      </c>
      <c r="F2005" s="5" t="s">
        <v>13</v>
      </c>
      <c r="G2005" s="5" t="s">
        <v>55</v>
      </c>
      <c r="H2005">
        <v>9</v>
      </c>
      <c r="I2005" s="4">
        <v>30951</v>
      </c>
      <c r="J2005" s="4">
        <v>7866</v>
      </c>
    </row>
    <row r="2006" spans="2:10" x14ac:dyDescent="0.3">
      <c r="B2006" s="7">
        <v>44531</v>
      </c>
      <c r="C2006" s="3">
        <f t="shared" si="62"/>
        <v>2021</v>
      </c>
      <c r="D2006" s="3">
        <f t="shared" si="63"/>
        <v>202112</v>
      </c>
      <c r="E2006" s="5" t="s">
        <v>3</v>
      </c>
      <c r="F2006" s="5" t="s">
        <v>13</v>
      </c>
      <c r="G2006" s="5" t="s">
        <v>55</v>
      </c>
      <c r="H2006">
        <v>10</v>
      </c>
      <c r="I2006" s="4">
        <v>31440</v>
      </c>
      <c r="J2006" s="4">
        <v>8740</v>
      </c>
    </row>
    <row r="2007" spans="2:10" x14ac:dyDescent="0.3">
      <c r="B2007" s="7">
        <v>44562</v>
      </c>
      <c r="C2007" s="3">
        <f t="shared" si="62"/>
        <v>2022</v>
      </c>
      <c r="D2007" s="3">
        <f t="shared" si="63"/>
        <v>202201</v>
      </c>
      <c r="E2007" s="5" t="s">
        <v>3</v>
      </c>
      <c r="F2007" s="5" t="s">
        <v>13</v>
      </c>
      <c r="G2007" s="5" t="s">
        <v>55</v>
      </c>
      <c r="H2007">
        <v>15</v>
      </c>
      <c r="I2007" s="4">
        <v>41085</v>
      </c>
      <c r="J2007" s="4">
        <v>13110</v>
      </c>
    </row>
    <row r="2008" spans="2:10" x14ac:dyDescent="0.3">
      <c r="B2008" s="7">
        <v>44593</v>
      </c>
      <c r="C2008" s="3">
        <f t="shared" si="62"/>
        <v>2022</v>
      </c>
      <c r="D2008" s="3">
        <f t="shared" si="63"/>
        <v>202202</v>
      </c>
      <c r="E2008" s="5" t="s">
        <v>3</v>
      </c>
      <c r="F2008" s="5" t="s">
        <v>13</v>
      </c>
      <c r="G2008" s="5" t="s">
        <v>55</v>
      </c>
      <c r="H2008">
        <v>10</v>
      </c>
      <c r="I2008" s="4">
        <v>33120</v>
      </c>
      <c r="J2008" s="4">
        <v>8740</v>
      </c>
    </row>
    <row r="2009" spans="2:10" x14ac:dyDescent="0.3">
      <c r="B2009" s="7">
        <v>44621</v>
      </c>
      <c r="C2009" s="3">
        <f t="shared" si="62"/>
        <v>2022</v>
      </c>
      <c r="D2009" s="3">
        <f t="shared" si="63"/>
        <v>202203</v>
      </c>
      <c r="E2009" s="5" t="s">
        <v>3</v>
      </c>
      <c r="F2009" s="5" t="s">
        <v>13</v>
      </c>
      <c r="G2009" s="5" t="s">
        <v>55</v>
      </c>
      <c r="H2009">
        <v>8</v>
      </c>
      <c r="I2009" s="4">
        <v>23288</v>
      </c>
      <c r="J2009" s="4">
        <v>6992</v>
      </c>
    </row>
    <row r="2010" spans="2:10" x14ac:dyDescent="0.3">
      <c r="B2010" s="7">
        <v>44652</v>
      </c>
      <c r="C2010" s="3">
        <f t="shared" si="62"/>
        <v>2022</v>
      </c>
      <c r="D2010" s="3">
        <f t="shared" si="63"/>
        <v>202204</v>
      </c>
      <c r="E2010" s="5" t="s">
        <v>3</v>
      </c>
      <c r="F2010" s="5" t="s">
        <v>13</v>
      </c>
      <c r="G2010" s="5" t="s">
        <v>55</v>
      </c>
      <c r="H2010">
        <v>14</v>
      </c>
      <c r="I2010" s="4">
        <v>49966</v>
      </c>
      <c r="J2010" s="4">
        <v>12236</v>
      </c>
    </row>
    <row r="2011" spans="2:10" x14ac:dyDescent="0.3">
      <c r="B2011" s="7">
        <v>44682</v>
      </c>
      <c r="C2011" s="3">
        <f t="shared" si="62"/>
        <v>2022</v>
      </c>
      <c r="D2011" s="3">
        <f t="shared" si="63"/>
        <v>202205</v>
      </c>
      <c r="E2011" s="5" t="s">
        <v>3</v>
      </c>
      <c r="F2011" s="5" t="s">
        <v>13</v>
      </c>
      <c r="G2011" s="5" t="s">
        <v>55</v>
      </c>
      <c r="H2011">
        <v>18</v>
      </c>
      <c r="I2011" s="4">
        <v>72090</v>
      </c>
      <c r="J2011" s="4">
        <v>15732</v>
      </c>
    </row>
    <row r="2012" spans="2:10" x14ac:dyDescent="0.3">
      <c r="B2012" s="7">
        <v>44713</v>
      </c>
      <c r="C2012" s="3">
        <f t="shared" si="62"/>
        <v>2022</v>
      </c>
      <c r="D2012" s="3">
        <f t="shared" si="63"/>
        <v>202206</v>
      </c>
      <c r="E2012" s="5" t="s">
        <v>3</v>
      </c>
      <c r="F2012" s="5" t="s">
        <v>13</v>
      </c>
      <c r="G2012" s="5" t="s">
        <v>55</v>
      </c>
      <c r="H2012">
        <v>17</v>
      </c>
      <c r="I2012" s="4">
        <v>58786</v>
      </c>
      <c r="J2012" s="4">
        <v>14858</v>
      </c>
    </row>
    <row r="2013" spans="2:10" x14ac:dyDescent="0.3">
      <c r="B2013" s="7">
        <v>44743</v>
      </c>
      <c r="C2013" s="3">
        <f t="shared" si="62"/>
        <v>2022</v>
      </c>
      <c r="D2013" s="3">
        <f t="shared" si="63"/>
        <v>202207</v>
      </c>
      <c r="E2013" s="5" t="s">
        <v>3</v>
      </c>
      <c r="F2013" s="5" t="s">
        <v>13</v>
      </c>
      <c r="G2013" s="5" t="s">
        <v>55</v>
      </c>
      <c r="H2013">
        <v>18</v>
      </c>
      <c r="I2013" s="4">
        <v>24426</v>
      </c>
      <c r="J2013" s="4">
        <v>15732</v>
      </c>
    </row>
    <row r="2014" spans="2:10" x14ac:dyDescent="0.3">
      <c r="B2014" s="7">
        <v>44774</v>
      </c>
      <c r="C2014" s="3">
        <f t="shared" si="62"/>
        <v>2022</v>
      </c>
      <c r="D2014" s="3">
        <f t="shared" si="63"/>
        <v>202208</v>
      </c>
      <c r="E2014" s="5" t="s">
        <v>3</v>
      </c>
      <c r="F2014" s="5" t="s">
        <v>13</v>
      </c>
      <c r="G2014" s="5" t="s">
        <v>55</v>
      </c>
      <c r="H2014">
        <v>15</v>
      </c>
      <c r="I2014" s="4">
        <v>30075</v>
      </c>
      <c r="J2014" s="4">
        <v>13110</v>
      </c>
    </row>
    <row r="2015" spans="2:10" x14ac:dyDescent="0.3">
      <c r="B2015" s="7">
        <v>44805</v>
      </c>
      <c r="C2015" s="3">
        <f t="shared" si="62"/>
        <v>2022</v>
      </c>
      <c r="D2015" s="3">
        <f t="shared" si="63"/>
        <v>202209</v>
      </c>
      <c r="E2015" s="5" t="s">
        <v>3</v>
      </c>
      <c r="F2015" s="5" t="s">
        <v>13</v>
      </c>
      <c r="G2015" s="5" t="s">
        <v>55</v>
      </c>
      <c r="H2015">
        <v>16</v>
      </c>
      <c r="I2015" s="4">
        <v>37680</v>
      </c>
      <c r="J2015" s="4">
        <v>13984</v>
      </c>
    </row>
    <row r="2016" spans="2:10" x14ac:dyDescent="0.3">
      <c r="B2016" s="7">
        <v>44835</v>
      </c>
      <c r="C2016" s="3">
        <f t="shared" si="62"/>
        <v>2022</v>
      </c>
      <c r="D2016" s="3">
        <f t="shared" si="63"/>
        <v>202210</v>
      </c>
      <c r="E2016" s="5" t="s">
        <v>3</v>
      </c>
      <c r="F2016" s="5" t="s">
        <v>13</v>
      </c>
      <c r="G2016" s="5" t="s">
        <v>55</v>
      </c>
      <c r="H2016">
        <v>13</v>
      </c>
      <c r="I2016" s="4">
        <v>39351</v>
      </c>
      <c r="J2016" s="4">
        <v>11362</v>
      </c>
    </row>
    <row r="2017" spans="2:10" x14ac:dyDescent="0.3">
      <c r="B2017" s="7">
        <v>44866</v>
      </c>
      <c r="C2017" s="3">
        <f t="shared" si="62"/>
        <v>2022</v>
      </c>
      <c r="D2017" s="3">
        <f t="shared" si="63"/>
        <v>202211</v>
      </c>
      <c r="E2017" s="5" t="s">
        <v>3</v>
      </c>
      <c r="F2017" s="5" t="s">
        <v>13</v>
      </c>
      <c r="G2017" s="5" t="s">
        <v>55</v>
      </c>
      <c r="H2017">
        <v>10</v>
      </c>
      <c r="I2017" s="4">
        <v>29880</v>
      </c>
      <c r="J2017" s="4">
        <v>8740</v>
      </c>
    </row>
    <row r="2018" spans="2:10" x14ac:dyDescent="0.3">
      <c r="B2018" s="7">
        <v>44896</v>
      </c>
      <c r="C2018" s="3">
        <f t="shared" si="62"/>
        <v>2022</v>
      </c>
      <c r="D2018" s="3">
        <f t="shared" si="63"/>
        <v>202212</v>
      </c>
      <c r="E2018" s="5" t="s">
        <v>3</v>
      </c>
      <c r="F2018" s="5" t="s">
        <v>13</v>
      </c>
      <c r="G2018" s="5" t="s">
        <v>55</v>
      </c>
      <c r="H2018">
        <v>11</v>
      </c>
      <c r="I2018" s="4">
        <v>31383</v>
      </c>
      <c r="J2018" s="4">
        <v>9614</v>
      </c>
    </row>
    <row r="2019" spans="2:10" x14ac:dyDescent="0.3">
      <c r="B2019" s="7">
        <v>44197</v>
      </c>
      <c r="C2019" s="3">
        <f t="shared" si="62"/>
        <v>2021</v>
      </c>
      <c r="D2019" s="3">
        <f t="shared" si="63"/>
        <v>202101</v>
      </c>
      <c r="E2019" s="5" t="s">
        <v>4</v>
      </c>
      <c r="F2019" s="5" t="s">
        <v>56</v>
      </c>
      <c r="G2019" s="5" t="s">
        <v>14</v>
      </c>
      <c r="H2019">
        <v>85</v>
      </c>
      <c r="I2019" s="4">
        <v>942480</v>
      </c>
      <c r="J2019" s="4">
        <v>510000</v>
      </c>
    </row>
    <row r="2020" spans="2:10" x14ac:dyDescent="0.3">
      <c r="B2020" s="7">
        <v>44228</v>
      </c>
      <c r="C2020" s="3">
        <f t="shared" si="62"/>
        <v>2021</v>
      </c>
      <c r="D2020" s="3">
        <f t="shared" si="63"/>
        <v>202102</v>
      </c>
      <c r="E2020" s="5" t="s">
        <v>4</v>
      </c>
      <c r="F2020" s="5" t="s">
        <v>56</v>
      </c>
      <c r="G2020" s="5" t="s">
        <v>14</v>
      </c>
      <c r="H2020">
        <v>54</v>
      </c>
      <c r="I2020" s="4">
        <v>618894</v>
      </c>
      <c r="J2020" s="4">
        <v>324000</v>
      </c>
    </row>
    <row r="2021" spans="2:10" x14ac:dyDescent="0.3">
      <c r="B2021" s="7">
        <v>44256</v>
      </c>
      <c r="C2021" s="3">
        <f t="shared" si="62"/>
        <v>2021</v>
      </c>
      <c r="D2021" s="3">
        <f t="shared" si="63"/>
        <v>202103</v>
      </c>
      <c r="E2021" s="5" t="s">
        <v>4</v>
      </c>
      <c r="F2021" s="5" t="s">
        <v>56</v>
      </c>
      <c r="G2021" s="5" t="s">
        <v>14</v>
      </c>
      <c r="H2021">
        <v>43</v>
      </c>
      <c r="I2021" s="4">
        <v>482116</v>
      </c>
      <c r="J2021" s="4">
        <v>258000</v>
      </c>
    </row>
    <row r="2022" spans="2:10" x14ac:dyDescent="0.3">
      <c r="B2022" s="7">
        <v>44287</v>
      </c>
      <c r="C2022" s="3">
        <f t="shared" si="62"/>
        <v>2021</v>
      </c>
      <c r="D2022" s="3">
        <f t="shared" si="63"/>
        <v>202104</v>
      </c>
      <c r="E2022" s="5" t="s">
        <v>4</v>
      </c>
      <c r="F2022" s="5" t="s">
        <v>56</v>
      </c>
      <c r="G2022" s="5" t="s">
        <v>14</v>
      </c>
      <c r="H2022">
        <v>80</v>
      </c>
      <c r="I2022" s="4">
        <v>945040</v>
      </c>
      <c r="J2022" s="4">
        <v>480000</v>
      </c>
    </row>
    <row r="2023" spans="2:10" x14ac:dyDescent="0.3">
      <c r="B2023" s="7">
        <v>44317</v>
      </c>
      <c r="C2023" s="3">
        <f t="shared" si="62"/>
        <v>2021</v>
      </c>
      <c r="D2023" s="3">
        <f t="shared" si="63"/>
        <v>202105</v>
      </c>
      <c r="E2023" s="5" t="s">
        <v>4</v>
      </c>
      <c r="F2023" s="5" t="s">
        <v>56</v>
      </c>
      <c r="G2023" s="5" t="s">
        <v>14</v>
      </c>
      <c r="H2023">
        <v>101</v>
      </c>
      <c r="I2023" s="4">
        <v>1260076</v>
      </c>
      <c r="J2023" s="4">
        <v>606000</v>
      </c>
    </row>
    <row r="2024" spans="2:10" x14ac:dyDescent="0.3">
      <c r="B2024" s="7">
        <v>44348</v>
      </c>
      <c r="C2024" s="3">
        <f t="shared" si="62"/>
        <v>2021</v>
      </c>
      <c r="D2024" s="3">
        <f t="shared" si="63"/>
        <v>202106</v>
      </c>
      <c r="E2024" s="5" t="s">
        <v>4</v>
      </c>
      <c r="F2024" s="5" t="s">
        <v>56</v>
      </c>
      <c r="G2024" s="5" t="s">
        <v>14</v>
      </c>
      <c r="H2024">
        <v>96</v>
      </c>
      <c r="I2024" s="4">
        <v>1104960</v>
      </c>
      <c r="J2024" s="4">
        <v>576000</v>
      </c>
    </row>
    <row r="2025" spans="2:10" x14ac:dyDescent="0.3">
      <c r="B2025" s="7">
        <v>44378</v>
      </c>
      <c r="C2025" s="3">
        <f t="shared" si="62"/>
        <v>2021</v>
      </c>
      <c r="D2025" s="3">
        <f t="shared" si="63"/>
        <v>202107</v>
      </c>
      <c r="E2025" s="5" t="s">
        <v>4</v>
      </c>
      <c r="F2025" s="5" t="s">
        <v>56</v>
      </c>
      <c r="G2025" s="5" t="s">
        <v>14</v>
      </c>
      <c r="H2025">
        <v>101</v>
      </c>
      <c r="I2025" s="4">
        <v>1014646</v>
      </c>
      <c r="J2025" s="4">
        <v>606000</v>
      </c>
    </row>
    <row r="2026" spans="2:10" x14ac:dyDescent="0.3">
      <c r="B2026" s="7">
        <v>44409</v>
      </c>
      <c r="C2026" s="3">
        <f t="shared" si="62"/>
        <v>2021</v>
      </c>
      <c r="D2026" s="3">
        <f t="shared" si="63"/>
        <v>202108</v>
      </c>
      <c r="E2026" s="5" t="s">
        <v>4</v>
      </c>
      <c r="F2026" s="5" t="s">
        <v>56</v>
      </c>
      <c r="G2026" s="5" t="s">
        <v>14</v>
      </c>
      <c r="H2026">
        <v>85</v>
      </c>
      <c r="I2026" s="4">
        <v>884850</v>
      </c>
      <c r="J2026" s="4">
        <v>510000</v>
      </c>
    </row>
    <row r="2027" spans="2:10" x14ac:dyDescent="0.3">
      <c r="B2027" s="7">
        <v>44440</v>
      </c>
      <c r="C2027" s="3">
        <f t="shared" si="62"/>
        <v>2021</v>
      </c>
      <c r="D2027" s="3">
        <f t="shared" si="63"/>
        <v>202109</v>
      </c>
      <c r="E2027" s="5" t="s">
        <v>4</v>
      </c>
      <c r="F2027" s="5" t="s">
        <v>56</v>
      </c>
      <c r="G2027" s="5" t="s">
        <v>14</v>
      </c>
      <c r="H2027">
        <v>91</v>
      </c>
      <c r="I2027" s="4">
        <v>968513</v>
      </c>
      <c r="J2027" s="4">
        <v>546000</v>
      </c>
    </row>
    <row r="2028" spans="2:10" x14ac:dyDescent="0.3">
      <c r="B2028" s="7">
        <v>44470</v>
      </c>
      <c r="C2028" s="3">
        <f t="shared" si="62"/>
        <v>2021</v>
      </c>
      <c r="D2028" s="3">
        <f t="shared" si="63"/>
        <v>202110</v>
      </c>
      <c r="E2028" s="5" t="s">
        <v>4</v>
      </c>
      <c r="F2028" s="5" t="s">
        <v>56</v>
      </c>
      <c r="G2028" s="5" t="s">
        <v>14</v>
      </c>
      <c r="H2028">
        <v>75</v>
      </c>
      <c r="I2028" s="4">
        <v>877200</v>
      </c>
      <c r="J2028" s="4">
        <v>450000</v>
      </c>
    </row>
    <row r="2029" spans="2:10" x14ac:dyDescent="0.3">
      <c r="B2029" s="7">
        <v>44501</v>
      </c>
      <c r="C2029" s="3">
        <f t="shared" si="62"/>
        <v>2021</v>
      </c>
      <c r="D2029" s="3">
        <f t="shared" si="63"/>
        <v>202111</v>
      </c>
      <c r="E2029" s="5" t="s">
        <v>4</v>
      </c>
      <c r="F2029" s="5" t="s">
        <v>56</v>
      </c>
      <c r="G2029" s="5" t="s">
        <v>14</v>
      </c>
      <c r="H2029">
        <v>54</v>
      </c>
      <c r="I2029" s="4">
        <v>629964</v>
      </c>
      <c r="J2029" s="4">
        <v>324000</v>
      </c>
    </row>
    <row r="2030" spans="2:10" x14ac:dyDescent="0.3">
      <c r="B2030" s="7">
        <v>44531</v>
      </c>
      <c r="C2030" s="3">
        <f t="shared" si="62"/>
        <v>2021</v>
      </c>
      <c r="D2030" s="3">
        <f t="shared" si="63"/>
        <v>202112</v>
      </c>
      <c r="E2030" s="5" t="s">
        <v>4</v>
      </c>
      <c r="F2030" s="5" t="s">
        <v>56</v>
      </c>
      <c r="G2030" s="5" t="s">
        <v>14</v>
      </c>
      <c r="H2030">
        <v>64</v>
      </c>
      <c r="I2030" s="4">
        <v>693888</v>
      </c>
      <c r="J2030" s="4">
        <v>384000</v>
      </c>
    </row>
    <row r="2031" spans="2:10" x14ac:dyDescent="0.3">
      <c r="B2031" s="7">
        <v>44562</v>
      </c>
      <c r="C2031" s="3">
        <f t="shared" si="62"/>
        <v>2022</v>
      </c>
      <c r="D2031" s="3">
        <f t="shared" si="63"/>
        <v>202201</v>
      </c>
      <c r="E2031" s="5" t="s">
        <v>4</v>
      </c>
      <c r="F2031" s="5" t="s">
        <v>56</v>
      </c>
      <c r="G2031" s="5" t="s">
        <v>14</v>
      </c>
      <c r="H2031">
        <v>94</v>
      </c>
      <c r="I2031" s="4">
        <v>989256</v>
      </c>
      <c r="J2031" s="4">
        <v>564000</v>
      </c>
    </row>
    <row r="2032" spans="2:10" x14ac:dyDescent="0.3">
      <c r="B2032" s="7">
        <v>44593</v>
      </c>
      <c r="C2032" s="3">
        <f t="shared" si="62"/>
        <v>2022</v>
      </c>
      <c r="D2032" s="3">
        <f t="shared" si="63"/>
        <v>202202</v>
      </c>
      <c r="E2032" s="5" t="s">
        <v>4</v>
      </c>
      <c r="F2032" s="5" t="s">
        <v>56</v>
      </c>
      <c r="G2032" s="5" t="s">
        <v>14</v>
      </c>
      <c r="H2032">
        <v>59</v>
      </c>
      <c r="I2032" s="4">
        <v>653956</v>
      </c>
      <c r="J2032" s="4">
        <v>354000</v>
      </c>
    </row>
    <row r="2033" spans="2:10" x14ac:dyDescent="0.3">
      <c r="B2033" s="7">
        <v>44621</v>
      </c>
      <c r="C2033" s="3">
        <f t="shared" si="62"/>
        <v>2022</v>
      </c>
      <c r="D2033" s="3">
        <f t="shared" si="63"/>
        <v>202203</v>
      </c>
      <c r="E2033" s="5" t="s">
        <v>4</v>
      </c>
      <c r="F2033" s="5" t="s">
        <v>56</v>
      </c>
      <c r="G2033" s="5" t="s">
        <v>14</v>
      </c>
      <c r="H2033">
        <v>47</v>
      </c>
      <c r="I2033" s="4">
        <v>504075</v>
      </c>
      <c r="J2033" s="4">
        <v>282000</v>
      </c>
    </row>
    <row r="2034" spans="2:10" x14ac:dyDescent="0.3">
      <c r="B2034" s="7">
        <v>44652</v>
      </c>
      <c r="C2034" s="3">
        <f t="shared" si="62"/>
        <v>2022</v>
      </c>
      <c r="D2034" s="3">
        <f t="shared" si="63"/>
        <v>202204</v>
      </c>
      <c r="E2034" s="5" t="s">
        <v>4</v>
      </c>
      <c r="F2034" s="5" t="s">
        <v>56</v>
      </c>
      <c r="G2034" s="5" t="s">
        <v>14</v>
      </c>
      <c r="H2034">
        <v>88</v>
      </c>
      <c r="I2034" s="4">
        <v>1071224</v>
      </c>
      <c r="J2034" s="4">
        <v>528000</v>
      </c>
    </row>
    <row r="2035" spans="2:10" x14ac:dyDescent="0.3">
      <c r="B2035" s="7">
        <v>44682</v>
      </c>
      <c r="C2035" s="3">
        <f t="shared" si="62"/>
        <v>2022</v>
      </c>
      <c r="D2035" s="3">
        <f t="shared" si="63"/>
        <v>202205</v>
      </c>
      <c r="E2035" s="5" t="s">
        <v>4</v>
      </c>
      <c r="F2035" s="5" t="s">
        <v>56</v>
      </c>
      <c r="G2035" s="5" t="s">
        <v>14</v>
      </c>
      <c r="H2035">
        <v>111</v>
      </c>
      <c r="I2035" s="4">
        <v>1297146</v>
      </c>
      <c r="J2035" s="4">
        <v>666000</v>
      </c>
    </row>
    <row r="2036" spans="2:10" x14ac:dyDescent="0.3">
      <c r="B2036" s="7">
        <v>44713</v>
      </c>
      <c r="C2036" s="3">
        <f t="shared" si="62"/>
        <v>2022</v>
      </c>
      <c r="D2036" s="3">
        <f t="shared" si="63"/>
        <v>202206</v>
      </c>
      <c r="E2036" s="5" t="s">
        <v>4</v>
      </c>
      <c r="F2036" s="5" t="s">
        <v>56</v>
      </c>
      <c r="G2036" s="5" t="s">
        <v>14</v>
      </c>
      <c r="H2036">
        <v>106</v>
      </c>
      <c r="I2036" s="4">
        <v>1177978</v>
      </c>
      <c r="J2036" s="4">
        <v>636000</v>
      </c>
    </row>
    <row r="2037" spans="2:10" x14ac:dyDescent="0.3">
      <c r="B2037" s="7">
        <v>44743</v>
      </c>
      <c r="C2037" s="3">
        <f t="shared" si="62"/>
        <v>2022</v>
      </c>
      <c r="D2037" s="3">
        <f t="shared" si="63"/>
        <v>202207</v>
      </c>
      <c r="E2037" s="5" t="s">
        <v>4</v>
      </c>
      <c r="F2037" s="5" t="s">
        <v>56</v>
      </c>
      <c r="G2037" s="5" t="s">
        <v>14</v>
      </c>
      <c r="H2037">
        <v>111</v>
      </c>
      <c r="I2037" s="4">
        <v>1149294</v>
      </c>
      <c r="J2037" s="4">
        <v>666000</v>
      </c>
    </row>
    <row r="2038" spans="2:10" x14ac:dyDescent="0.3">
      <c r="B2038" s="7">
        <v>44774</v>
      </c>
      <c r="C2038" s="3">
        <f t="shared" si="62"/>
        <v>2022</v>
      </c>
      <c r="D2038" s="3">
        <f t="shared" si="63"/>
        <v>202208</v>
      </c>
      <c r="E2038" s="5" t="s">
        <v>4</v>
      </c>
      <c r="F2038" s="5" t="s">
        <v>56</v>
      </c>
      <c r="G2038" s="5" t="s">
        <v>14</v>
      </c>
      <c r="H2038">
        <v>94</v>
      </c>
      <c r="I2038" s="4">
        <v>987940</v>
      </c>
      <c r="J2038" s="4">
        <v>564000</v>
      </c>
    </row>
    <row r="2039" spans="2:10" x14ac:dyDescent="0.3">
      <c r="B2039" s="7">
        <v>44805</v>
      </c>
      <c r="C2039" s="3">
        <f t="shared" si="62"/>
        <v>2022</v>
      </c>
      <c r="D2039" s="3">
        <f t="shared" si="63"/>
        <v>202209</v>
      </c>
      <c r="E2039" s="5" t="s">
        <v>4</v>
      </c>
      <c r="F2039" s="5" t="s">
        <v>56</v>
      </c>
      <c r="G2039" s="5" t="s">
        <v>14</v>
      </c>
      <c r="H2039">
        <v>100</v>
      </c>
      <c r="I2039" s="4">
        <v>1077000</v>
      </c>
      <c r="J2039" s="4">
        <v>600000</v>
      </c>
    </row>
    <row r="2040" spans="2:10" x14ac:dyDescent="0.3">
      <c r="B2040" s="7">
        <v>44835</v>
      </c>
      <c r="C2040" s="3">
        <f t="shared" si="62"/>
        <v>2022</v>
      </c>
      <c r="D2040" s="3">
        <f t="shared" si="63"/>
        <v>202210</v>
      </c>
      <c r="E2040" s="5" t="s">
        <v>4</v>
      </c>
      <c r="F2040" s="5" t="s">
        <v>56</v>
      </c>
      <c r="G2040" s="5" t="s">
        <v>14</v>
      </c>
      <c r="H2040">
        <v>82</v>
      </c>
      <c r="I2040" s="4">
        <v>910938</v>
      </c>
      <c r="J2040" s="4">
        <v>492000</v>
      </c>
    </row>
    <row r="2041" spans="2:10" x14ac:dyDescent="0.3">
      <c r="B2041" s="7">
        <v>44866</v>
      </c>
      <c r="C2041" s="3">
        <f t="shared" si="62"/>
        <v>2022</v>
      </c>
      <c r="D2041" s="3">
        <f t="shared" si="63"/>
        <v>202211</v>
      </c>
      <c r="E2041" s="5" t="s">
        <v>4</v>
      </c>
      <c r="F2041" s="5" t="s">
        <v>56</v>
      </c>
      <c r="G2041" s="5" t="s">
        <v>14</v>
      </c>
      <c r="H2041">
        <v>59</v>
      </c>
      <c r="I2041" s="4">
        <v>663691</v>
      </c>
      <c r="J2041" s="4">
        <v>354000</v>
      </c>
    </row>
    <row r="2042" spans="2:10" x14ac:dyDescent="0.3">
      <c r="B2042" s="7">
        <v>44896</v>
      </c>
      <c r="C2042" s="3">
        <f t="shared" si="62"/>
        <v>2022</v>
      </c>
      <c r="D2042" s="3">
        <f t="shared" si="63"/>
        <v>202212</v>
      </c>
      <c r="E2042" s="5" t="s">
        <v>4</v>
      </c>
      <c r="F2042" s="5" t="s">
        <v>56</v>
      </c>
      <c r="G2042" s="5" t="s">
        <v>14</v>
      </c>
      <c r="H2042">
        <v>71</v>
      </c>
      <c r="I2042" s="4">
        <v>748766</v>
      </c>
      <c r="J2042" s="4">
        <v>426000</v>
      </c>
    </row>
    <row r="2043" spans="2:10" x14ac:dyDescent="0.3">
      <c r="B2043" s="7">
        <v>44197</v>
      </c>
      <c r="C2043" s="3">
        <f t="shared" si="62"/>
        <v>2021</v>
      </c>
      <c r="D2043" s="3">
        <f t="shared" si="63"/>
        <v>202101</v>
      </c>
      <c r="E2043" s="5" t="s">
        <v>4</v>
      </c>
      <c r="F2043" s="5" t="s">
        <v>56</v>
      </c>
      <c r="G2043" s="5" t="s">
        <v>15</v>
      </c>
      <c r="H2043">
        <v>78</v>
      </c>
      <c r="I2043" s="4">
        <v>1000038</v>
      </c>
      <c r="J2043" s="4">
        <v>552240</v>
      </c>
    </row>
    <row r="2044" spans="2:10" x14ac:dyDescent="0.3">
      <c r="B2044" s="7">
        <v>44228</v>
      </c>
      <c r="C2044" s="3">
        <f t="shared" si="62"/>
        <v>2021</v>
      </c>
      <c r="D2044" s="3">
        <f t="shared" si="63"/>
        <v>202102</v>
      </c>
      <c r="E2044" s="5" t="s">
        <v>4</v>
      </c>
      <c r="F2044" s="5" t="s">
        <v>56</v>
      </c>
      <c r="G2044" s="5" t="s">
        <v>15</v>
      </c>
      <c r="H2044">
        <v>49</v>
      </c>
      <c r="I2044" s="4">
        <v>680365</v>
      </c>
      <c r="J2044" s="4">
        <v>346920</v>
      </c>
    </row>
    <row r="2045" spans="2:10" x14ac:dyDescent="0.3">
      <c r="B2045" s="7">
        <v>44256</v>
      </c>
      <c r="C2045" s="3">
        <f t="shared" si="62"/>
        <v>2021</v>
      </c>
      <c r="D2045" s="3">
        <f t="shared" si="63"/>
        <v>202103</v>
      </c>
      <c r="E2045" s="5" t="s">
        <v>4</v>
      </c>
      <c r="F2045" s="5" t="s">
        <v>56</v>
      </c>
      <c r="G2045" s="5" t="s">
        <v>15</v>
      </c>
      <c r="H2045">
        <v>39</v>
      </c>
      <c r="I2045" s="4">
        <v>503100</v>
      </c>
      <c r="J2045" s="4">
        <v>276120</v>
      </c>
    </row>
    <row r="2046" spans="2:10" x14ac:dyDescent="0.3">
      <c r="B2046" s="7">
        <v>44287</v>
      </c>
      <c r="C2046" s="3">
        <f t="shared" si="62"/>
        <v>2021</v>
      </c>
      <c r="D2046" s="3">
        <f t="shared" si="63"/>
        <v>202104</v>
      </c>
      <c r="E2046" s="5" t="s">
        <v>4</v>
      </c>
      <c r="F2046" s="5" t="s">
        <v>56</v>
      </c>
      <c r="G2046" s="5" t="s">
        <v>15</v>
      </c>
      <c r="H2046">
        <v>73</v>
      </c>
      <c r="I2046" s="4">
        <v>1007108</v>
      </c>
      <c r="J2046" s="4">
        <v>516840</v>
      </c>
    </row>
    <row r="2047" spans="2:10" x14ac:dyDescent="0.3">
      <c r="B2047" s="7">
        <v>44317</v>
      </c>
      <c r="C2047" s="3">
        <f t="shared" si="62"/>
        <v>2021</v>
      </c>
      <c r="D2047" s="3">
        <f t="shared" si="63"/>
        <v>202105</v>
      </c>
      <c r="E2047" s="5" t="s">
        <v>4</v>
      </c>
      <c r="F2047" s="5" t="s">
        <v>56</v>
      </c>
      <c r="G2047" s="5" t="s">
        <v>15</v>
      </c>
      <c r="H2047">
        <v>93</v>
      </c>
      <c r="I2047" s="4">
        <v>1304604</v>
      </c>
      <c r="J2047" s="4">
        <v>658440</v>
      </c>
    </row>
    <row r="2048" spans="2:10" x14ac:dyDescent="0.3">
      <c r="B2048" s="7">
        <v>44348</v>
      </c>
      <c r="C2048" s="3">
        <f t="shared" si="62"/>
        <v>2021</v>
      </c>
      <c r="D2048" s="3">
        <f t="shared" si="63"/>
        <v>202106</v>
      </c>
      <c r="E2048" s="5" t="s">
        <v>4</v>
      </c>
      <c r="F2048" s="5" t="s">
        <v>56</v>
      </c>
      <c r="G2048" s="5" t="s">
        <v>15</v>
      </c>
      <c r="H2048">
        <v>88</v>
      </c>
      <c r="I2048" s="4">
        <v>1184392</v>
      </c>
      <c r="J2048" s="4">
        <v>623040</v>
      </c>
    </row>
    <row r="2049" spans="2:10" x14ac:dyDescent="0.3">
      <c r="B2049" s="7">
        <v>44378</v>
      </c>
      <c r="C2049" s="3">
        <f t="shared" si="62"/>
        <v>2021</v>
      </c>
      <c r="D2049" s="3">
        <f t="shared" si="63"/>
        <v>202107</v>
      </c>
      <c r="E2049" s="5" t="s">
        <v>4</v>
      </c>
      <c r="F2049" s="5" t="s">
        <v>56</v>
      </c>
      <c r="G2049" s="5" t="s">
        <v>15</v>
      </c>
      <c r="H2049">
        <v>93</v>
      </c>
      <c r="I2049" s="4">
        <v>1121952</v>
      </c>
      <c r="J2049" s="4">
        <v>658440</v>
      </c>
    </row>
    <row r="2050" spans="2:10" x14ac:dyDescent="0.3">
      <c r="B2050" s="7">
        <v>44409</v>
      </c>
      <c r="C2050" s="3">
        <f t="shared" si="62"/>
        <v>2021</v>
      </c>
      <c r="D2050" s="3">
        <f t="shared" si="63"/>
        <v>202108</v>
      </c>
      <c r="E2050" s="5" t="s">
        <v>4</v>
      </c>
      <c r="F2050" s="5" t="s">
        <v>56</v>
      </c>
      <c r="G2050" s="5" t="s">
        <v>15</v>
      </c>
      <c r="H2050">
        <v>78</v>
      </c>
      <c r="I2050" s="4">
        <v>981474</v>
      </c>
      <c r="J2050" s="4">
        <v>552240</v>
      </c>
    </row>
    <row r="2051" spans="2:10" x14ac:dyDescent="0.3">
      <c r="B2051" s="7">
        <v>44440</v>
      </c>
      <c r="C2051" s="3">
        <f t="shared" ref="C2051:C2114" si="64">YEAR(B2051)</f>
        <v>2021</v>
      </c>
      <c r="D2051" s="3">
        <f t="shared" ref="D2051:D2114" si="65">VALUE(TEXT(B2051,"ГГГГММ"))</f>
        <v>202109</v>
      </c>
      <c r="E2051" s="5" t="s">
        <v>4</v>
      </c>
      <c r="F2051" s="5" t="s">
        <v>56</v>
      </c>
      <c r="G2051" s="5" t="s">
        <v>15</v>
      </c>
      <c r="H2051">
        <v>83</v>
      </c>
      <c r="I2051" s="4">
        <v>1050780</v>
      </c>
      <c r="J2051" s="4">
        <v>587640</v>
      </c>
    </row>
    <row r="2052" spans="2:10" x14ac:dyDescent="0.3">
      <c r="B2052" s="7">
        <v>44470</v>
      </c>
      <c r="C2052" s="3">
        <f t="shared" si="64"/>
        <v>2021</v>
      </c>
      <c r="D2052" s="3">
        <f t="shared" si="65"/>
        <v>202110</v>
      </c>
      <c r="E2052" s="5" t="s">
        <v>4</v>
      </c>
      <c r="F2052" s="5" t="s">
        <v>56</v>
      </c>
      <c r="G2052" s="5" t="s">
        <v>15</v>
      </c>
      <c r="H2052">
        <v>69</v>
      </c>
      <c r="I2052" s="4">
        <v>961653</v>
      </c>
      <c r="J2052" s="4">
        <v>488520</v>
      </c>
    </row>
    <row r="2053" spans="2:10" x14ac:dyDescent="0.3">
      <c r="B2053" s="7">
        <v>44501</v>
      </c>
      <c r="C2053" s="3">
        <f t="shared" si="64"/>
        <v>2021</v>
      </c>
      <c r="D2053" s="3">
        <f t="shared" si="65"/>
        <v>202111</v>
      </c>
      <c r="E2053" s="5" t="s">
        <v>4</v>
      </c>
      <c r="F2053" s="5" t="s">
        <v>56</v>
      </c>
      <c r="G2053" s="5" t="s">
        <v>15</v>
      </c>
      <c r="H2053">
        <v>49</v>
      </c>
      <c r="I2053" s="4">
        <v>629797</v>
      </c>
      <c r="J2053" s="4">
        <v>346920</v>
      </c>
    </row>
    <row r="2054" spans="2:10" x14ac:dyDescent="0.3">
      <c r="B2054" s="7">
        <v>44531</v>
      </c>
      <c r="C2054" s="3">
        <f t="shared" si="64"/>
        <v>2021</v>
      </c>
      <c r="D2054" s="3">
        <f t="shared" si="65"/>
        <v>202112</v>
      </c>
      <c r="E2054" s="5" t="s">
        <v>4</v>
      </c>
      <c r="F2054" s="5" t="s">
        <v>56</v>
      </c>
      <c r="G2054" s="5" t="s">
        <v>15</v>
      </c>
      <c r="H2054">
        <v>59</v>
      </c>
      <c r="I2054" s="4">
        <v>757855</v>
      </c>
      <c r="J2054" s="4">
        <v>417720</v>
      </c>
    </row>
    <row r="2055" spans="2:10" x14ac:dyDescent="0.3">
      <c r="B2055" s="7">
        <v>44562</v>
      </c>
      <c r="C2055" s="3">
        <f t="shared" si="64"/>
        <v>2022</v>
      </c>
      <c r="D2055" s="3">
        <f t="shared" si="65"/>
        <v>202201</v>
      </c>
      <c r="E2055" s="5" t="s">
        <v>4</v>
      </c>
      <c r="F2055" s="5" t="s">
        <v>56</v>
      </c>
      <c r="G2055" s="5" t="s">
        <v>15</v>
      </c>
      <c r="H2055">
        <v>86</v>
      </c>
      <c r="I2055" s="4">
        <v>1101144</v>
      </c>
      <c r="J2055" s="4">
        <v>608880</v>
      </c>
    </row>
    <row r="2056" spans="2:10" x14ac:dyDescent="0.3">
      <c r="B2056" s="7">
        <v>44593</v>
      </c>
      <c r="C2056" s="3">
        <f t="shared" si="64"/>
        <v>2022</v>
      </c>
      <c r="D2056" s="3">
        <f t="shared" si="65"/>
        <v>202202</v>
      </c>
      <c r="E2056" s="5" t="s">
        <v>4</v>
      </c>
      <c r="F2056" s="5" t="s">
        <v>56</v>
      </c>
      <c r="G2056" s="5" t="s">
        <v>15</v>
      </c>
      <c r="H2056">
        <v>54</v>
      </c>
      <c r="I2056" s="4">
        <v>702702</v>
      </c>
      <c r="J2056" s="4">
        <v>382320</v>
      </c>
    </row>
    <row r="2057" spans="2:10" x14ac:dyDescent="0.3">
      <c r="B2057" s="7">
        <v>44621</v>
      </c>
      <c r="C2057" s="3">
        <f t="shared" si="64"/>
        <v>2022</v>
      </c>
      <c r="D2057" s="3">
        <f t="shared" si="65"/>
        <v>202203</v>
      </c>
      <c r="E2057" s="5" t="s">
        <v>4</v>
      </c>
      <c r="F2057" s="5" t="s">
        <v>56</v>
      </c>
      <c r="G2057" s="5" t="s">
        <v>15</v>
      </c>
      <c r="H2057">
        <v>43</v>
      </c>
      <c r="I2057" s="4">
        <v>555732</v>
      </c>
      <c r="J2057" s="4">
        <v>304440</v>
      </c>
    </row>
    <row r="2058" spans="2:10" x14ac:dyDescent="0.3">
      <c r="B2058" s="7">
        <v>44652</v>
      </c>
      <c r="C2058" s="3">
        <f t="shared" si="64"/>
        <v>2022</v>
      </c>
      <c r="D2058" s="3">
        <f t="shared" si="65"/>
        <v>202204</v>
      </c>
      <c r="E2058" s="5" t="s">
        <v>4</v>
      </c>
      <c r="F2058" s="5" t="s">
        <v>56</v>
      </c>
      <c r="G2058" s="5" t="s">
        <v>15</v>
      </c>
      <c r="H2058">
        <v>81</v>
      </c>
      <c r="I2058" s="4">
        <v>1059156</v>
      </c>
      <c r="J2058" s="4">
        <v>573480</v>
      </c>
    </row>
    <row r="2059" spans="2:10" x14ac:dyDescent="0.3">
      <c r="B2059" s="7">
        <v>44682</v>
      </c>
      <c r="C2059" s="3">
        <f t="shared" si="64"/>
        <v>2022</v>
      </c>
      <c r="D2059" s="3">
        <f t="shared" si="65"/>
        <v>202205</v>
      </c>
      <c r="E2059" s="5" t="s">
        <v>4</v>
      </c>
      <c r="F2059" s="5" t="s">
        <v>56</v>
      </c>
      <c r="G2059" s="5" t="s">
        <v>15</v>
      </c>
      <c r="H2059">
        <v>102</v>
      </c>
      <c r="I2059" s="4">
        <v>1484916</v>
      </c>
      <c r="J2059" s="4">
        <v>722160</v>
      </c>
    </row>
    <row r="2060" spans="2:10" x14ac:dyDescent="0.3">
      <c r="B2060" s="7">
        <v>44713</v>
      </c>
      <c r="C2060" s="3">
        <f t="shared" si="64"/>
        <v>2022</v>
      </c>
      <c r="D2060" s="3">
        <f t="shared" si="65"/>
        <v>202206</v>
      </c>
      <c r="E2060" s="5" t="s">
        <v>4</v>
      </c>
      <c r="F2060" s="5" t="s">
        <v>56</v>
      </c>
      <c r="G2060" s="5" t="s">
        <v>15</v>
      </c>
      <c r="H2060">
        <v>97</v>
      </c>
      <c r="I2060" s="4">
        <v>1288839</v>
      </c>
      <c r="J2060" s="4">
        <v>686760</v>
      </c>
    </row>
    <row r="2061" spans="2:10" x14ac:dyDescent="0.3">
      <c r="B2061" s="7">
        <v>44743</v>
      </c>
      <c r="C2061" s="3">
        <f t="shared" si="64"/>
        <v>2022</v>
      </c>
      <c r="D2061" s="3">
        <f t="shared" si="65"/>
        <v>202207</v>
      </c>
      <c r="E2061" s="5" t="s">
        <v>4</v>
      </c>
      <c r="F2061" s="5" t="s">
        <v>56</v>
      </c>
      <c r="G2061" s="5" t="s">
        <v>15</v>
      </c>
      <c r="H2061">
        <v>102</v>
      </c>
      <c r="I2061" s="4">
        <v>1149642</v>
      </c>
      <c r="J2061" s="4">
        <v>722160</v>
      </c>
    </row>
    <row r="2062" spans="2:10" x14ac:dyDescent="0.3">
      <c r="B2062" s="7">
        <v>44774</v>
      </c>
      <c r="C2062" s="3">
        <f t="shared" si="64"/>
        <v>2022</v>
      </c>
      <c r="D2062" s="3">
        <f t="shared" si="65"/>
        <v>202208</v>
      </c>
      <c r="E2062" s="5" t="s">
        <v>4</v>
      </c>
      <c r="F2062" s="5" t="s">
        <v>56</v>
      </c>
      <c r="G2062" s="5" t="s">
        <v>15</v>
      </c>
      <c r="H2062">
        <v>86</v>
      </c>
      <c r="I2062" s="4">
        <v>1056768</v>
      </c>
      <c r="J2062" s="4">
        <v>608880</v>
      </c>
    </row>
    <row r="2063" spans="2:10" x14ac:dyDescent="0.3">
      <c r="B2063" s="7">
        <v>44805</v>
      </c>
      <c r="C2063" s="3">
        <f t="shared" si="64"/>
        <v>2022</v>
      </c>
      <c r="D2063" s="3">
        <f t="shared" si="65"/>
        <v>202209</v>
      </c>
      <c r="E2063" s="5" t="s">
        <v>4</v>
      </c>
      <c r="F2063" s="5" t="s">
        <v>56</v>
      </c>
      <c r="G2063" s="5" t="s">
        <v>15</v>
      </c>
      <c r="H2063">
        <v>91</v>
      </c>
      <c r="I2063" s="4">
        <v>1188187</v>
      </c>
      <c r="J2063" s="4">
        <v>644280</v>
      </c>
    </row>
    <row r="2064" spans="2:10" x14ac:dyDescent="0.3">
      <c r="B2064" s="7">
        <v>44835</v>
      </c>
      <c r="C2064" s="3">
        <f t="shared" si="64"/>
        <v>2022</v>
      </c>
      <c r="D2064" s="3">
        <f t="shared" si="65"/>
        <v>202210</v>
      </c>
      <c r="E2064" s="5" t="s">
        <v>4</v>
      </c>
      <c r="F2064" s="5" t="s">
        <v>56</v>
      </c>
      <c r="G2064" s="5" t="s">
        <v>15</v>
      </c>
      <c r="H2064">
        <v>75</v>
      </c>
      <c r="I2064" s="4">
        <v>1037175</v>
      </c>
      <c r="J2064" s="4">
        <v>531000</v>
      </c>
    </row>
    <row r="2065" spans="2:10" x14ac:dyDescent="0.3">
      <c r="B2065" s="7">
        <v>44866</v>
      </c>
      <c r="C2065" s="3">
        <f t="shared" si="64"/>
        <v>2022</v>
      </c>
      <c r="D2065" s="3">
        <f t="shared" si="65"/>
        <v>202211</v>
      </c>
      <c r="E2065" s="5" t="s">
        <v>4</v>
      </c>
      <c r="F2065" s="5" t="s">
        <v>56</v>
      </c>
      <c r="G2065" s="5" t="s">
        <v>15</v>
      </c>
      <c r="H2065">
        <v>54</v>
      </c>
      <c r="I2065" s="4">
        <v>711612</v>
      </c>
      <c r="J2065" s="4">
        <v>382320</v>
      </c>
    </row>
    <row r="2066" spans="2:10" x14ac:dyDescent="0.3">
      <c r="B2066" s="7">
        <v>44896</v>
      </c>
      <c r="C2066" s="3">
        <f t="shared" si="64"/>
        <v>2022</v>
      </c>
      <c r="D2066" s="3">
        <f t="shared" si="65"/>
        <v>202212</v>
      </c>
      <c r="E2066" s="5" t="s">
        <v>4</v>
      </c>
      <c r="F2066" s="5" t="s">
        <v>56</v>
      </c>
      <c r="G2066" s="5" t="s">
        <v>15</v>
      </c>
      <c r="H2066">
        <v>65</v>
      </c>
      <c r="I2066" s="4">
        <v>807820</v>
      </c>
      <c r="J2066" s="4">
        <v>460200</v>
      </c>
    </row>
    <row r="2067" spans="2:10" x14ac:dyDescent="0.3">
      <c r="B2067" s="7">
        <v>44197</v>
      </c>
      <c r="C2067" s="3">
        <f t="shared" si="64"/>
        <v>2021</v>
      </c>
      <c r="D2067" s="3">
        <f t="shared" si="65"/>
        <v>202101</v>
      </c>
      <c r="E2067" s="5" t="s">
        <v>4</v>
      </c>
      <c r="F2067" s="5" t="s">
        <v>56</v>
      </c>
      <c r="G2067" s="5" t="s">
        <v>16</v>
      </c>
      <c r="H2067">
        <v>78</v>
      </c>
      <c r="I2067" s="4">
        <v>2013804</v>
      </c>
      <c r="J2067" s="4">
        <v>819000</v>
      </c>
    </row>
    <row r="2068" spans="2:10" x14ac:dyDescent="0.3">
      <c r="B2068" s="7">
        <v>44228</v>
      </c>
      <c r="C2068" s="3">
        <f t="shared" si="64"/>
        <v>2021</v>
      </c>
      <c r="D2068" s="3">
        <f t="shared" si="65"/>
        <v>202102</v>
      </c>
      <c r="E2068" s="5" t="s">
        <v>4</v>
      </c>
      <c r="F2068" s="5" t="s">
        <v>56</v>
      </c>
      <c r="G2068" s="5" t="s">
        <v>16</v>
      </c>
      <c r="H2068">
        <v>49</v>
      </c>
      <c r="I2068" s="4">
        <v>1305017</v>
      </c>
      <c r="J2068" s="4">
        <v>514500</v>
      </c>
    </row>
    <row r="2069" spans="2:10" x14ac:dyDescent="0.3">
      <c r="B2069" s="7">
        <v>44256</v>
      </c>
      <c r="C2069" s="3">
        <f t="shared" si="64"/>
        <v>2021</v>
      </c>
      <c r="D2069" s="3">
        <f t="shared" si="65"/>
        <v>202103</v>
      </c>
      <c r="E2069" s="5" t="s">
        <v>4</v>
      </c>
      <c r="F2069" s="5" t="s">
        <v>56</v>
      </c>
      <c r="G2069" s="5" t="s">
        <v>16</v>
      </c>
      <c r="H2069">
        <v>39</v>
      </c>
      <c r="I2069" s="4">
        <v>1010061</v>
      </c>
      <c r="J2069" s="4">
        <v>409500</v>
      </c>
    </row>
    <row r="2070" spans="2:10" x14ac:dyDescent="0.3">
      <c r="B2070" s="7">
        <v>44287</v>
      </c>
      <c r="C2070" s="3">
        <f t="shared" si="64"/>
        <v>2021</v>
      </c>
      <c r="D2070" s="3">
        <f t="shared" si="65"/>
        <v>202104</v>
      </c>
      <c r="E2070" s="5" t="s">
        <v>4</v>
      </c>
      <c r="F2070" s="5" t="s">
        <v>56</v>
      </c>
      <c r="G2070" s="5" t="s">
        <v>16</v>
      </c>
      <c r="H2070">
        <v>73</v>
      </c>
      <c r="I2070" s="4">
        <v>1934208</v>
      </c>
      <c r="J2070" s="4">
        <v>766500</v>
      </c>
    </row>
    <row r="2071" spans="2:10" x14ac:dyDescent="0.3">
      <c r="B2071" s="7">
        <v>44317</v>
      </c>
      <c r="C2071" s="3">
        <f t="shared" si="64"/>
        <v>2021</v>
      </c>
      <c r="D2071" s="3">
        <f t="shared" si="65"/>
        <v>202105</v>
      </c>
      <c r="E2071" s="5" t="s">
        <v>4</v>
      </c>
      <c r="F2071" s="5" t="s">
        <v>56</v>
      </c>
      <c r="G2071" s="5" t="s">
        <v>16</v>
      </c>
      <c r="H2071">
        <v>93</v>
      </c>
      <c r="I2071" s="4">
        <v>2516115</v>
      </c>
      <c r="J2071" s="4">
        <v>976500</v>
      </c>
    </row>
    <row r="2072" spans="2:10" x14ac:dyDescent="0.3">
      <c r="B2072" s="7">
        <v>44348</v>
      </c>
      <c r="C2072" s="3">
        <f t="shared" si="64"/>
        <v>2021</v>
      </c>
      <c r="D2072" s="3">
        <f t="shared" si="65"/>
        <v>202106</v>
      </c>
      <c r="E2072" s="5" t="s">
        <v>4</v>
      </c>
      <c r="F2072" s="5" t="s">
        <v>56</v>
      </c>
      <c r="G2072" s="5" t="s">
        <v>16</v>
      </c>
      <c r="H2072">
        <v>88</v>
      </c>
      <c r="I2072" s="4">
        <v>2284480</v>
      </c>
      <c r="J2072" s="4">
        <v>924000</v>
      </c>
    </row>
    <row r="2073" spans="2:10" x14ac:dyDescent="0.3">
      <c r="B2073" s="7">
        <v>44378</v>
      </c>
      <c r="C2073" s="3">
        <f t="shared" si="64"/>
        <v>2021</v>
      </c>
      <c r="D2073" s="3">
        <f t="shared" si="65"/>
        <v>202107</v>
      </c>
      <c r="E2073" s="5" t="s">
        <v>4</v>
      </c>
      <c r="F2073" s="5" t="s">
        <v>56</v>
      </c>
      <c r="G2073" s="5" t="s">
        <v>16</v>
      </c>
      <c r="H2073">
        <v>93</v>
      </c>
      <c r="I2073" s="4">
        <v>2296728</v>
      </c>
      <c r="J2073" s="4">
        <v>976500</v>
      </c>
    </row>
    <row r="2074" spans="2:10" x14ac:dyDescent="0.3">
      <c r="B2074" s="7">
        <v>44409</v>
      </c>
      <c r="C2074" s="3">
        <f t="shared" si="64"/>
        <v>2021</v>
      </c>
      <c r="D2074" s="3">
        <f t="shared" si="65"/>
        <v>202108</v>
      </c>
      <c r="E2074" s="5" t="s">
        <v>4</v>
      </c>
      <c r="F2074" s="5" t="s">
        <v>56</v>
      </c>
      <c r="G2074" s="5" t="s">
        <v>16</v>
      </c>
      <c r="H2074">
        <v>78</v>
      </c>
      <c r="I2074" s="4">
        <v>2035644</v>
      </c>
      <c r="J2074" s="4">
        <v>819000</v>
      </c>
    </row>
    <row r="2075" spans="2:10" x14ac:dyDescent="0.3">
      <c r="B2075" s="7">
        <v>44440</v>
      </c>
      <c r="C2075" s="3">
        <f t="shared" si="64"/>
        <v>2021</v>
      </c>
      <c r="D2075" s="3">
        <f t="shared" si="65"/>
        <v>202109</v>
      </c>
      <c r="E2075" s="5" t="s">
        <v>4</v>
      </c>
      <c r="F2075" s="5" t="s">
        <v>56</v>
      </c>
      <c r="G2075" s="5" t="s">
        <v>16</v>
      </c>
      <c r="H2075">
        <v>83</v>
      </c>
      <c r="I2075" s="4">
        <v>2096331</v>
      </c>
      <c r="J2075" s="4">
        <v>871500</v>
      </c>
    </row>
    <row r="2076" spans="2:10" x14ac:dyDescent="0.3">
      <c r="B2076" s="7">
        <v>44470</v>
      </c>
      <c r="C2076" s="3">
        <f t="shared" si="64"/>
        <v>2021</v>
      </c>
      <c r="D2076" s="3">
        <f t="shared" si="65"/>
        <v>202110</v>
      </c>
      <c r="E2076" s="5" t="s">
        <v>4</v>
      </c>
      <c r="F2076" s="5" t="s">
        <v>56</v>
      </c>
      <c r="G2076" s="5" t="s">
        <v>16</v>
      </c>
      <c r="H2076">
        <v>69</v>
      </c>
      <c r="I2076" s="4">
        <v>1806696</v>
      </c>
      <c r="J2076" s="4">
        <v>724500</v>
      </c>
    </row>
    <row r="2077" spans="2:10" x14ac:dyDescent="0.3">
      <c r="B2077" s="7">
        <v>44501</v>
      </c>
      <c r="C2077" s="3">
        <f t="shared" si="64"/>
        <v>2021</v>
      </c>
      <c r="D2077" s="3">
        <f t="shared" si="65"/>
        <v>202111</v>
      </c>
      <c r="E2077" s="5" t="s">
        <v>4</v>
      </c>
      <c r="F2077" s="5" t="s">
        <v>56</v>
      </c>
      <c r="G2077" s="5" t="s">
        <v>16</v>
      </c>
      <c r="H2077">
        <v>49</v>
      </c>
      <c r="I2077" s="4">
        <v>1254008</v>
      </c>
      <c r="J2077" s="4">
        <v>514500</v>
      </c>
    </row>
    <row r="2078" spans="2:10" x14ac:dyDescent="0.3">
      <c r="B2078" s="7">
        <v>44531</v>
      </c>
      <c r="C2078" s="3">
        <f t="shared" si="64"/>
        <v>2021</v>
      </c>
      <c r="D2078" s="3">
        <f t="shared" si="65"/>
        <v>202112</v>
      </c>
      <c r="E2078" s="5" t="s">
        <v>4</v>
      </c>
      <c r="F2078" s="5" t="s">
        <v>56</v>
      </c>
      <c r="G2078" s="5" t="s">
        <v>16</v>
      </c>
      <c r="H2078">
        <v>59</v>
      </c>
      <c r="I2078" s="4">
        <v>1488275</v>
      </c>
      <c r="J2078" s="4">
        <v>619500</v>
      </c>
    </row>
    <row r="2079" spans="2:10" x14ac:dyDescent="0.3">
      <c r="B2079" s="7">
        <v>44562</v>
      </c>
      <c r="C2079" s="3">
        <f t="shared" si="64"/>
        <v>2022</v>
      </c>
      <c r="D2079" s="3">
        <f t="shared" si="65"/>
        <v>202201</v>
      </c>
      <c r="E2079" s="5" t="s">
        <v>4</v>
      </c>
      <c r="F2079" s="5" t="s">
        <v>56</v>
      </c>
      <c r="G2079" s="5" t="s">
        <v>16</v>
      </c>
      <c r="H2079">
        <v>86</v>
      </c>
      <c r="I2079" s="4">
        <v>2263778</v>
      </c>
      <c r="J2079" s="4">
        <v>903000</v>
      </c>
    </row>
    <row r="2080" spans="2:10" x14ac:dyDescent="0.3">
      <c r="B2080" s="7">
        <v>44593</v>
      </c>
      <c r="C2080" s="3">
        <f t="shared" si="64"/>
        <v>2022</v>
      </c>
      <c r="D2080" s="3">
        <f t="shared" si="65"/>
        <v>202202</v>
      </c>
      <c r="E2080" s="5" t="s">
        <v>4</v>
      </c>
      <c r="F2080" s="5" t="s">
        <v>56</v>
      </c>
      <c r="G2080" s="5" t="s">
        <v>16</v>
      </c>
      <c r="H2080">
        <v>54</v>
      </c>
      <c r="I2080" s="4">
        <v>1410858</v>
      </c>
      <c r="J2080" s="4">
        <v>567000</v>
      </c>
    </row>
    <row r="2081" spans="2:10" x14ac:dyDescent="0.3">
      <c r="B2081" s="7">
        <v>44621</v>
      </c>
      <c r="C2081" s="3">
        <f t="shared" si="64"/>
        <v>2022</v>
      </c>
      <c r="D2081" s="3">
        <f t="shared" si="65"/>
        <v>202203</v>
      </c>
      <c r="E2081" s="5" t="s">
        <v>4</v>
      </c>
      <c r="F2081" s="5" t="s">
        <v>56</v>
      </c>
      <c r="G2081" s="5" t="s">
        <v>16</v>
      </c>
      <c r="H2081">
        <v>43</v>
      </c>
      <c r="I2081" s="4">
        <v>1123203</v>
      </c>
      <c r="J2081" s="4">
        <v>451500</v>
      </c>
    </row>
    <row r="2082" spans="2:10" x14ac:dyDescent="0.3">
      <c r="B2082" s="7">
        <v>44652</v>
      </c>
      <c r="C2082" s="3">
        <f t="shared" si="64"/>
        <v>2022</v>
      </c>
      <c r="D2082" s="3">
        <f t="shared" si="65"/>
        <v>202204</v>
      </c>
      <c r="E2082" s="5" t="s">
        <v>4</v>
      </c>
      <c r="F2082" s="5" t="s">
        <v>56</v>
      </c>
      <c r="G2082" s="5" t="s">
        <v>16</v>
      </c>
      <c r="H2082">
        <v>81</v>
      </c>
      <c r="I2082" s="4">
        <v>2147553</v>
      </c>
      <c r="J2082" s="4">
        <v>850500</v>
      </c>
    </row>
    <row r="2083" spans="2:10" x14ac:dyDescent="0.3">
      <c r="B2083" s="7">
        <v>44682</v>
      </c>
      <c r="C2083" s="3">
        <f t="shared" si="64"/>
        <v>2022</v>
      </c>
      <c r="D2083" s="3">
        <f t="shared" si="65"/>
        <v>202205</v>
      </c>
      <c r="E2083" s="5" t="s">
        <v>4</v>
      </c>
      <c r="F2083" s="5" t="s">
        <v>56</v>
      </c>
      <c r="G2083" s="5" t="s">
        <v>16</v>
      </c>
      <c r="H2083">
        <v>102</v>
      </c>
      <c r="I2083" s="4">
        <v>2760732</v>
      </c>
      <c r="J2083" s="4">
        <v>1071000</v>
      </c>
    </row>
    <row r="2084" spans="2:10" x14ac:dyDescent="0.3">
      <c r="B2084" s="7">
        <v>44713</v>
      </c>
      <c r="C2084" s="3">
        <f t="shared" si="64"/>
        <v>2022</v>
      </c>
      <c r="D2084" s="3">
        <f t="shared" si="65"/>
        <v>202206</v>
      </c>
      <c r="E2084" s="5" t="s">
        <v>4</v>
      </c>
      <c r="F2084" s="5" t="s">
        <v>56</v>
      </c>
      <c r="G2084" s="5" t="s">
        <v>16</v>
      </c>
      <c r="H2084">
        <v>97</v>
      </c>
      <c r="I2084" s="4">
        <v>2615411</v>
      </c>
      <c r="J2084" s="4">
        <v>1018500</v>
      </c>
    </row>
    <row r="2085" spans="2:10" x14ac:dyDescent="0.3">
      <c r="B2085" s="7">
        <v>44743</v>
      </c>
      <c r="C2085" s="3">
        <f t="shared" si="64"/>
        <v>2022</v>
      </c>
      <c r="D2085" s="3">
        <f t="shared" si="65"/>
        <v>202207</v>
      </c>
      <c r="E2085" s="5" t="s">
        <v>4</v>
      </c>
      <c r="F2085" s="5" t="s">
        <v>56</v>
      </c>
      <c r="G2085" s="5" t="s">
        <v>16</v>
      </c>
      <c r="H2085">
        <v>102</v>
      </c>
      <c r="I2085" s="4">
        <v>2582436</v>
      </c>
      <c r="J2085" s="4">
        <v>1071000</v>
      </c>
    </row>
    <row r="2086" spans="2:10" x14ac:dyDescent="0.3">
      <c r="B2086" s="7">
        <v>44774</v>
      </c>
      <c r="C2086" s="3">
        <f t="shared" si="64"/>
        <v>2022</v>
      </c>
      <c r="D2086" s="3">
        <f t="shared" si="65"/>
        <v>202208</v>
      </c>
      <c r="E2086" s="5" t="s">
        <v>4</v>
      </c>
      <c r="F2086" s="5" t="s">
        <v>56</v>
      </c>
      <c r="G2086" s="5" t="s">
        <v>16</v>
      </c>
      <c r="H2086">
        <v>86</v>
      </c>
      <c r="I2086" s="4">
        <v>2205642</v>
      </c>
      <c r="J2086" s="4">
        <v>903000</v>
      </c>
    </row>
    <row r="2087" spans="2:10" x14ac:dyDescent="0.3">
      <c r="B2087" s="7">
        <v>44805</v>
      </c>
      <c r="C2087" s="3">
        <f t="shared" si="64"/>
        <v>2022</v>
      </c>
      <c r="D2087" s="3">
        <f t="shared" si="65"/>
        <v>202209</v>
      </c>
      <c r="E2087" s="5" t="s">
        <v>4</v>
      </c>
      <c r="F2087" s="5" t="s">
        <v>56</v>
      </c>
      <c r="G2087" s="5" t="s">
        <v>16</v>
      </c>
      <c r="H2087">
        <v>91</v>
      </c>
      <c r="I2087" s="4">
        <v>2405312</v>
      </c>
      <c r="J2087" s="4">
        <v>955500</v>
      </c>
    </row>
    <row r="2088" spans="2:10" x14ac:dyDescent="0.3">
      <c r="B2088" s="7">
        <v>44835</v>
      </c>
      <c r="C2088" s="3">
        <f t="shared" si="64"/>
        <v>2022</v>
      </c>
      <c r="D2088" s="3">
        <f t="shared" si="65"/>
        <v>202210</v>
      </c>
      <c r="E2088" s="5" t="s">
        <v>4</v>
      </c>
      <c r="F2088" s="5" t="s">
        <v>56</v>
      </c>
      <c r="G2088" s="5" t="s">
        <v>16</v>
      </c>
      <c r="H2088">
        <v>75</v>
      </c>
      <c r="I2088" s="4">
        <v>2019450</v>
      </c>
      <c r="J2088" s="4">
        <v>787500</v>
      </c>
    </row>
    <row r="2089" spans="2:10" x14ac:dyDescent="0.3">
      <c r="B2089" s="7">
        <v>44866</v>
      </c>
      <c r="C2089" s="3">
        <f t="shared" si="64"/>
        <v>2022</v>
      </c>
      <c r="D2089" s="3">
        <f t="shared" si="65"/>
        <v>202211</v>
      </c>
      <c r="E2089" s="5" t="s">
        <v>4</v>
      </c>
      <c r="F2089" s="5" t="s">
        <v>56</v>
      </c>
      <c r="G2089" s="5" t="s">
        <v>16</v>
      </c>
      <c r="H2089">
        <v>54</v>
      </c>
      <c r="I2089" s="4">
        <v>1396602</v>
      </c>
      <c r="J2089" s="4">
        <v>567000</v>
      </c>
    </row>
    <row r="2090" spans="2:10" x14ac:dyDescent="0.3">
      <c r="B2090" s="7">
        <v>44896</v>
      </c>
      <c r="C2090" s="3">
        <f t="shared" si="64"/>
        <v>2022</v>
      </c>
      <c r="D2090" s="3">
        <f t="shared" si="65"/>
        <v>202212</v>
      </c>
      <c r="E2090" s="5" t="s">
        <v>4</v>
      </c>
      <c r="F2090" s="5" t="s">
        <v>56</v>
      </c>
      <c r="G2090" s="5" t="s">
        <v>16</v>
      </c>
      <c r="H2090">
        <v>65</v>
      </c>
      <c r="I2090" s="4">
        <v>1707355</v>
      </c>
      <c r="J2090" s="4">
        <v>682500</v>
      </c>
    </row>
    <row r="2091" spans="2:10" x14ac:dyDescent="0.3">
      <c r="B2091" s="7">
        <v>44197</v>
      </c>
      <c r="C2091" s="3">
        <f t="shared" si="64"/>
        <v>2021</v>
      </c>
      <c r="D2091" s="3">
        <f t="shared" si="65"/>
        <v>202101</v>
      </c>
      <c r="E2091" s="5" t="s">
        <v>4</v>
      </c>
      <c r="F2091" s="5" t="s">
        <v>56</v>
      </c>
      <c r="G2091" s="5" t="s">
        <v>17</v>
      </c>
      <c r="H2091">
        <v>85</v>
      </c>
      <c r="I2091" s="4">
        <v>1591370</v>
      </c>
      <c r="J2091" s="4">
        <v>635800</v>
      </c>
    </row>
    <row r="2092" spans="2:10" x14ac:dyDescent="0.3">
      <c r="B2092" s="7">
        <v>44228</v>
      </c>
      <c r="C2092" s="3">
        <f t="shared" si="64"/>
        <v>2021</v>
      </c>
      <c r="D2092" s="3">
        <f t="shared" si="65"/>
        <v>202102</v>
      </c>
      <c r="E2092" s="5" t="s">
        <v>4</v>
      </c>
      <c r="F2092" s="5" t="s">
        <v>56</v>
      </c>
      <c r="G2092" s="5" t="s">
        <v>17</v>
      </c>
      <c r="H2092">
        <v>53</v>
      </c>
      <c r="I2092" s="4">
        <v>982355</v>
      </c>
      <c r="J2092" s="4">
        <v>396440</v>
      </c>
    </row>
    <row r="2093" spans="2:10" x14ac:dyDescent="0.3">
      <c r="B2093" s="7">
        <v>44256</v>
      </c>
      <c r="C2093" s="3">
        <f t="shared" si="64"/>
        <v>2021</v>
      </c>
      <c r="D2093" s="3">
        <f t="shared" si="65"/>
        <v>202103</v>
      </c>
      <c r="E2093" s="5" t="s">
        <v>4</v>
      </c>
      <c r="F2093" s="5" t="s">
        <v>56</v>
      </c>
      <c r="G2093" s="5" t="s">
        <v>17</v>
      </c>
      <c r="H2093">
        <v>43</v>
      </c>
      <c r="I2093" s="4">
        <v>765314</v>
      </c>
      <c r="J2093" s="4">
        <v>321640</v>
      </c>
    </row>
    <row r="2094" spans="2:10" x14ac:dyDescent="0.3">
      <c r="B2094" s="7">
        <v>44287</v>
      </c>
      <c r="C2094" s="3">
        <f t="shared" si="64"/>
        <v>2021</v>
      </c>
      <c r="D2094" s="3">
        <f t="shared" si="65"/>
        <v>202104</v>
      </c>
      <c r="E2094" s="5" t="s">
        <v>4</v>
      </c>
      <c r="F2094" s="5" t="s">
        <v>56</v>
      </c>
      <c r="G2094" s="5" t="s">
        <v>17</v>
      </c>
      <c r="H2094">
        <v>79</v>
      </c>
      <c r="I2094" s="4">
        <v>1499499</v>
      </c>
      <c r="J2094" s="4">
        <v>590920</v>
      </c>
    </row>
    <row r="2095" spans="2:10" x14ac:dyDescent="0.3">
      <c r="B2095" s="7">
        <v>44317</v>
      </c>
      <c r="C2095" s="3">
        <f t="shared" si="64"/>
        <v>2021</v>
      </c>
      <c r="D2095" s="3">
        <f t="shared" si="65"/>
        <v>202105</v>
      </c>
      <c r="E2095" s="5" t="s">
        <v>4</v>
      </c>
      <c r="F2095" s="5" t="s">
        <v>56</v>
      </c>
      <c r="G2095" s="5" t="s">
        <v>17</v>
      </c>
      <c r="H2095">
        <v>101</v>
      </c>
      <c r="I2095" s="4">
        <v>1870015</v>
      </c>
      <c r="J2095" s="4">
        <v>755480</v>
      </c>
    </row>
    <row r="2096" spans="2:10" x14ac:dyDescent="0.3">
      <c r="B2096" s="7">
        <v>44348</v>
      </c>
      <c r="C2096" s="3">
        <f t="shared" si="64"/>
        <v>2021</v>
      </c>
      <c r="D2096" s="3">
        <f t="shared" si="65"/>
        <v>202106</v>
      </c>
      <c r="E2096" s="5" t="s">
        <v>4</v>
      </c>
      <c r="F2096" s="5" t="s">
        <v>56</v>
      </c>
      <c r="G2096" s="5" t="s">
        <v>17</v>
      </c>
      <c r="H2096">
        <v>95</v>
      </c>
      <c r="I2096" s="4">
        <v>1789990</v>
      </c>
      <c r="J2096" s="4">
        <v>710600</v>
      </c>
    </row>
    <row r="2097" spans="2:10" x14ac:dyDescent="0.3">
      <c r="B2097" s="7">
        <v>44378</v>
      </c>
      <c r="C2097" s="3">
        <f t="shared" si="64"/>
        <v>2021</v>
      </c>
      <c r="D2097" s="3">
        <f t="shared" si="65"/>
        <v>202107</v>
      </c>
      <c r="E2097" s="5" t="s">
        <v>4</v>
      </c>
      <c r="F2097" s="5" t="s">
        <v>56</v>
      </c>
      <c r="G2097" s="5" t="s">
        <v>17</v>
      </c>
      <c r="H2097">
        <v>101</v>
      </c>
      <c r="I2097" s="4">
        <v>1710435</v>
      </c>
      <c r="J2097" s="4">
        <v>755480</v>
      </c>
    </row>
    <row r="2098" spans="2:10" x14ac:dyDescent="0.3">
      <c r="B2098" s="7">
        <v>44409</v>
      </c>
      <c r="C2098" s="3">
        <f t="shared" si="64"/>
        <v>2021</v>
      </c>
      <c r="D2098" s="3">
        <f t="shared" si="65"/>
        <v>202108</v>
      </c>
      <c r="E2098" s="5" t="s">
        <v>4</v>
      </c>
      <c r="F2098" s="5" t="s">
        <v>56</v>
      </c>
      <c r="G2098" s="5" t="s">
        <v>17</v>
      </c>
      <c r="H2098">
        <v>85</v>
      </c>
      <c r="I2098" s="4">
        <v>1543345</v>
      </c>
      <c r="J2098" s="4">
        <v>635800</v>
      </c>
    </row>
    <row r="2099" spans="2:10" x14ac:dyDescent="0.3">
      <c r="B2099" s="7">
        <v>44440</v>
      </c>
      <c r="C2099" s="3">
        <f t="shared" si="64"/>
        <v>2021</v>
      </c>
      <c r="D2099" s="3">
        <f t="shared" si="65"/>
        <v>202109</v>
      </c>
      <c r="E2099" s="5" t="s">
        <v>4</v>
      </c>
      <c r="F2099" s="5" t="s">
        <v>56</v>
      </c>
      <c r="G2099" s="5" t="s">
        <v>17</v>
      </c>
      <c r="H2099">
        <v>90</v>
      </c>
      <c r="I2099" s="4">
        <v>1598400</v>
      </c>
      <c r="J2099" s="4">
        <v>673200</v>
      </c>
    </row>
    <row r="2100" spans="2:10" x14ac:dyDescent="0.3">
      <c r="B2100" s="7">
        <v>44470</v>
      </c>
      <c r="C2100" s="3">
        <f t="shared" si="64"/>
        <v>2021</v>
      </c>
      <c r="D2100" s="3">
        <f t="shared" si="65"/>
        <v>202110</v>
      </c>
      <c r="E2100" s="5" t="s">
        <v>4</v>
      </c>
      <c r="F2100" s="5" t="s">
        <v>56</v>
      </c>
      <c r="G2100" s="5" t="s">
        <v>17</v>
      </c>
      <c r="H2100">
        <v>74</v>
      </c>
      <c r="I2100" s="4">
        <v>1373884</v>
      </c>
      <c r="J2100" s="4">
        <v>553520</v>
      </c>
    </row>
    <row r="2101" spans="2:10" x14ac:dyDescent="0.3">
      <c r="B2101" s="7">
        <v>44501</v>
      </c>
      <c r="C2101" s="3">
        <f t="shared" si="64"/>
        <v>2021</v>
      </c>
      <c r="D2101" s="3">
        <f t="shared" si="65"/>
        <v>202111</v>
      </c>
      <c r="E2101" s="5" t="s">
        <v>4</v>
      </c>
      <c r="F2101" s="5" t="s">
        <v>56</v>
      </c>
      <c r="G2101" s="5" t="s">
        <v>17</v>
      </c>
      <c r="H2101">
        <v>53</v>
      </c>
      <c r="I2101" s="4">
        <v>1000958</v>
      </c>
      <c r="J2101" s="4">
        <v>396440</v>
      </c>
    </row>
    <row r="2102" spans="2:10" x14ac:dyDescent="0.3">
      <c r="B2102" s="7">
        <v>44531</v>
      </c>
      <c r="C2102" s="3">
        <f t="shared" si="64"/>
        <v>2021</v>
      </c>
      <c r="D2102" s="3">
        <f t="shared" si="65"/>
        <v>202112</v>
      </c>
      <c r="E2102" s="5" t="s">
        <v>4</v>
      </c>
      <c r="F2102" s="5" t="s">
        <v>56</v>
      </c>
      <c r="G2102" s="5" t="s">
        <v>17</v>
      </c>
      <c r="H2102">
        <v>64</v>
      </c>
      <c r="I2102" s="4">
        <v>1147904</v>
      </c>
      <c r="J2102" s="4">
        <v>478720</v>
      </c>
    </row>
    <row r="2103" spans="2:10" x14ac:dyDescent="0.3">
      <c r="B2103" s="7">
        <v>44562</v>
      </c>
      <c r="C2103" s="3">
        <f t="shared" si="64"/>
        <v>2022</v>
      </c>
      <c r="D2103" s="3">
        <f t="shared" si="65"/>
        <v>202201</v>
      </c>
      <c r="E2103" s="5" t="s">
        <v>4</v>
      </c>
      <c r="F2103" s="5" t="s">
        <v>56</v>
      </c>
      <c r="G2103" s="5" t="s">
        <v>17</v>
      </c>
      <c r="H2103">
        <v>93</v>
      </c>
      <c r="I2103" s="4">
        <v>1714362</v>
      </c>
      <c r="J2103" s="4">
        <v>695640</v>
      </c>
    </row>
    <row r="2104" spans="2:10" x14ac:dyDescent="0.3">
      <c r="B2104" s="7">
        <v>44593</v>
      </c>
      <c r="C2104" s="3">
        <f t="shared" si="64"/>
        <v>2022</v>
      </c>
      <c r="D2104" s="3">
        <f t="shared" si="65"/>
        <v>202202</v>
      </c>
      <c r="E2104" s="5" t="s">
        <v>4</v>
      </c>
      <c r="F2104" s="5" t="s">
        <v>56</v>
      </c>
      <c r="G2104" s="5" t="s">
        <v>17</v>
      </c>
      <c r="H2104">
        <v>58</v>
      </c>
      <c r="I2104" s="4">
        <v>1035126</v>
      </c>
      <c r="J2104" s="4">
        <v>433840</v>
      </c>
    </row>
    <row r="2105" spans="2:10" x14ac:dyDescent="0.3">
      <c r="B2105" s="7">
        <v>44621</v>
      </c>
      <c r="C2105" s="3">
        <f t="shared" si="64"/>
        <v>2022</v>
      </c>
      <c r="D2105" s="3">
        <f t="shared" si="65"/>
        <v>202203</v>
      </c>
      <c r="E2105" s="5" t="s">
        <v>4</v>
      </c>
      <c r="F2105" s="5" t="s">
        <v>56</v>
      </c>
      <c r="G2105" s="5" t="s">
        <v>17</v>
      </c>
      <c r="H2105">
        <v>47</v>
      </c>
      <c r="I2105" s="4">
        <v>809575</v>
      </c>
      <c r="J2105" s="4">
        <v>351560</v>
      </c>
    </row>
    <row r="2106" spans="2:10" x14ac:dyDescent="0.3">
      <c r="B2106" s="7">
        <v>44652</v>
      </c>
      <c r="C2106" s="3">
        <f t="shared" si="64"/>
        <v>2022</v>
      </c>
      <c r="D2106" s="3">
        <f t="shared" si="65"/>
        <v>202204</v>
      </c>
      <c r="E2106" s="5" t="s">
        <v>4</v>
      </c>
      <c r="F2106" s="5" t="s">
        <v>56</v>
      </c>
      <c r="G2106" s="5" t="s">
        <v>17</v>
      </c>
      <c r="H2106">
        <v>87</v>
      </c>
      <c r="I2106" s="4">
        <v>1597233</v>
      </c>
      <c r="J2106" s="4">
        <v>650760</v>
      </c>
    </row>
    <row r="2107" spans="2:10" x14ac:dyDescent="0.3">
      <c r="B2107" s="7">
        <v>44682</v>
      </c>
      <c r="C2107" s="3">
        <f t="shared" si="64"/>
        <v>2022</v>
      </c>
      <c r="D2107" s="3">
        <f t="shared" si="65"/>
        <v>202205</v>
      </c>
      <c r="E2107" s="5" t="s">
        <v>4</v>
      </c>
      <c r="F2107" s="5" t="s">
        <v>56</v>
      </c>
      <c r="G2107" s="5" t="s">
        <v>17</v>
      </c>
      <c r="H2107">
        <v>111</v>
      </c>
      <c r="I2107" s="4">
        <v>2094015</v>
      </c>
      <c r="J2107" s="4">
        <v>830280</v>
      </c>
    </row>
    <row r="2108" spans="2:10" x14ac:dyDescent="0.3">
      <c r="B2108" s="7">
        <v>44713</v>
      </c>
      <c r="C2108" s="3">
        <f t="shared" si="64"/>
        <v>2022</v>
      </c>
      <c r="D2108" s="3">
        <f t="shared" si="65"/>
        <v>202206</v>
      </c>
      <c r="E2108" s="5" t="s">
        <v>4</v>
      </c>
      <c r="F2108" s="5" t="s">
        <v>56</v>
      </c>
      <c r="G2108" s="5" t="s">
        <v>17</v>
      </c>
      <c r="H2108">
        <v>105</v>
      </c>
      <c r="I2108" s="4">
        <v>1925280</v>
      </c>
      <c r="J2108" s="4">
        <v>785400</v>
      </c>
    </row>
    <row r="2109" spans="2:10" x14ac:dyDescent="0.3">
      <c r="B2109" s="7">
        <v>44743</v>
      </c>
      <c r="C2109" s="3">
        <f t="shared" si="64"/>
        <v>2022</v>
      </c>
      <c r="D2109" s="3">
        <f t="shared" si="65"/>
        <v>202207</v>
      </c>
      <c r="E2109" s="5" t="s">
        <v>4</v>
      </c>
      <c r="F2109" s="5" t="s">
        <v>56</v>
      </c>
      <c r="G2109" s="5" t="s">
        <v>17</v>
      </c>
      <c r="H2109">
        <v>111</v>
      </c>
      <c r="I2109" s="4">
        <v>1866576</v>
      </c>
      <c r="J2109" s="4">
        <v>830280</v>
      </c>
    </row>
    <row r="2110" spans="2:10" x14ac:dyDescent="0.3">
      <c r="B2110" s="7">
        <v>44774</v>
      </c>
      <c r="C2110" s="3">
        <f t="shared" si="64"/>
        <v>2022</v>
      </c>
      <c r="D2110" s="3">
        <f t="shared" si="65"/>
        <v>202208</v>
      </c>
      <c r="E2110" s="5" t="s">
        <v>4</v>
      </c>
      <c r="F2110" s="5" t="s">
        <v>56</v>
      </c>
      <c r="G2110" s="5" t="s">
        <v>17</v>
      </c>
      <c r="H2110">
        <v>93</v>
      </c>
      <c r="I2110" s="4">
        <v>1606854</v>
      </c>
      <c r="J2110" s="4">
        <v>695640</v>
      </c>
    </row>
    <row r="2111" spans="2:10" x14ac:dyDescent="0.3">
      <c r="B2111" s="7">
        <v>44805</v>
      </c>
      <c r="C2111" s="3">
        <f t="shared" si="64"/>
        <v>2022</v>
      </c>
      <c r="D2111" s="3">
        <f t="shared" si="65"/>
        <v>202209</v>
      </c>
      <c r="E2111" s="5" t="s">
        <v>4</v>
      </c>
      <c r="F2111" s="5" t="s">
        <v>56</v>
      </c>
      <c r="G2111" s="5" t="s">
        <v>17</v>
      </c>
      <c r="H2111">
        <v>99</v>
      </c>
      <c r="I2111" s="4">
        <v>1828530</v>
      </c>
      <c r="J2111" s="4">
        <v>740520</v>
      </c>
    </row>
    <row r="2112" spans="2:10" x14ac:dyDescent="0.3">
      <c r="B2112" s="7">
        <v>44835</v>
      </c>
      <c r="C2112" s="3">
        <f t="shared" si="64"/>
        <v>2022</v>
      </c>
      <c r="D2112" s="3">
        <f t="shared" si="65"/>
        <v>202210</v>
      </c>
      <c r="E2112" s="5" t="s">
        <v>4</v>
      </c>
      <c r="F2112" s="5" t="s">
        <v>56</v>
      </c>
      <c r="G2112" s="5" t="s">
        <v>17</v>
      </c>
      <c r="H2112">
        <v>82</v>
      </c>
      <c r="I2112" s="4">
        <v>1497484</v>
      </c>
      <c r="J2112" s="4">
        <v>613360</v>
      </c>
    </row>
    <row r="2113" spans="2:10" x14ac:dyDescent="0.3">
      <c r="B2113" s="7">
        <v>44866</v>
      </c>
      <c r="C2113" s="3">
        <f t="shared" si="64"/>
        <v>2022</v>
      </c>
      <c r="D2113" s="3">
        <f t="shared" si="65"/>
        <v>202211</v>
      </c>
      <c r="E2113" s="5" t="s">
        <v>4</v>
      </c>
      <c r="F2113" s="5" t="s">
        <v>56</v>
      </c>
      <c r="G2113" s="5" t="s">
        <v>17</v>
      </c>
      <c r="H2113">
        <v>58</v>
      </c>
      <c r="I2113" s="4">
        <v>1093938</v>
      </c>
      <c r="J2113" s="4">
        <v>433840</v>
      </c>
    </row>
    <row r="2114" spans="2:10" x14ac:dyDescent="0.3">
      <c r="B2114" s="7">
        <v>44896</v>
      </c>
      <c r="C2114" s="3">
        <f t="shared" si="64"/>
        <v>2022</v>
      </c>
      <c r="D2114" s="3">
        <f t="shared" si="65"/>
        <v>202212</v>
      </c>
      <c r="E2114" s="5" t="s">
        <v>4</v>
      </c>
      <c r="F2114" s="5" t="s">
        <v>56</v>
      </c>
      <c r="G2114" s="5" t="s">
        <v>17</v>
      </c>
      <c r="H2114">
        <v>70</v>
      </c>
      <c r="I2114" s="4">
        <v>1220450</v>
      </c>
      <c r="J2114" s="4">
        <v>523600</v>
      </c>
    </row>
    <row r="2115" spans="2:10" x14ac:dyDescent="0.3">
      <c r="B2115" s="7">
        <v>44197</v>
      </c>
      <c r="C2115" s="3">
        <f t="shared" ref="C2115:C2178" si="66">YEAR(B2115)</f>
        <v>2021</v>
      </c>
      <c r="D2115" s="3">
        <f t="shared" ref="D2115:D2178" si="67">VALUE(TEXT(B2115,"ГГГГММ"))</f>
        <v>202101</v>
      </c>
      <c r="E2115" s="5" t="s">
        <v>4</v>
      </c>
      <c r="F2115" s="5" t="s">
        <v>56</v>
      </c>
      <c r="G2115" s="5" t="s">
        <v>18</v>
      </c>
      <c r="H2115">
        <v>66</v>
      </c>
      <c r="I2115" s="4">
        <v>2064876</v>
      </c>
      <c r="J2115" s="4">
        <v>1108800</v>
      </c>
    </row>
    <row r="2116" spans="2:10" x14ac:dyDescent="0.3">
      <c r="B2116" s="7">
        <v>44228</v>
      </c>
      <c r="C2116" s="3">
        <f t="shared" si="66"/>
        <v>2021</v>
      </c>
      <c r="D2116" s="3">
        <f t="shared" si="67"/>
        <v>202102</v>
      </c>
      <c r="E2116" s="5" t="s">
        <v>4</v>
      </c>
      <c r="F2116" s="5" t="s">
        <v>56</v>
      </c>
      <c r="G2116" s="5" t="s">
        <v>18</v>
      </c>
      <c r="H2116">
        <v>41</v>
      </c>
      <c r="I2116" s="4">
        <v>1311221</v>
      </c>
      <c r="J2116" s="4">
        <v>688800</v>
      </c>
    </row>
    <row r="2117" spans="2:10" x14ac:dyDescent="0.3">
      <c r="B2117" s="7">
        <v>44256</v>
      </c>
      <c r="C2117" s="3">
        <f t="shared" si="66"/>
        <v>2021</v>
      </c>
      <c r="D2117" s="3">
        <f t="shared" si="67"/>
        <v>202103</v>
      </c>
      <c r="E2117" s="5" t="s">
        <v>4</v>
      </c>
      <c r="F2117" s="5" t="s">
        <v>56</v>
      </c>
      <c r="G2117" s="5" t="s">
        <v>18</v>
      </c>
      <c r="H2117">
        <v>33</v>
      </c>
      <c r="I2117" s="4">
        <v>1012374</v>
      </c>
      <c r="J2117" s="4">
        <v>554400</v>
      </c>
    </row>
    <row r="2118" spans="2:10" x14ac:dyDescent="0.3">
      <c r="B2118" s="7">
        <v>44287</v>
      </c>
      <c r="C2118" s="3">
        <f t="shared" si="66"/>
        <v>2021</v>
      </c>
      <c r="D2118" s="3">
        <f t="shared" si="67"/>
        <v>202104</v>
      </c>
      <c r="E2118" s="5" t="s">
        <v>4</v>
      </c>
      <c r="F2118" s="5" t="s">
        <v>56</v>
      </c>
      <c r="G2118" s="5" t="s">
        <v>18</v>
      </c>
      <c r="H2118">
        <v>62</v>
      </c>
      <c r="I2118" s="4">
        <v>1969492</v>
      </c>
      <c r="J2118" s="4">
        <v>1041600</v>
      </c>
    </row>
    <row r="2119" spans="2:10" x14ac:dyDescent="0.3">
      <c r="B2119" s="7">
        <v>44317</v>
      </c>
      <c r="C2119" s="3">
        <f t="shared" si="66"/>
        <v>2021</v>
      </c>
      <c r="D2119" s="3">
        <f t="shared" si="67"/>
        <v>202105</v>
      </c>
      <c r="E2119" s="5" t="s">
        <v>4</v>
      </c>
      <c r="F2119" s="5" t="s">
        <v>56</v>
      </c>
      <c r="G2119" s="5" t="s">
        <v>18</v>
      </c>
      <c r="H2119">
        <v>78</v>
      </c>
      <c r="I2119" s="4">
        <v>2495142</v>
      </c>
      <c r="J2119" s="4">
        <v>1310400</v>
      </c>
    </row>
    <row r="2120" spans="2:10" x14ac:dyDescent="0.3">
      <c r="B2120" s="7">
        <v>44348</v>
      </c>
      <c r="C2120" s="3">
        <f t="shared" si="66"/>
        <v>2021</v>
      </c>
      <c r="D2120" s="3">
        <f t="shared" si="67"/>
        <v>202106</v>
      </c>
      <c r="E2120" s="5" t="s">
        <v>4</v>
      </c>
      <c r="F2120" s="5" t="s">
        <v>56</v>
      </c>
      <c r="G2120" s="5" t="s">
        <v>18</v>
      </c>
      <c r="H2120">
        <v>74</v>
      </c>
      <c r="I2120" s="4">
        <v>2343432</v>
      </c>
      <c r="J2120" s="4">
        <v>1243200</v>
      </c>
    </row>
    <row r="2121" spans="2:10" x14ac:dyDescent="0.3">
      <c r="B2121" s="7">
        <v>44378</v>
      </c>
      <c r="C2121" s="3">
        <f t="shared" si="66"/>
        <v>2021</v>
      </c>
      <c r="D2121" s="3">
        <f t="shared" si="67"/>
        <v>202107</v>
      </c>
      <c r="E2121" s="5" t="s">
        <v>4</v>
      </c>
      <c r="F2121" s="5" t="s">
        <v>56</v>
      </c>
      <c r="G2121" s="5" t="s">
        <v>18</v>
      </c>
      <c r="H2121">
        <v>78</v>
      </c>
      <c r="I2121" s="4">
        <v>2309658</v>
      </c>
      <c r="J2121" s="4">
        <v>1310400</v>
      </c>
    </row>
    <row r="2122" spans="2:10" x14ac:dyDescent="0.3">
      <c r="B2122" s="7">
        <v>44409</v>
      </c>
      <c r="C2122" s="3">
        <f t="shared" si="66"/>
        <v>2021</v>
      </c>
      <c r="D2122" s="3">
        <f t="shared" si="67"/>
        <v>202108</v>
      </c>
      <c r="E2122" s="5" t="s">
        <v>4</v>
      </c>
      <c r="F2122" s="5" t="s">
        <v>56</v>
      </c>
      <c r="G2122" s="5" t="s">
        <v>18</v>
      </c>
      <c r="H2122">
        <v>66</v>
      </c>
      <c r="I2122" s="4">
        <v>2008314</v>
      </c>
      <c r="J2122" s="4">
        <v>1108800</v>
      </c>
    </row>
    <row r="2123" spans="2:10" x14ac:dyDescent="0.3">
      <c r="B2123" s="7">
        <v>44440</v>
      </c>
      <c r="C2123" s="3">
        <f t="shared" si="66"/>
        <v>2021</v>
      </c>
      <c r="D2123" s="3">
        <f t="shared" si="67"/>
        <v>202109</v>
      </c>
      <c r="E2123" s="5" t="s">
        <v>4</v>
      </c>
      <c r="F2123" s="5" t="s">
        <v>56</v>
      </c>
      <c r="G2123" s="5" t="s">
        <v>18</v>
      </c>
      <c r="H2123">
        <v>70</v>
      </c>
      <c r="I2123" s="4">
        <v>2132620</v>
      </c>
      <c r="J2123" s="4">
        <v>1176000</v>
      </c>
    </row>
    <row r="2124" spans="2:10" x14ac:dyDescent="0.3">
      <c r="B2124" s="7">
        <v>44470</v>
      </c>
      <c r="C2124" s="3">
        <f t="shared" si="66"/>
        <v>2021</v>
      </c>
      <c r="D2124" s="3">
        <f t="shared" si="67"/>
        <v>202110</v>
      </c>
      <c r="E2124" s="5" t="s">
        <v>4</v>
      </c>
      <c r="F2124" s="5" t="s">
        <v>56</v>
      </c>
      <c r="G2124" s="5" t="s">
        <v>18</v>
      </c>
      <c r="H2124">
        <v>58</v>
      </c>
      <c r="I2124" s="4">
        <v>1805134</v>
      </c>
      <c r="J2124" s="4">
        <v>974400</v>
      </c>
    </row>
    <row r="2125" spans="2:10" x14ac:dyDescent="0.3">
      <c r="B2125" s="7">
        <v>44501</v>
      </c>
      <c r="C2125" s="3">
        <f t="shared" si="66"/>
        <v>2021</v>
      </c>
      <c r="D2125" s="3">
        <f t="shared" si="67"/>
        <v>202111</v>
      </c>
      <c r="E2125" s="5" t="s">
        <v>4</v>
      </c>
      <c r="F2125" s="5" t="s">
        <v>56</v>
      </c>
      <c r="G2125" s="5" t="s">
        <v>18</v>
      </c>
      <c r="H2125">
        <v>41</v>
      </c>
      <c r="I2125" s="4">
        <v>1267228</v>
      </c>
      <c r="J2125" s="4">
        <v>688800</v>
      </c>
    </row>
    <row r="2126" spans="2:10" x14ac:dyDescent="0.3">
      <c r="B2126" s="7">
        <v>44531</v>
      </c>
      <c r="C2126" s="3">
        <f t="shared" si="66"/>
        <v>2021</v>
      </c>
      <c r="D2126" s="3">
        <f t="shared" si="67"/>
        <v>202112</v>
      </c>
      <c r="E2126" s="5" t="s">
        <v>4</v>
      </c>
      <c r="F2126" s="5" t="s">
        <v>56</v>
      </c>
      <c r="G2126" s="5" t="s">
        <v>18</v>
      </c>
      <c r="H2126">
        <v>50</v>
      </c>
      <c r="I2126" s="4">
        <v>1532950</v>
      </c>
      <c r="J2126" s="4">
        <v>840000</v>
      </c>
    </row>
    <row r="2127" spans="2:10" x14ac:dyDescent="0.3">
      <c r="B2127" s="7">
        <v>44562</v>
      </c>
      <c r="C2127" s="3">
        <f t="shared" si="66"/>
        <v>2022</v>
      </c>
      <c r="D2127" s="3">
        <f t="shared" si="67"/>
        <v>202201</v>
      </c>
      <c r="E2127" s="5" t="s">
        <v>4</v>
      </c>
      <c r="F2127" s="5" t="s">
        <v>56</v>
      </c>
      <c r="G2127" s="5" t="s">
        <v>18</v>
      </c>
      <c r="H2127">
        <v>73</v>
      </c>
      <c r="I2127" s="4">
        <v>2308552</v>
      </c>
      <c r="J2127" s="4">
        <v>1226400</v>
      </c>
    </row>
    <row r="2128" spans="2:10" x14ac:dyDescent="0.3">
      <c r="B2128" s="7">
        <v>44593</v>
      </c>
      <c r="C2128" s="3">
        <f t="shared" si="66"/>
        <v>2022</v>
      </c>
      <c r="D2128" s="3">
        <f t="shared" si="67"/>
        <v>202202</v>
      </c>
      <c r="E2128" s="5" t="s">
        <v>4</v>
      </c>
      <c r="F2128" s="5" t="s">
        <v>56</v>
      </c>
      <c r="G2128" s="5" t="s">
        <v>18</v>
      </c>
      <c r="H2128">
        <v>46</v>
      </c>
      <c r="I2128" s="4">
        <v>1460914</v>
      </c>
      <c r="J2128" s="4">
        <v>772800</v>
      </c>
    </row>
    <row r="2129" spans="2:10" x14ac:dyDescent="0.3">
      <c r="B2129" s="7">
        <v>44621</v>
      </c>
      <c r="C2129" s="3">
        <f t="shared" si="66"/>
        <v>2022</v>
      </c>
      <c r="D2129" s="3">
        <f t="shared" si="67"/>
        <v>202203</v>
      </c>
      <c r="E2129" s="5" t="s">
        <v>4</v>
      </c>
      <c r="F2129" s="5" t="s">
        <v>56</v>
      </c>
      <c r="G2129" s="5" t="s">
        <v>18</v>
      </c>
      <c r="H2129">
        <v>37</v>
      </c>
      <c r="I2129" s="4">
        <v>1161134</v>
      </c>
      <c r="J2129" s="4">
        <v>621600</v>
      </c>
    </row>
    <row r="2130" spans="2:10" x14ac:dyDescent="0.3">
      <c r="B2130" s="7">
        <v>44652</v>
      </c>
      <c r="C2130" s="3">
        <f t="shared" si="66"/>
        <v>2022</v>
      </c>
      <c r="D2130" s="3">
        <f t="shared" si="67"/>
        <v>202204</v>
      </c>
      <c r="E2130" s="5" t="s">
        <v>4</v>
      </c>
      <c r="F2130" s="5" t="s">
        <v>56</v>
      </c>
      <c r="G2130" s="5" t="s">
        <v>18</v>
      </c>
      <c r="H2130">
        <v>68</v>
      </c>
      <c r="I2130" s="4">
        <v>2167364</v>
      </c>
      <c r="J2130" s="4">
        <v>1142400</v>
      </c>
    </row>
    <row r="2131" spans="2:10" x14ac:dyDescent="0.3">
      <c r="B2131" s="7">
        <v>44682</v>
      </c>
      <c r="C2131" s="3">
        <f t="shared" si="66"/>
        <v>2022</v>
      </c>
      <c r="D2131" s="3">
        <f t="shared" si="67"/>
        <v>202205</v>
      </c>
      <c r="E2131" s="5" t="s">
        <v>4</v>
      </c>
      <c r="F2131" s="5" t="s">
        <v>56</v>
      </c>
      <c r="G2131" s="5" t="s">
        <v>18</v>
      </c>
      <c r="H2131">
        <v>86</v>
      </c>
      <c r="I2131" s="4">
        <v>2762062</v>
      </c>
      <c r="J2131" s="4">
        <v>1444800</v>
      </c>
    </row>
    <row r="2132" spans="2:10" x14ac:dyDescent="0.3">
      <c r="B2132" s="7">
        <v>44713</v>
      </c>
      <c r="C2132" s="3">
        <f t="shared" si="66"/>
        <v>2022</v>
      </c>
      <c r="D2132" s="3">
        <f t="shared" si="67"/>
        <v>202206</v>
      </c>
      <c r="E2132" s="5" t="s">
        <v>4</v>
      </c>
      <c r="F2132" s="5" t="s">
        <v>56</v>
      </c>
      <c r="G2132" s="5" t="s">
        <v>18</v>
      </c>
      <c r="H2132">
        <v>82</v>
      </c>
      <c r="I2132" s="4">
        <v>2616538</v>
      </c>
      <c r="J2132" s="4">
        <v>1377600</v>
      </c>
    </row>
    <row r="2133" spans="2:10" x14ac:dyDescent="0.3">
      <c r="B2133" s="7">
        <v>44743</v>
      </c>
      <c r="C2133" s="3">
        <f t="shared" si="66"/>
        <v>2022</v>
      </c>
      <c r="D2133" s="3">
        <f t="shared" si="67"/>
        <v>202207</v>
      </c>
      <c r="E2133" s="5" t="s">
        <v>4</v>
      </c>
      <c r="F2133" s="5" t="s">
        <v>56</v>
      </c>
      <c r="G2133" s="5" t="s">
        <v>18</v>
      </c>
      <c r="H2133">
        <v>86</v>
      </c>
      <c r="I2133" s="4">
        <v>2597716</v>
      </c>
      <c r="J2133" s="4">
        <v>1444800</v>
      </c>
    </row>
    <row r="2134" spans="2:10" x14ac:dyDescent="0.3">
      <c r="B2134" s="7">
        <v>44774</v>
      </c>
      <c r="C2134" s="3">
        <f t="shared" si="66"/>
        <v>2022</v>
      </c>
      <c r="D2134" s="3">
        <f t="shared" si="67"/>
        <v>202208</v>
      </c>
      <c r="E2134" s="5" t="s">
        <v>4</v>
      </c>
      <c r="F2134" s="5" t="s">
        <v>56</v>
      </c>
      <c r="G2134" s="5" t="s">
        <v>18</v>
      </c>
      <c r="H2134">
        <v>73</v>
      </c>
      <c r="I2134" s="4">
        <v>2223069</v>
      </c>
      <c r="J2134" s="4">
        <v>1226400</v>
      </c>
    </row>
    <row r="2135" spans="2:10" x14ac:dyDescent="0.3">
      <c r="B2135" s="7">
        <v>44805</v>
      </c>
      <c r="C2135" s="3">
        <f t="shared" si="66"/>
        <v>2022</v>
      </c>
      <c r="D2135" s="3">
        <f t="shared" si="67"/>
        <v>202209</v>
      </c>
      <c r="E2135" s="5" t="s">
        <v>4</v>
      </c>
      <c r="F2135" s="5" t="s">
        <v>56</v>
      </c>
      <c r="G2135" s="5" t="s">
        <v>18</v>
      </c>
      <c r="H2135">
        <v>77</v>
      </c>
      <c r="I2135" s="4">
        <v>2374680</v>
      </c>
      <c r="J2135" s="4">
        <v>1293600</v>
      </c>
    </row>
    <row r="2136" spans="2:10" x14ac:dyDescent="0.3">
      <c r="B2136" s="7">
        <v>44835</v>
      </c>
      <c r="C2136" s="3">
        <f t="shared" si="66"/>
        <v>2022</v>
      </c>
      <c r="D2136" s="3">
        <f t="shared" si="67"/>
        <v>202210</v>
      </c>
      <c r="E2136" s="5" t="s">
        <v>4</v>
      </c>
      <c r="F2136" s="5" t="s">
        <v>56</v>
      </c>
      <c r="G2136" s="5" t="s">
        <v>18</v>
      </c>
      <c r="H2136">
        <v>64</v>
      </c>
      <c r="I2136" s="4">
        <v>2008960</v>
      </c>
      <c r="J2136" s="4">
        <v>1075200</v>
      </c>
    </row>
    <row r="2137" spans="2:10" x14ac:dyDescent="0.3">
      <c r="B2137" s="7">
        <v>44866</v>
      </c>
      <c r="C2137" s="3">
        <f t="shared" si="66"/>
        <v>2022</v>
      </c>
      <c r="D2137" s="3">
        <f t="shared" si="67"/>
        <v>202211</v>
      </c>
      <c r="E2137" s="5" t="s">
        <v>4</v>
      </c>
      <c r="F2137" s="5" t="s">
        <v>56</v>
      </c>
      <c r="G2137" s="5" t="s">
        <v>18</v>
      </c>
      <c r="H2137">
        <v>46</v>
      </c>
      <c r="I2137" s="4">
        <v>1431658</v>
      </c>
      <c r="J2137" s="4">
        <v>772800</v>
      </c>
    </row>
    <row r="2138" spans="2:10" x14ac:dyDescent="0.3">
      <c r="B2138" s="7">
        <v>44896</v>
      </c>
      <c r="C2138" s="3">
        <f t="shared" si="66"/>
        <v>2022</v>
      </c>
      <c r="D2138" s="3">
        <f t="shared" si="67"/>
        <v>202212</v>
      </c>
      <c r="E2138" s="5" t="s">
        <v>4</v>
      </c>
      <c r="F2138" s="5" t="s">
        <v>56</v>
      </c>
      <c r="G2138" s="5" t="s">
        <v>18</v>
      </c>
      <c r="H2138">
        <v>55</v>
      </c>
      <c r="I2138" s="4">
        <v>1714350</v>
      </c>
      <c r="J2138" s="4">
        <v>924000</v>
      </c>
    </row>
    <row r="2139" spans="2:10" x14ac:dyDescent="0.3">
      <c r="B2139" s="7">
        <v>44197</v>
      </c>
      <c r="C2139" s="3">
        <f t="shared" si="66"/>
        <v>2021</v>
      </c>
      <c r="D2139" s="3">
        <f t="shared" si="67"/>
        <v>202101</v>
      </c>
      <c r="E2139" s="5" t="s">
        <v>4</v>
      </c>
      <c r="F2139" s="5" t="s">
        <v>56</v>
      </c>
      <c r="G2139" s="5" t="s">
        <v>19</v>
      </c>
      <c r="H2139">
        <v>63</v>
      </c>
      <c r="I2139" s="4">
        <v>1043028</v>
      </c>
      <c r="J2139" s="4">
        <v>387450</v>
      </c>
    </row>
    <row r="2140" spans="2:10" x14ac:dyDescent="0.3">
      <c r="B2140" s="7">
        <v>44228</v>
      </c>
      <c r="C2140" s="3">
        <f t="shared" si="66"/>
        <v>2021</v>
      </c>
      <c r="D2140" s="3">
        <f t="shared" si="67"/>
        <v>202102</v>
      </c>
      <c r="E2140" s="5" t="s">
        <v>4</v>
      </c>
      <c r="F2140" s="5" t="s">
        <v>56</v>
      </c>
      <c r="G2140" s="5" t="s">
        <v>19</v>
      </c>
      <c r="H2140">
        <v>40</v>
      </c>
      <c r="I2140" s="4">
        <v>681440</v>
      </c>
      <c r="J2140" s="4">
        <v>246000</v>
      </c>
    </row>
    <row r="2141" spans="2:10" x14ac:dyDescent="0.3">
      <c r="B2141" s="7">
        <v>44256</v>
      </c>
      <c r="C2141" s="3">
        <f t="shared" si="66"/>
        <v>2021</v>
      </c>
      <c r="D2141" s="3">
        <f t="shared" si="67"/>
        <v>202103</v>
      </c>
      <c r="E2141" s="5" t="s">
        <v>4</v>
      </c>
      <c r="F2141" s="5" t="s">
        <v>56</v>
      </c>
      <c r="G2141" s="5" t="s">
        <v>19</v>
      </c>
      <c r="H2141">
        <v>32</v>
      </c>
      <c r="I2141" s="4">
        <v>503008</v>
      </c>
      <c r="J2141" s="4">
        <v>196800</v>
      </c>
    </row>
    <row r="2142" spans="2:10" x14ac:dyDescent="0.3">
      <c r="B2142" s="7">
        <v>44287</v>
      </c>
      <c r="C2142" s="3">
        <f t="shared" si="66"/>
        <v>2021</v>
      </c>
      <c r="D2142" s="3">
        <f t="shared" si="67"/>
        <v>202104</v>
      </c>
      <c r="E2142" s="5" t="s">
        <v>4</v>
      </c>
      <c r="F2142" s="5" t="s">
        <v>56</v>
      </c>
      <c r="G2142" s="5" t="s">
        <v>19</v>
      </c>
      <c r="H2142">
        <v>59</v>
      </c>
      <c r="I2142" s="4">
        <v>991495</v>
      </c>
      <c r="J2142" s="4">
        <v>362850</v>
      </c>
    </row>
    <row r="2143" spans="2:10" x14ac:dyDescent="0.3">
      <c r="B2143" s="7">
        <v>44317</v>
      </c>
      <c r="C2143" s="3">
        <f t="shared" si="66"/>
        <v>2021</v>
      </c>
      <c r="D2143" s="3">
        <f t="shared" si="67"/>
        <v>202105</v>
      </c>
      <c r="E2143" s="5" t="s">
        <v>4</v>
      </c>
      <c r="F2143" s="5" t="s">
        <v>56</v>
      </c>
      <c r="G2143" s="5" t="s">
        <v>19</v>
      </c>
      <c r="H2143">
        <v>75</v>
      </c>
      <c r="I2143" s="4">
        <v>1254525</v>
      </c>
      <c r="J2143" s="4">
        <v>461250</v>
      </c>
    </row>
    <row r="2144" spans="2:10" x14ac:dyDescent="0.3">
      <c r="B2144" s="7">
        <v>44348</v>
      </c>
      <c r="C2144" s="3">
        <f t="shared" si="66"/>
        <v>2021</v>
      </c>
      <c r="D2144" s="3">
        <f t="shared" si="67"/>
        <v>202106</v>
      </c>
      <c r="E2144" s="5" t="s">
        <v>4</v>
      </c>
      <c r="F2144" s="5" t="s">
        <v>56</v>
      </c>
      <c r="G2144" s="5" t="s">
        <v>19</v>
      </c>
      <c r="H2144">
        <v>71</v>
      </c>
      <c r="I2144" s="4">
        <v>1151549</v>
      </c>
      <c r="J2144" s="4">
        <v>436650</v>
      </c>
    </row>
    <row r="2145" spans="2:10" x14ac:dyDescent="0.3">
      <c r="B2145" s="7">
        <v>44378</v>
      </c>
      <c r="C2145" s="3">
        <f t="shared" si="66"/>
        <v>2021</v>
      </c>
      <c r="D2145" s="3">
        <f t="shared" si="67"/>
        <v>202107</v>
      </c>
      <c r="E2145" s="5" t="s">
        <v>4</v>
      </c>
      <c r="F2145" s="5" t="s">
        <v>56</v>
      </c>
      <c r="G2145" s="5" t="s">
        <v>19</v>
      </c>
      <c r="H2145">
        <v>75</v>
      </c>
      <c r="I2145" s="4">
        <v>1158750</v>
      </c>
      <c r="J2145" s="4">
        <v>461250</v>
      </c>
    </row>
    <row r="2146" spans="2:10" x14ac:dyDescent="0.3">
      <c r="B2146" s="7">
        <v>44409</v>
      </c>
      <c r="C2146" s="3">
        <f t="shared" si="66"/>
        <v>2021</v>
      </c>
      <c r="D2146" s="3">
        <f t="shared" si="67"/>
        <v>202108</v>
      </c>
      <c r="E2146" s="5" t="s">
        <v>4</v>
      </c>
      <c r="F2146" s="5" t="s">
        <v>56</v>
      </c>
      <c r="G2146" s="5" t="s">
        <v>19</v>
      </c>
      <c r="H2146">
        <v>63</v>
      </c>
      <c r="I2146" s="4">
        <v>1019844</v>
      </c>
      <c r="J2146" s="4">
        <v>387450</v>
      </c>
    </row>
    <row r="2147" spans="2:10" x14ac:dyDescent="0.3">
      <c r="B2147" s="7">
        <v>44440</v>
      </c>
      <c r="C2147" s="3">
        <f t="shared" si="66"/>
        <v>2021</v>
      </c>
      <c r="D2147" s="3">
        <f t="shared" si="67"/>
        <v>202109</v>
      </c>
      <c r="E2147" s="5" t="s">
        <v>4</v>
      </c>
      <c r="F2147" s="5" t="s">
        <v>56</v>
      </c>
      <c r="G2147" s="5" t="s">
        <v>19</v>
      </c>
      <c r="H2147">
        <v>67</v>
      </c>
      <c r="I2147" s="4">
        <v>1043793</v>
      </c>
      <c r="J2147" s="4">
        <v>412050</v>
      </c>
    </row>
    <row r="2148" spans="2:10" x14ac:dyDescent="0.3">
      <c r="B2148" s="7">
        <v>44470</v>
      </c>
      <c r="C2148" s="3">
        <f t="shared" si="66"/>
        <v>2021</v>
      </c>
      <c r="D2148" s="3">
        <f t="shared" si="67"/>
        <v>202110</v>
      </c>
      <c r="E2148" s="5" t="s">
        <v>4</v>
      </c>
      <c r="F2148" s="5" t="s">
        <v>56</v>
      </c>
      <c r="G2148" s="5" t="s">
        <v>19</v>
      </c>
      <c r="H2148">
        <v>55</v>
      </c>
      <c r="I2148" s="4">
        <v>890340</v>
      </c>
      <c r="J2148" s="4">
        <v>338250</v>
      </c>
    </row>
    <row r="2149" spans="2:10" x14ac:dyDescent="0.3">
      <c r="B2149" s="7">
        <v>44501</v>
      </c>
      <c r="C2149" s="3">
        <f t="shared" si="66"/>
        <v>2021</v>
      </c>
      <c r="D2149" s="3">
        <f t="shared" si="67"/>
        <v>202111</v>
      </c>
      <c r="E2149" s="5" t="s">
        <v>4</v>
      </c>
      <c r="F2149" s="5" t="s">
        <v>56</v>
      </c>
      <c r="G2149" s="5" t="s">
        <v>19</v>
      </c>
      <c r="H2149">
        <v>40</v>
      </c>
      <c r="I2149" s="4">
        <v>633120</v>
      </c>
      <c r="J2149" s="4">
        <v>246000</v>
      </c>
    </row>
    <row r="2150" spans="2:10" x14ac:dyDescent="0.3">
      <c r="B2150" s="7">
        <v>44531</v>
      </c>
      <c r="C2150" s="3">
        <f t="shared" si="66"/>
        <v>2021</v>
      </c>
      <c r="D2150" s="3">
        <f t="shared" si="67"/>
        <v>202112</v>
      </c>
      <c r="E2150" s="5" t="s">
        <v>4</v>
      </c>
      <c r="F2150" s="5" t="s">
        <v>56</v>
      </c>
      <c r="G2150" s="5" t="s">
        <v>19</v>
      </c>
      <c r="H2150">
        <v>47</v>
      </c>
      <c r="I2150" s="4">
        <v>744010</v>
      </c>
      <c r="J2150" s="4">
        <v>289050</v>
      </c>
    </row>
    <row r="2151" spans="2:10" x14ac:dyDescent="0.3">
      <c r="B2151" s="7">
        <v>44562</v>
      </c>
      <c r="C2151" s="3">
        <f t="shared" si="66"/>
        <v>2022</v>
      </c>
      <c r="D2151" s="3">
        <f t="shared" si="67"/>
        <v>202201</v>
      </c>
      <c r="E2151" s="5" t="s">
        <v>4</v>
      </c>
      <c r="F2151" s="5" t="s">
        <v>56</v>
      </c>
      <c r="G2151" s="5" t="s">
        <v>19</v>
      </c>
      <c r="H2151">
        <v>69</v>
      </c>
      <c r="I2151" s="4">
        <v>1140156</v>
      </c>
      <c r="J2151" s="4">
        <v>424350</v>
      </c>
    </row>
    <row r="2152" spans="2:10" x14ac:dyDescent="0.3">
      <c r="B2152" s="7">
        <v>44593</v>
      </c>
      <c r="C2152" s="3">
        <f t="shared" si="66"/>
        <v>2022</v>
      </c>
      <c r="D2152" s="3">
        <f t="shared" si="67"/>
        <v>202202</v>
      </c>
      <c r="E2152" s="5" t="s">
        <v>4</v>
      </c>
      <c r="F2152" s="5" t="s">
        <v>56</v>
      </c>
      <c r="G2152" s="5" t="s">
        <v>19</v>
      </c>
      <c r="H2152">
        <v>44</v>
      </c>
      <c r="I2152" s="4">
        <v>719180</v>
      </c>
      <c r="J2152" s="4">
        <v>270600</v>
      </c>
    </row>
    <row r="2153" spans="2:10" x14ac:dyDescent="0.3">
      <c r="B2153" s="7">
        <v>44621</v>
      </c>
      <c r="C2153" s="3">
        <f t="shared" si="66"/>
        <v>2022</v>
      </c>
      <c r="D2153" s="3">
        <f t="shared" si="67"/>
        <v>202203</v>
      </c>
      <c r="E2153" s="5" t="s">
        <v>4</v>
      </c>
      <c r="F2153" s="5" t="s">
        <v>56</v>
      </c>
      <c r="G2153" s="5" t="s">
        <v>19</v>
      </c>
      <c r="H2153">
        <v>35</v>
      </c>
      <c r="I2153" s="4">
        <v>562625</v>
      </c>
      <c r="J2153" s="4">
        <v>215250</v>
      </c>
    </row>
    <row r="2154" spans="2:10" x14ac:dyDescent="0.3">
      <c r="B2154" s="7">
        <v>44652</v>
      </c>
      <c r="C2154" s="3">
        <f t="shared" si="66"/>
        <v>2022</v>
      </c>
      <c r="D2154" s="3">
        <f t="shared" si="67"/>
        <v>202204</v>
      </c>
      <c r="E2154" s="5" t="s">
        <v>4</v>
      </c>
      <c r="F2154" s="5" t="s">
        <v>56</v>
      </c>
      <c r="G2154" s="5" t="s">
        <v>19</v>
      </c>
      <c r="H2154">
        <v>65</v>
      </c>
      <c r="I2154" s="4">
        <v>1083940</v>
      </c>
      <c r="J2154" s="4">
        <v>399750</v>
      </c>
    </row>
    <row r="2155" spans="2:10" x14ac:dyDescent="0.3">
      <c r="B2155" s="7">
        <v>44682</v>
      </c>
      <c r="C2155" s="3">
        <f t="shared" si="66"/>
        <v>2022</v>
      </c>
      <c r="D2155" s="3">
        <f t="shared" si="67"/>
        <v>202205</v>
      </c>
      <c r="E2155" s="5" t="s">
        <v>4</v>
      </c>
      <c r="F2155" s="5" t="s">
        <v>56</v>
      </c>
      <c r="G2155" s="5" t="s">
        <v>19</v>
      </c>
      <c r="H2155">
        <v>82</v>
      </c>
      <c r="I2155" s="4">
        <v>1409744</v>
      </c>
      <c r="J2155" s="4">
        <v>504300</v>
      </c>
    </row>
    <row r="2156" spans="2:10" x14ac:dyDescent="0.3">
      <c r="B2156" s="7">
        <v>44713</v>
      </c>
      <c r="C2156" s="3">
        <f t="shared" si="66"/>
        <v>2022</v>
      </c>
      <c r="D2156" s="3">
        <f t="shared" si="67"/>
        <v>202206</v>
      </c>
      <c r="E2156" s="5" t="s">
        <v>4</v>
      </c>
      <c r="F2156" s="5" t="s">
        <v>56</v>
      </c>
      <c r="G2156" s="5" t="s">
        <v>19</v>
      </c>
      <c r="H2156">
        <v>78</v>
      </c>
      <c r="I2156" s="4">
        <v>1245270</v>
      </c>
      <c r="J2156" s="4">
        <v>479700</v>
      </c>
    </row>
    <row r="2157" spans="2:10" x14ac:dyDescent="0.3">
      <c r="B2157" s="7">
        <v>44743</v>
      </c>
      <c r="C2157" s="3">
        <f t="shared" si="66"/>
        <v>2022</v>
      </c>
      <c r="D2157" s="3">
        <f t="shared" si="67"/>
        <v>202207</v>
      </c>
      <c r="E2157" s="5" t="s">
        <v>4</v>
      </c>
      <c r="F2157" s="5" t="s">
        <v>56</v>
      </c>
      <c r="G2157" s="5" t="s">
        <v>19</v>
      </c>
      <c r="H2157">
        <v>82</v>
      </c>
      <c r="I2157" s="4">
        <v>1194904</v>
      </c>
      <c r="J2157" s="4">
        <v>504300</v>
      </c>
    </row>
    <row r="2158" spans="2:10" x14ac:dyDescent="0.3">
      <c r="B2158" s="7">
        <v>44774</v>
      </c>
      <c r="C2158" s="3">
        <f t="shared" si="66"/>
        <v>2022</v>
      </c>
      <c r="D2158" s="3">
        <f t="shared" si="67"/>
        <v>202208</v>
      </c>
      <c r="E2158" s="5" t="s">
        <v>4</v>
      </c>
      <c r="F2158" s="5" t="s">
        <v>56</v>
      </c>
      <c r="G2158" s="5" t="s">
        <v>19</v>
      </c>
      <c r="H2158">
        <v>69</v>
      </c>
      <c r="I2158" s="4">
        <v>1041348</v>
      </c>
      <c r="J2158" s="4">
        <v>424350</v>
      </c>
    </row>
    <row r="2159" spans="2:10" x14ac:dyDescent="0.3">
      <c r="B2159" s="7">
        <v>44805</v>
      </c>
      <c r="C2159" s="3">
        <f t="shared" si="66"/>
        <v>2022</v>
      </c>
      <c r="D2159" s="3">
        <f t="shared" si="67"/>
        <v>202209</v>
      </c>
      <c r="E2159" s="5" t="s">
        <v>4</v>
      </c>
      <c r="F2159" s="5" t="s">
        <v>56</v>
      </c>
      <c r="G2159" s="5" t="s">
        <v>19</v>
      </c>
      <c r="H2159">
        <v>74</v>
      </c>
      <c r="I2159" s="4">
        <v>1215894</v>
      </c>
      <c r="J2159" s="4">
        <v>455100</v>
      </c>
    </row>
    <row r="2160" spans="2:10" x14ac:dyDescent="0.3">
      <c r="B2160" s="7">
        <v>44835</v>
      </c>
      <c r="C2160" s="3">
        <f t="shared" si="66"/>
        <v>2022</v>
      </c>
      <c r="D2160" s="3">
        <f t="shared" si="67"/>
        <v>202210</v>
      </c>
      <c r="E2160" s="5" t="s">
        <v>4</v>
      </c>
      <c r="F2160" s="5" t="s">
        <v>56</v>
      </c>
      <c r="G2160" s="5" t="s">
        <v>19</v>
      </c>
      <c r="H2160">
        <v>61</v>
      </c>
      <c r="I2160" s="4">
        <v>1035597</v>
      </c>
      <c r="J2160" s="4">
        <v>375150</v>
      </c>
    </row>
    <row r="2161" spans="2:10" x14ac:dyDescent="0.3">
      <c r="B2161" s="7">
        <v>44866</v>
      </c>
      <c r="C2161" s="3">
        <f t="shared" si="66"/>
        <v>2022</v>
      </c>
      <c r="D2161" s="3">
        <f t="shared" si="67"/>
        <v>202211</v>
      </c>
      <c r="E2161" s="5" t="s">
        <v>4</v>
      </c>
      <c r="F2161" s="5" t="s">
        <v>56</v>
      </c>
      <c r="G2161" s="5" t="s">
        <v>19</v>
      </c>
      <c r="H2161">
        <v>44</v>
      </c>
      <c r="I2161" s="4">
        <v>709148</v>
      </c>
      <c r="J2161" s="4">
        <v>270600</v>
      </c>
    </row>
    <row r="2162" spans="2:10" x14ac:dyDescent="0.3">
      <c r="B2162" s="7">
        <v>44896</v>
      </c>
      <c r="C2162" s="3">
        <f t="shared" si="66"/>
        <v>2022</v>
      </c>
      <c r="D2162" s="3">
        <f t="shared" si="67"/>
        <v>202212</v>
      </c>
      <c r="E2162" s="5" t="s">
        <v>4</v>
      </c>
      <c r="F2162" s="5" t="s">
        <v>56</v>
      </c>
      <c r="G2162" s="5" t="s">
        <v>19</v>
      </c>
      <c r="H2162">
        <v>52</v>
      </c>
      <c r="I2162" s="4">
        <v>825760</v>
      </c>
      <c r="J2162" s="4">
        <v>319800</v>
      </c>
    </row>
    <row r="2163" spans="2:10" x14ac:dyDescent="0.3">
      <c r="B2163" s="7">
        <v>44197</v>
      </c>
      <c r="C2163" s="3">
        <f t="shared" si="66"/>
        <v>2021</v>
      </c>
      <c r="D2163" s="3">
        <f t="shared" si="67"/>
        <v>202101</v>
      </c>
      <c r="E2163" s="5" t="s">
        <v>4</v>
      </c>
      <c r="F2163" s="5" t="s">
        <v>56</v>
      </c>
      <c r="G2163" s="5" t="s">
        <v>20</v>
      </c>
      <c r="H2163">
        <v>83</v>
      </c>
      <c r="I2163" s="4">
        <v>968029</v>
      </c>
      <c r="J2163" s="4">
        <v>365200</v>
      </c>
    </row>
    <row r="2164" spans="2:10" x14ac:dyDescent="0.3">
      <c r="B2164" s="7">
        <v>44228</v>
      </c>
      <c r="C2164" s="3">
        <f t="shared" si="66"/>
        <v>2021</v>
      </c>
      <c r="D2164" s="3">
        <f t="shared" si="67"/>
        <v>202102</v>
      </c>
      <c r="E2164" s="5" t="s">
        <v>4</v>
      </c>
      <c r="F2164" s="5" t="s">
        <v>56</v>
      </c>
      <c r="G2164" s="5" t="s">
        <v>20</v>
      </c>
      <c r="H2164">
        <v>52</v>
      </c>
      <c r="I2164" s="4">
        <v>651976</v>
      </c>
      <c r="J2164" s="4">
        <v>228800</v>
      </c>
    </row>
    <row r="2165" spans="2:10" x14ac:dyDescent="0.3">
      <c r="B2165" s="7">
        <v>44256</v>
      </c>
      <c r="C2165" s="3">
        <f t="shared" si="66"/>
        <v>2021</v>
      </c>
      <c r="D2165" s="3">
        <f t="shared" si="67"/>
        <v>202103</v>
      </c>
      <c r="E2165" s="5" t="s">
        <v>4</v>
      </c>
      <c r="F2165" s="5" t="s">
        <v>56</v>
      </c>
      <c r="G2165" s="5" t="s">
        <v>20</v>
      </c>
      <c r="H2165">
        <v>42</v>
      </c>
      <c r="I2165" s="4">
        <v>491232</v>
      </c>
      <c r="J2165" s="4">
        <v>184800</v>
      </c>
    </row>
    <row r="2166" spans="2:10" x14ac:dyDescent="0.3">
      <c r="B2166" s="7">
        <v>44287</v>
      </c>
      <c r="C2166" s="3">
        <f t="shared" si="66"/>
        <v>2021</v>
      </c>
      <c r="D2166" s="3">
        <f t="shared" si="67"/>
        <v>202104</v>
      </c>
      <c r="E2166" s="5" t="s">
        <v>4</v>
      </c>
      <c r="F2166" s="5" t="s">
        <v>56</v>
      </c>
      <c r="G2166" s="5" t="s">
        <v>20</v>
      </c>
      <c r="H2166">
        <v>77</v>
      </c>
      <c r="I2166" s="4">
        <v>984907</v>
      </c>
      <c r="J2166" s="4">
        <v>338800</v>
      </c>
    </row>
    <row r="2167" spans="2:10" x14ac:dyDescent="0.3">
      <c r="B2167" s="7">
        <v>44317</v>
      </c>
      <c r="C2167" s="3">
        <f t="shared" si="66"/>
        <v>2021</v>
      </c>
      <c r="D2167" s="3">
        <f t="shared" si="67"/>
        <v>202105</v>
      </c>
      <c r="E2167" s="5" t="s">
        <v>4</v>
      </c>
      <c r="F2167" s="5" t="s">
        <v>56</v>
      </c>
      <c r="G2167" s="5" t="s">
        <v>20</v>
      </c>
      <c r="H2167">
        <v>98</v>
      </c>
      <c r="I2167" s="4">
        <v>1240190</v>
      </c>
      <c r="J2167" s="4">
        <v>431200</v>
      </c>
    </row>
    <row r="2168" spans="2:10" x14ac:dyDescent="0.3">
      <c r="B2168" s="7">
        <v>44348</v>
      </c>
      <c r="C2168" s="3">
        <f t="shared" si="66"/>
        <v>2021</v>
      </c>
      <c r="D2168" s="3">
        <f t="shared" si="67"/>
        <v>202106</v>
      </c>
      <c r="E2168" s="5" t="s">
        <v>4</v>
      </c>
      <c r="F2168" s="5" t="s">
        <v>56</v>
      </c>
      <c r="G2168" s="5" t="s">
        <v>20</v>
      </c>
      <c r="H2168">
        <v>93</v>
      </c>
      <c r="I2168" s="4">
        <v>1096005</v>
      </c>
      <c r="J2168" s="4">
        <v>409200</v>
      </c>
    </row>
    <row r="2169" spans="2:10" x14ac:dyDescent="0.3">
      <c r="B2169" s="7">
        <v>44378</v>
      </c>
      <c r="C2169" s="3">
        <f t="shared" si="66"/>
        <v>2021</v>
      </c>
      <c r="D2169" s="3">
        <f t="shared" si="67"/>
        <v>202107</v>
      </c>
      <c r="E2169" s="5" t="s">
        <v>4</v>
      </c>
      <c r="F2169" s="5" t="s">
        <v>56</v>
      </c>
      <c r="G2169" s="5" t="s">
        <v>20</v>
      </c>
      <c r="H2169">
        <v>98</v>
      </c>
      <c r="I2169" s="4">
        <v>1094268</v>
      </c>
      <c r="J2169" s="4">
        <v>431200</v>
      </c>
    </row>
    <row r="2170" spans="2:10" x14ac:dyDescent="0.3">
      <c r="B2170" s="7">
        <v>44409</v>
      </c>
      <c r="C2170" s="3">
        <f t="shared" si="66"/>
        <v>2021</v>
      </c>
      <c r="D2170" s="3">
        <f t="shared" si="67"/>
        <v>202108</v>
      </c>
      <c r="E2170" s="5" t="s">
        <v>4</v>
      </c>
      <c r="F2170" s="5" t="s">
        <v>56</v>
      </c>
      <c r="G2170" s="5" t="s">
        <v>20</v>
      </c>
      <c r="H2170">
        <v>83</v>
      </c>
      <c r="I2170" s="4">
        <v>991269</v>
      </c>
      <c r="J2170" s="4">
        <v>365200</v>
      </c>
    </row>
    <row r="2171" spans="2:10" x14ac:dyDescent="0.3">
      <c r="B2171" s="7">
        <v>44440</v>
      </c>
      <c r="C2171" s="3">
        <f t="shared" si="66"/>
        <v>2021</v>
      </c>
      <c r="D2171" s="3">
        <f t="shared" si="67"/>
        <v>202109</v>
      </c>
      <c r="E2171" s="5" t="s">
        <v>4</v>
      </c>
      <c r="F2171" s="5" t="s">
        <v>56</v>
      </c>
      <c r="G2171" s="5" t="s">
        <v>20</v>
      </c>
      <c r="H2171">
        <v>88</v>
      </c>
      <c r="I2171" s="4">
        <v>1038664</v>
      </c>
      <c r="J2171" s="4">
        <v>387200</v>
      </c>
    </row>
    <row r="2172" spans="2:10" x14ac:dyDescent="0.3">
      <c r="B2172" s="7">
        <v>44470</v>
      </c>
      <c r="C2172" s="3">
        <f t="shared" si="66"/>
        <v>2021</v>
      </c>
      <c r="D2172" s="3">
        <f t="shared" si="67"/>
        <v>202110</v>
      </c>
      <c r="E2172" s="5" t="s">
        <v>4</v>
      </c>
      <c r="F2172" s="5" t="s">
        <v>56</v>
      </c>
      <c r="G2172" s="5" t="s">
        <v>20</v>
      </c>
      <c r="H2172">
        <v>72</v>
      </c>
      <c r="I2172" s="4">
        <v>924480</v>
      </c>
      <c r="J2172" s="4">
        <v>316800</v>
      </c>
    </row>
    <row r="2173" spans="2:10" x14ac:dyDescent="0.3">
      <c r="B2173" s="7">
        <v>44501</v>
      </c>
      <c r="C2173" s="3">
        <f t="shared" si="66"/>
        <v>2021</v>
      </c>
      <c r="D2173" s="3">
        <f t="shared" si="67"/>
        <v>202111</v>
      </c>
      <c r="E2173" s="5" t="s">
        <v>4</v>
      </c>
      <c r="F2173" s="5" t="s">
        <v>56</v>
      </c>
      <c r="G2173" s="5" t="s">
        <v>20</v>
      </c>
      <c r="H2173">
        <v>52</v>
      </c>
      <c r="I2173" s="4">
        <v>647920</v>
      </c>
      <c r="J2173" s="4">
        <v>228800</v>
      </c>
    </row>
    <row r="2174" spans="2:10" x14ac:dyDescent="0.3">
      <c r="B2174" s="7">
        <v>44531</v>
      </c>
      <c r="C2174" s="3">
        <f t="shared" si="66"/>
        <v>2021</v>
      </c>
      <c r="D2174" s="3">
        <f t="shared" si="67"/>
        <v>202112</v>
      </c>
      <c r="E2174" s="5" t="s">
        <v>4</v>
      </c>
      <c r="F2174" s="5" t="s">
        <v>56</v>
      </c>
      <c r="G2174" s="5" t="s">
        <v>20</v>
      </c>
      <c r="H2174">
        <v>62</v>
      </c>
      <c r="I2174" s="4">
        <v>729368</v>
      </c>
      <c r="J2174" s="4">
        <v>272800</v>
      </c>
    </row>
    <row r="2175" spans="2:10" x14ac:dyDescent="0.3">
      <c r="B2175" s="7">
        <v>44562</v>
      </c>
      <c r="C2175" s="3">
        <f t="shared" si="66"/>
        <v>2022</v>
      </c>
      <c r="D2175" s="3">
        <f t="shared" si="67"/>
        <v>202201</v>
      </c>
      <c r="E2175" s="5" t="s">
        <v>4</v>
      </c>
      <c r="F2175" s="5" t="s">
        <v>56</v>
      </c>
      <c r="G2175" s="5" t="s">
        <v>20</v>
      </c>
      <c r="H2175">
        <v>91</v>
      </c>
      <c r="I2175" s="4">
        <v>1126853</v>
      </c>
      <c r="J2175" s="4">
        <v>400400</v>
      </c>
    </row>
    <row r="2176" spans="2:10" x14ac:dyDescent="0.3">
      <c r="B2176" s="7">
        <v>44593</v>
      </c>
      <c r="C2176" s="3">
        <f t="shared" si="66"/>
        <v>2022</v>
      </c>
      <c r="D2176" s="3">
        <f t="shared" si="67"/>
        <v>202202</v>
      </c>
      <c r="E2176" s="5" t="s">
        <v>4</v>
      </c>
      <c r="F2176" s="5" t="s">
        <v>56</v>
      </c>
      <c r="G2176" s="5" t="s">
        <v>20</v>
      </c>
      <c r="H2176">
        <v>57</v>
      </c>
      <c r="I2176" s="4">
        <v>695400</v>
      </c>
      <c r="J2176" s="4">
        <v>250800</v>
      </c>
    </row>
    <row r="2177" spans="2:10" x14ac:dyDescent="0.3">
      <c r="B2177" s="7">
        <v>44621</v>
      </c>
      <c r="C2177" s="3">
        <f t="shared" si="66"/>
        <v>2022</v>
      </c>
      <c r="D2177" s="3">
        <f t="shared" si="67"/>
        <v>202203</v>
      </c>
      <c r="E2177" s="5" t="s">
        <v>4</v>
      </c>
      <c r="F2177" s="5" t="s">
        <v>56</v>
      </c>
      <c r="G2177" s="5" t="s">
        <v>20</v>
      </c>
      <c r="H2177">
        <v>46</v>
      </c>
      <c r="I2177" s="4">
        <v>527022</v>
      </c>
      <c r="J2177" s="4">
        <v>202400</v>
      </c>
    </row>
    <row r="2178" spans="2:10" x14ac:dyDescent="0.3">
      <c r="B2178" s="7">
        <v>44652</v>
      </c>
      <c r="C2178" s="3">
        <f t="shared" si="66"/>
        <v>2022</v>
      </c>
      <c r="D2178" s="3">
        <f t="shared" si="67"/>
        <v>202204</v>
      </c>
      <c r="E2178" s="5" t="s">
        <v>4</v>
      </c>
      <c r="F2178" s="5" t="s">
        <v>56</v>
      </c>
      <c r="G2178" s="5" t="s">
        <v>20</v>
      </c>
      <c r="H2178">
        <v>85</v>
      </c>
      <c r="I2178" s="4">
        <v>1133900</v>
      </c>
      <c r="J2178" s="4">
        <v>374000</v>
      </c>
    </row>
    <row r="2179" spans="2:10" x14ac:dyDescent="0.3">
      <c r="B2179" s="7">
        <v>44682</v>
      </c>
      <c r="C2179" s="3">
        <f t="shared" ref="C2179:C2242" si="68">YEAR(B2179)</f>
        <v>2022</v>
      </c>
      <c r="D2179" s="3">
        <f t="shared" ref="D2179:D2242" si="69">VALUE(TEXT(B2179,"ГГГГММ"))</f>
        <v>202205</v>
      </c>
      <c r="E2179" s="5" t="s">
        <v>4</v>
      </c>
      <c r="F2179" s="5" t="s">
        <v>56</v>
      </c>
      <c r="G2179" s="5" t="s">
        <v>20</v>
      </c>
      <c r="H2179">
        <v>108</v>
      </c>
      <c r="I2179" s="4">
        <v>1392876</v>
      </c>
      <c r="J2179" s="4">
        <v>475200</v>
      </c>
    </row>
    <row r="2180" spans="2:10" x14ac:dyDescent="0.3">
      <c r="B2180" s="7">
        <v>44713</v>
      </c>
      <c r="C2180" s="3">
        <f t="shared" si="68"/>
        <v>2022</v>
      </c>
      <c r="D2180" s="3">
        <f t="shared" si="69"/>
        <v>202206</v>
      </c>
      <c r="E2180" s="5" t="s">
        <v>4</v>
      </c>
      <c r="F2180" s="5" t="s">
        <v>56</v>
      </c>
      <c r="G2180" s="5" t="s">
        <v>20</v>
      </c>
      <c r="H2180">
        <v>102</v>
      </c>
      <c r="I2180" s="4">
        <v>1320084</v>
      </c>
      <c r="J2180" s="4">
        <v>448800</v>
      </c>
    </row>
    <row r="2181" spans="2:10" x14ac:dyDescent="0.3">
      <c r="B2181" s="7">
        <v>44743</v>
      </c>
      <c r="C2181" s="3">
        <f t="shared" si="68"/>
        <v>2022</v>
      </c>
      <c r="D2181" s="3">
        <f t="shared" si="69"/>
        <v>202207</v>
      </c>
      <c r="E2181" s="5" t="s">
        <v>4</v>
      </c>
      <c r="F2181" s="5" t="s">
        <v>56</v>
      </c>
      <c r="G2181" s="5" t="s">
        <v>20</v>
      </c>
      <c r="H2181">
        <v>108</v>
      </c>
      <c r="I2181" s="4">
        <v>1131516</v>
      </c>
      <c r="J2181" s="4">
        <v>475200</v>
      </c>
    </row>
    <row r="2182" spans="2:10" x14ac:dyDescent="0.3">
      <c r="B2182" s="7">
        <v>44774</v>
      </c>
      <c r="C2182" s="3">
        <f t="shared" si="68"/>
        <v>2022</v>
      </c>
      <c r="D2182" s="3">
        <f t="shared" si="69"/>
        <v>202208</v>
      </c>
      <c r="E2182" s="5" t="s">
        <v>4</v>
      </c>
      <c r="F2182" s="5" t="s">
        <v>56</v>
      </c>
      <c r="G2182" s="5" t="s">
        <v>20</v>
      </c>
      <c r="H2182">
        <v>91</v>
      </c>
      <c r="I2182" s="4">
        <v>1084538</v>
      </c>
      <c r="J2182" s="4">
        <v>400400</v>
      </c>
    </row>
    <row r="2183" spans="2:10" x14ac:dyDescent="0.3">
      <c r="B2183" s="7">
        <v>44805</v>
      </c>
      <c r="C2183" s="3">
        <f t="shared" si="68"/>
        <v>2022</v>
      </c>
      <c r="D2183" s="3">
        <f t="shared" si="69"/>
        <v>202209</v>
      </c>
      <c r="E2183" s="5" t="s">
        <v>4</v>
      </c>
      <c r="F2183" s="5" t="s">
        <v>56</v>
      </c>
      <c r="G2183" s="5" t="s">
        <v>20</v>
      </c>
      <c r="H2183">
        <v>96</v>
      </c>
      <c r="I2183" s="4">
        <v>1135104</v>
      </c>
      <c r="J2183" s="4">
        <v>422400</v>
      </c>
    </row>
    <row r="2184" spans="2:10" x14ac:dyDescent="0.3">
      <c r="B2184" s="7">
        <v>44835</v>
      </c>
      <c r="C2184" s="3">
        <f t="shared" si="68"/>
        <v>2022</v>
      </c>
      <c r="D2184" s="3">
        <f t="shared" si="69"/>
        <v>202210</v>
      </c>
      <c r="E2184" s="5" t="s">
        <v>4</v>
      </c>
      <c r="F2184" s="5" t="s">
        <v>56</v>
      </c>
      <c r="G2184" s="5" t="s">
        <v>20</v>
      </c>
      <c r="H2184">
        <v>80</v>
      </c>
      <c r="I2184" s="4">
        <v>972880</v>
      </c>
      <c r="J2184" s="4">
        <v>352000</v>
      </c>
    </row>
    <row r="2185" spans="2:10" x14ac:dyDescent="0.3">
      <c r="B2185" s="7">
        <v>44866</v>
      </c>
      <c r="C2185" s="3">
        <f t="shared" si="68"/>
        <v>2022</v>
      </c>
      <c r="D2185" s="3">
        <f t="shared" si="69"/>
        <v>202211</v>
      </c>
      <c r="E2185" s="5" t="s">
        <v>4</v>
      </c>
      <c r="F2185" s="5" t="s">
        <v>56</v>
      </c>
      <c r="G2185" s="5" t="s">
        <v>20</v>
      </c>
      <c r="H2185">
        <v>57</v>
      </c>
      <c r="I2185" s="4">
        <v>675336</v>
      </c>
      <c r="J2185" s="4">
        <v>250800</v>
      </c>
    </row>
    <row r="2186" spans="2:10" x14ac:dyDescent="0.3">
      <c r="B2186" s="7">
        <v>44896</v>
      </c>
      <c r="C2186" s="3">
        <f t="shared" si="68"/>
        <v>2022</v>
      </c>
      <c r="D2186" s="3">
        <f t="shared" si="69"/>
        <v>202212</v>
      </c>
      <c r="E2186" s="5" t="s">
        <v>4</v>
      </c>
      <c r="F2186" s="5" t="s">
        <v>56</v>
      </c>
      <c r="G2186" s="5" t="s">
        <v>20</v>
      </c>
      <c r="H2186">
        <v>68</v>
      </c>
      <c r="I2186" s="4">
        <v>773636</v>
      </c>
      <c r="J2186" s="4">
        <v>299200</v>
      </c>
    </row>
    <row r="2187" spans="2:10" x14ac:dyDescent="0.3">
      <c r="B2187" s="7">
        <v>44197</v>
      </c>
      <c r="C2187" s="3">
        <f t="shared" si="68"/>
        <v>2021</v>
      </c>
      <c r="D2187" s="3">
        <f t="shared" si="69"/>
        <v>202101</v>
      </c>
      <c r="E2187" s="5" t="s">
        <v>4</v>
      </c>
      <c r="F2187" s="5" t="s">
        <v>9</v>
      </c>
      <c r="G2187" s="5" t="s">
        <v>21</v>
      </c>
      <c r="H2187">
        <v>42</v>
      </c>
      <c r="I2187" s="4">
        <v>205506</v>
      </c>
      <c r="J2187" s="4">
        <v>76146</v>
      </c>
    </row>
    <row r="2188" spans="2:10" x14ac:dyDescent="0.3">
      <c r="B2188" s="7">
        <v>44228</v>
      </c>
      <c r="C2188" s="3">
        <f t="shared" si="68"/>
        <v>2021</v>
      </c>
      <c r="D2188" s="3">
        <f t="shared" si="69"/>
        <v>202102</v>
      </c>
      <c r="E2188" s="5" t="s">
        <v>4</v>
      </c>
      <c r="F2188" s="5" t="s">
        <v>9</v>
      </c>
      <c r="G2188" s="5" t="s">
        <v>21</v>
      </c>
      <c r="H2188">
        <v>26</v>
      </c>
      <c r="I2188" s="4">
        <v>144326</v>
      </c>
      <c r="J2188" s="4">
        <v>47138</v>
      </c>
    </row>
    <row r="2189" spans="2:10" x14ac:dyDescent="0.3">
      <c r="B2189" s="7">
        <v>44256</v>
      </c>
      <c r="C2189" s="3">
        <f t="shared" si="68"/>
        <v>2021</v>
      </c>
      <c r="D2189" s="3">
        <f t="shared" si="69"/>
        <v>202103</v>
      </c>
      <c r="E2189" s="5" t="s">
        <v>4</v>
      </c>
      <c r="F2189" s="5" t="s">
        <v>9</v>
      </c>
      <c r="G2189" s="5" t="s">
        <v>21</v>
      </c>
      <c r="H2189">
        <v>21</v>
      </c>
      <c r="I2189" s="4">
        <v>98868</v>
      </c>
      <c r="J2189" s="4">
        <v>38073</v>
      </c>
    </row>
    <row r="2190" spans="2:10" x14ac:dyDescent="0.3">
      <c r="B2190" s="7">
        <v>44287</v>
      </c>
      <c r="C2190" s="3">
        <f t="shared" si="68"/>
        <v>2021</v>
      </c>
      <c r="D2190" s="3">
        <f t="shared" si="69"/>
        <v>202104</v>
      </c>
      <c r="E2190" s="5" t="s">
        <v>4</v>
      </c>
      <c r="F2190" s="5" t="s">
        <v>9</v>
      </c>
      <c r="G2190" s="5" t="s">
        <v>21</v>
      </c>
      <c r="H2190">
        <v>39</v>
      </c>
      <c r="I2190" s="4">
        <v>202995</v>
      </c>
      <c r="J2190" s="4">
        <v>70707</v>
      </c>
    </row>
    <row r="2191" spans="2:10" x14ac:dyDescent="0.3">
      <c r="B2191" s="7">
        <v>44317</v>
      </c>
      <c r="C2191" s="3">
        <f t="shared" si="68"/>
        <v>2021</v>
      </c>
      <c r="D2191" s="3">
        <f t="shared" si="69"/>
        <v>202105</v>
      </c>
      <c r="E2191" s="5" t="s">
        <v>4</v>
      </c>
      <c r="F2191" s="5" t="s">
        <v>9</v>
      </c>
      <c r="G2191" s="5" t="s">
        <v>21</v>
      </c>
      <c r="H2191">
        <v>50</v>
      </c>
      <c r="I2191" s="4">
        <v>282050</v>
      </c>
      <c r="J2191" s="4">
        <v>90650</v>
      </c>
    </row>
    <row r="2192" spans="2:10" x14ac:dyDescent="0.3">
      <c r="B2192" s="7">
        <v>44348</v>
      </c>
      <c r="C2192" s="3">
        <f t="shared" si="68"/>
        <v>2021</v>
      </c>
      <c r="D2192" s="3">
        <f t="shared" si="69"/>
        <v>202106</v>
      </c>
      <c r="E2192" s="5" t="s">
        <v>4</v>
      </c>
      <c r="F2192" s="5" t="s">
        <v>9</v>
      </c>
      <c r="G2192" s="5" t="s">
        <v>21</v>
      </c>
      <c r="H2192">
        <v>47</v>
      </c>
      <c r="I2192" s="4">
        <v>231052</v>
      </c>
      <c r="J2192" s="4">
        <v>85211</v>
      </c>
    </row>
    <row r="2193" spans="2:10" x14ac:dyDescent="0.3">
      <c r="B2193" s="7">
        <v>44378</v>
      </c>
      <c r="C2193" s="3">
        <f t="shared" si="68"/>
        <v>2021</v>
      </c>
      <c r="D2193" s="3">
        <f t="shared" si="69"/>
        <v>202107</v>
      </c>
      <c r="E2193" s="5" t="s">
        <v>4</v>
      </c>
      <c r="F2193" s="5" t="s">
        <v>9</v>
      </c>
      <c r="G2193" s="5" t="s">
        <v>21</v>
      </c>
      <c r="H2193">
        <v>50</v>
      </c>
      <c r="I2193" s="4">
        <v>158750</v>
      </c>
      <c r="J2193" s="4">
        <v>90650</v>
      </c>
    </row>
    <row r="2194" spans="2:10" x14ac:dyDescent="0.3">
      <c r="B2194" s="7">
        <v>44409</v>
      </c>
      <c r="C2194" s="3">
        <f t="shared" si="68"/>
        <v>2021</v>
      </c>
      <c r="D2194" s="3">
        <f t="shared" si="69"/>
        <v>202108</v>
      </c>
      <c r="E2194" s="5" t="s">
        <v>4</v>
      </c>
      <c r="F2194" s="5" t="s">
        <v>9</v>
      </c>
      <c r="G2194" s="5" t="s">
        <v>21</v>
      </c>
      <c r="H2194">
        <v>42</v>
      </c>
      <c r="I2194" s="4">
        <v>193116</v>
      </c>
      <c r="J2194" s="4">
        <v>76146</v>
      </c>
    </row>
    <row r="2195" spans="2:10" x14ac:dyDescent="0.3">
      <c r="B2195" s="7">
        <v>44440</v>
      </c>
      <c r="C2195" s="3">
        <f t="shared" si="68"/>
        <v>2021</v>
      </c>
      <c r="D2195" s="3">
        <f t="shared" si="69"/>
        <v>202109</v>
      </c>
      <c r="E2195" s="5" t="s">
        <v>4</v>
      </c>
      <c r="F2195" s="5" t="s">
        <v>9</v>
      </c>
      <c r="G2195" s="5" t="s">
        <v>21</v>
      </c>
      <c r="H2195">
        <v>44</v>
      </c>
      <c r="I2195" s="4">
        <v>193160</v>
      </c>
      <c r="J2195" s="4">
        <v>79772</v>
      </c>
    </row>
    <row r="2196" spans="2:10" x14ac:dyDescent="0.3">
      <c r="B2196" s="7">
        <v>44470</v>
      </c>
      <c r="C2196" s="3">
        <f t="shared" si="68"/>
        <v>2021</v>
      </c>
      <c r="D2196" s="3">
        <f t="shared" si="69"/>
        <v>202110</v>
      </c>
      <c r="E2196" s="5" t="s">
        <v>4</v>
      </c>
      <c r="F2196" s="5" t="s">
        <v>9</v>
      </c>
      <c r="G2196" s="5" t="s">
        <v>21</v>
      </c>
      <c r="H2196">
        <v>37</v>
      </c>
      <c r="I2196" s="4">
        <v>199208</v>
      </c>
      <c r="J2196" s="4">
        <v>67081</v>
      </c>
    </row>
    <row r="2197" spans="2:10" x14ac:dyDescent="0.3">
      <c r="B2197" s="7">
        <v>44501</v>
      </c>
      <c r="C2197" s="3">
        <f t="shared" si="68"/>
        <v>2021</v>
      </c>
      <c r="D2197" s="3">
        <f t="shared" si="69"/>
        <v>202111</v>
      </c>
      <c r="E2197" s="5" t="s">
        <v>4</v>
      </c>
      <c r="F2197" s="5" t="s">
        <v>9</v>
      </c>
      <c r="G2197" s="5" t="s">
        <v>21</v>
      </c>
      <c r="H2197">
        <v>26</v>
      </c>
      <c r="I2197" s="4">
        <v>119158</v>
      </c>
      <c r="J2197" s="4">
        <v>47138</v>
      </c>
    </row>
    <row r="2198" spans="2:10" x14ac:dyDescent="0.3">
      <c r="B2198" s="7">
        <v>44531</v>
      </c>
      <c r="C2198" s="3">
        <f t="shared" si="68"/>
        <v>2021</v>
      </c>
      <c r="D2198" s="3">
        <f t="shared" si="69"/>
        <v>202112</v>
      </c>
      <c r="E2198" s="5" t="s">
        <v>4</v>
      </c>
      <c r="F2198" s="5" t="s">
        <v>9</v>
      </c>
      <c r="G2198" s="5" t="s">
        <v>21</v>
      </c>
      <c r="H2198">
        <v>32</v>
      </c>
      <c r="I2198" s="4">
        <v>141120</v>
      </c>
      <c r="J2198" s="4">
        <v>58016</v>
      </c>
    </row>
    <row r="2199" spans="2:10" x14ac:dyDescent="0.3">
      <c r="B2199" s="7">
        <v>44562</v>
      </c>
      <c r="C2199" s="3">
        <f t="shared" si="68"/>
        <v>2022</v>
      </c>
      <c r="D2199" s="3">
        <f t="shared" si="69"/>
        <v>202201</v>
      </c>
      <c r="E2199" s="5" t="s">
        <v>4</v>
      </c>
      <c r="F2199" s="5" t="s">
        <v>9</v>
      </c>
      <c r="G2199" s="5" t="s">
        <v>21</v>
      </c>
      <c r="H2199">
        <v>46</v>
      </c>
      <c r="I2199" s="4">
        <v>216706</v>
      </c>
      <c r="J2199" s="4">
        <v>83398</v>
      </c>
    </row>
    <row r="2200" spans="2:10" x14ac:dyDescent="0.3">
      <c r="B2200" s="7">
        <v>44593</v>
      </c>
      <c r="C2200" s="3">
        <f t="shared" si="68"/>
        <v>2022</v>
      </c>
      <c r="D2200" s="3">
        <f t="shared" si="69"/>
        <v>202202</v>
      </c>
      <c r="E2200" s="5" t="s">
        <v>4</v>
      </c>
      <c r="F2200" s="5" t="s">
        <v>9</v>
      </c>
      <c r="G2200" s="5" t="s">
        <v>21</v>
      </c>
      <c r="H2200">
        <v>29</v>
      </c>
      <c r="I2200" s="4">
        <v>142013</v>
      </c>
      <c r="J2200" s="4">
        <v>52577</v>
      </c>
    </row>
    <row r="2201" spans="2:10" x14ac:dyDescent="0.3">
      <c r="B2201" s="7">
        <v>44621</v>
      </c>
      <c r="C2201" s="3">
        <f t="shared" si="68"/>
        <v>2022</v>
      </c>
      <c r="D2201" s="3">
        <f t="shared" si="69"/>
        <v>202203</v>
      </c>
      <c r="E2201" s="5" t="s">
        <v>4</v>
      </c>
      <c r="F2201" s="5" t="s">
        <v>9</v>
      </c>
      <c r="G2201" s="5" t="s">
        <v>21</v>
      </c>
      <c r="H2201">
        <v>23</v>
      </c>
      <c r="I2201" s="4">
        <v>107410</v>
      </c>
      <c r="J2201" s="4">
        <v>41699</v>
      </c>
    </row>
    <row r="2202" spans="2:10" x14ac:dyDescent="0.3">
      <c r="B2202" s="7">
        <v>44652</v>
      </c>
      <c r="C2202" s="3">
        <f t="shared" si="68"/>
        <v>2022</v>
      </c>
      <c r="D2202" s="3">
        <f t="shared" si="69"/>
        <v>202204</v>
      </c>
      <c r="E2202" s="5" t="s">
        <v>4</v>
      </c>
      <c r="F2202" s="5" t="s">
        <v>9</v>
      </c>
      <c r="G2202" s="5" t="s">
        <v>21</v>
      </c>
      <c r="H2202">
        <v>43</v>
      </c>
      <c r="I2202" s="4">
        <v>206056</v>
      </c>
      <c r="J2202" s="4">
        <v>77959</v>
      </c>
    </row>
    <row r="2203" spans="2:10" x14ac:dyDescent="0.3">
      <c r="B2203" s="7">
        <v>44682</v>
      </c>
      <c r="C2203" s="3">
        <f t="shared" si="68"/>
        <v>2022</v>
      </c>
      <c r="D2203" s="3">
        <f t="shared" si="69"/>
        <v>202205</v>
      </c>
      <c r="E2203" s="5" t="s">
        <v>4</v>
      </c>
      <c r="F2203" s="5" t="s">
        <v>9</v>
      </c>
      <c r="G2203" s="5" t="s">
        <v>21</v>
      </c>
      <c r="H2203">
        <v>55</v>
      </c>
      <c r="I2203" s="4">
        <v>312290</v>
      </c>
      <c r="J2203" s="4">
        <v>99715</v>
      </c>
    </row>
    <row r="2204" spans="2:10" x14ac:dyDescent="0.3">
      <c r="B2204" s="7">
        <v>44713</v>
      </c>
      <c r="C2204" s="3">
        <f t="shared" si="68"/>
        <v>2022</v>
      </c>
      <c r="D2204" s="3">
        <f t="shared" si="69"/>
        <v>202206</v>
      </c>
      <c r="E2204" s="5" t="s">
        <v>4</v>
      </c>
      <c r="F2204" s="5" t="s">
        <v>9</v>
      </c>
      <c r="G2204" s="5" t="s">
        <v>21</v>
      </c>
      <c r="H2204">
        <v>52</v>
      </c>
      <c r="I2204" s="4">
        <v>227032</v>
      </c>
      <c r="J2204" s="4">
        <v>94276</v>
      </c>
    </row>
    <row r="2205" spans="2:10" x14ac:dyDescent="0.3">
      <c r="B2205" s="7">
        <v>44743</v>
      </c>
      <c r="C2205" s="3">
        <f t="shared" si="68"/>
        <v>2022</v>
      </c>
      <c r="D2205" s="3">
        <f t="shared" si="69"/>
        <v>202207</v>
      </c>
      <c r="E2205" s="5" t="s">
        <v>4</v>
      </c>
      <c r="F2205" s="5" t="s">
        <v>9</v>
      </c>
      <c r="G2205" s="5" t="s">
        <v>21</v>
      </c>
      <c r="H2205">
        <v>55</v>
      </c>
      <c r="I2205" s="4">
        <v>181555</v>
      </c>
      <c r="J2205" s="4">
        <v>99715</v>
      </c>
    </row>
    <row r="2206" spans="2:10" x14ac:dyDescent="0.3">
      <c r="B2206" s="7">
        <v>44774</v>
      </c>
      <c r="C2206" s="3">
        <f t="shared" si="68"/>
        <v>2022</v>
      </c>
      <c r="D2206" s="3">
        <f t="shared" si="69"/>
        <v>202208</v>
      </c>
      <c r="E2206" s="5" t="s">
        <v>4</v>
      </c>
      <c r="F2206" s="5" t="s">
        <v>9</v>
      </c>
      <c r="G2206" s="5" t="s">
        <v>21</v>
      </c>
      <c r="H2206">
        <v>46</v>
      </c>
      <c r="I2206" s="4">
        <v>231564</v>
      </c>
      <c r="J2206" s="4">
        <v>83398</v>
      </c>
    </row>
    <row r="2207" spans="2:10" x14ac:dyDescent="0.3">
      <c r="B2207" s="7">
        <v>44805</v>
      </c>
      <c r="C2207" s="3">
        <f t="shared" si="68"/>
        <v>2022</v>
      </c>
      <c r="D2207" s="3">
        <f t="shared" si="69"/>
        <v>202209</v>
      </c>
      <c r="E2207" s="5" t="s">
        <v>4</v>
      </c>
      <c r="F2207" s="5" t="s">
        <v>9</v>
      </c>
      <c r="G2207" s="5" t="s">
        <v>21</v>
      </c>
      <c r="H2207">
        <v>49</v>
      </c>
      <c r="I2207" s="4">
        <v>207956</v>
      </c>
      <c r="J2207" s="4">
        <v>88837</v>
      </c>
    </row>
    <row r="2208" spans="2:10" x14ac:dyDescent="0.3">
      <c r="B2208" s="7">
        <v>44835</v>
      </c>
      <c r="C2208" s="3">
        <f t="shared" si="68"/>
        <v>2022</v>
      </c>
      <c r="D2208" s="3">
        <f t="shared" si="69"/>
        <v>202210</v>
      </c>
      <c r="E2208" s="5" t="s">
        <v>4</v>
      </c>
      <c r="F2208" s="5" t="s">
        <v>9</v>
      </c>
      <c r="G2208" s="5" t="s">
        <v>21</v>
      </c>
      <c r="H2208">
        <v>40</v>
      </c>
      <c r="I2208" s="4">
        <v>197520</v>
      </c>
      <c r="J2208" s="4">
        <v>72520</v>
      </c>
    </row>
    <row r="2209" spans="2:10" x14ac:dyDescent="0.3">
      <c r="B2209" s="7">
        <v>44866</v>
      </c>
      <c r="C2209" s="3">
        <f t="shared" si="68"/>
        <v>2022</v>
      </c>
      <c r="D2209" s="3">
        <f t="shared" si="69"/>
        <v>202211</v>
      </c>
      <c r="E2209" s="5" t="s">
        <v>4</v>
      </c>
      <c r="F2209" s="5" t="s">
        <v>9</v>
      </c>
      <c r="G2209" s="5" t="s">
        <v>21</v>
      </c>
      <c r="H2209">
        <v>29</v>
      </c>
      <c r="I2209" s="4">
        <v>150713</v>
      </c>
      <c r="J2209" s="4">
        <v>52577</v>
      </c>
    </row>
    <row r="2210" spans="2:10" x14ac:dyDescent="0.3">
      <c r="B2210" s="7">
        <v>44896</v>
      </c>
      <c r="C2210" s="3">
        <f t="shared" si="68"/>
        <v>2022</v>
      </c>
      <c r="D2210" s="3">
        <f t="shared" si="69"/>
        <v>202212</v>
      </c>
      <c r="E2210" s="5" t="s">
        <v>4</v>
      </c>
      <c r="F2210" s="5" t="s">
        <v>9</v>
      </c>
      <c r="G2210" s="5" t="s">
        <v>21</v>
      </c>
      <c r="H2210">
        <v>35</v>
      </c>
      <c r="I2210" s="4">
        <v>170100</v>
      </c>
      <c r="J2210" s="4">
        <v>63455</v>
      </c>
    </row>
    <row r="2211" spans="2:10" x14ac:dyDescent="0.3">
      <c r="B2211" s="7">
        <v>44197</v>
      </c>
      <c r="C2211" s="3">
        <f t="shared" si="68"/>
        <v>2021</v>
      </c>
      <c r="D2211" s="3">
        <f t="shared" si="69"/>
        <v>202101</v>
      </c>
      <c r="E2211" s="5" t="s">
        <v>4</v>
      </c>
      <c r="F2211" s="5" t="s">
        <v>9</v>
      </c>
      <c r="G2211" s="5" t="s">
        <v>22</v>
      </c>
      <c r="H2211">
        <v>33</v>
      </c>
      <c r="I2211" s="4">
        <v>134211</v>
      </c>
      <c r="J2211" s="4">
        <v>37950</v>
      </c>
    </row>
    <row r="2212" spans="2:10" x14ac:dyDescent="0.3">
      <c r="B2212" s="7">
        <v>44228</v>
      </c>
      <c r="C2212" s="3">
        <f t="shared" si="68"/>
        <v>2021</v>
      </c>
      <c r="D2212" s="3">
        <f t="shared" si="69"/>
        <v>202102</v>
      </c>
      <c r="E2212" s="5" t="s">
        <v>4</v>
      </c>
      <c r="F2212" s="5" t="s">
        <v>9</v>
      </c>
      <c r="G2212" s="5" t="s">
        <v>22</v>
      </c>
      <c r="H2212">
        <v>21</v>
      </c>
      <c r="I2212" s="4">
        <v>86709</v>
      </c>
      <c r="J2212" s="4">
        <v>24150</v>
      </c>
    </row>
    <row r="2213" spans="2:10" x14ac:dyDescent="0.3">
      <c r="B2213" s="7">
        <v>44256</v>
      </c>
      <c r="C2213" s="3">
        <f t="shared" si="68"/>
        <v>2021</v>
      </c>
      <c r="D2213" s="3">
        <f t="shared" si="69"/>
        <v>202103</v>
      </c>
      <c r="E2213" s="5" t="s">
        <v>4</v>
      </c>
      <c r="F2213" s="5" t="s">
        <v>9</v>
      </c>
      <c r="G2213" s="5" t="s">
        <v>22</v>
      </c>
      <c r="H2213">
        <v>17</v>
      </c>
      <c r="I2213" s="4">
        <v>58225</v>
      </c>
      <c r="J2213" s="4">
        <v>19550</v>
      </c>
    </row>
    <row r="2214" spans="2:10" x14ac:dyDescent="0.3">
      <c r="B2214" s="7">
        <v>44287</v>
      </c>
      <c r="C2214" s="3">
        <f t="shared" si="68"/>
        <v>2021</v>
      </c>
      <c r="D2214" s="3">
        <f t="shared" si="69"/>
        <v>202104</v>
      </c>
      <c r="E2214" s="5" t="s">
        <v>4</v>
      </c>
      <c r="F2214" s="5" t="s">
        <v>9</v>
      </c>
      <c r="G2214" s="5" t="s">
        <v>22</v>
      </c>
      <c r="H2214">
        <v>31</v>
      </c>
      <c r="I2214" s="4">
        <v>121303</v>
      </c>
      <c r="J2214" s="4">
        <v>35650</v>
      </c>
    </row>
    <row r="2215" spans="2:10" x14ac:dyDescent="0.3">
      <c r="B2215" s="7">
        <v>44317</v>
      </c>
      <c r="C2215" s="3">
        <f t="shared" si="68"/>
        <v>2021</v>
      </c>
      <c r="D2215" s="3">
        <f t="shared" si="69"/>
        <v>202105</v>
      </c>
      <c r="E2215" s="5" t="s">
        <v>4</v>
      </c>
      <c r="F2215" s="5" t="s">
        <v>9</v>
      </c>
      <c r="G2215" s="5" t="s">
        <v>22</v>
      </c>
      <c r="H2215">
        <v>39</v>
      </c>
      <c r="I2215" s="4">
        <v>178581</v>
      </c>
      <c r="J2215" s="4">
        <v>44850</v>
      </c>
    </row>
    <row r="2216" spans="2:10" x14ac:dyDescent="0.3">
      <c r="B2216" s="7">
        <v>44348</v>
      </c>
      <c r="C2216" s="3">
        <f t="shared" si="68"/>
        <v>2021</v>
      </c>
      <c r="D2216" s="3">
        <f t="shared" si="69"/>
        <v>202106</v>
      </c>
      <c r="E2216" s="5" t="s">
        <v>4</v>
      </c>
      <c r="F2216" s="5" t="s">
        <v>9</v>
      </c>
      <c r="G2216" s="5" t="s">
        <v>22</v>
      </c>
      <c r="H2216">
        <v>37</v>
      </c>
      <c r="I2216" s="4">
        <v>138195</v>
      </c>
      <c r="J2216" s="4">
        <v>42550</v>
      </c>
    </row>
    <row r="2217" spans="2:10" x14ac:dyDescent="0.3">
      <c r="B2217" s="7">
        <v>44378</v>
      </c>
      <c r="C2217" s="3">
        <f t="shared" si="68"/>
        <v>2021</v>
      </c>
      <c r="D2217" s="3">
        <f t="shared" si="69"/>
        <v>202107</v>
      </c>
      <c r="E2217" s="5" t="s">
        <v>4</v>
      </c>
      <c r="F2217" s="5" t="s">
        <v>9</v>
      </c>
      <c r="G2217" s="5" t="s">
        <v>22</v>
      </c>
      <c r="H2217">
        <v>39</v>
      </c>
      <c r="I2217" s="4">
        <v>85293</v>
      </c>
      <c r="J2217" s="4">
        <v>44850</v>
      </c>
    </row>
    <row r="2218" spans="2:10" x14ac:dyDescent="0.3">
      <c r="B2218" s="7">
        <v>44409</v>
      </c>
      <c r="C2218" s="3">
        <f t="shared" si="68"/>
        <v>2021</v>
      </c>
      <c r="D2218" s="3">
        <f t="shared" si="69"/>
        <v>202108</v>
      </c>
      <c r="E2218" s="5" t="s">
        <v>4</v>
      </c>
      <c r="F2218" s="5" t="s">
        <v>9</v>
      </c>
      <c r="G2218" s="5" t="s">
        <v>22</v>
      </c>
      <c r="H2218">
        <v>33</v>
      </c>
      <c r="I2218" s="4">
        <v>109626</v>
      </c>
      <c r="J2218" s="4">
        <v>37950</v>
      </c>
    </row>
    <row r="2219" spans="2:10" x14ac:dyDescent="0.3">
      <c r="B2219" s="7">
        <v>44440</v>
      </c>
      <c r="C2219" s="3">
        <f t="shared" si="68"/>
        <v>2021</v>
      </c>
      <c r="D2219" s="3">
        <f t="shared" si="69"/>
        <v>202109</v>
      </c>
      <c r="E2219" s="5" t="s">
        <v>4</v>
      </c>
      <c r="F2219" s="5" t="s">
        <v>9</v>
      </c>
      <c r="G2219" s="5" t="s">
        <v>22</v>
      </c>
      <c r="H2219">
        <v>35</v>
      </c>
      <c r="I2219" s="4">
        <v>116795</v>
      </c>
      <c r="J2219" s="4">
        <v>40250</v>
      </c>
    </row>
    <row r="2220" spans="2:10" x14ac:dyDescent="0.3">
      <c r="B2220" s="7">
        <v>44470</v>
      </c>
      <c r="C2220" s="3">
        <f t="shared" si="68"/>
        <v>2021</v>
      </c>
      <c r="D2220" s="3">
        <f t="shared" si="69"/>
        <v>202110</v>
      </c>
      <c r="E2220" s="5" t="s">
        <v>4</v>
      </c>
      <c r="F2220" s="5" t="s">
        <v>9</v>
      </c>
      <c r="G2220" s="5" t="s">
        <v>22</v>
      </c>
      <c r="H2220">
        <v>29</v>
      </c>
      <c r="I2220" s="4">
        <v>110664</v>
      </c>
      <c r="J2220" s="4">
        <v>33350</v>
      </c>
    </row>
    <row r="2221" spans="2:10" x14ac:dyDescent="0.3">
      <c r="B2221" s="7">
        <v>44501</v>
      </c>
      <c r="C2221" s="3">
        <f t="shared" si="68"/>
        <v>2021</v>
      </c>
      <c r="D2221" s="3">
        <f t="shared" si="69"/>
        <v>202111</v>
      </c>
      <c r="E2221" s="5" t="s">
        <v>4</v>
      </c>
      <c r="F2221" s="5" t="s">
        <v>9</v>
      </c>
      <c r="G2221" s="5" t="s">
        <v>22</v>
      </c>
      <c r="H2221">
        <v>21</v>
      </c>
      <c r="I2221" s="4">
        <v>85281</v>
      </c>
      <c r="J2221" s="4">
        <v>24150</v>
      </c>
    </row>
    <row r="2222" spans="2:10" x14ac:dyDescent="0.3">
      <c r="B2222" s="7">
        <v>44531</v>
      </c>
      <c r="C2222" s="3">
        <f t="shared" si="68"/>
        <v>2021</v>
      </c>
      <c r="D2222" s="3">
        <f t="shared" si="69"/>
        <v>202112</v>
      </c>
      <c r="E2222" s="5" t="s">
        <v>4</v>
      </c>
      <c r="F2222" s="5" t="s">
        <v>9</v>
      </c>
      <c r="G2222" s="5" t="s">
        <v>22</v>
      </c>
      <c r="H2222">
        <v>25</v>
      </c>
      <c r="I2222" s="4">
        <v>82400</v>
      </c>
      <c r="J2222" s="4">
        <v>28750</v>
      </c>
    </row>
    <row r="2223" spans="2:10" x14ac:dyDescent="0.3">
      <c r="B2223" s="7">
        <v>44562</v>
      </c>
      <c r="C2223" s="3">
        <f t="shared" si="68"/>
        <v>2022</v>
      </c>
      <c r="D2223" s="3">
        <f t="shared" si="69"/>
        <v>202201</v>
      </c>
      <c r="E2223" s="5" t="s">
        <v>4</v>
      </c>
      <c r="F2223" s="5" t="s">
        <v>9</v>
      </c>
      <c r="G2223" s="5" t="s">
        <v>22</v>
      </c>
      <c r="H2223">
        <v>36</v>
      </c>
      <c r="I2223" s="4">
        <v>129780</v>
      </c>
      <c r="J2223" s="4">
        <v>41400</v>
      </c>
    </row>
    <row r="2224" spans="2:10" x14ac:dyDescent="0.3">
      <c r="B2224" s="7">
        <v>44593</v>
      </c>
      <c r="C2224" s="3">
        <f t="shared" si="68"/>
        <v>2022</v>
      </c>
      <c r="D2224" s="3">
        <f t="shared" si="69"/>
        <v>202202</v>
      </c>
      <c r="E2224" s="5" t="s">
        <v>4</v>
      </c>
      <c r="F2224" s="5" t="s">
        <v>9</v>
      </c>
      <c r="G2224" s="5" t="s">
        <v>22</v>
      </c>
      <c r="H2224">
        <v>23</v>
      </c>
      <c r="I2224" s="4">
        <v>106283</v>
      </c>
      <c r="J2224" s="4">
        <v>26450</v>
      </c>
    </row>
    <row r="2225" spans="2:10" x14ac:dyDescent="0.3">
      <c r="B2225" s="7">
        <v>44621</v>
      </c>
      <c r="C2225" s="3">
        <f t="shared" si="68"/>
        <v>2022</v>
      </c>
      <c r="D2225" s="3">
        <f t="shared" si="69"/>
        <v>202203</v>
      </c>
      <c r="E2225" s="5" t="s">
        <v>4</v>
      </c>
      <c r="F2225" s="5" t="s">
        <v>9</v>
      </c>
      <c r="G2225" s="5" t="s">
        <v>22</v>
      </c>
      <c r="H2225">
        <v>18</v>
      </c>
      <c r="I2225" s="4">
        <v>63054</v>
      </c>
      <c r="J2225" s="4">
        <v>20700</v>
      </c>
    </row>
    <row r="2226" spans="2:10" x14ac:dyDescent="0.3">
      <c r="B2226" s="7">
        <v>44652</v>
      </c>
      <c r="C2226" s="3">
        <f t="shared" si="68"/>
        <v>2022</v>
      </c>
      <c r="D2226" s="3">
        <f t="shared" si="69"/>
        <v>202204</v>
      </c>
      <c r="E2226" s="5" t="s">
        <v>4</v>
      </c>
      <c r="F2226" s="5" t="s">
        <v>9</v>
      </c>
      <c r="G2226" s="5" t="s">
        <v>22</v>
      </c>
      <c r="H2226">
        <v>34</v>
      </c>
      <c r="I2226" s="4">
        <v>153238</v>
      </c>
      <c r="J2226" s="4">
        <v>39100</v>
      </c>
    </row>
    <row r="2227" spans="2:10" x14ac:dyDescent="0.3">
      <c r="B2227" s="7">
        <v>44682</v>
      </c>
      <c r="C2227" s="3">
        <f t="shared" si="68"/>
        <v>2022</v>
      </c>
      <c r="D2227" s="3">
        <f t="shared" si="69"/>
        <v>202205</v>
      </c>
      <c r="E2227" s="5" t="s">
        <v>4</v>
      </c>
      <c r="F2227" s="5" t="s">
        <v>9</v>
      </c>
      <c r="G2227" s="5" t="s">
        <v>22</v>
      </c>
      <c r="H2227">
        <v>43</v>
      </c>
      <c r="I2227" s="4">
        <v>206873</v>
      </c>
      <c r="J2227" s="4">
        <v>49450</v>
      </c>
    </row>
    <row r="2228" spans="2:10" x14ac:dyDescent="0.3">
      <c r="B2228" s="7">
        <v>44713</v>
      </c>
      <c r="C2228" s="3">
        <f t="shared" si="68"/>
        <v>2022</v>
      </c>
      <c r="D2228" s="3">
        <f t="shared" si="69"/>
        <v>202206</v>
      </c>
      <c r="E2228" s="5" t="s">
        <v>4</v>
      </c>
      <c r="F2228" s="5" t="s">
        <v>9</v>
      </c>
      <c r="G2228" s="5" t="s">
        <v>22</v>
      </c>
      <c r="H2228">
        <v>41</v>
      </c>
      <c r="I2228" s="4">
        <v>158711</v>
      </c>
      <c r="J2228" s="4">
        <v>47150</v>
      </c>
    </row>
    <row r="2229" spans="2:10" x14ac:dyDescent="0.3">
      <c r="B2229" s="7">
        <v>44743</v>
      </c>
      <c r="C2229" s="3">
        <f t="shared" si="68"/>
        <v>2022</v>
      </c>
      <c r="D2229" s="3">
        <f t="shared" si="69"/>
        <v>202207</v>
      </c>
      <c r="E2229" s="5" t="s">
        <v>4</v>
      </c>
      <c r="F2229" s="5" t="s">
        <v>9</v>
      </c>
      <c r="G2229" s="5" t="s">
        <v>22</v>
      </c>
      <c r="H2229">
        <v>43</v>
      </c>
      <c r="I2229" s="4">
        <v>110940</v>
      </c>
      <c r="J2229" s="4">
        <v>49450</v>
      </c>
    </row>
    <row r="2230" spans="2:10" x14ac:dyDescent="0.3">
      <c r="B2230" s="7">
        <v>44774</v>
      </c>
      <c r="C2230" s="3">
        <f t="shared" si="68"/>
        <v>2022</v>
      </c>
      <c r="D2230" s="3">
        <f t="shared" si="69"/>
        <v>202208</v>
      </c>
      <c r="E2230" s="5" t="s">
        <v>4</v>
      </c>
      <c r="F2230" s="5" t="s">
        <v>9</v>
      </c>
      <c r="G2230" s="5" t="s">
        <v>22</v>
      </c>
      <c r="H2230">
        <v>36</v>
      </c>
      <c r="I2230" s="4">
        <v>125316</v>
      </c>
      <c r="J2230" s="4">
        <v>41400</v>
      </c>
    </row>
    <row r="2231" spans="2:10" x14ac:dyDescent="0.3">
      <c r="B2231" s="7">
        <v>44805</v>
      </c>
      <c r="C2231" s="3">
        <f t="shared" si="68"/>
        <v>2022</v>
      </c>
      <c r="D2231" s="3">
        <f t="shared" si="69"/>
        <v>202209</v>
      </c>
      <c r="E2231" s="5" t="s">
        <v>4</v>
      </c>
      <c r="F2231" s="5" t="s">
        <v>9</v>
      </c>
      <c r="G2231" s="5" t="s">
        <v>22</v>
      </c>
      <c r="H2231">
        <v>38</v>
      </c>
      <c r="I2231" s="4">
        <v>120080</v>
      </c>
      <c r="J2231" s="4">
        <v>43700</v>
      </c>
    </row>
    <row r="2232" spans="2:10" x14ac:dyDescent="0.3">
      <c r="B2232" s="7">
        <v>44835</v>
      </c>
      <c r="C2232" s="3">
        <f t="shared" si="68"/>
        <v>2022</v>
      </c>
      <c r="D2232" s="3">
        <f t="shared" si="69"/>
        <v>202210</v>
      </c>
      <c r="E2232" s="5" t="s">
        <v>4</v>
      </c>
      <c r="F2232" s="5" t="s">
        <v>9</v>
      </c>
      <c r="G2232" s="5" t="s">
        <v>22</v>
      </c>
      <c r="H2232">
        <v>32</v>
      </c>
      <c r="I2232" s="4">
        <v>148256</v>
      </c>
      <c r="J2232" s="4">
        <v>36800</v>
      </c>
    </row>
    <row r="2233" spans="2:10" x14ac:dyDescent="0.3">
      <c r="B2233" s="7">
        <v>44866</v>
      </c>
      <c r="C2233" s="3">
        <f t="shared" si="68"/>
        <v>2022</v>
      </c>
      <c r="D2233" s="3">
        <f t="shared" si="69"/>
        <v>202211</v>
      </c>
      <c r="E2233" s="5" t="s">
        <v>4</v>
      </c>
      <c r="F2233" s="5" t="s">
        <v>9</v>
      </c>
      <c r="G2233" s="5" t="s">
        <v>22</v>
      </c>
      <c r="H2233">
        <v>23</v>
      </c>
      <c r="I2233" s="4">
        <v>95887</v>
      </c>
      <c r="J2233" s="4">
        <v>26450</v>
      </c>
    </row>
    <row r="2234" spans="2:10" x14ac:dyDescent="0.3">
      <c r="B2234" s="7">
        <v>44896</v>
      </c>
      <c r="C2234" s="3">
        <f t="shared" si="68"/>
        <v>2022</v>
      </c>
      <c r="D2234" s="3">
        <f t="shared" si="69"/>
        <v>202212</v>
      </c>
      <c r="E2234" s="5" t="s">
        <v>4</v>
      </c>
      <c r="F2234" s="5" t="s">
        <v>9</v>
      </c>
      <c r="G2234" s="5" t="s">
        <v>22</v>
      </c>
      <c r="H2234">
        <v>27</v>
      </c>
      <c r="I2234" s="4">
        <v>101898</v>
      </c>
      <c r="J2234" s="4">
        <v>31050</v>
      </c>
    </row>
    <row r="2235" spans="2:10" x14ac:dyDescent="0.3">
      <c r="B2235" s="7">
        <v>44197</v>
      </c>
      <c r="C2235" s="3">
        <f t="shared" si="68"/>
        <v>2021</v>
      </c>
      <c r="D2235" s="3">
        <f t="shared" si="69"/>
        <v>202101</v>
      </c>
      <c r="E2235" s="5" t="s">
        <v>4</v>
      </c>
      <c r="F2235" s="5" t="s">
        <v>9</v>
      </c>
      <c r="G2235" s="5" t="s">
        <v>23</v>
      </c>
      <c r="H2235">
        <v>42</v>
      </c>
      <c r="I2235" s="4">
        <v>188664</v>
      </c>
      <c r="J2235" s="4">
        <v>56028</v>
      </c>
    </row>
    <row r="2236" spans="2:10" x14ac:dyDescent="0.3">
      <c r="B2236" s="7">
        <v>44228</v>
      </c>
      <c r="C2236" s="3">
        <f t="shared" si="68"/>
        <v>2021</v>
      </c>
      <c r="D2236" s="3">
        <f t="shared" si="69"/>
        <v>202102</v>
      </c>
      <c r="E2236" s="5" t="s">
        <v>4</v>
      </c>
      <c r="F2236" s="5" t="s">
        <v>9</v>
      </c>
      <c r="G2236" s="5" t="s">
        <v>23</v>
      </c>
      <c r="H2236">
        <v>27</v>
      </c>
      <c r="I2236" s="4">
        <v>133299</v>
      </c>
      <c r="J2236" s="4">
        <v>36018</v>
      </c>
    </row>
    <row r="2237" spans="2:10" x14ac:dyDescent="0.3">
      <c r="B2237" s="7">
        <v>44256</v>
      </c>
      <c r="C2237" s="3">
        <f t="shared" si="68"/>
        <v>2021</v>
      </c>
      <c r="D2237" s="3">
        <f t="shared" si="69"/>
        <v>202103</v>
      </c>
      <c r="E2237" s="5" t="s">
        <v>4</v>
      </c>
      <c r="F2237" s="5" t="s">
        <v>9</v>
      </c>
      <c r="G2237" s="5" t="s">
        <v>23</v>
      </c>
      <c r="H2237">
        <v>21</v>
      </c>
      <c r="I2237" s="4">
        <v>87234</v>
      </c>
      <c r="J2237" s="4">
        <v>28014</v>
      </c>
    </row>
    <row r="2238" spans="2:10" x14ac:dyDescent="0.3">
      <c r="B2238" s="7">
        <v>44287</v>
      </c>
      <c r="C2238" s="3">
        <f t="shared" si="68"/>
        <v>2021</v>
      </c>
      <c r="D2238" s="3">
        <f t="shared" si="69"/>
        <v>202104</v>
      </c>
      <c r="E2238" s="5" t="s">
        <v>4</v>
      </c>
      <c r="F2238" s="5" t="s">
        <v>9</v>
      </c>
      <c r="G2238" s="5" t="s">
        <v>23</v>
      </c>
      <c r="H2238">
        <v>40</v>
      </c>
      <c r="I2238" s="4">
        <v>182120</v>
      </c>
      <c r="J2238" s="4">
        <v>53360</v>
      </c>
    </row>
    <row r="2239" spans="2:10" x14ac:dyDescent="0.3">
      <c r="B2239" s="7">
        <v>44317</v>
      </c>
      <c r="C2239" s="3">
        <f t="shared" si="68"/>
        <v>2021</v>
      </c>
      <c r="D2239" s="3">
        <f t="shared" si="69"/>
        <v>202105</v>
      </c>
      <c r="E2239" s="5" t="s">
        <v>4</v>
      </c>
      <c r="F2239" s="5" t="s">
        <v>9</v>
      </c>
      <c r="G2239" s="5" t="s">
        <v>23</v>
      </c>
      <c r="H2239">
        <v>50</v>
      </c>
      <c r="I2239" s="4">
        <v>254950</v>
      </c>
      <c r="J2239" s="4">
        <v>66700</v>
      </c>
    </row>
    <row r="2240" spans="2:10" x14ac:dyDescent="0.3">
      <c r="B2240" s="7">
        <v>44348</v>
      </c>
      <c r="C2240" s="3">
        <f t="shared" si="68"/>
        <v>2021</v>
      </c>
      <c r="D2240" s="3">
        <f t="shared" si="69"/>
        <v>202106</v>
      </c>
      <c r="E2240" s="5" t="s">
        <v>4</v>
      </c>
      <c r="F2240" s="5" t="s">
        <v>9</v>
      </c>
      <c r="G2240" s="5" t="s">
        <v>23</v>
      </c>
      <c r="H2240">
        <v>47</v>
      </c>
      <c r="I2240" s="4">
        <v>215824</v>
      </c>
      <c r="J2240" s="4">
        <v>62698</v>
      </c>
    </row>
    <row r="2241" spans="2:10" x14ac:dyDescent="0.3">
      <c r="B2241" s="7">
        <v>44378</v>
      </c>
      <c r="C2241" s="3">
        <f t="shared" si="68"/>
        <v>2021</v>
      </c>
      <c r="D2241" s="3">
        <f t="shared" si="69"/>
        <v>202107</v>
      </c>
      <c r="E2241" s="5" t="s">
        <v>4</v>
      </c>
      <c r="F2241" s="5" t="s">
        <v>9</v>
      </c>
      <c r="G2241" s="5" t="s">
        <v>23</v>
      </c>
      <c r="H2241">
        <v>50</v>
      </c>
      <c r="I2241" s="4">
        <v>143050</v>
      </c>
      <c r="J2241" s="4">
        <v>66700</v>
      </c>
    </row>
    <row r="2242" spans="2:10" x14ac:dyDescent="0.3">
      <c r="B2242" s="7">
        <v>44409</v>
      </c>
      <c r="C2242" s="3">
        <f t="shared" si="68"/>
        <v>2021</v>
      </c>
      <c r="D2242" s="3">
        <f t="shared" si="69"/>
        <v>202108</v>
      </c>
      <c r="E2242" s="5" t="s">
        <v>4</v>
      </c>
      <c r="F2242" s="5" t="s">
        <v>9</v>
      </c>
      <c r="G2242" s="5" t="s">
        <v>23</v>
      </c>
      <c r="H2242">
        <v>42</v>
      </c>
      <c r="I2242" s="4">
        <v>134610</v>
      </c>
      <c r="J2242" s="4">
        <v>56028</v>
      </c>
    </row>
    <row r="2243" spans="2:10" x14ac:dyDescent="0.3">
      <c r="B2243" s="7">
        <v>44440</v>
      </c>
      <c r="C2243" s="3">
        <f t="shared" ref="C2243:C2306" si="70">YEAR(B2243)</f>
        <v>2021</v>
      </c>
      <c r="D2243" s="3">
        <f t="shared" ref="D2243:D2306" si="71">VALUE(TEXT(B2243,"ГГГГММ"))</f>
        <v>202109</v>
      </c>
      <c r="E2243" s="5" t="s">
        <v>4</v>
      </c>
      <c r="F2243" s="5" t="s">
        <v>9</v>
      </c>
      <c r="G2243" s="5" t="s">
        <v>23</v>
      </c>
      <c r="H2243">
        <v>45</v>
      </c>
      <c r="I2243" s="4">
        <v>149670</v>
      </c>
      <c r="J2243" s="4">
        <v>60030</v>
      </c>
    </row>
    <row r="2244" spans="2:10" x14ac:dyDescent="0.3">
      <c r="B2244" s="7">
        <v>44470</v>
      </c>
      <c r="C2244" s="3">
        <f t="shared" si="70"/>
        <v>2021</v>
      </c>
      <c r="D2244" s="3">
        <f t="shared" si="71"/>
        <v>202110</v>
      </c>
      <c r="E2244" s="5" t="s">
        <v>4</v>
      </c>
      <c r="F2244" s="5" t="s">
        <v>9</v>
      </c>
      <c r="G2244" s="5" t="s">
        <v>23</v>
      </c>
      <c r="H2244">
        <v>37</v>
      </c>
      <c r="I2244" s="4">
        <v>168905</v>
      </c>
      <c r="J2244" s="4">
        <v>49358</v>
      </c>
    </row>
    <row r="2245" spans="2:10" x14ac:dyDescent="0.3">
      <c r="B2245" s="7">
        <v>44501</v>
      </c>
      <c r="C2245" s="3">
        <f t="shared" si="70"/>
        <v>2021</v>
      </c>
      <c r="D2245" s="3">
        <f t="shared" si="71"/>
        <v>202111</v>
      </c>
      <c r="E2245" s="5" t="s">
        <v>4</v>
      </c>
      <c r="F2245" s="5" t="s">
        <v>9</v>
      </c>
      <c r="G2245" s="5" t="s">
        <v>23</v>
      </c>
      <c r="H2245">
        <v>27</v>
      </c>
      <c r="I2245" s="4">
        <v>112725</v>
      </c>
      <c r="J2245" s="4">
        <v>36018</v>
      </c>
    </row>
    <row r="2246" spans="2:10" x14ac:dyDescent="0.3">
      <c r="B2246" s="7">
        <v>44531</v>
      </c>
      <c r="C2246" s="3">
        <f t="shared" si="70"/>
        <v>2021</v>
      </c>
      <c r="D2246" s="3">
        <f t="shared" si="71"/>
        <v>202112</v>
      </c>
      <c r="E2246" s="5" t="s">
        <v>4</v>
      </c>
      <c r="F2246" s="5" t="s">
        <v>9</v>
      </c>
      <c r="G2246" s="5" t="s">
        <v>23</v>
      </c>
      <c r="H2246">
        <v>32</v>
      </c>
      <c r="I2246" s="4">
        <v>121216</v>
      </c>
      <c r="J2246" s="4">
        <v>42688</v>
      </c>
    </row>
    <row r="2247" spans="2:10" x14ac:dyDescent="0.3">
      <c r="B2247" s="7">
        <v>44562</v>
      </c>
      <c r="C2247" s="3">
        <f t="shared" si="70"/>
        <v>2022</v>
      </c>
      <c r="D2247" s="3">
        <f t="shared" si="71"/>
        <v>202201</v>
      </c>
      <c r="E2247" s="5" t="s">
        <v>4</v>
      </c>
      <c r="F2247" s="5" t="s">
        <v>9</v>
      </c>
      <c r="G2247" s="5" t="s">
        <v>23</v>
      </c>
      <c r="H2247">
        <v>46</v>
      </c>
      <c r="I2247" s="4">
        <v>188002</v>
      </c>
      <c r="J2247" s="4">
        <v>61364</v>
      </c>
    </row>
    <row r="2248" spans="2:10" x14ac:dyDescent="0.3">
      <c r="B2248" s="7">
        <v>44593</v>
      </c>
      <c r="C2248" s="3">
        <f t="shared" si="70"/>
        <v>2022</v>
      </c>
      <c r="D2248" s="3">
        <f t="shared" si="71"/>
        <v>202202</v>
      </c>
      <c r="E2248" s="5" t="s">
        <v>4</v>
      </c>
      <c r="F2248" s="5" t="s">
        <v>9</v>
      </c>
      <c r="G2248" s="5" t="s">
        <v>23</v>
      </c>
      <c r="H2248">
        <v>29</v>
      </c>
      <c r="I2248" s="4">
        <v>127600</v>
      </c>
      <c r="J2248" s="4">
        <v>38686</v>
      </c>
    </row>
    <row r="2249" spans="2:10" x14ac:dyDescent="0.3">
      <c r="B2249" s="7">
        <v>44621</v>
      </c>
      <c r="C2249" s="3">
        <f t="shared" si="70"/>
        <v>2022</v>
      </c>
      <c r="D2249" s="3">
        <f t="shared" si="71"/>
        <v>202203</v>
      </c>
      <c r="E2249" s="5" t="s">
        <v>4</v>
      </c>
      <c r="F2249" s="5" t="s">
        <v>9</v>
      </c>
      <c r="G2249" s="5" t="s">
        <v>23</v>
      </c>
      <c r="H2249">
        <v>23</v>
      </c>
      <c r="I2249" s="4">
        <v>87653</v>
      </c>
      <c r="J2249" s="4">
        <v>30682</v>
      </c>
    </row>
    <row r="2250" spans="2:10" x14ac:dyDescent="0.3">
      <c r="B2250" s="7">
        <v>44652</v>
      </c>
      <c r="C2250" s="3">
        <f t="shared" si="70"/>
        <v>2022</v>
      </c>
      <c r="D2250" s="3">
        <f t="shared" si="71"/>
        <v>202204</v>
      </c>
      <c r="E2250" s="5" t="s">
        <v>4</v>
      </c>
      <c r="F2250" s="5" t="s">
        <v>9</v>
      </c>
      <c r="G2250" s="5" t="s">
        <v>23</v>
      </c>
      <c r="H2250">
        <v>44</v>
      </c>
      <c r="I2250" s="4">
        <v>198484</v>
      </c>
      <c r="J2250" s="4">
        <v>58696</v>
      </c>
    </row>
    <row r="2251" spans="2:10" x14ac:dyDescent="0.3">
      <c r="B2251" s="7">
        <v>44682</v>
      </c>
      <c r="C2251" s="3">
        <f t="shared" si="70"/>
        <v>2022</v>
      </c>
      <c r="D2251" s="3">
        <f t="shared" si="71"/>
        <v>202205</v>
      </c>
      <c r="E2251" s="5" t="s">
        <v>4</v>
      </c>
      <c r="F2251" s="5" t="s">
        <v>9</v>
      </c>
      <c r="G2251" s="5" t="s">
        <v>23</v>
      </c>
      <c r="H2251">
        <v>55</v>
      </c>
      <c r="I2251" s="4">
        <v>227865</v>
      </c>
      <c r="J2251" s="4">
        <v>73370</v>
      </c>
    </row>
    <row r="2252" spans="2:10" x14ac:dyDescent="0.3">
      <c r="B2252" s="7">
        <v>44713</v>
      </c>
      <c r="C2252" s="3">
        <f t="shared" si="70"/>
        <v>2022</v>
      </c>
      <c r="D2252" s="3">
        <f t="shared" si="71"/>
        <v>202206</v>
      </c>
      <c r="E2252" s="5" t="s">
        <v>4</v>
      </c>
      <c r="F2252" s="5" t="s">
        <v>9</v>
      </c>
      <c r="G2252" s="5" t="s">
        <v>23</v>
      </c>
      <c r="H2252">
        <v>52</v>
      </c>
      <c r="I2252" s="4">
        <v>230464</v>
      </c>
      <c r="J2252" s="4">
        <v>69368</v>
      </c>
    </row>
    <row r="2253" spans="2:10" x14ac:dyDescent="0.3">
      <c r="B2253" s="7">
        <v>44743</v>
      </c>
      <c r="C2253" s="3">
        <f t="shared" si="70"/>
        <v>2022</v>
      </c>
      <c r="D2253" s="3">
        <f t="shared" si="71"/>
        <v>202207</v>
      </c>
      <c r="E2253" s="5" t="s">
        <v>4</v>
      </c>
      <c r="F2253" s="5" t="s">
        <v>9</v>
      </c>
      <c r="G2253" s="5" t="s">
        <v>23</v>
      </c>
      <c r="H2253">
        <v>55</v>
      </c>
      <c r="I2253" s="4">
        <v>165110</v>
      </c>
      <c r="J2253" s="4">
        <v>73370</v>
      </c>
    </row>
    <row r="2254" spans="2:10" x14ac:dyDescent="0.3">
      <c r="B2254" s="7">
        <v>44774</v>
      </c>
      <c r="C2254" s="3">
        <f t="shared" si="70"/>
        <v>2022</v>
      </c>
      <c r="D2254" s="3">
        <f t="shared" si="71"/>
        <v>202208</v>
      </c>
      <c r="E2254" s="5" t="s">
        <v>4</v>
      </c>
      <c r="F2254" s="5" t="s">
        <v>9</v>
      </c>
      <c r="G2254" s="5" t="s">
        <v>23</v>
      </c>
      <c r="H2254">
        <v>46</v>
      </c>
      <c r="I2254" s="4">
        <v>144164</v>
      </c>
      <c r="J2254" s="4">
        <v>61364</v>
      </c>
    </row>
    <row r="2255" spans="2:10" x14ac:dyDescent="0.3">
      <c r="B2255" s="7">
        <v>44805</v>
      </c>
      <c r="C2255" s="3">
        <f t="shared" si="70"/>
        <v>2022</v>
      </c>
      <c r="D2255" s="3">
        <f t="shared" si="71"/>
        <v>202209</v>
      </c>
      <c r="E2255" s="5" t="s">
        <v>4</v>
      </c>
      <c r="F2255" s="5" t="s">
        <v>9</v>
      </c>
      <c r="G2255" s="5" t="s">
        <v>23</v>
      </c>
      <c r="H2255">
        <v>49</v>
      </c>
      <c r="I2255" s="4">
        <v>210945</v>
      </c>
      <c r="J2255" s="4">
        <v>65366</v>
      </c>
    </row>
    <row r="2256" spans="2:10" x14ac:dyDescent="0.3">
      <c r="B2256" s="7">
        <v>44835</v>
      </c>
      <c r="C2256" s="3">
        <f t="shared" si="70"/>
        <v>2022</v>
      </c>
      <c r="D2256" s="3">
        <f t="shared" si="71"/>
        <v>202210</v>
      </c>
      <c r="E2256" s="5" t="s">
        <v>4</v>
      </c>
      <c r="F2256" s="5" t="s">
        <v>9</v>
      </c>
      <c r="G2256" s="5" t="s">
        <v>23</v>
      </c>
      <c r="H2256">
        <v>41</v>
      </c>
      <c r="I2256" s="4">
        <v>176505</v>
      </c>
      <c r="J2256" s="4">
        <v>54694</v>
      </c>
    </row>
    <row r="2257" spans="2:10" x14ac:dyDescent="0.3">
      <c r="B2257" s="7">
        <v>44866</v>
      </c>
      <c r="C2257" s="3">
        <f t="shared" si="70"/>
        <v>2022</v>
      </c>
      <c r="D2257" s="3">
        <f t="shared" si="71"/>
        <v>202211</v>
      </c>
      <c r="E2257" s="5" t="s">
        <v>4</v>
      </c>
      <c r="F2257" s="5" t="s">
        <v>9</v>
      </c>
      <c r="G2257" s="5" t="s">
        <v>23</v>
      </c>
      <c r="H2257">
        <v>29</v>
      </c>
      <c r="I2257" s="4">
        <v>120495</v>
      </c>
      <c r="J2257" s="4">
        <v>38686</v>
      </c>
    </row>
    <row r="2258" spans="2:10" x14ac:dyDescent="0.3">
      <c r="B2258" s="7">
        <v>44896</v>
      </c>
      <c r="C2258" s="3">
        <f t="shared" si="70"/>
        <v>2022</v>
      </c>
      <c r="D2258" s="3">
        <f t="shared" si="71"/>
        <v>202212</v>
      </c>
      <c r="E2258" s="5" t="s">
        <v>4</v>
      </c>
      <c r="F2258" s="5" t="s">
        <v>9</v>
      </c>
      <c r="G2258" s="5" t="s">
        <v>23</v>
      </c>
      <c r="H2258">
        <v>35</v>
      </c>
      <c r="I2258" s="4">
        <v>142485</v>
      </c>
      <c r="J2258" s="4">
        <v>46690</v>
      </c>
    </row>
    <row r="2259" spans="2:10" x14ac:dyDescent="0.3">
      <c r="B2259" s="7">
        <v>44197</v>
      </c>
      <c r="C2259" s="3">
        <f t="shared" si="70"/>
        <v>2021</v>
      </c>
      <c r="D2259" s="3">
        <f t="shared" si="71"/>
        <v>202101</v>
      </c>
      <c r="E2259" s="5" t="s">
        <v>4</v>
      </c>
      <c r="F2259" s="5" t="s">
        <v>9</v>
      </c>
      <c r="G2259" s="5" t="s">
        <v>24</v>
      </c>
      <c r="H2259">
        <v>35</v>
      </c>
      <c r="I2259" s="4">
        <v>199955</v>
      </c>
      <c r="J2259" s="4">
        <v>70560</v>
      </c>
    </row>
    <row r="2260" spans="2:10" x14ac:dyDescent="0.3">
      <c r="B2260" s="7">
        <v>44228</v>
      </c>
      <c r="C2260" s="3">
        <f t="shared" si="70"/>
        <v>2021</v>
      </c>
      <c r="D2260" s="3">
        <f t="shared" si="71"/>
        <v>202102</v>
      </c>
      <c r="E2260" s="5" t="s">
        <v>4</v>
      </c>
      <c r="F2260" s="5" t="s">
        <v>9</v>
      </c>
      <c r="G2260" s="5" t="s">
        <v>24</v>
      </c>
      <c r="H2260">
        <v>22</v>
      </c>
      <c r="I2260" s="4">
        <v>122144</v>
      </c>
      <c r="J2260" s="4">
        <v>44352</v>
      </c>
    </row>
    <row r="2261" spans="2:10" x14ac:dyDescent="0.3">
      <c r="B2261" s="7">
        <v>44256</v>
      </c>
      <c r="C2261" s="3">
        <f t="shared" si="70"/>
        <v>2021</v>
      </c>
      <c r="D2261" s="3">
        <f t="shared" si="71"/>
        <v>202103</v>
      </c>
      <c r="E2261" s="5" t="s">
        <v>4</v>
      </c>
      <c r="F2261" s="5" t="s">
        <v>9</v>
      </c>
      <c r="G2261" s="5" t="s">
        <v>24</v>
      </c>
      <c r="H2261">
        <v>18</v>
      </c>
      <c r="I2261" s="4">
        <v>91188</v>
      </c>
      <c r="J2261" s="4">
        <v>36288</v>
      </c>
    </row>
    <row r="2262" spans="2:10" x14ac:dyDescent="0.3">
      <c r="B2262" s="7">
        <v>44287</v>
      </c>
      <c r="C2262" s="3">
        <f t="shared" si="70"/>
        <v>2021</v>
      </c>
      <c r="D2262" s="3">
        <f t="shared" si="71"/>
        <v>202104</v>
      </c>
      <c r="E2262" s="5" t="s">
        <v>4</v>
      </c>
      <c r="F2262" s="5" t="s">
        <v>9</v>
      </c>
      <c r="G2262" s="5" t="s">
        <v>24</v>
      </c>
      <c r="H2262">
        <v>33</v>
      </c>
      <c r="I2262" s="4">
        <v>195591</v>
      </c>
      <c r="J2262" s="4">
        <v>66528</v>
      </c>
    </row>
    <row r="2263" spans="2:10" x14ac:dyDescent="0.3">
      <c r="B2263" s="7">
        <v>44317</v>
      </c>
      <c r="C2263" s="3">
        <f t="shared" si="70"/>
        <v>2021</v>
      </c>
      <c r="D2263" s="3">
        <f t="shared" si="71"/>
        <v>202105</v>
      </c>
      <c r="E2263" s="5" t="s">
        <v>4</v>
      </c>
      <c r="F2263" s="5" t="s">
        <v>9</v>
      </c>
      <c r="G2263" s="5" t="s">
        <v>24</v>
      </c>
      <c r="H2263">
        <v>42</v>
      </c>
      <c r="I2263" s="4">
        <v>259770</v>
      </c>
      <c r="J2263" s="4">
        <v>84672</v>
      </c>
    </row>
    <row r="2264" spans="2:10" x14ac:dyDescent="0.3">
      <c r="B2264" s="7">
        <v>44348</v>
      </c>
      <c r="C2264" s="3">
        <f t="shared" si="70"/>
        <v>2021</v>
      </c>
      <c r="D2264" s="3">
        <f t="shared" si="71"/>
        <v>202106</v>
      </c>
      <c r="E2264" s="5" t="s">
        <v>4</v>
      </c>
      <c r="F2264" s="5" t="s">
        <v>9</v>
      </c>
      <c r="G2264" s="5" t="s">
        <v>24</v>
      </c>
      <c r="H2264">
        <v>39</v>
      </c>
      <c r="I2264" s="4">
        <v>208260</v>
      </c>
      <c r="J2264" s="4">
        <v>78624</v>
      </c>
    </row>
    <row r="2265" spans="2:10" x14ac:dyDescent="0.3">
      <c r="B2265" s="7">
        <v>44378</v>
      </c>
      <c r="C2265" s="3">
        <f t="shared" si="70"/>
        <v>2021</v>
      </c>
      <c r="D2265" s="3">
        <f t="shared" si="71"/>
        <v>202107</v>
      </c>
      <c r="E2265" s="5" t="s">
        <v>4</v>
      </c>
      <c r="F2265" s="5" t="s">
        <v>9</v>
      </c>
      <c r="G2265" s="5" t="s">
        <v>24</v>
      </c>
      <c r="H2265">
        <v>42</v>
      </c>
      <c r="I2265" s="4">
        <v>179466</v>
      </c>
      <c r="J2265" s="4">
        <v>84672</v>
      </c>
    </row>
    <row r="2266" spans="2:10" x14ac:dyDescent="0.3">
      <c r="B2266" s="7">
        <v>44409</v>
      </c>
      <c r="C2266" s="3">
        <f t="shared" si="70"/>
        <v>2021</v>
      </c>
      <c r="D2266" s="3">
        <f t="shared" si="71"/>
        <v>202108</v>
      </c>
      <c r="E2266" s="5" t="s">
        <v>4</v>
      </c>
      <c r="F2266" s="5" t="s">
        <v>9</v>
      </c>
      <c r="G2266" s="5" t="s">
        <v>24</v>
      </c>
      <c r="H2266">
        <v>35</v>
      </c>
      <c r="I2266" s="4">
        <v>171990</v>
      </c>
      <c r="J2266" s="4">
        <v>70560</v>
      </c>
    </row>
    <row r="2267" spans="2:10" x14ac:dyDescent="0.3">
      <c r="B2267" s="7">
        <v>44440</v>
      </c>
      <c r="C2267" s="3">
        <f t="shared" si="70"/>
        <v>2021</v>
      </c>
      <c r="D2267" s="3">
        <f t="shared" si="71"/>
        <v>202109</v>
      </c>
      <c r="E2267" s="5" t="s">
        <v>4</v>
      </c>
      <c r="F2267" s="5" t="s">
        <v>9</v>
      </c>
      <c r="G2267" s="5" t="s">
        <v>24</v>
      </c>
      <c r="H2267">
        <v>37</v>
      </c>
      <c r="I2267" s="4">
        <v>201243</v>
      </c>
      <c r="J2267" s="4">
        <v>74592</v>
      </c>
    </row>
    <row r="2268" spans="2:10" x14ac:dyDescent="0.3">
      <c r="B2268" s="7">
        <v>44470</v>
      </c>
      <c r="C2268" s="3">
        <f t="shared" si="70"/>
        <v>2021</v>
      </c>
      <c r="D2268" s="3">
        <f t="shared" si="71"/>
        <v>202110</v>
      </c>
      <c r="E2268" s="5" t="s">
        <v>4</v>
      </c>
      <c r="F2268" s="5" t="s">
        <v>9</v>
      </c>
      <c r="G2268" s="5" t="s">
        <v>24</v>
      </c>
      <c r="H2268">
        <v>31</v>
      </c>
      <c r="I2268" s="4">
        <v>177537</v>
      </c>
      <c r="J2268" s="4">
        <v>62496</v>
      </c>
    </row>
    <row r="2269" spans="2:10" x14ac:dyDescent="0.3">
      <c r="B2269" s="7">
        <v>44501</v>
      </c>
      <c r="C2269" s="3">
        <f t="shared" si="70"/>
        <v>2021</v>
      </c>
      <c r="D2269" s="3">
        <f t="shared" si="71"/>
        <v>202111</v>
      </c>
      <c r="E2269" s="5" t="s">
        <v>4</v>
      </c>
      <c r="F2269" s="5" t="s">
        <v>9</v>
      </c>
      <c r="G2269" s="5" t="s">
        <v>24</v>
      </c>
      <c r="H2269">
        <v>22</v>
      </c>
      <c r="I2269" s="4">
        <v>116358</v>
      </c>
      <c r="J2269" s="4">
        <v>44352</v>
      </c>
    </row>
    <row r="2270" spans="2:10" x14ac:dyDescent="0.3">
      <c r="B2270" s="7">
        <v>44531</v>
      </c>
      <c r="C2270" s="3">
        <f t="shared" si="70"/>
        <v>2021</v>
      </c>
      <c r="D2270" s="3">
        <f t="shared" si="71"/>
        <v>202112</v>
      </c>
      <c r="E2270" s="5" t="s">
        <v>4</v>
      </c>
      <c r="F2270" s="5" t="s">
        <v>9</v>
      </c>
      <c r="G2270" s="5" t="s">
        <v>24</v>
      </c>
      <c r="H2270">
        <v>26</v>
      </c>
      <c r="I2270" s="4">
        <v>144248</v>
      </c>
      <c r="J2270" s="4">
        <v>52416</v>
      </c>
    </row>
    <row r="2271" spans="2:10" x14ac:dyDescent="0.3">
      <c r="B2271" s="7">
        <v>44562</v>
      </c>
      <c r="C2271" s="3">
        <f t="shared" si="70"/>
        <v>2022</v>
      </c>
      <c r="D2271" s="3">
        <f t="shared" si="71"/>
        <v>202201</v>
      </c>
      <c r="E2271" s="5" t="s">
        <v>4</v>
      </c>
      <c r="F2271" s="5" t="s">
        <v>9</v>
      </c>
      <c r="G2271" s="5" t="s">
        <v>24</v>
      </c>
      <c r="H2271">
        <v>39</v>
      </c>
      <c r="I2271" s="4">
        <v>204477</v>
      </c>
      <c r="J2271" s="4">
        <v>78624</v>
      </c>
    </row>
    <row r="2272" spans="2:10" x14ac:dyDescent="0.3">
      <c r="B2272" s="7">
        <v>44593</v>
      </c>
      <c r="C2272" s="3">
        <f t="shared" si="70"/>
        <v>2022</v>
      </c>
      <c r="D2272" s="3">
        <f t="shared" si="71"/>
        <v>202202</v>
      </c>
      <c r="E2272" s="5" t="s">
        <v>4</v>
      </c>
      <c r="F2272" s="5" t="s">
        <v>9</v>
      </c>
      <c r="G2272" s="5" t="s">
        <v>24</v>
      </c>
      <c r="H2272">
        <v>24</v>
      </c>
      <c r="I2272" s="4">
        <v>127416</v>
      </c>
      <c r="J2272" s="4">
        <v>48384</v>
      </c>
    </row>
    <row r="2273" spans="2:10" x14ac:dyDescent="0.3">
      <c r="B2273" s="7">
        <v>44621</v>
      </c>
      <c r="C2273" s="3">
        <f t="shared" si="70"/>
        <v>2022</v>
      </c>
      <c r="D2273" s="3">
        <f t="shared" si="71"/>
        <v>202203</v>
      </c>
      <c r="E2273" s="5" t="s">
        <v>4</v>
      </c>
      <c r="F2273" s="5" t="s">
        <v>9</v>
      </c>
      <c r="G2273" s="5" t="s">
        <v>24</v>
      </c>
      <c r="H2273">
        <v>20</v>
      </c>
      <c r="I2273" s="4">
        <v>101520</v>
      </c>
      <c r="J2273" s="4">
        <v>40320</v>
      </c>
    </row>
    <row r="2274" spans="2:10" x14ac:dyDescent="0.3">
      <c r="B2274" s="7">
        <v>44652</v>
      </c>
      <c r="C2274" s="3">
        <f t="shared" si="70"/>
        <v>2022</v>
      </c>
      <c r="D2274" s="3">
        <f t="shared" si="71"/>
        <v>202204</v>
      </c>
      <c r="E2274" s="5" t="s">
        <v>4</v>
      </c>
      <c r="F2274" s="5" t="s">
        <v>9</v>
      </c>
      <c r="G2274" s="5" t="s">
        <v>24</v>
      </c>
      <c r="H2274">
        <v>36</v>
      </c>
      <c r="I2274" s="4">
        <v>211140</v>
      </c>
      <c r="J2274" s="4">
        <v>72576</v>
      </c>
    </row>
    <row r="2275" spans="2:10" x14ac:dyDescent="0.3">
      <c r="B2275" s="7">
        <v>44682</v>
      </c>
      <c r="C2275" s="3">
        <f t="shared" si="70"/>
        <v>2022</v>
      </c>
      <c r="D2275" s="3">
        <f t="shared" si="71"/>
        <v>202205</v>
      </c>
      <c r="E2275" s="5" t="s">
        <v>4</v>
      </c>
      <c r="F2275" s="5" t="s">
        <v>9</v>
      </c>
      <c r="G2275" s="5" t="s">
        <v>24</v>
      </c>
      <c r="H2275">
        <v>46</v>
      </c>
      <c r="I2275" s="4">
        <v>288328</v>
      </c>
      <c r="J2275" s="4">
        <v>92736</v>
      </c>
    </row>
    <row r="2276" spans="2:10" x14ac:dyDescent="0.3">
      <c r="B2276" s="7">
        <v>44713</v>
      </c>
      <c r="C2276" s="3">
        <f t="shared" si="70"/>
        <v>2022</v>
      </c>
      <c r="D2276" s="3">
        <f t="shared" si="71"/>
        <v>202206</v>
      </c>
      <c r="E2276" s="5" t="s">
        <v>4</v>
      </c>
      <c r="F2276" s="5" t="s">
        <v>9</v>
      </c>
      <c r="G2276" s="5" t="s">
        <v>24</v>
      </c>
      <c r="H2276">
        <v>43</v>
      </c>
      <c r="I2276" s="4">
        <v>209367</v>
      </c>
      <c r="J2276" s="4">
        <v>86688</v>
      </c>
    </row>
    <row r="2277" spans="2:10" x14ac:dyDescent="0.3">
      <c r="B2277" s="7">
        <v>44743</v>
      </c>
      <c r="C2277" s="3">
        <f t="shared" si="70"/>
        <v>2022</v>
      </c>
      <c r="D2277" s="3">
        <f t="shared" si="71"/>
        <v>202207</v>
      </c>
      <c r="E2277" s="5" t="s">
        <v>4</v>
      </c>
      <c r="F2277" s="5" t="s">
        <v>9</v>
      </c>
      <c r="G2277" s="5" t="s">
        <v>24</v>
      </c>
      <c r="H2277">
        <v>46</v>
      </c>
      <c r="I2277" s="4">
        <v>199548</v>
      </c>
      <c r="J2277" s="4">
        <v>92736</v>
      </c>
    </row>
    <row r="2278" spans="2:10" x14ac:dyDescent="0.3">
      <c r="B2278" s="7">
        <v>44774</v>
      </c>
      <c r="C2278" s="3">
        <f t="shared" si="70"/>
        <v>2022</v>
      </c>
      <c r="D2278" s="3">
        <f t="shared" si="71"/>
        <v>202208</v>
      </c>
      <c r="E2278" s="5" t="s">
        <v>4</v>
      </c>
      <c r="F2278" s="5" t="s">
        <v>9</v>
      </c>
      <c r="G2278" s="5" t="s">
        <v>24</v>
      </c>
      <c r="H2278">
        <v>39</v>
      </c>
      <c r="I2278" s="4">
        <v>187707</v>
      </c>
      <c r="J2278" s="4">
        <v>78624</v>
      </c>
    </row>
    <row r="2279" spans="2:10" x14ac:dyDescent="0.3">
      <c r="B2279" s="7">
        <v>44805</v>
      </c>
      <c r="C2279" s="3">
        <f t="shared" si="70"/>
        <v>2022</v>
      </c>
      <c r="D2279" s="3">
        <f t="shared" si="71"/>
        <v>202209</v>
      </c>
      <c r="E2279" s="5" t="s">
        <v>4</v>
      </c>
      <c r="F2279" s="5" t="s">
        <v>9</v>
      </c>
      <c r="G2279" s="5" t="s">
        <v>24</v>
      </c>
      <c r="H2279">
        <v>41</v>
      </c>
      <c r="I2279" s="4">
        <v>222671</v>
      </c>
      <c r="J2279" s="4">
        <v>82656</v>
      </c>
    </row>
    <row r="2280" spans="2:10" x14ac:dyDescent="0.3">
      <c r="B2280" s="7">
        <v>44835</v>
      </c>
      <c r="C2280" s="3">
        <f t="shared" si="70"/>
        <v>2022</v>
      </c>
      <c r="D2280" s="3">
        <f t="shared" si="71"/>
        <v>202210</v>
      </c>
      <c r="E2280" s="5" t="s">
        <v>4</v>
      </c>
      <c r="F2280" s="5" t="s">
        <v>9</v>
      </c>
      <c r="G2280" s="5" t="s">
        <v>24</v>
      </c>
      <c r="H2280">
        <v>34</v>
      </c>
      <c r="I2280" s="4">
        <v>184280</v>
      </c>
      <c r="J2280" s="4">
        <v>68544</v>
      </c>
    </row>
    <row r="2281" spans="2:10" x14ac:dyDescent="0.3">
      <c r="B2281" s="7">
        <v>44866</v>
      </c>
      <c r="C2281" s="3">
        <f t="shared" si="70"/>
        <v>2022</v>
      </c>
      <c r="D2281" s="3">
        <f t="shared" si="71"/>
        <v>202211</v>
      </c>
      <c r="E2281" s="5" t="s">
        <v>4</v>
      </c>
      <c r="F2281" s="5" t="s">
        <v>9</v>
      </c>
      <c r="G2281" s="5" t="s">
        <v>24</v>
      </c>
      <c r="H2281">
        <v>24</v>
      </c>
      <c r="I2281" s="4">
        <v>119712</v>
      </c>
      <c r="J2281" s="4">
        <v>48384</v>
      </c>
    </row>
    <row r="2282" spans="2:10" x14ac:dyDescent="0.3">
      <c r="B2282" s="7">
        <v>44896</v>
      </c>
      <c r="C2282" s="3">
        <f t="shared" si="70"/>
        <v>2022</v>
      </c>
      <c r="D2282" s="3">
        <f t="shared" si="71"/>
        <v>202212</v>
      </c>
      <c r="E2282" s="5" t="s">
        <v>4</v>
      </c>
      <c r="F2282" s="5" t="s">
        <v>9</v>
      </c>
      <c r="G2282" s="5" t="s">
        <v>24</v>
      </c>
      <c r="H2282">
        <v>29</v>
      </c>
      <c r="I2282" s="4">
        <v>122351</v>
      </c>
      <c r="J2282" s="4">
        <v>58464</v>
      </c>
    </row>
    <row r="2283" spans="2:10" x14ac:dyDescent="0.3">
      <c r="B2283" s="7">
        <v>44197</v>
      </c>
      <c r="C2283" s="3">
        <f t="shared" si="70"/>
        <v>2021</v>
      </c>
      <c r="D2283" s="3">
        <f t="shared" si="71"/>
        <v>202101</v>
      </c>
      <c r="E2283" s="5" t="s">
        <v>4</v>
      </c>
      <c r="F2283" s="5" t="s">
        <v>9</v>
      </c>
      <c r="G2283" s="5" t="s">
        <v>25</v>
      </c>
      <c r="H2283">
        <v>32</v>
      </c>
      <c r="I2283" s="4">
        <v>107712</v>
      </c>
      <c r="J2283" s="4">
        <v>29920.000000000004</v>
      </c>
    </row>
    <row r="2284" spans="2:10" x14ac:dyDescent="0.3">
      <c r="B2284" s="7">
        <v>44228</v>
      </c>
      <c r="C2284" s="3">
        <f t="shared" si="70"/>
        <v>2021</v>
      </c>
      <c r="D2284" s="3">
        <f t="shared" si="71"/>
        <v>202102</v>
      </c>
      <c r="E2284" s="5" t="s">
        <v>4</v>
      </c>
      <c r="F2284" s="5" t="s">
        <v>9</v>
      </c>
      <c r="G2284" s="5" t="s">
        <v>25</v>
      </c>
      <c r="H2284">
        <v>20</v>
      </c>
      <c r="I2284" s="4">
        <v>54240</v>
      </c>
      <c r="J2284" s="4">
        <v>18700.000000000004</v>
      </c>
    </row>
    <row r="2285" spans="2:10" x14ac:dyDescent="0.3">
      <c r="B2285" s="7">
        <v>44256</v>
      </c>
      <c r="C2285" s="3">
        <f t="shared" si="70"/>
        <v>2021</v>
      </c>
      <c r="D2285" s="3">
        <f t="shared" si="71"/>
        <v>202103</v>
      </c>
      <c r="E2285" s="5" t="s">
        <v>4</v>
      </c>
      <c r="F2285" s="5" t="s">
        <v>9</v>
      </c>
      <c r="G2285" s="5" t="s">
        <v>25</v>
      </c>
      <c r="H2285">
        <v>16</v>
      </c>
      <c r="I2285" s="4">
        <v>41072</v>
      </c>
      <c r="J2285" s="4">
        <v>14960.000000000002</v>
      </c>
    </row>
    <row r="2286" spans="2:10" x14ac:dyDescent="0.3">
      <c r="B2286" s="7">
        <v>44287</v>
      </c>
      <c r="C2286" s="3">
        <f t="shared" si="70"/>
        <v>2021</v>
      </c>
      <c r="D2286" s="3">
        <f t="shared" si="71"/>
        <v>202104</v>
      </c>
      <c r="E2286" s="5" t="s">
        <v>4</v>
      </c>
      <c r="F2286" s="5" t="s">
        <v>9</v>
      </c>
      <c r="G2286" s="5" t="s">
        <v>25</v>
      </c>
      <c r="H2286">
        <v>30</v>
      </c>
      <c r="I2286" s="4">
        <v>97860</v>
      </c>
      <c r="J2286" s="4">
        <v>28050.000000000004</v>
      </c>
    </row>
    <row r="2287" spans="2:10" x14ac:dyDescent="0.3">
      <c r="B2287" s="7">
        <v>44317</v>
      </c>
      <c r="C2287" s="3">
        <f t="shared" si="70"/>
        <v>2021</v>
      </c>
      <c r="D2287" s="3">
        <f t="shared" si="71"/>
        <v>202105</v>
      </c>
      <c r="E2287" s="5" t="s">
        <v>4</v>
      </c>
      <c r="F2287" s="5" t="s">
        <v>9</v>
      </c>
      <c r="G2287" s="5" t="s">
        <v>25</v>
      </c>
      <c r="H2287">
        <v>38</v>
      </c>
      <c r="I2287" s="4">
        <v>135014</v>
      </c>
      <c r="J2287" s="4">
        <v>35530.000000000007</v>
      </c>
    </row>
    <row r="2288" spans="2:10" x14ac:dyDescent="0.3">
      <c r="B2288" s="7">
        <v>44348</v>
      </c>
      <c r="C2288" s="3">
        <f t="shared" si="70"/>
        <v>2021</v>
      </c>
      <c r="D2288" s="3">
        <f t="shared" si="71"/>
        <v>202106</v>
      </c>
      <c r="E2288" s="5" t="s">
        <v>4</v>
      </c>
      <c r="F2288" s="5" t="s">
        <v>9</v>
      </c>
      <c r="G2288" s="5" t="s">
        <v>25</v>
      </c>
      <c r="H2288">
        <v>36</v>
      </c>
      <c r="I2288" s="4">
        <v>98136</v>
      </c>
      <c r="J2288" s="4">
        <v>33660.000000000007</v>
      </c>
    </row>
    <row r="2289" spans="2:10" x14ac:dyDescent="0.3">
      <c r="B2289" s="7">
        <v>44378</v>
      </c>
      <c r="C2289" s="3">
        <f t="shared" si="70"/>
        <v>2021</v>
      </c>
      <c r="D2289" s="3">
        <f t="shared" si="71"/>
        <v>202107</v>
      </c>
      <c r="E2289" s="5" t="s">
        <v>4</v>
      </c>
      <c r="F2289" s="5" t="s">
        <v>9</v>
      </c>
      <c r="G2289" s="5" t="s">
        <v>25</v>
      </c>
      <c r="H2289">
        <v>38</v>
      </c>
      <c r="I2289" s="4">
        <v>57000</v>
      </c>
      <c r="J2289" s="4">
        <v>35530.000000000007</v>
      </c>
    </row>
    <row r="2290" spans="2:10" x14ac:dyDescent="0.3">
      <c r="B2290" s="7">
        <v>44409</v>
      </c>
      <c r="C2290" s="3">
        <f t="shared" si="70"/>
        <v>2021</v>
      </c>
      <c r="D2290" s="3">
        <f t="shared" si="71"/>
        <v>202108</v>
      </c>
      <c r="E2290" s="5" t="s">
        <v>4</v>
      </c>
      <c r="F2290" s="5" t="s">
        <v>9</v>
      </c>
      <c r="G2290" s="5" t="s">
        <v>25</v>
      </c>
      <c r="H2290">
        <v>32</v>
      </c>
      <c r="I2290" s="4">
        <v>83168</v>
      </c>
      <c r="J2290" s="4">
        <v>29920.000000000004</v>
      </c>
    </row>
    <row r="2291" spans="2:10" x14ac:dyDescent="0.3">
      <c r="B2291" s="7">
        <v>44440</v>
      </c>
      <c r="C2291" s="3">
        <f t="shared" si="70"/>
        <v>2021</v>
      </c>
      <c r="D2291" s="3">
        <f t="shared" si="71"/>
        <v>202109</v>
      </c>
      <c r="E2291" s="5" t="s">
        <v>4</v>
      </c>
      <c r="F2291" s="5" t="s">
        <v>9</v>
      </c>
      <c r="G2291" s="5" t="s">
        <v>25</v>
      </c>
      <c r="H2291">
        <v>34</v>
      </c>
      <c r="I2291" s="4">
        <v>76806</v>
      </c>
      <c r="J2291" s="4">
        <v>31790.000000000004</v>
      </c>
    </row>
    <row r="2292" spans="2:10" x14ac:dyDescent="0.3">
      <c r="B2292" s="7">
        <v>44470</v>
      </c>
      <c r="C2292" s="3">
        <f t="shared" si="70"/>
        <v>2021</v>
      </c>
      <c r="D2292" s="3">
        <f t="shared" si="71"/>
        <v>202110</v>
      </c>
      <c r="E2292" s="5" t="s">
        <v>4</v>
      </c>
      <c r="F2292" s="5" t="s">
        <v>9</v>
      </c>
      <c r="G2292" s="5" t="s">
        <v>25</v>
      </c>
      <c r="H2292">
        <v>28</v>
      </c>
      <c r="I2292" s="4">
        <v>102116</v>
      </c>
      <c r="J2292" s="4">
        <v>26180.000000000004</v>
      </c>
    </row>
    <row r="2293" spans="2:10" x14ac:dyDescent="0.3">
      <c r="B2293" s="7">
        <v>44501</v>
      </c>
      <c r="C2293" s="3">
        <f t="shared" si="70"/>
        <v>2021</v>
      </c>
      <c r="D2293" s="3">
        <f t="shared" si="71"/>
        <v>202111</v>
      </c>
      <c r="E2293" s="5" t="s">
        <v>4</v>
      </c>
      <c r="F2293" s="5" t="s">
        <v>9</v>
      </c>
      <c r="G2293" s="5" t="s">
        <v>25</v>
      </c>
      <c r="H2293">
        <v>20</v>
      </c>
      <c r="I2293" s="4">
        <v>60940</v>
      </c>
      <c r="J2293" s="4">
        <v>18700.000000000004</v>
      </c>
    </row>
    <row r="2294" spans="2:10" x14ac:dyDescent="0.3">
      <c r="B2294" s="7">
        <v>44531</v>
      </c>
      <c r="C2294" s="3">
        <f t="shared" si="70"/>
        <v>2021</v>
      </c>
      <c r="D2294" s="3">
        <f t="shared" si="71"/>
        <v>202112</v>
      </c>
      <c r="E2294" s="5" t="s">
        <v>4</v>
      </c>
      <c r="F2294" s="5" t="s">
        <v>9</v>
      </c>
      <c r="G2294" s="5" t="s">
        <v>25</v>
      </c>
      <c r="H2294">
        <v>24</v>
      </c>
      <c r="I2294" s="4">
        <v>75216</v>
      </c>
      <c r="J2294" s="4">
        <v>22440.000000000004</v>
      </c>
    </row>
    <row r="2295" spans="2:10" x14ac:dyDescent="0.3">
      <c r="B2295" s="7">
        <v>44562</v>
      </c>
      <c r="C2295" s="3">
        <f t="shared" si="70"/>
        <v>2022</v>
      </c>
      <c r="D2295" s="3">
        <f t="shared" si="71"/>
        <v>202201</v>
      </c>
      <c r="E2295" s="5" t="s">
        <v>4</v>
      </c>
      <c r="F2295" s="5" t="s">
        <v>9</v>
      </c>
      <c r="G2295" s="5" t="s">
        <v>25</v>
      </c>
      <c r="H2295">
        <v>35</v>
      </c>
      <c r="I2295" s="4">
        <v>114940</v>
      </c>
      <c r="J2295" s="4">
        <v>32725.000000000004</v>
      </c>
    </row>
    <row r="2296" spans="2:10" x14ac:dyDescent="0.3">
      <c r="B2296" s="7">
        <v>44593</v>
      </c>
      <c r="C2296" s="3">
        <f t="shared" si="70"/>
        <v>2022</v>
      </c>
      <c r="D2296" s="3">
        <f t="shared" si="71"/>
        <v>202202</v>
      </c>
      <c r="E2296" s="5" t="s">
        <v>4</v>
      </c>
      <c r="F2296" s="5" t="s">
        <v>9</v>
      </c>
      <c r="G2296" s="5" t="s">
        <v>25</v>
      </c>
      <c r="H2296">
        <v>22</v>
      </c>
      <c r="I2296" s="4">
        <v>69168</v>
      </c>
      <c r="J2296" s="4">
        <v>20570.000000000004</v>
      </c>
    </row>
    <row r="2297" spans="2:10" x14ac:dyDescent="0.3">
      <c r="B2297" s="7">
        <v>44621</v>
      </c>
      <c r="C2297" s="3">
        <f t="shared" si="70"/>
        <v>2022</v>
      </c>
      <c r="D2297" s="3">
        <f t="shared" si="71"/>
        <v>202203</v>
      </c>
      <c r="E2297" s="5" t="s">
        <v>4</v>
      </c>
      <c r="F2297" s="5" t="s">
        <v>9</v>
      </c>
      <c r="G2297" s="5" t="s">
        <v>25</v>
      </c>
      <c r="H2297">
        <v>18</v>
      </c>
      <c r="I2297" s="4">
        <v>50868</v>
      </c>
      <c r="J2297" s="4">
        <v>16830.000000000004</v>
      </c>
    </row>
    <row r="2298" spans="2:10" x14ac:dyDescent="0.3">
      <c r="B2298" s="7">
        <v>44652</v>
      </c>
      <c r="C2298" s="3">
        <f t="shared" si="70"/>
        <v>2022</v>
      </c>
      <c r="D2298" s="3">
        <f t="shared" si="71"/>
        <v>202204</v>
      </c>
      <c r="E2298" s="5" t="s">
        <v>4</v>
      </c>
      <c r="F2298" s="5" t="s">
        <v>9</v>
      </c>
      <c r="G2298" s="5" t="s">
        <v>25</v>
      </c>
      <c r="H2298">
        <v>33</v>
      </c>
      <c r="I2298" s="4">
        <v>102036</v>
      </c>
      <c r="J2298" s="4">
        <v>30855.000000000004</v>
      </c>
    </row>
    <row r="2299" spans="2:10" x14ac:dyDescent="0.3">
      <c r="B2299" s="7">
        <v>44682</v>
      </c>
      <c r="C2299" s="3">
        <f t="shared" si="70"/>
        <v>2022</v>
      </c>
      <c r="D2299" s="3">
        <f t="shared" si="71"/>
        <v>202205</v>
      </c>
      <c r="E2299" s="5" t="s">
        <v>4</v>
      </c>
      <c r="F2299" s="5" t="s">
        <v>9</v>
      </c>
      <c r="G2299" s="5" t="s">
        <v>25</v>
      </c>
      <c r="H2299">
        <v>41</v>
      </c>
      <c r="I2299" s="4">
        <v>171667</v>
      </c>
      <c r="J2299" s="4">
        <v>38335.000000000007</v>
      </c>
    </row>
    <row r="2300" spans="2:10" x14ac:dyDescent="0.3">
      <c r="B2300" s="7">
        <v>44713</v>
      </c>
      <c r="C2300" s="3">
        <f t="shared" si="70"/>
        <v>2022</v>
      </c>
      <c r="D2300" s="3">
        <f t="shared" si="71"/>
        <v>202206</v>
      </c>
      <c r="E2300" s="5" t="s">
        <v>4</v>
      </c>
      <c r="F2300" s="5" t="s">
        <v>9</v>
      </c>
      <c r="G2300" s="5" t="s">
        <v>25</v>
      </c>
      <c r="H2300">
        <v>39</v>
      </c>
      <c r="I2300" s="4">
        <v>148200</v>
      </c>
      <c r="J2300" s="4">
        <v>36465.000000000007</v>
      </c>
    </row>
    <row r="2301" spans="2:10" x14ac:dyDescent="0.3">
      <c r="B2301" s="7">
        <v>44743</v>
      </c>
      <c r="C2301" s="3">
        <f t="shared" si="70"/>
        <v>2022</v>
      </c>
      <c r="D2301" s="3">
        <f t="shared" si="71"/>
        <v>202207</v>
      </c>
      <c r="E2301" s="5" t="s">
        <v>4</v>
      </c>
      <c r="F2301" s="5" t="s">
        <v>9</v>
      </c>
      <c r="G2301" s="5" t="s">
        <v>25</v>
      </c>
      <c r="H2301">
        <v>41</v>
      </c>
      <c r="I2301" s="4">
        <v>68019</v>
      </c>
      <c r="J2301" s="4">
        <v>38335.000000000007</v>
      </c>
    </row>
    <row r="2302" spans="2:10" x14ac:dyDescent="0.3">
      <c r="B2302" s="7">
        <v>44774</v>
      </c>
      <c r="C2302" s="3">
        <f t="shared" si="70"/>
        <v>2022</v>
      </c>
      <c r="D2302" s="3">
        <f t="shared" si="71"/>
        <v>202208</v>
      </c>
      <c r="E2302" s="5" t="s">
        <v>4</v>
      </c>
      <c r="F2302" s="5" t="s">
        <v>9</v>
      </c>
      <c r="G2302" s="5" t="s">
        <v>25</v>
      </c>
      <c r="H2302">
        <v>35</v>
      </c>
      <c r="I2302" s="4">
        <v>79520</v>
      </c>
      <c r="J2302" s="4">
        <v>32725.000000000004</v>
      </c>
    </row>
    <row r="2303" spans="2:10" x14ac:dyDescent="0.3">
      <c r="B2303" s="7">
        <v>44805</v>
      </c>
      <c r="C2303" s="3">
        <f t="shared" si="70"/>
        <v>2022</v>
      </c>
      <c r="D2303" s="3">
        <f t="shared" si="71"/>
        <v>202209</v>
      </c>
      <c r="E2303" s="5" t="s">
        <v>4</v>
      </c>
      <c r="F2303" s="5" t="s">
        <v>9</v>
      </c>
      <c r="G2303" s="5" t="s">
        <v>25</v>
      </c>
      <c r="H2303">
        <v>37</v>
      </c>
      <c r="I2303" s="4">
        <v>105117</v>
      </c>
      <c r="J2303" s="4">
        <v>34595.000000000007</v>
      </c>
    </row>
    <row r="2304" spans="2:10" x14ac:dyDescent="0.3">
      <c r="B2304" s="7">
        <v>44835</v>
      </c>
      <c r="C2304" s="3">
        <f t="shared" si="70"/>
        <v>2022</v>
      </c>
      <c r="D2304" s="3">
        <f t="shared" si="71"/>
        <v>202210</v>
      </c>
      <c r="E2304" s="5" t="s">
        <v>4</v>
      </c>
      <c r="F2304" s="5" t="s">
        <v>9</v>
      </c>
      <c r="G2304" s="5" t="s">
        <v>25</v>
      </c>
      <c r="H2304">
        <v>31</v>
      </c>
      <c r="I2304" s="4">
        <v>91729</v>
      </c>
      <c r="J2304" s="4">
        <v>28985.000000000004</v>
      </c>
    </row>
    <row r="2305" spans="2:10" x14ac:dyDescent="0.3">
      <c r="B2305" s="7">
        <v>44866</v>
      </c>
      <c r="C2305" s="3">
        <f t="shared" si="70"/>
        <v>2022</v>
      </c>
      <c r="D2305" s="3">
        <f t="shared" si="71"/>
        <v>202211</v>
      </c>
      <c r="E2305" s="5" t="s">
        <v>4</v>
      </c>
      <c r="F2305" s="5" t="s">
        <v>9</v>
      </c>
      <c r="G2305" s="5" t="s">
        <v>25</v>
      </c>
      <c r="H2305">
        <v>22</v>
      </c>
      <c r="I2305" s="4">
        <v>68376</v>
      </c>
      <c r="J2305" s="4">
        <v>20570.000000000004</v>
      </c>
    </row>
    <row r="2306" spans="2:10" x14ac:dyDescent="0.3">
      <c r="B2306" s="7">
        <v>44896</v>
      </c>
      <c r="C2306" s="3">
        <f t="shared" si="70"/>
        <v>2022</v>
      </c>
      <c r="D2306" s="3">
        <f t="shared" si="71"/>
        <v>202212</v>
      </c>
      <c r="E2306" s="5" t="s">
        <v>4</v>
      </c>
      <c r="F2306" s="5" t="s">
        <v>9</v>
      </c>
      <c r="G2306" s="5" t="s">
        <v>25</v>
      </c>
      <c r="H2306">
        <v>26</v>
      </c>
      <c r="I2306" s="4">
        <v>52650</v>
      </c>
      <c r="J2306" s="4">
        <v>24310.000000000004</v>
      </c>
    </row>
    <row r="2307" spans="2:10" x14ac:dyDescent="0.3">
      <c r="B2307" s="7">
        <v>44197</v>
      </c>
      <c r="C2307" s="3">
        <f t="shared" ref="C2307:C2370" si="72">YEAR(B2307)</f>
        <v>2021</v>
      </c>
      <c r="D2307" s="3">
        <f t="shared" ref="D2307:D2370" si="73">VALUE(TEXT(B2307,"ГГГГММ"))</f>
        <v>202101</v>
      </c>
      <c r="E2307" s="5" t="s">
        <v>4</v>
      </c>
      <c r="F2307" s="5" t="s">
        <v>9</v>
      </c>
      <c r="G2307" s="5" t="s">
        <v>26</v>
      </c>
      <c r="H2307">
        <v>39</v>
      </c>
      <c r="I2307" s="4">
        <v>182832</v>
      </c>
      <c r="J2307" s="4">
        <v>77064</v>
      </c>
    </row>
    <row r="2308" spans="2:10" x14ac:dyDescent="0.3">
      <c r="B2308" s="7">
        <v>44228</v>
      </c>
      <c r="C2308" s="3">
        <f t="shared" si="72"/>
        <v>2021</v>
      </c>
      <c r="D2308" s="3">
        <f t="shared" si="73"/>
        <v>202102</v>
      </c>
      <c r="E2308" s="5" t="s">
        <v>4</v>
      </c>
      <c r="F2308" s="5" t="s">
        <v>9</v>
      </c>
      <c r="G2308" s="5" t="s">
        <v>26</v>
      </c>
      <c r="H2308">
        <v>25</v>
      </c>
      <c r="I2308" s="4">
        <v>122225</v>
      </c>
      <c r="J2308" s="4">
        <v>49400</v>
      </c>
    </row>
    <row r="2309" spans="2:10" x14ac:dyDescent="0.3">
      <c r="B2309" s="7">
        <v>44256</v>
      </c>
      <c r="C2309" s="3">
        <f t="shared" si="72"/>
        <v>2021</v>
      </c>
      <c r="D2309" s="3">
        <f t="shared" si="73"/>
        <v>202103</v>
      </c>
      <c r="E2309" s="5" t="s">
        <v>4</v>
      </c>
      <c r="F2309" s="5" t="s">
        <v>9</v>
      </c>
      <c r="G2309" s="5" t="s">
        <v>26</v>
      </c>
      <c r="H2309">
        <v>20</v>
      </c>
      <c r="I2309" s="4">
        <v>92260</v>
      </c>
      <c r="J2309" s="4">
        <v>39520</v>
      </c>
    </row>
    <row r="2310" spans="2:10" x14ac:dyDescent="0.3">
      <c r="B2310" s="7">
        <v>44287</v>
      </c>
      <c r="C2310" s="3">
        <f t="shared" si="72"/>
        <v>2021</v>
      </c>
      <c r="D2310" s="3">
        <f t="shared" si="73"/>
        <v>202104</v>
      </c>
      <c r="E2310" s="5" t="s">
        <v>4</v>
      </c>
      <c r="F2310" s="5" t="s">
        <v>9</v>
      </c>
      <c r="G2310" s="5" t="s">
        <v>26</v>
      </c>
      <c r="H2310">
        <v>37</v>
      </c>
      <c r="I2310" s="4">
        <v>201650</v>
      </c>
      <c r="J2310" s="4">
        <v>73112</v>
      </c>
    </row>
    <row r="2311" spans="2:10" x14ac:dyDescent="0.3">
      <c r="B2311" s="7">
        <v>44317</v>
      </c>
      <c r="C2311" s="3">
        <f t="shared" si="72"/>
        <v>2021</v>
      </c>
      <c r="D2311" s="3">
        <f t="shared" si="73"/>
        <v>202105</v>
      </c>
      <c r="E2311" s="5" t="s">
        <v>4</v>
      </c>
      <c r="F2311" s="5" t="s">
        <v>9</v>
      </c>
      <c r="G2311" s="5" t="s">
        <v>26</v>
      </c>
      <c r="H2311">
        <v>46</v>
      </c>
      <c r="I2311" s="4">
        <v>298770</v>
      </c>
      <c r="J2311" s="4">
        <v>90896</v>
      </c>
    </row>
    <row r="2312" spans="2:10" x14ac:dyDescent="0.3">
      <c r="B2312" s="7">
        <v>44348</v>
      </c>
      <c r="C2312" s="3">
        <f t="shared" si="72"/>
        <v>2021</v>
      </c>
      <c r="D2312" s="3">
        <f t="shared" si="73"/>
        <v>202106</v>
      </c>
      <c r="E2312" s="5" t="s">
        <v>4</v>
      </c>
      <c r="F2312" s="5" t="s">
        <v>9</v>
      </c>
      <c r="G2312" s="5" t="s">
        <v>26</v>
      </c>
      <c r="H2312">
        <v>44</v>
      </c>
      <c r="I2312" s="4">
        <v>229416</v>
      </c>
      <c r="J2312" s="4">
        <v>86944</v>
      </c>
    </row>
    <row r="2313" spans="2:10" x14ac:dyDescent="0.3">
      <c r="B2313" s="7">
        <v>44378</v>
      </c>
      <c r="C2313" s="3">
        <f t="shared" si="72"/>
        <v>2021</v>
      </c>
      <c r="D2313" s="3">
        <f t="shared" si="73"/>
        <v>202107</v>
      </c>
      <c r="E2313" s="5" t="s">
        <v>4</v>
      </c>
      <c r="F2313" s="5" t="s">
        <v>9</v>
      </c>
      <c r="G2313" s="5" t="s">
        <v>26</v>
      </c>
      <c r="H2313">
        <v>46</v>
      </c>
      <c r="I2313" s="4">
        <v>132664</v>
      </c>
      <c r="J2313" s="4">
        <v>90896</v>
      </c>
    </row>
    <row r="2314" spans="2:10" x14ac:dyDescent="0.3">
      <c r="B2314" s="7">
        <v>44409</v>
      </c>
      <c r="C2314" s="3">
        <f t="shared" si="72"/>
        <v>2021</v>
      </c>
      <c r="D2314" s="3">
        <f t="shared" si="73"/>
        <v>202108</v>
      </c>
      <c r="E2314" s="5" t="s">
        <v>4</v>
      </c>
      <c r="F2314" s="5" t="s">
        <v>9</v>
      </c>
      <c r="G2314" s="5" t="s">
        <v>26</v>
      </c>
      <c r="H2314">
        <v>39</v>
      </c>
      <c r="I2314" s="4">
        <v>175890</v>
      </c>
      <c r="J2314" s="4">
        <v>77064</v>
      </c>
    </row>
    <row r="2315" spans="2:10" x14ac:dyDescent="0.3">
      <c r="B2315" s="7">
        <v>44440</v>
      </c>
      <c r="C2315" s="3">
        <f t="shared" si="72"/>
        <v>2021</v>
      </c>
      <c r="D2315" s="3">
        <f t="shared" si="73"/>
        <v>202109</v>
      </c>
      <c r="E2315" s="5" t="s">
        <v>4</v>
      </c>
      <c r="F2315" s="5" t="s">
        <v>9</v>
      </c>
      <c r="G2315" s="5" t="s">
        <v>26</v>
      </c>
      <c r="H2315">
        <v>41</v>
      </c>
      <c r="I2315" s="4">
        <v>202212</v>
      </c>
      <c r="J2315" s="4">
        <v>81016</v>
      </c>
    </row>
    <row r="2316" spans="2:10" x14ac:dyDescent="0.3">
      <c r="B2316" s="7">
        <v>44470</v>
      </c>
      <c r="C2316" s="3">
        <f t="shared" si="72"/>
        <v>2021</v>
      </c>
      <c r="D2316" s="3">
        <f t="shared" si="73"/>
        <v>202110</v>
      </c>
      <c r="E2316" s="5" t="s">
        <v>4</v>
      </c>
      <c r="F2316" s="5" t="s">
        <v>9</v>
      </c>
      <c r="G2316" s="5" t="s">
        <v>26</v>
      </c>
      <c r="H2316">
        <v>34</v>
      </c>
      <c r="I2316" s="4">
        <v>182750</v>
      </c>
      <c r="J2316" s="4">
        <v>67184</v>
      </c>
    </row>
    <row r="2317" spans="2:10" x14ac:dyDescent="0.3">
      <c r="B2317" s="7">
        <v>44501</v>
      </c>
      <c r="C2317" s="3">
        <f t="shared" si="72"/>
        <v>2021</v>
      </c>
      <c r="D2317" s="3">
        <f t="shared" si="73"/>
        <v>202111</v>
      </c>
      <c r="E2317" s="5" t="s">
        <v>4</v>
      </c>
      <c r="F2317" s="5" t="s">
        <v>9</v>
      </c>
      <c r="G2317" s="5" t="s">
        <v>26</v>
      </c>
      <c r="H2317">
        <v>25</v>
      </c>
      <c r="I2317" s="4">
        <v>136625</v>
      </c>
      <c r="J2317" s="4">
        <v>49400</v>
      </c>
    </row>
    <row r="2318" spans="2:10" x14ac:dyDescent="0.3">
      <c r="B2318" s="7">
        <v>44531</v>
      </c>
      <c r="C2318" s="3">
        <f t="shared" si="72"/>
        <v>2021</v>
      </c>
      <c r="D2318" s="3">
        <f t="shared" si="73"/>
        <v>202112</v>
      </c>
      <c r="E2318" s="5" t="s">
        <v>4</v>
      </c>
      <c r="F2318" s="5" t="s">
        <v>9</v>
      </c>
      <c r="G2318" s="5" t="s">
        <v>26</v>
      </c>
      <c r="H2318">
        <v>29</v>
      </c>
      <c r="I2318" s="4">
        <v>126469</v>
      </c>
      <c r="J2318" s="4">
        <v>57304</v>
      </c>
    </row>
    <row r="2319" spans="2:10" x14ac:dyDescent="0.3">
      <c r="B2319" s="7">
        <v>44562</v>
      </c>
      <c r="C2319" s="3">
        <f t="shared" si="72"/>
        <v>2022</v>
      </c>
      <c r="D2319" s="3">
        <f t="shared" si="73"/>
        <v>202201</v>
      </c>
      <c r="E2319" s="5" t="s">
        <v>4</v>
      </c>
      <c r="F2319" s="5" t="s">
        <v>9</v>
      </c>
      <c r="G2319" s="5" t="s">
        <v>26</v>
      </c>
      <c r="H2319">
        <v>43</v>
      </c>
      <c r="I2319" s="4">
        <v>227771</v>
      </c>
      <c r="J2319" s="4">
        <v>84968</v>
      </c>
    </row>
    <row r="2320" spans="2:10" x14ac:dyDescent="0.3">
      <c r="B2320" s="7">
        <v>44593</v>
      </c>
      <c r="C2320" s="3">
        <f t="shared" si="72"/>
        <v>2022</v>
      </c>
      <c r="D2320" s="3">
        <f t="shared" si="73"/>
        <v>202202</v>
      </c>
      <c r="E2320" s="5" t="s">
        <v>4</v>
      </c>
      <c r="F2320" s="5" t="s">
        <v>9</v>
      </c>
      <c r="G2320" s="5" t="s">
        <v>26</v>
      </c>
      <c r="H2320">
        <v>27</v>
      </c>
      <c r="I2320" s="4">
        <v>156924</v>
      </c>
      <c r="J2320" s="4">
        <v>53352</v>
      </c>
    </row>
    <row r="2321" spans="2:10" x14ac:dyDescent="0.3">
      <c r="B2321" s="7">
        <v>44621</v>
      </c>
      <c r="C2321" s="3">
        <f t="shared" si="72"/>
        <v>2022</v>
      </c>
      <c r="D2321" s="3">
        <f t="shared" si="73"/>
        <v>202203</v>
      </c>
      <c r="E2321" s="5" t="s">
        <v>4</v>
      </c>
      <c r="F2321" s="5" t="s">
        <v>9</v>
      </c>
      <c r="G2321" s="5" t="s">
        <v>26</v>
      </c>
      <c r="H2321">
        <v>22</v>
      </c>
      <c r="I2321" s="4">
        <v>103092</v>
      </c>
      <c r="J2321" s="4">
        <v>43472</v>
      </c>
    </row>
    <row r="2322" spans="2:10" x14ac:dyDescent="0.3">
      <c r="B2322" s="7">
        <v>44652</v>
      </c>
      <c r="C2322" s="3">
        <f t="shared" si="72"/>
        <v>2022</v>
      </c>
      <c r="D2322" s="3">
        <f t="shared" si="73"/>
        <v>202204</v>
      </c>
      <c r="E2322" s="5" t="s">
        <v>4</v>
      </c>
      <c r="F2322" s="5" t="s">
        <v>9</v>
      </c>
      <c r="G2322" s="5" t="s">
        <v>26</v>
      </c>
      <c r="H2322">
        <v>40</v>
      </c>
      <c r="I2322" s="4">
        <v>244080</v>
      </c>
      <c r="J2322" s="4">
        <v>79040</v>
      </c>
    </row>
    <row r="2323" spans="2:10" x14ac:dyDescent="0.3">
      <c r="B2323" s="7">
        <v>44682</v>
      </c>
      <c r="C2323" s="3">
        <f t="shared" si="72"/>
        <v>2022</v>
      </c>
      <c r="D2323" s="3">
        <f t="shared" si="73"/>
        <v>202205</v>
      </c>
      <c r="E2323" s="5" t="s">
        <v>4</v>
      </c>
      <c r="F2323" s="5" t="s">
        <v>9</v>
      </c>
      <c r="G2323" s="5" t="s">
        <v>26</v>
      </c>
      <c r="H2323">
        <v>51</v>
      </c>
      <c r="I2323" s="4">
        <v>313038</v>
      </c>
      <c r="J2323" s="4">
        <v>100776</v>
      </c>
    </row>
    <row r="2324" spans="2:10" x14ac:dyDescent="0.3">
      <c r="B2324" s="7">
        <v>44713</v>
      </c>
      <c r="C2324" s="3">
        <f t="shared" si="72"/>
        <v>2022</v>
      </c>
      <c r="D2324" s="3">
        <f t="shared" si="73"/>
        <v>202206</v>
      </c>
      <c r="E2324" s="5" t="s">
        <v>4</v>
      </c>
      <c r="F2324" s="5" t="s">
        <v>9</v>
      </c>
      <c r="G2324" s="5" t="s">
        <v>26</v>
      </c>
      <c r="H2324">
        <v>48</v>
      </c>
      <c r="I2324" s="4">
        <v>244128</v>
      </c>
      <c r="J2324" s="4">
        <v>94848</v>
      </c>
    </row>
    <row r="2325" spans="2:10" x14ac:dyDescent="0.3">
      <c r="B2325" s="7">
        <v>44743</v>
      </c>
      <c r="C2325" s="3">
        <f t="shared" si="72"/>
        <v>2022</v>
      </c>
      <c r="D2325" s="3">
        <f t="shared" si="73"/>
        <v>202207</v>
      </c>
      <c r="E2325" s="5" t="s">
        <v>4</v>
      </c>
      <c r="F2325" s="5" t="s">
        <v>9</v>
      </c>
      <c r="G2325" s="5" t="s">
        <v>26</v>
      </c>
      <c r="H2325">
        <v>51</v>
      </c>
      <c r="I2325" s="4">
        <v>146676</v>
      </c>
      <c r="J2325" s="4">
        <v>100776</v>
      </c>
    </row>
    <row r="2326" spans="2:10" x14ac:dyDescent="0.3">
      <c r="B2326" s="7">
        <v>44774</v>
      </c>
      <c r="C2326" s="3">
        <f t="shared" si="72"/>
        <v>2022</v>
      </c>
      <c r="D2326" s="3">
        <f t="shared" si="73"/>
        <v>202208</v>
      </c>
      <c r="E2326" s="5" t="s">
        <v>4</v>
      </c>
      <c r="F2326" s="5" t="s">
        <v>9</v>
      </c>
      <c r="G2326" s="5" t="s">
        <v>26</v>
      </c>
      <c r="H2326">
        <v>43</v>
      </c>
      <c r="I2326" s="4">
        <v>204852</v>
      </c>
      <c r="J2326" s="4">
        <v>84968</v>
      </c>
    </row>
    <row r="2327" spans="2:10" x14ac:dyDescent="0.3">
      <c r="B2327" s="7">
        <v>44805</v>
      </c>
      <c r="C2327" s="3">
        <f t="shared" si="72"/>
        <v>2022</v>
      </c>
      <c r="D2327" s="3">
        <f t="shared" si="73"/>
        <v>202209</v>
      </c>
      <c r="E2327" s="5" t="s">
        <v>4</v>
      </c>
      <c r="F2327" s="5" t="s">
        <v>9</v>
      </c>
      <c r="G2327" s="5" t="s">
        <v>26</v>
      </c>
      <c r="H2327">
        <v>46</v>
      </c>
      <c r="I2327" s="4">
        <v>218408</v>
      </c>
      <c r="J2327" s="4">
        <v>90896</v>
      </c>
    </row>
    <row r="2328" spans="2:10" x14ac:dyDescent="0.3">
      <c r="B2328" s="7">
        <v>44835</v>
      </c>
      <c r="C2328" s="3">
        <f t="shared" si="72"/>
        <v>2022</v>
      </c>
      <c r="D2328" s="3">
        <f t="shared" si="73"/>
        <v>202210</v>
      </c>
      <c r="E2328" s="5" t="s">
        <v>4</v>
      </c>
      <c r="F2328" s="5" t="s">
        <v>9</v>
      </c>
      <c r="G2328" s="5" t="s">
        <v>26</v>
      </c>
      <c r="H2328">
        <v>38</v>
      </c>
      <c r="I2328" s="4">
        <v>216904</v>
      </c>
      <c r="J2328" s="4">
        <v>75088</v>
      </c>
    </row>
    <row r="2329" spans="2:10" x14ac:dyDescent="0.3">
      <c r="B2329" s="7">
        <v>44866</v>
      </c>
      <c r="C2329" s="3">
        <f t="shared" si="72"/>
        <v>2022</v>
      </c>
      <c r="D2329" s="3">
        <f t="shared" si="73"/>
        <v>202211</v>
      </c>
      <c r="E2329" s="5" t="s">
        <v>4</v>
      </c>
      <c r="F2329" s="5" t="s">
        <v>9</v>
      </c>
      <c r="G2329" s="5" t="s">
        <v>26</v>
      </c>
      <c r="H2329">
        <v>27</v>
      </c>
      <c r="I2329" s="4">
        <v>134730</v>
      </c>
      <c r="J2329" s="4">
        <v>53352</v>
      </c>
    </row>
    <row r="2330" spans="2:10" x14ac:dyDescent="0.3">
      <c r="B2330" s="7">
        <v>44896</v>
      </c>
      <c r="C2330" s="3">
        <f t="shared" si="72"/>
        <v>2022</v>
      </c>
      <c r="D2330" s="3">
        <f t="shared" si="73"/>
        <v>202212</v>
      </c>
      <c r="E2330" s="5" t="s">
        <v>4</v>
      </c>
      <c r="F2330" s="5" t="s">
        <v>9</v>
      </c>
      <c r="G2330" s="5" t="s">
        <v>26</v>
      </c>
      <c r="H2330">
        <v>32</v>
      </c>
      <c r="I2330" s="4">
        <v>142144</v>
      </c>
      <c r="J2330" s="4">
        <v>63232</v>
      </c>
    </row>
    <row r="2331" spans="2:10" x14ac:dyDescent="0.3">
      <c r="B2331" s="7">
        <v>44197</v>
      </c>
      <c r="C2331" s="3">
        <f t="shared" si="72"/>
        <v>2021</v>
      </c>
      <c r="D2331" s="3">
        <f t="shared" si="73"/>
        <v>202101</v>
      </c>
      <c r="E2331" s="5" t="s">
        <v>4</v>
      </c>
      <c r="F2331" s="5" t="s">
        <v>9</v>
      </c>
      <c r="G2331" s="5" t="s">
        <v>27</v>
      </c>
      <c r="H2331">
        <v>35</v>
      </c>
      <c r="I2331" s="4">
        <v>189910</v>
      </c>
      <c r="J2331" s="4">
        <v>63000</v>
      </c>
    </row>
    <row r="2332" spans="2:10" x14ac:dyDescent="0.3">
      <c r="B2332" s="7">
        <v>44228</v>
      </c>
      <c r="C2332" s="3">
        <f t="shared" si="72"/>
        <v>2021</v>
      </c>
      <c r="D2332" s="3">
        <f t="shared" si="73"/>
        <v>202102</v>
      </c>
      <c r="E2332" s="5" t="s">
        <v>4</v>
      </c>
      <c r="F2332" s="5" t="s">
        <v>9</v>
      </c>
      <c r="G2332" s="5" t="s">
        <v>27</v>
      </c>
      <c r="H2332">
        <v>22</v>
      </c>
      <c r="I2332" s="4">
        <v>120780</v>
      </c>
      <c r="J2332" s="4">
        <v>39600</v>
      </c>
    </row>
    <row r="2333" spans="2:10" x14ac:dyDescent="0.3">
      <c r="B2333" s="7">
        <v>44256</v>
      </c>
      <c r="C2333" s="3">
        <f t="shared" si="72"/>
        <v>2021</v>
      </c>
      <c r="D2333" s="3">
        <f t="shared" si="73"/>
        <v>202103</v>
      </c>
      <c r="E2333" s="5" t="s">
        <v>4</v>
      </c>
      <c r="F2333" s="5" t="s">
        <v>9</v>
      </c>
      <c r="G2333" s="5" t="s">
        <v>27</v>
      </c>
      <c r="H2333">
        <v>18</v>
      </c>
      <c r="I2333" s="4">
        <v>92448</v>
      </c>
      <c r="J2333" s="4">
        <v>32400</v>
      </c>
    </row>
    <row r="2334" spans="2:10" x14ac:dyDescent="0.3">
      <c r="B2334" s="7">
        <v>44287</v>
      </c>
      <c r="C2334" s="3">
        <f t="shared" si="72"/>
        <v>2021</v>
      </c>
      <c r="D2334" s="3">
        <f t="shared" si="73"/>
        <v>202104</v>
      </c>
      <c r="E2334" s="5" t="s">
        <v>4</v>
      </c>
      <c r="F2334" s="5" t="s">
        <v>9</v>
      </c>
      <c r="G2334" s="5" t="s">
        <v>27</v>
      </c>
      <c r="H2334">
        <v>33</v>
      </c>
      <c r="I2334" s="4">
        <v>222948</v>
      </c>
      <c r="J2334" s="4">
        <v>59400</v>
      </c>
    </row>
    <row r="2335" spans="2:10" x14ac:dyDescent="0.3">
      <c r="B2335" s="7">
        <v>44317</v>
      </c>
      <c r="C2335" s="3">
        <f t="shared" si="72"/>
        <v>2021</v>
      </c>
      <c r="D2335" s="3">
        <f t="shared" si="73"/>
        <v>202105</v>
      </c>
      <c r="E2335" s="5" t="s">
        <v>4</v>
      </c>
      <c r="F2335" s="5" t="s">
        <v>9</v>
      </c>
      <c r="G2335" s="5" t="s">
        <v>27</v>
      </c>
      <c r="H2335">
        <v>42</v>
      </c>
      <c r="I2335" s="4">
        <v>255360</v>
      </c>
      <c r="J2335" s="4">
        <v>75600</v>
      </c>
    </row>
    <row r="2336" spans="2:10" x14ac:dyDescent="0.3">
      <c r="B2336" s="7">
        <v>44348</v>
      </c>
      <c r="C2336" s="3">
        <f t="shared" si="72"/>
        <v>2021</v>
      </c>
      <c r="D2336" s="3">
        <f t="shared" si="73"/>
        <v>202106</v>
      </c>
      <c r="E2336" s="5" t="s">
        <v>4</v>
      </c>
      <c r="F2336" s="5" t="s">
        <v>9</v>
      </c>
      <c r="G2336" s="5" t="s">
        <v>27</v>
      </c>
      <c r="H2336">
        <v>39</v>
      </c>
      <c r="I2336" s="4">
        <v>228735</v>
      </c>
      <c r="J2336" s="4">
        <v>70200</v>
      </c>
    </row>
    <row r="2337" spans="2:10" x14ac:dyDescent="0.3">
      <c r="B2337" s="7">
        <v>44378</v>
      </c>
      <c r="C2337" s="3">
        <f t="shared" si="72"/>
        <v>2021</v>
      </c>
      <c r="D2337" s="3">
        <f t="shared" si="73"/>
        <v>202107</v>
      </c>
      <c r="E2337" s="5" t="s">
        <v>4</v>
      </c>
      <c r="F2337" s="5" t="s">
        <v>9</v>
      </c>
      <c r="G2337" s="5" t="s">
        <v>27</v>
      </c>
      <c r="H2337">
        <v>42</v>
      </c>
      <c r="I2337" s="4">
        <v>180264</v>
      </c>
      <c r="J2337" s="4">
        <v>75600</v>
      </c>
    </row>
    <row r="2338" spans="2:10" x14ac:dyDescent="0.3">
      <c r="B2338" s="7">
        <v>44409</v>
      </c>
      <c r="C2338" s="3">
        <f t="shared" si="72"/>
        <v>2021</v>
      </c>
      <c r="D2338" s="3">
        <f t="shared" si="73"/>
        <v>202108</v>
      </c>
      <c r="E2338" s="5" t="s">
        <v>4</v>
      </c>
      <c r="F2338" s="5" t="s">
        <v>9</v>
      </c>
      <c r="G2338" s="5" t="s">
        <v>27</v>
      </c>
      <c r="H2338">
        <v>35</v>
      </c>
      <c r="I2338" s="4">
        <v>169085</v>
      </c>
      <c r="J2338" s="4">
        <v>63000</v>
      </c>
    </row>
    <row r="2339" spans="2:10" x14ac:dyDescent="0.3">
      <c r="B2339" s="7">
        <v>44440</v>
      </c>
      <c r="C2339" s="3">
        <f t="shared" si="72"/>
        <v>2021</v>
      </c>
      <c r="D2339" s="3">
        <f t="shared" si="73"/>
        <v>202109</v>
      </c>
      <c r="E2339" s="5" t="s">
        <v>4</v>
      </c>
      <c r="F2339" s="5" t="s">
        <v>9</v>
      </c>
      <c r="G2339" s="5" t="s">
        <v>27</v>
      </c>
      <c r="H2339">
        <v>37</v>
      </c>
      <c r="I2339" s="4">
        <v>191623</v>
      </c>
      <c r="J2339" s="4">
        <v>66600</v>
      </c>
    </row>
    <row r="2340" spans="2:10" x14ac:dyDescent="0.3">
      <c r="B2340" s="7">
        <v>44470</v>
      </c>
      <c r="C2340" s="3">
        <f t="shared" si="72"/>
        <v>2021</v>
      </c>
      <c r="D2340" s="3">
        <f t="shared" si="73"/>
        <v>202110</v>
      </c>
      <c r="E2340" s="5" t="s">
        <v>4</v>
      </c>
      <c r="F2340" s="5" t="s">
        <v>9</v>
      </c>
      <c r="G2340" s="5" t="s">
        <v>27</v>
      </c>
      <c r="H2340">
        <v>31</v>
      </c>
      <c r="I2340" s="4">
        <v>181877</v>
      </c>
      <c r="J2340" s="4">
        <v>55800</v>
      </c>
    </row>
    <row r="2341" spans="2:10" x14ac:dyDescent="0.3">
      <c r="B2341" s="7">
        <v>44501</v>
      </c>
      <c r="C2341" s="3">
        <f t="shared" si="72"/>
        <v>2021</v>
      </c>
      <c r="D2341" s="3">
        <f t="shared" si="73"/>
        <v>202111</v>
      </c>
      <c r="E2341" s="5" t="s">
        <v>4</v>
      </c>
      <c r="F2341" s="5" t="s">
        <v>9</v>
      </c>
      <c r="G2341" s="5" t="s">
        <v>27</v>
      </c>
      <c r="H2341">
        <v>22</v>
      </c>
      <c r="I2341" s="4">
        <v>142758</v>
      </c>
      <c r="J2341" s="4">
        <v>39600</v>
      </c>
    </row>
    <row r="2342" spans="2:10" x14ac:dyDescent="0.3">
      <c r="B2342" s="7">
        <v>44531</v>
      </c>
      <c r="C2342" s="3">
        <f t="shared" si="72"/>
        <v>2021</v>
      </c>
      <c r="D2342" s="3">
        <f t="shared" si="73"/>
        <v>202112</v>
      </c>
      <c r="E2342" s="5" t="s">
        <v>4</v>
      </c>
      <c r="F2342" s="5" t="s">
        <v>9</v>
      </c>
      <c r="G2342" s="5" t="s">
        <v>27</v>
      </c>
      <c r="H2342">
        <v>26</v>
      </c>
      <c r="I2342" s="4">
        <v>147108</v>
      </c>
      <c r="J2342" s="4">
        <v>46800</v>
      </c>
    </row>
    <row r="2343" spans="2:10" x14ac:dyDescent="0.3">
      <c r="B2343" s="7">
        <v>44562</v>
      </c>
      <c r="C2343" s="3">
        <f t="shared" si="72"/>
        <v>2022</v>
      </c>
      <c r="D2343" s="3">
        <f t="shared" si="73"/>
        <v>202201</v>
      </c>
      <c r="E2343" s="5" t="s">
        <v>4</v>
      </c>
      <c r="F2343" s="5" t="s">
        <v>9</v>
      </c>
      <c r="G2343" s="5" t="s">
        <v>27</v>
      </c>
      <c r="H2343">
        <v>39</v>
      </c>
      <c r="I2343" s="4">
        <v>207402</v>
      </c>
      <c r="J2343" s="4">
        <v>70200</v>
      </c>
    </row>
    <row r="2344" spans="2:10" x14ac:dyDescent="0.3">
      <c r="B2344" s="7">
        <v>44593</v>
      </c>
      <c r="C2344" s="3">
        <f t="shared" si="72"/>
        <v>2022</v>
      </c>
      <c r="D2344" s="3">
        <f t="shared" si="73"/>
        <v>202202</v>
      </c>
      <c r="E2344" s="5" t="s">
        <v>4</v>
      </c>
      <c r="F2344" s="5" t="s">
        <v>9</v>
      </c>
      <c r="G2344" s="5" t="s">
        <v>27</v>
      </c>
      <c r="H2344">
        <v>24</v>
      </c>
      <c r="I2344" s="4">
        <v>148872</v>
      </c>
      <c r="J2344" s="4">
        <v>43200</v>
      </c>
    </row>
    <row r="2345" spans="2:10" x14ac:dyDescent="0.3">
      <c r="B2345" s="7">
        <v>44621</v>
      </c>
      <c r="C2345" s="3">
        <f t="shared" si="72"/>
        <v>2022</v>
      </c>
      <c r="D2345" s="3">
        <f t="shared" si="73"/>
        <v>202203</v>
      </c>
      <c r="E2345" s="5" t="s">
        <v>4</v>
      </c>
      <c r="F2345" s="5" t="s">
        <v>9</v>
      </c>
      <c r="G2345" s="5" t="s">
        <v>27</v>
      </c>
      <c r="H2345">
        <v>20</v>
      </c>
      <c r="I2345" s="4">
        <v>95020</v>
      </c>
      <c r="J2345" s="4">
        <v>36000</v>
      </c>
    </row>
    <row r="2346" spans="2:10" x14ac:dyDescent="0.3">
      <c r="B2346" s="7">
        <v>44652</v>
      </c>
      <c r="C2346" s="3">
        <f t="shared" si="72"/>
        <v>2022</v>
      </c>
      <c r="D2346" s="3">
        <f t="shared" si="73"/>
        <v>202204</v>
      </c>
      <c r="E2346" s="5" t="s">
        <v>4</v>
      </c>
      <c r="F2346" s="5" t="s">
        <v>9</v>
      </c>
      <c r="G2346" s="5" t="s">
        <v>27</v>
      </c>
      <c r="H2346">
        <v>36</v>
      </c>
      <c r="I2346" s="4">
        <v>207756</v>
      </c>
      <c r="J2346" s="4">
        <v>64800</v>
      </c>
    </row>
    <row r="2347" spans="2:10" x14ac:dyDescent="0.3">
      <c r="B2347" s="7">
        <v>44682</v>
      </c>
      <c r="C2347" s="3">
        <f t="shared" si="72"/>
        <v>2022</v>
      </c>
      <c r="D2347" s="3">
        <f t="shared" si="73"/>
        <v>202205</v>
      </c>
      <c r="E2347" s="5" t="s">
        <v>4</v>
      </c>
      <c r="F2347" s="5" t="s">
        <v>9</v>
      </c>
      <c r="G2347" s="5" t="s">
        <v>27</v>
      </c>
      <c r="H2347">
        <v>46</v>
      </c>
      <c r="I2347" s="4">
        <v>287316</v>
      </c>
      <c r="J2347" s="4">
        <v>82800</v>
      </c>
    </row>
    <row r="2348" spans="2:10" x14ac:dyDescent="0.3">
      <c r="B2348" s="7">
        <v>44713</v>
      </c>
      <c r="C2348" s="3">
        <f t="shared" si="72"/>
        <v>2022</v>
      </c>
      <c r="D2348" s="3">
        <f t="shared" si="73"/>
        <v>202206</v>
      </c>
      <c r="E2348" s="5" t="s">
        <v>4</v>
      </c>
      <c r="F2348" s="5" t="s">
        <v>9</v>
      </c>
      <c r="G2348" s="5" t="s">
        <v>27</v>
      </c>
      <c r="H2348">
        <v>43</v>
      </c>
      <c r="I2348" s="4">
        <v>264278</v>
      </c>
      <c r="J2348" s="4">
        <v>77400</v>
      </c>
    </row>
    <row r="2349" spans="2:10" x14ac:dyDescent="0.3">
      <c r="B2349" s="7">
        <v>44743</v>
      </c>
      <c r="C2349" s="3">
        <f t="shared" si="72"/>
        <v>2022</v>
      </c>
      <c r="D2349" s="3">
        <f t="shared" si="73"/>
        <v>202207</v>
      </c>
      <c r="E2349" s="5" t="s">
        <v>4</v>
      </c>
      <c r="F2349" s="5" t="s">
        <v>9</v>
      </c>
      <c r="G2349" s="5" t="s">
        <v>27</v>
      </c>
      <c r="H2349">
        <v>46</v>
      </c>
      <c r="I2349" s="4">
        <v>196052</v>
      </c>
      <c r="J2349" s="4">
        <v>82800</v>
      </c>
    </row>
    <row r="2350" spans="2:10" x14ac:dyDescent="0.3">
      <c r="B2350" s="7">
        <v>44774</v>
      </c>
      <c r="C2350" s="3">
        <f t="shared" si="72"/>
        <v>2022</v>
      </c>
      <c r="D2350" s="3">
        <f t="shared" si="73"/>
        <v>202208</v>
      </c>
      <c r="E2350" s="5" t="s">
        <v>4</v>
      </c>
      <c r="F2350" s="5" t="s">
        <v>9</v>
      </c>
      <c r="G2350" s="5" t="s">
        <v>27</v>
      </c>
      <c r="H2350">
        <v>39</v>
      </c>
      <c r="I2350" s="4">
        <v>201396</v>
      </c>
      <c r="J2350" s="4">
        <v>70200</v>
      </c>
    </row>
    <row r="2351" spans="2:10" x14ac:dyDescent="0.3">
      <c r="B2351" s="7">
        <v>44805</v>
      </c>
      <c r="C2351" s="3">
        <f t="shared" si="72"/>
        <v>2022</v>
      </c>
      <c r="D2351" s="3">
        <f t="shared" si="73"/>
        <v>202209</v>
      </c>
      <c r="E2351" s="5" t="s">
        <v>4</v>
      </c>
      <c r="F2351" s="5" t="s">
        <v>9</v>
      </c>
      <c r="G2351" s="5" t="s">
        <v>27</v>
      </c>
      <c r="H2351">
        <v>41</v>
      </c>
      <c r="I2351" s="4">
        <v>211765</v>
      </c>
      <c r="J2351" s="4">
        <v>73800</v>
      </c>
    </row>
    <row r="2352" spans="2:10" x14ac:dyDescent="0.3">
      <c r="B2352" s="7">
        <v>44835</v>
      </c>
      <c r="C2352" s="3">
        <f t="shared" si="72"/>
        <v>2022</v>
      </c>
      <c r="D2352" s="3">
        <f t="shared" si="73"/>
        <v>202210</v>
      </c>
      <c r="E2352" s="5" t="s">
        <v>4</v>
      </c>
      <c r="F2352" s="5" t="s">
        <v>9</v>
      </c>
      <c r="G2352" s="5" t="s">
        <v>27</v>
      </c>
      <c r="H2352">
        <v>34</v>
      </c>
      <c r="I2352" s="4">
        <v>206244</v>
      </c>
      <c r="J2352" s="4">
        <v>61200</v>
      </c>
    </row>
    <row r="2353" spans="2:10" x14ac:dyDescent="0.3">
      <c r="B2353" s="7">
        <v>44866</v>
      </c>
      <c r="C2353" s="3">
        <f t="shared" si="72"/>
        <v>2022</v>
      </c>
      <c r="D2353" s="3">
        <f t="shared" si="73"/>
        <v>202211</v>
      </c>
      <c r="E2353" s="5" t="s">
        <v>4</v>
      </c>
      <c r="F2353" s="5" t="s">
        <v>9</v>
      </c>
      <c r="G2353" s="5" t="s">
        <v>27</v>
      </c>
      <c r="H2353">
        <v>24</v>
      </c>
      <c r="I2353" s="4">
        <v>143880</v>
      </c>
      <c r="J2353" s="4">
        <v>43200</v>
      </c>
    </row>
    <row r="2354" spans="2:10" x14ac:dyDescent="0.3">
      <c r="B2354" s="7">
        <v>44896</v>
      </c>
      <c r="C2354" s="3">
        <f t="shared" si="72"/>
        <v>2022</v>
      </c>
      <c r="D2354" s="3">
        <f t="shared" si="73"/>
        <v>202212</v>
      </c>
      <c r="E2354" s="5" t="s">
        <v>4</v>
      </c>
      <c r="F2354" s="5" t="s">
        <v>9</v>
      </c>
      <c r="G2354" s="5" t="s">
        <v>27</v>
      </c>
      <c r="H2354">
        <v>29</v>
      </c>
      <c r="I2354" s="4">
        <v>147813</v>
      </c>
      <c r="J2354" s="4">
        <v>52200</v>
      </c>
    </row>
    <row r="2355" spans="2:10" x14ac:dyDescent="0.3">
      <c r="B2355" s="7">
        <v>44197</v>
      </c>
      <c r="C2355" s="3">
        <f t="shared" si="72"/>
        <v>2021</v>
      </c>
      <c r="D2355" s="3">
        <f t="shared" si="73"/>
        <v>202101</v>
      </c>
      <c r="E2355" s="5" t="s">
        <v>4</v>
      </c>
      <c r="F2355" s="5" t="s">
        <v>10</v>
      </c>
      <c r="G2355" s="5" t="s">
        <v>28</v>
      </c>
      <c r="H2355">
        <v>24</v>
      </c>
      <c r="I2355" s="4">
        <v>872856</v>
      </c>
      <c r="J2355" s="4">
        <v>495600</v>
      </c>
    </row>
    <row r="2356" spans="2:10" x14ac:dyDescent="0.3">
      <c r="B2356" s="7">
        <v>44228</v>
      </c>
      <c r="C2356" s="3">
        <f t="shared" si="72"/>
        <v>2021</v>
      </c>
      <c r="D2356" s="3">
        <f t="shared" si="73"/>
        <v>202102</v>
      </c>
      <c r="E2356" s="5" t="s">
        <v>4</v>
      </c>
      <c r="F2356" s="5" t="s">
        <v>10</v>
      </c>
      <c r="G2356" s="5" t="s">
        <v>28</v>
      </c>
      <c r="H2356">
        <v>15</v>
      </c>
      <c r="I2356" s="4">
        <v>544320</v>
      </c>
      <c r="J2356" s="4">
        <v>309750</v>
      </c>
    </row>
    <row r="2357" spans="2:10" x14ac:dyDescent="0.3">
      <c r="B2357" s="7">
        <v>44256</v>
      </c>
      <c r="C2357" s="3">
        <f t="shared" si="72"/>
        <v>2021</v>
      </c>
      <c r="D2357" s="3">
        <f t="shared" si="73"/>
        <v>202103</v>
      </c>
      <c r="E2357" s="5" t="s">
        <v>4</v>
      </c>
      <c r="F2357" s="5" t="s">
        <v>10</v>
      </c>
      <c r="G2357" s="5" t="s">
        <v>28</v>
      </c>
      <c r="H2357">
        <v>12</v>
      </c>
      <c r="I2357" s="4">
        <v>429096</v>
      </c>
      <c r="J2357" s="4">
        <v>247800</v>
      </c>
    </row>
    <row r="2358" spans="2:10" x14ac:dyDescent="0.3">
      <c r="B2358" s="7">
        <v>44287</v>
      </c>
      <c r="C2358" s="3">
        <f t="shared" si="72"/>
        <v>2021</v>
      </c>
      <c r="D2358" s="3">
        <f t="shared" si="73"/>
        <v>202104</v>
      </c>
      <c r="E2358" s="5" t="s">
        <v>4</v>
      </c>
      <c r="F2358" s="5" t="s">
        <v>10</v>
      </c>
      <c r="G2358" s="5" t="s">
        <v>28</v>
      </c>
      <c r="H2358">
        <v>22</v>
      </c>
      <c r="I2358" s="4">
        <v>803836</v>
      </c>
      <c r="J2358" s="4">
        <v>454300</v>
      </c>
    </row>
    <row r="2359" spans="2:10" x14ac:dyDescent="0.3">
      <c r="B2359" s="7">
        <v>44317</v>
      </c>
      <c r="C2359" s="3">
        <f t="shared" si="72"/>
        <v>2021</v>
      </c>
      <c r="D2359" s="3">
        <f t="shared" si="73"/>
        <v>202105</v>
      </c>
      <c r="E2359" s="5" t="s">
        <v>4</v>
      </c>
      <c r="F2359" s="5" t="s">
        <v>10</v>
      </c>
      <c r="G2359" s="5" t="s">
        <v>28</v>
      </c>
      <c r="H2359">
        <v>28</v>
      </c>
      <c r="I2359" s="4">
        <v>1044820</v>
      </c>
      <c r="J2359" s="4">
        <v>578200</v>
      </c>
    </row>
    <row r="2360" spans="2:10" x14ac:dyDescent="0.3">
      <c r="B2360" s="7">
        <v>44348</v>
      </c>
      <c r="C2360" s="3">
        <f t="shared" si="72"/>
        <v>2021</v>
      </c>
      <c r="D2360" s="3">
        <f t="shared" si="73"/>
        <v>202106</v>
      </c>
      <c r="E2360" s="5" t="s">
        <v>4</v>
      </c>
      <c r="F2360" s="5" t="s">
        <v>10</v>
      </c>
      <c r="G2360" s="5" t="s">
        <v>28</v>
      </c>
      <c r="H2360">
        <v>27</v>
      </c>
      <c r="I2360" s="4">
        <v>978588</v>
      </c>
      <c r="J2360" s="4">
        <v>557550</v>
      </c>
    </row>
    <row r="2361" spans="2:10" x14ac:dyDescent="0.3">
      <c r="B2361" s="7">
        <v>44378</v>
      </c>
      <c r="C2361" s="3">
        <f t="shared" si="72"/>
        <v>2021</v>
      </c>
      <c r="D2361" s="3">
        <f t="shared" si="73"/>
        <v>202107</v>
      </c>
      <c r="E2361" s="5" t="s">
        <v>4</v>
      </c>
      <c r="F2361" s="5" t="s">
        <v>10</v>
      </c>
      <c r="G2361" s="5" t="s">
        <v>28</v>
      </c>
      <c r="H2361">
        <v>28</v>
      </c>
      <c r="I2361" s="4">
        <v>984284</v>
      </c>
      <c r="J2361" s="4">
        <v>578200</v>
      </c>
    </row>
    <row r="2362" spans="2:10" x14ac:dyDescent="0.3">
      <c r="B2362" s="7">
        <v>44409</v>
      </c>
      <c r="C2362" s="3">
        <f t="shared" si="72"/>
        <v>2021</v>
      </c>
      <c r="D2362" s="3">
        <f t="shared" si="73"/>
        <v>202108</v>
      </c>
      <c r="E2362" s="5" t="s">
        <v>4</v>
      </c>
      <c r="F2362" s="5" t="s">
        <v>10</v>
      </c>
      <c r="G2362" s="5" t="s">
        <v>28</v>
      </c>
      <c r="H2362">
        <v>24</v>
      </c>
      <c r="I2362" s="4">
        <v>866088</v>
      </c>
      <c r="J2362" s="4">
        <v>495600</v>
      </c>
    </row>
    <row r="2363" spans="2:10" x14ac:dyDescent="0.3">
      <c r="B2363" s="7">
        <v>44440</v>
      </c>
      <c r="C2363" s="3">
        <f t="shared" si="72"/>
        <v>2021</v>
      </c>
      <c r="D2363" s="3">
        <f t="shared" si="73"/>
        <v>202109</v>
      </c>
      <c r="E2363" s="5" t="s">
        <v>4</v>
      </c>
      <c r="F2363" s="5" t="s">
        <v>10</v>
      </c>
      <c r="G2363" s="5" t="s">
        <v>28</v>
      </c>
      <c r="H2363">
        <v>25</v>
      </c>
      <c r="I2363" s="4">
        <v>879275</v>
      </c>
      <c r="J2363" s="4">
        <v>516250</v>
      </c>
    </row>
    <row r="2364" spans="2:10" x14ac:dyDescent="0.3">
      <c r="B2364" s="7">
        <v>44470</v>
      </c>
      <c r="C2364" s="3">
        <f t="shared" si="72"/>
        <v>2021</v>
      </c>
      <c r="D2364" s="3">
        <f t="shared" si="73"/>
        <v>202110</v>
      </c>
      <c r="E2364" s="5" t="s">
        <v>4</v>
      </c>
      <c r="F2364" s="5" t="s">
        <v>10</v>
      </c>
      <c r="G2364" s="5" t="s">
        <v>28</v>
      </c>
      <c r="H2364">
        <v>21</v>
      </c>
      <c r="I2364" s="4">
        <v>765786</v>
      </c>
      <c r="J2364" s="4">
        <v>433650</v>
      </c>
    </row>
    <row r="2365" spans="2:10" x14ac:dyDescent="0.3">
      <c r="B2365" s="7">
        <v>44501</v>
      </c>
      <c r="C2365" s="3">
        <f t="shared" si="72"/>
        <v>2021</v>
      </c>
      <c r="D2365" s="3">
        <f t="shared" si="73"/>
        <v>202111</v>
      </c>
      <c r="E2365" s="5" t="s">
        <v>4</v>
      </c>
      <c r="F2365" s="5" t="s">
        <v>10</v>
      </c>
      <c r="G2365" s="5" t="s">
        <v>28</v>
      </c>
      <c r="H2365">
        <v>15</v>
      </c>
      <c r="I2365" s="4">
        <v>552075</v>
      </c>
      <c r="J2365" s="4">
        <v>309750</v>
      </c>
    </row>
    <row r="2366" spans="2:10" x14ac:dyDescent="0.3">
      <c r="B2366" s="7">
        <v>44531</v>
      </c>
      <c r="C2366" s="3">
        <f t="shared" si="72"/>
        <v>2021</v>
      </c>
      <c r="D2366" s="3">
        <f t="shared" si="73"/>
        <v>202112</v>
      </c>
      <c r="E2366" s="5" t="s">
        <v>4</v>
      </c>
      <c r="F2366" s="5" t="s">
        <v>10</v>
      </c>
      <c r="G2366" s="5" t="s">
        <v>28</v>
      </c>
      <c r="H2366">
        <v>18</v>
      </c>
      <c r="I2366" s="4">
        <v>648558</v>
      </c>
      <c r="J2366" s="4">
        <v>371700</v>
      </c>
    </row>
    <row r="2367" spans="2:10" x14ac:dyDescent="0.3">
      <c r="B2367" s="7">
        <v>44562</v>
      </c>
      <c r="C2367" s="3">
        <f t="shared" si="72"/>
        <v>2022</v>
      </c>
      <c r="D2367" s="3">
        <f t="shared" si="73"/>
        <v>202201</v>
      </c>
      <c r="E2367" s="5" t="s">
        <v>4</v>
      </c>
      <c r="F2367" s="5" t="s">
        <v>10</v>
      </c>
      <c r="G2367" s="5" t="s">
        <v>28</v>
      </c>
      <c r="H2367">
        <v>26</v>
      </c>
      <c r="I2367" s="4">
        <v>937716</v>
      </c>
      <c r="J2367" s="4">
        <v>536900</v>
      </c>
    </row>
    <row r="2368" spans="2:10" x14ac:dyDescent="0.3">
      <c r="B2368" s="7">
        <v>44593</v>
      </c>
      <c r="C2368" s="3">
        <f t="shared" si="72"/>
        <v>2022</v>
      </c>
      <c r="D2368" s="3">
        <f t="shared" si="73"/>
        <v>202202</v>
      </c>
      <c r="E2368" s="5" t="s">
        <v>4</v>
      </c>
      <c r="F2368" s="5" t="s">
        <v>10</v>
      </c>
      <c r="G2368" s="5" t="s">
        <v>28</v>
      </c>
      <c r="H2368">
        <v>16</v>
      </c>
      <c r="I2368" s="4">
        <v>585200</v>
      </c>
      <c r="J2368" s="4">
        <v>330400</v>
      </c>
    </row>
    <row r="2369" spans="2:10" x14ac:dyDescent="0.3">
      <c r="B2369" s="7">
        <v>44621</v>
      </c>
      <c r="C2369" s="3">
        <f t="shared" si="72"/>
        <v>2022</v>
      </c>
      <c r="D2369" s="3">
        <f t="shared" si="73"/>
        <v>202203</v>
      </c>
      <c r="E2369" s="5" t="s">
        <v>4</v>
      </c>
      <c r="F2369" s="5" t="s">
        <v>10</v>
      </c>
      <c r="G2369" s="5" t="s">
        <v>28</v>
      </c>
      <c r="H2369">
        <v>13</v>
      </c>
      <c r="I2369" s="4">
        <v>468858</v>
      </c>
      <c r="J2369" s="4">
        <v>268450</v>
      </c>
    </row>
    <row r="2370" spans="2:10" x14ac:dyDescent="0.3">
      <c r="B2370" s="7">
        <v>44652</v>
      </c>
      <c r="C2370" s="3">
        <f t="shared" si="72"/>
        <v>2022</v>
      </c>
      <c r="D2370" s="3">
        <f t="shared" si="73"/>
        <v>202204</v>
      </c>
      <c r="E2370" s="5" t="s">
        <v>4</v>
      </c>
      <c r="F2370" s="5" t="s">
        <v>10</v>
      </c>
      <c r="G2370" s="5" t="s">
        <v>28</v>
      </c>
      <c r="H2370">
        <v>24</v>
      </c>
      <c r="I2370" s="4">
        <v>878928</v>
      </c>
      <c r="J2370" s="4">
        <v>495600</v>
      </c>
    </row>
    <row r="2371" spans="2:10" x14ac:dyDescent="0.3">
      <c r="B2371" s="7">
        <v>44682</v>
      </c>
      <c r="C2371" s="3">
        <f t="shared" ref="C2371:C2434" si="74">YEAR(B2371)</f>
        <v>2022</v>
      </c>
      <c r="D2371" s="3">
        <f t="shared" ref="D2371:D2434" si="75">VALUE(TEXT(B2371,"ГГГГММ"))</f>
        <v>202205</v>
      </c>
      <c r="E2371" s="5" t="s">
        <v>4</v>
      </c>
      <c r="F2371" s="5" t="s">
        <v>10</v>
      </c>
      <c r="G2371" s="5" t="s">
        <v>28</v>
      </c>
      <c r="H2371">
        <v>31</v>
      </c>
      <c r="I2371" s="4">
        <v>1127005</v>
      </c>
      <c r="J2371" s="4">
        <v>640150</v>
      </c>
    </row>
    <row r="2372" spans="2:10" x14ac:dyDescent="0.3">
      <c r="B2372" s="7">
        <v>44713</v>
      </c>
      <c r="C2372" s="3">
        <f t="shared" si="74"/>
        <v>2022</v>
      </c>
      <c r="D2372" s="3">
        <f t="shared" si="75"/>
        <v>202206</v>
      </c>
      <c r="E2372" s="5" t="s">
        <v>4</v>
      </c>
      <c r="F2372" s="5" t="s">
        <v>10</v>
      </c>
      <c r="G2372" s="5" t="s">
        <v>28</v>
      </c>
      <c r="H2372">
        <v>29</v>
      </c>
      <c r="I2372" s="4">
        <v>1062734</v>
      </c>
      <c r="J2372" s="4">
        <v>598850</v>
      </c>
    </row>
    <row r="2373" spans="2:10" x14ac:dyDescent="0.3">
      <c r="B2373" s="7">
        <v>44743</v>
      </c>
      <c r="C2373" s="3">
        <f t="shared" si="74"/>
        <v>2022</v>
      </c>
      <c r="D2373" s="3">
        <f t="shared" si="75"/>
        <v>202207</v>
      </c>
      <c r="E2373" s="5" t="s">
        <v>4</v>
      </c>
      <c r="F2373" s="5" t="s">
        <v>10</v>
      </c>
      <c r="G2373" s="5" t="s">
        <v>28</v>
      </c>
      <c r="H2373">
        <v>31</v>
      </c>
      <c r="I2373" s="4">
        <v>1080040</v>
      </c>
      <c r="J2373" s="4">
        <v>640150</v>
      </c>
    </row>
    <row r="2374" spans="2:10" x14ac:dyDescent="0.3">
      <c r="B2374" s="7">
        <v>44774</v>
      </c>
      <c r="C2374" s="3">
        <f t="shared" si="74"/>
        <v>2022</v>
      </c>
      <c r="D2374" s="3">
        <f t="shared" si="75"/>
        <v>202208</v>
      </c>
      <c r="E2374" s="5" t="s">
        <v>4</v>
      </c>
      <c r="F2374" s="5" t="s">
        <v>10</v>
      </c>
      <c r="G2374" s="5" t="s">
        <v>28</v>
      </c>
      <c r="H2374">
        <v>26</v>
      </c>
      <c r="I2374" s="4">
        <v>914446</v>
      </c>
      <c r="J2374" s="4">
        <v>536900</v>
      </c>
    </row>
    <row r="2375" spans="2:10" x14ac:dyDescent="0.3">
      <c r="B2375" s="7">
        <v>44805</v>
      </c>
      <c r="C2375" s="3">
        <f t="shared" si="74"/>
        <v>2022</v>
      </c>
      <c r="D2375" s="3">
        <f t="shared" si="75"/>
        <v>202209</v>
      </c>
      <c r="E2375" s="5" t="s">
        <v>4</v>
      </c>
      <c r="F2375" s="5" t="s">
        <v>10</v>
      </c>
      <c r="G2375" s="5" t="s">
        <v>28</v>
      </c>
      <c r="H2375">
        <v>28</v>
      </c>
      <c r="I2375" s="4">
        <v>1012732</v>
      </c>
      <c r="J2375" s="4">
        <v>578200</v>
      </c>
    </row>
    <row r="2376" spans="2:10" x14ac:dyDescent="0.3">
      <c r="B2376" s="7">
        <v>44835</v>
      </c>
      <c r="C2376" s="3">
        <f t="shared" si="74"/>
        <v>2022</v>
      </c>
      <c r="D2376" s="3">
        <f t="shared" si="75"/>
        <v>202210</v>
      </c>
      <c r="E2376" s="5" t="s">
        <v>4</v>
      </c>
      <c r="F2376" s="5" t="s">
        <v>10</v>
      </c>
      <c r="G2376" s="5" t="s">
        <v>28</v>
      </c>
      <c r="H2376">
        <v>23</v>
      </c>
      <c r="I2376" s="4">
        <v>852840</v>
      </c>
      <c r="J2376" s="4">
        <v>474950</v>
      </c>
    </row>
    <row r="2377" spans="2:10" x14ac:dyDescent="0.3">
      <c r="B2377" s="7">
        <v>44866</v>
      </c>
      <c r="C2377" s="3">
        <f t="shared" si="74"/>
        <v>2022</v>
      </c>
      <c r="D2377" s="3">
        <f t="shared" si="75"/>
        <v>202211</v>
      </c>
      <c r="E2377" s="5" t="s">
        <v>4</v>
      </c>
      <c r="F2377" s="5" t="s">
        <v>10</v>
      </c>
      <c r="G2377" s="5" t="s">
        <v>28</v>
      </c>
      <c r="H2377">
        <v>16</v>
      </c>
      <c r="I2377" s="4">
        <v>575728</v>
      </c>
      <c r="J2377" s="4">
        <v>330400</v>
      </c>
    </row>
    <row r="2378" spans="2:10" x14ac:dyDescent="0.3">
      <c r="B2378" s="7">
        <v>44896</v>
      </c>
      <c r="C2378" s="3">
        <f t="shared" si="74"/>
        <v>2022</v>
      </c>
      <c r="D2378" s="3">
        <f t="shared" si="75"/>
        <v>202212</v>
      </c>
      <c r="E2378" s="5" t="s">
        <v>4</v>
      </c>
      <c r="F2378" s="5" t="s">
        <v>10</v>
      </c>
      <c r="G2378" s="5" t="s">
        <v>28</v>
      </c>
      <c r="H2378">
        <v>20</v>
      </c>
      <c r="I2378" s="4">
        <v>713240</v>
      </c>
      <c r="J2378" s="4">
        <v>413000</v>
      </c>
    </row>
    <row r="2379" spans="2:10" x14ac:dyDescent="0.3">
      <c r="B2379" s="7">
        <v>44197</v>
      </c>
      <c r="C2379" s="3">
        <f t="shared" si="74"/>
        <v>2021</v>
      </c>
      <c r="D2379" s="3">
        <f t="shared" si="75"/>
        <v>202101</v>
      </c>
      <c r="E2379" s="5" t="s">
        <v>4</v>
      </c>
      <c r="F2379" s="5" t="s">
        <v>10</v>
      </c>
      <c r="G2379" s="5" t="s">
        <v>29</v>
      </c>
      <c r="H2379">
        <v>19</v>
      </c>
      <c r="I2379" s="4">
        <v>636215</v>
      </c>
      <c r="J2379" s="4">
        <v>297920</v>
      </c>
    </row>
    <row r="2380" spans="2:10" x14ac:dyDescent="0.3">
      <c r="B2380" s="7">
        <v>44228</v>
      </c>
      <c r="C2380" s="3">
        <f t="shared" si="74"/>
        <v>2021</v>
      </c>
      <c r="D2380" s="3">
        <f t="shared" si="75"/>
        <v>202102</v>
      </c>
      <c r="E2380" s="5" t="s">
        <v>4</v>
      </c>
      <c r="F2380" s="5" t="s">
        <v>10</v>
      </c>
      <c r="G2380" s="5" t="s">
        <v>29</v>
      </c>
      <c r="H2380">
        <v>12</v>
      </c>
      <c r="I2380" s="4">
        <v>398976</v>
      </c>
      <c r="J2380" s="4">
        <v>188160</v>
      </c>
    </row>
    <row r="2381" spans="2:10" x14ac:dyDescent="0.3">
      <c r="B2381" s="7">
        <v>44256</v>
      </c>
      <c r="C2381" s="3">
        <f t="shared" si="74"/>
        <v>2021</v>
      </c>
      <c r="D2381" s="3">
        <f t="shared" si="75"/>
        <v>202103</v>
      </c>
      <c r="E2381" s="5" t="s">
        <v>4</v>
      </c>
      <c r="F2381" s="5" t="s">
        <v>10</v>
      </c>
      <c r="G2381" s="5" t="s">
        <v>29</v>
      </c>
      <c r="H2381">
        <v>10</v>
      </c>
      <c r="I2381" s="4">
        <v>327930</v>
      </c>
      <c r="J2381" s="4">
        <v>156800</v>
      </c>
    </row>
    <row r="2382" spans="2:10" x14ac:dyDescent="0.3">
      <c r="B2382" s="7">
        <v>44287</v>
      </c>
      <c r="C2382" s="3">
        <f t="shared" si="74"/>
        <v>2021</v>
      </c>
      <c r="D2382" s="3">
        <f t="shared" si="75"/>
        <v>202104</v>
      </c>
      <c r="E2382" s="5" t="s">
        <v>4</v>
      </c>
      <c r="F2382" s="5" t="s">
        <v>10</v>
      </c>
      <c r="G2382" s="5" t="s">
        <v>29</v>
      </c>
      <c r="H2382">
        <v>18</v>
      </c>
      <c r="I2382" s="4">
        <v>607680</v>
      </c>
      <c r="J2382" s="4">
        <v>282240</v>
      </c>
    </row>
    <row r="2383" spans="2:10" x14ac:dyDescent="0.3">
      <c r="B2383" s="7">
        <v>44317</v>
      </c>
      <c r="C2383" s="3">
        <f t="shared" si="74"/>
        <v>2021</v>
      </c>
      <c r="D2383" s="3">
        <f t="shared" si="75"/>
        <v>202105</v>
      </c>
      <c r="E2383" s="5" t="s">
        <v>4</v>
      </c>
      <c r="F2383" s="5" t="s">
        <v>10</v>
      </c>
      <c r="G2383" s="5" t="s">
        <v>29</v>
      </c>
      <c r="H2383">
        <v>23</v>
      </c>
      <c r="I2383" s="4">
        <v>774847</v>
      </c>
      <c r="J2383" s="4">
        <v>360640</v>
      </c>
    </row>
    <row r="2384" spans="2:10" x14ac:dyDescent="0.3">
      <c r="B2384" s="7">
        <v>44348</v>
      </c>
      <c r="C2384" s="3">
        <f t="shared" si="74"/>
        <v>2021</v>
      </c>
      <c r="D2384" s="3">
        <f t="shared" si="75"/>
        <v>202106</v>
      </c>
      <c r="E2384" s="5" t="s">
        <v>4</v>
      </c>
      <c r="F2384" s="5" t="s">
        <v>10</v>
      </c>
      <c r="G2384" s="5" t="s">
        <v>29</v>
      </c>
      <c r="H2384">
        <v>21</v>
      </c>
      <c r="I2384" s="4">
        <v>699111</v>
      </c>
      <c r="J2384" s="4">
        <v>329280</v>
      </c>
    </row>
    <row r="2385" spans="2:10" x14ac:dyDescent="0.3">
      <c r="B2385" s="7">
        <v>44378</v>
      </c>
      <c r="C2385" s="3">
        <f t="shared" si="74"/>
        <v>2021</v>
      </c>
      <c r="D2385" s="3">
        <f t="shared" si="75"/>
        <v>202107</v>
      </c>
      <c r="E2385" s="5" t="s">
        <v>4</v>
      </c>
      <c r="F2385" s="5" t="s">
        <v>10</v>
      </c>
      <c r="G2385" s="5" t="s">
        <v>29</v>
      </c>
      <c r="H2385">
        <v>23</v>
      </c>
      <c r="I2385" s="4">
        <v>720452</v>
      </c>
      <c r="J2385" s="4">
        <v>360640</v>
      </c>
    </row>
    <row r="2386" spans="2:10" x14ac:dyDescent="0.3">
      <c r="B2386" s="7">
        <v>44409</v>
      </c>
      <c r="C2386" s="3">
        <f t="shared" si="74"/>
        <v>2021</v>
      </c>
      <c r="D2386" s="3">
        <f t="shared" si="75"/>
        <v>202108</v>
      </c>
      <c r="E2386" s="5" t="s">
        <v>4</v>
      </c>
      <c r="F2386" s="5" t="s">
        <v>10</v>
      </c>
      <c r="G2386" s="5" t="s">
        <v>29</v>
      </c>
      <c r="H2386">
        <v>19</v>
      </c>
      <c r="I2386" s="4">
        <v>626753</v>
      </c>
      <c r="J2386" s="4">
        <v>297920</v>
      </c>
    </row>
    <row r="2387" spans="2:10" x14ac:dyDescent="0.3">
      <c r="B2387" s="7">
        <v>44440</v>
      </c>
      <c r="C2387" s="3">
        <f t="shared" si="74"/>
        <v>2021</v>
      </c>
      <c r="D2387" s="3">
        <f t="shared" si="75"/>
        <v>202109</v>
      </c>
      <c r="E2387" s="5" t="s">
        <v>4</v>
      </c>
      <c r="F2387" s="5" t="s">
        <v>10</v>
      </c>
      <c r="G2387" s="5" t="s">
        <v>29</v>
      </c>
      <c r="H2387">
        <v>20</v>
      </c>
      <c r="I2387" s="4">
        <v>650900</v>
      </c>
      <c r="J2387" s="4">
        <v>313600</v>
      </c>
    </row>
    <row r="2388" spans="2:10" x14ac:dyDescent="0.3">
      <c r="B2388" s="7">
        <v>44470</v>
      </c>
      <c r="C2388" s="3">
        <f t="shared" si="74"/>
        <v>2021</v>
      </c>
      <c r="D2388" s="3">
        <f t="shared" si="75"/>
        <v>202110</v>
      </c>
      <c r="E2388" s="5" t="s">
        <v>4</v>
      </c>
      <c r="F2388" s="5" t="s">
        <v>10</v>
      </c>
      <c r="G2388" s="5" t="s">
        <v>29</v>
      </c>
      <c r="H2388">
        <v>17</v>
      </c>
      <c r="I2388" s="4">
        <v>563295</v>
      </c>
      <c r="J2388" s="4">
        <v>266560</v>
      </c>
    </row>
    <row r="2389" spans="2:10" x14ac:dyDescent="0.3">
      <c r="B2389" s="7">
        <v>44501</v>
      </c>
      <c r="C2389" s="3">
        <f t="shared" si="74"/>
        <v>2021</v>
      </c>
      <c r="D2389" s="3">
        <f t="shared" si="75"/>
        <v>202111</v>
      </c>
      <c r="E2389" s="5" t="s">
        <v>4</v>
      </c>
      <c r="F2389" s="5" t="s">
        <v>10</v>
      </c>
      <c r="G2389" s="5" t="s">
        <v>29</v>
      </c>
      <c r="H2389">
        <v>12</v>
      </c>
      <c r="I2389" s="4">
        <v>401256</v>
      </c>
      <c r="J2389" s="4">
        <v>188160</v>
      </c>
    </row>
    <row r="2390" spans="2:10" x14ac:dyDescent="0.3">
      <c r="B2390" s="7">
        <v>44531</v>
      </c>
      <c r="C2390" s="3">
        <f t="shared" si="74"/>
        <v>2021</v>
      </c>
      <c r="D2390" s="3">
        <f t="shared" si="75"/>
        <v>202112</v>
      </c>
      <c r="E2390" s="5" t="s">
        <v>4</v>
      </c>
      <c r="F2390" s="5" t="s">
        <v>10</v>
      </c>
      <c r="G2390" s="5" t="s">
        <v>29</v>
      </c>
      <c r="H2390">
        <v>14</v>
      </c>
      <c r="I2390" s="4">
        <v>461314</v>
      </c>
      <c r="J2390" s="4">
        <v>219520</v>
      </c>
    </row>
    <row r="2391" spans="2:10" x14ac:dyDescent="0.3">
      <c r="B2391" s="7">
        <v>44562</v>
      </c>
      <c r="C2391" s="3">
        <f t="shared" si="74"/>
        <v>2022</v>
      </c>
      <c r="D2391" s="3">
        <f t="shared" si="75"/>
        <v>202201</v>
      </c>
      <c r="E2391" s="5" t="s">
        <v>4</v>
      </c>
      <c r="F2391" s="5" t="s">
        <v>10</v>
      </c>
      <c r="G2391" s="5" t="s">
        <v>29</v>
      </c>
      <c r="H2391">
        <v>21</v>
      </c>
      <c r="I2391" s="4">
        <v>698124</v>
      </c>
      <c r="J2391" s="4">
        <v>329280</v>
      </c>
    </row>
    <row r="2392" spans="2:10" x14ac:dyDescent="0.3">
      <c r="B2392" s="7">
        <v>44593</v>
      </c>
      <c r="C2392" s="3">
        <f t="shared" si="74"/>
        <v>2022</v>
      </c>
      <c r="D2392" s="3">
        <f t="shared" si="75"/>
        <v>202202</v>
      </c>
      <c r="E2392" s="5" t="s">
        <v>4</v>
      </c>
      <c r="F2392" s="5" t="s">
        <v>10</v>
      </c>
      <c r="G2392" s="5" t="s">
        <v>29</v>
      </c>
      <c r="H2392">
        <v>13</v>
      </c>
      <c r="I2392" s="4">
        <v>427076</v>
      </c>
      <c r="J2392" s="4">
        <v>203840</v>
      </c>
    </row>
    <row r="2393" spans="2:10" x14ac:dyDescent="0.3">
      <c r="B2393" s="7">
        <v>44621</v>
      </c>
      <c r="C2393" s="3">
        <f t="shared" si="74"/>
        <v>2022</v>
      </c>
      <c r="D2393" s="3">
        <f t="shared" si="75"/>
        <v>202203</v>
      </c>
      <c r="E2393" s="5" t="s">
        <v>4</v>
      </c>
      <c r="F2393" s="5" t="s">
        <v>10</v>
      </c>
      <c r="G2393" s="5" t="s">
        <v>29</v>
      </c>
      <c r="H2393">
        <v>11</v>
      </c>
      <c r="I2393" s="4">
        <v>362329</v>
      </c>
      <c r="J2393" s="4">
        <v>172480</v>
      </c>
    </row>
    <row r="2394" spans="2:10" x14ac:dyDescent="0.3">
      <c r="B2394" s="7">
        <v>44652</v>
      </c>
      <c r="C2394" s="3">
        <f t="shared" si="74"/>
        <v>2022</v>
      </c>
      <c r="D2394" s="3">
        <f t="shared" si="75"/>
        <v>202204</v>
      </c>
      <c r="E2394" s="5" t="s">
        <v>4</v>
      </c>
      <c r="F2394" s="5" t="s">
        <v>10</v>
      </c>
      <c r="G2394" s="5" t="s">
        <v>29</v>
      </c>
      <c r="H2394">
        <v>20</v>
      </c>
      <c r="I2394" s="4">
        <v>667660</v>
      </c>
      <c r="J2394" s="4">
        <v>313600</v>
      </c>
    </row>
    <row r="2395" spans="2:10" x14ac:dyDescent="0.3">
      <c r="B2395" s="7">
        <v>44682</v>
      </c>
      <c r="C2395" s="3">
        <f t="shared" si="74"/>
        <v>2022</v>
      </c>
      <c r="D2395" s="3">
        <f t="shared" si="75"/>
        <v>202205</v>
      </c>
      <c r="E2395" s="5" t="s">
        <v>4</v>
      </c>
      <c r="F2395" s="5" t="s">
        <v>10</v>
      </c>
      <c r="G2395" s="5" t="s">
        <v>29</v>
      </c>
      <c r="H2395">
        <v>25</v>
      </c>
      <c r="I2395" s="4">
        <v>832625</v>
      </c>
      <c r="J2395" s="4">
        <v>392000</v>
      </c>
    </row>
    <row r="2396" spans="2:10" x14ac:dyDescent="0.3">
      <c r="B2396" s="7">
        <v>44713</v>
      </c>
      <c r="C2396" s="3">
        <f t="shared" si="74"/>
        <v>2022</v>
      </c>
      <c r="D2396" s="3">
        <f t="shared" si="75"/>
        <v>202206</v>
      </c>
      <c r="E2396" s="5" t="s">
        <v>4</v>
      </c>
      <c r="F2396" s="5" t="s">
        <v>10</v>
      </c>
      <c r="G2396" s="5" t="s">
        <v>29</v>
      </c>
      <c r="H2396">
        <v>23</v>
      </c>
      <c r="I2396" s="4">
        <v>763094</v>
      </c>
      <c r="J2396" s="4">
        <v>360640</v>
      </c>
    </row>
    <row r="2397" spans="2:10" x14ac:dyDescent="0.3">
      <c r="B2397" s="7">
        <v>44743</v>
      </c>
      <c r="C2397" s="3">
        <f t="shared" si="74"/>
        <v>2022</v>
      </c>
      <c r="D2397" s="3">
        <f t="shared" si="75"/>
        <v>202207</v>
      </c>
      <c r="E2397" s="5" t="s">
        <v>4</v>
      </c>
      <c r="F2397" s="5" t="s">
        <v>10</v>
      </c>
      <c r="G2397" s="5" t="s">
        <v>29</v>
      </c>
      <c r="H2397">
        <v>25</v>
      </c>
      <c r="I2397" s="4">
        <v>794675</v>
      </c>
      <c r="J2397" s="4">
        <v>392000</v>
      </c>
    </row>
    <row r="2398" spans="2:10" x14ac:dyDescent="0.3">
      <c r="B2398" s="7">
        <v>44774</v>
      </c>
      <c r="C2398" s="3">
        <f t="shared" si="74"/>
        <v>2022</v>
      </c>
      <c r="D2398" s="3">
        <f t="shared" si="75"/>
        <v>202208</v>
      </c>
      <c r="E2398" s="5" t="s">
        <v>4</v>
      </c>
      <c r="F2398" s="5" t="s">
        <v>10</v>
      </c>
      <c r="G2398" s="5" t="s">
        <v>29</v>
      </c>
      <c r="H2398">
        <v>21</v>
      </c>
      <c r="I2398" s="4">
        <v>691320</v>
      </c>
      <c r="J2398" s="4">
        <v>329280</v>
      </c>
    </row>
    <row r="2399" spans="2:10" x14ac:dyDescent="0.3">
      <c r="B2399" s="7">
        <v>44805</v>
      </c>
      <c r="C2399" s="3">
        <f t="shared" si="74"/>
        <v>2022</v>
      </c>
      <c r="D2399" s="3">
        <f t="shared" si="75"/>
        <v>202209</v>
      </c>
      <c r="E2399" s="5" t="s">
        <v>4</v>
      </c>
      <c r="F2399" s="5" t="s">
        <v>10</v>
      </c>
      <c r="G2399" s="5" t="s">
        <v>29</v>
      </c>
      <c r="H2399">
        <v>22</v>
      </c>
      <c r="I2399" s="4">
        <v>715880</v>
      </c>
      <c r="J2399" s="4">
        <v>344960</v>
      </c>
    </row>
    <row r="2400" spans="2:10" x14ac:dyDescent="0.3">
      <c r="B2400" s="7">
        <v>44835</v>
      </c>
      <c r="C2400" s="3">
        <f t="shared" si="74"/>
        <v>2022</v>
      </c>
      <c r="D2400" s="3">
        <f t="shared" si="75"/>
        <v>202210</v>
      </c>
      <c r="E2400" s="5" t="s">
        <v>4</v>
      </c>
      <c r="F2400" s="5" t="s">
        <v>10</v>
      </c>
      <c r="G2400" s="5" t="s">
        <v>29</v>
      </c>
      <c r="H2400">
        <v>18</v>
      </c>
      <c r="I2400" s="4">
        <v>604746</v>
      </c>
      <c r="J2400" s="4">
        <v>282240</v>
      </c>
    </row>
    <row r="2401" spans="2:10" x14ac:dyDescent="0.3">
      <c r="B2401" s="7">
        <v>44866</v>
      </c>
      <c r="C2401" s="3">
        <f t="shared" si="74"/>
        <v>2022</v>
      </c>
      <c r="D2401" s="3">
        <f t="shared" si="75"/>
        <v>202211</v>
      </c>
      <c r="E2401" s="5" t="s">
        <v>4</v>
      </c>
      <c r="F2401" s="5" t="s">
        <v>10</v>
      </c>
      <c r="G2401" s="5" t="s">
        <v>29</v>
      </c>
      <c r="H2401">
        <v>13</v>
      </c>
      <c r="I2401" s="4">
        <v>426166</v>
      </c>
      <c r="J2401" s="4">
        <v>203840</v>
      </c>
    </row>
    <row r="2402" spans="2:10" x14ac:dyDescent="0.3">
      <c r="B2402" s="7">
        <v>44896</v>
      </c>
      <c r="C2402" s="3">
        <f t="shared" si="74"/>
        <v>2022</v>
      </c>
      <c r="D2402" s="3">
        <f t="shared" si="75"/>
        <v>202212</v>
      </c>
      <c r="E2402" s="5" t="s">
        <v>4</v>
      </c>
      <c r="F2402" s="5" t="s">
        <v>10</v>
      </c>
      <c r="G2402" s="5" t="s">
        <v>29</v>
      </c>
      <c r="H2402">
        <v>16</v>
      </c>
      <c r="I2402" s="4">
        <v>530560</v>
      </c>
      <c r="J2402" s="4">
        <v>250880</v>
      </c>
    </row>
    <row r="2403" spans="2:10" x14ac:dyDescent="0.3">
      <c r="B2403" s="7">
        <v>44197</v>
      </c>
      <c r="C2403" s="3">
        <f t="shared" si="74"/>
        <v>2021</v>
      </c>
      <c r="D2403" s="3">
        <f t="shared" si="75"/>
        <v>202101</v>
      </c>
      <c r="E2403" s="5" t="s">
        <v>4</v>
      </c>
      <c r="F2403" s="5" t="s">
        <v>10</v>
      </c>
      <c r="G2403" s="5" t="s">
        <v>30</v>
      </c>
      <c r="H2403">
        <v>21</v>
      </c>
      <c r="I2403" s="4">
        <v>893907</v>
      </c>
      <c r="J2403" s="4">
        <v>379260</v>
      </c>
    </row>
    <row r="2404" spans="2:10" x14ac:dyDescent="0.3">
      <c r="B2404" s="7">
        <v>44228</v>
      </c>
      <c r="C2404" s="3">
        <f t="shared" si="74"/>
        <v>2021</v>
      </c>
      <c r="D2404" s="3">
        <f t="shared" si="75"/>
        <v>202102</v>
      </c>
      <c r="E2404" s="5" t="s">
        <v>4</v>
      </c>
      <c r="F2404" s="5" t="s">
        <v>10</v>
      </c>
      <c r="G2404" s="5" t="s">
        <v>30</v>
      </c>
      <c r="H2404">
        <v>13</v>
      </c>
      <c r="I2404" s="4">
        <v>567645</v>
      </c>
      <c r="J2404" s="4">
        <v>234780</v>
      </c>
    </row>
    <row r="2405" spans="2:10" x14ac:dyDescent="0.3">
      <c r="B2405" s="7">
        <v>44256</v>
      </c>
      <c r="C2405" s="3">
        <f t="shared" si="74"/>
        <v>2021</v>
      </c>
      <c r="D2405" s="3">
        <f t="shared" si="75"/>
        <v>202103</v>
      </c>
      <c r="E2405" s="5" t="s">
        <v>4</v>
      </c>
      <c r="F2405" s="5" t="s">
        <v>10</v>
      </c>
      <c r="G2405" s="5" t="s">
        <v>30</v>
      </c>
      <c r="H2405">
        <v>11</v>
      </c>
      <c r="I2405" s="4">
        <v>472285</v>
      </c>
      <c r="J2405" s="4">
        <v>198660</v>
      </c>
    </row>
    <row r="2406" spans="2:10" x14ac:dyDescent="0.3">
      <c r="B2406" s="7">
        <v>44287</v>
      </c>
      <c r="C2406" s="3">
        <f t="shared" si="74"/>
        <v>2021</v>
      </c>
      <c r="D2406" s="3">
        <f t="shared" si="75"/>
        <v>202104</v>
      </c>
      <c r="E2406" s="5" t="s">
        <v>4</v>
      </c>
      <c r="F2406" s="5" t="s">
        <v>10</v>
      </c>
      <c r="G2406" s="5" t="s">
        <v>30</v>
      </c>
      <c r="H2406">
        <v>20</v>
      </c>
      <c r="I2406" s="4">
        <v>878940</v>
      </c>
      <c r="J2406" s="4">
        <v>361200</v>
      </c>
    </row>
    <row r="2407" spans="2:10" x14ac:dyDescent="0.3">
      <c r="B2407" s="7">
        <v>44317</v>
      </c>
      <c r="C2407" s="3">
        <f t="shared" si="74"/>
        <v>2021</v>
      </c>
      <c r="D2407" s="3">
        <f t="shared" si="75"/>
        <v>202105</v>
      </c>
      <c r="E2407" s="5" t="s">
        <v>4</v>
      </c>
      <c r="F2407" s="5" t="s">
        <v>10</v>
      </c>
      <c r="G2407" s="5" t="s">
        <v>30</v>
      </c>
      <c r="H2407">
        <v>25</v>
      </c>
      <c r="I2407" s="4">
        <v>1109450</v>
      </c>
      <c r="J2407" s="4">
        <v>451500</v>
      </c>
    </row>
    <row r="2408" spans="2:10" x14ac:dyDescent="0.3">
      <c r="B2408" s="7">
        <v>44348</v>
      </c>
      <c r="C2408" s="3">
        <f t="shared" si="74"/>
        <v>2021</v>
      </c>
      <c r="D2408" s="3">
        <f t="shared" si="75"/>
        <v>202106</v>
      </c>
      <c r="E2408" s="5" t="s">
        <v>4</v>
      </c>
      <c r="F2408" s="5" t="s">
        <v>10</v>
      </c>
      <c r="G2408" s="5" t="s">
        <v>30</v>
      </c>
      <c r="H2408">
        <v>24</v>
      </c>
      <c r="I2408" s="4">
        <v>1028928</v>
      </c>
      <c r="J2408" s="4">
        <v>433440</v>
      </c>
    </row>
    <row r="2409" spans="2:10" x14ac:dyDescent="0.3">
      <c r="B2409" s="7">
        <v>44378</v>
      </c>
      <c r="C2409" s="3">
        <f t="shared" si="74"/>
        <v>2021</v>
      </c>
      <c r="D2409" s="3">
        <f t="shared" si="75"/>
        <v>202107</v>
      </c>
      <c r="E2409" s="5" t="s">
        <v>4</v>
      </c>
      <c r="F2409" s="5" t="s">
        <v>10</v>
      </c>
      <c r="G2409" s="5" t="s">
        <v>30</v>
      </c>
      <c r="H2409">
        <v>25</v>
      </c>
      <c r="I2409" s="4">
        <v>1060475</v>
      </c>
      <c r="J2409" s="4">
        <v>451500</v>
      </c>
    </row>
    <row r="2410" spans="2:10" x14ac:dyDescent="0.3">
      <c r="B2410" s="7">
        <v>44409</v>
      </c>
      <c r="C2410" s="3">
        <f t="shared" si="74"/>
        <v>2021</v>
      </c>
      <c r="D2410" s="3">
        <f t="shared" si="75"/>
        <v>202108</v>
      </c>
      <c r="E2410" s="5" t="s">
        <v>4</v>
      </c>
      <c r="F2410" s="5" t="s">
        <v>10</v>
      </c>
      <c r="G2410" s="5" t="s">
        <v>30</v>
      </c>
      <c r="H2410">
        <v>21</v>
      </c>
      <c r="I2410" s="4">
        <v>907263</v>
      </c>
      <c r="J2410" s="4">
        <v>379260</v>
      </c>
    </row>
    <row r="2411" spans="2:10" x14ac:dyDescent="0.3">
      <c r="B2411" s="7">
        <v>44440</v>
      </c>
      <c r="C2411" s="3">
        <f t="shared" si="74"/>
        <v>2021</v>
      </c>
      <c r="D2411" s="3">
        <f t="shared" si="75"/>
        <v>202109</v>
      </c>
      <c r="E2411" s="5" t="s">
        <v>4</v>
      </c>
      <c r="F2411" s="5" t="s">
        <v>10</v>
      </c>
      <c r="G2411" s="5" t="s">
        <v>30</v>
      </c>
      <c r="H2411">
        <v>23</v>
      </c>
      <c r="I2411" s="4">
        <v>983733</v>
      </c>
      <c r="J2411" s="4">
        <v>415380</v>
      </c>
    </row>
    <row r="2412" spans="2:10" x14ac:dyDescent="0.3">
      <c r="B2412" s="7">
        <v>44470</v>
      </c>
      <c r="C2412" s="3">
        <f t="shared" si="74"/>
        <v>2021</v>
      </c>
      <c r="D2412" s="3">
        <f t="shared" si="75"/>
        <v>202110</v>
      </c>
      <c r="E2412" s="5" t="s">
        <v>4</v>
      </c>
      <c r="F2412" s="5" t="s">
        <v>10</v>
      </c>
      <c r="G2412" s="5" t="s">
        <v>30</v>
      </c>
      <c r="H2412">
        <v>19</v>
      </c>
      <c r="I2412" s="4">
        <v>815499</v>
      </c>
      <c r="J2412" s="4">
        <v>343140</v>
      </c>
    </row>
    <row r="2413" spans="2:10" x14ac:dyDescent="0.3">
      <c r="B2413" s="7">
        <v>44501</v>
      </c>
      <c r="C2413" s="3">
        <f t="shared" si="74"/>
        <v>2021</v>
      </c>
      <c r="D2413" s="3">
        <f t="shared" si="75"/>
        <v>202111</v>
      </c>
      <c r="E2413" s="5" t="s">
        <v>4</v>
      </c>
      <c r="F2413" s="5" t="s">
        <v>10</v>
      </c>
      <c r="G2413" s="5" t="s">
        <v>30</v>
      </c>
      <c r="H2413">
        <v>13</v>
      </c>
      <c r="I2413" s="4">
        <v>564720</v>
      </c>
      <c r="J2413" s="4">
        <v>234780</v>
      </c>
    </row>
    <row r="2414" spans="2:10" x14ac:dyDescent="0.3">
      <c r="B2414" s="7">
        <v>44531</v>
      </c>
      <c r="C2414" s="3">
        <f t="shared" si="74"/>
        <v>2021</v>
      </c>
      <c r="D2414" s="3">
        <f t="shared" si="75"/>
        <v>202112</v>
      </c>
      <c r="E2414" s="5" t="s">
        <v>4</v>
      </c>
      <c r="F2414" s="5" t="s">
        <v>10</v>
      </c>
      <c r="G2414" s="5" t="s">
        <v>30</v>
      </c>
      <c r="H2414">
        <v>16</v>
      </c>
      <c r="I2414" s="4">
        <v>685360</v>
      </c>
      <c r="J2414" s="4">
        <v>288960</v>
      </c>
    </row>
    <row r="2415" spans="2:10" x14ac:dyDescent="0.3">
      <c r="B2415" s="7">
        <v>44562</v>
      </c>
      <c r="C2415" s="3">
        <f t="shared" si="74"/>
        <v>2022</v>
      </c>
      <c r="D2415" s="3">
        <f t="shared" si="75"/>
        <v>202201</v>
      </c>
      <c r="E2415" s="5" t="s">
        <v>4</v>
      </c>
      <c r="F2415" s="5" t="s">
        <v>10</v>
      </c>
      <c r="G2415" s="5" t="s">
        <v>30</v>
      </c>
      <c r="H2415">
        <v>23</v>
      </c>
      <c r="I2415" s="4">
        <v>988356</v>
      </c>
      <c r="J2415" s="4">
        <v>415380</v>
      </c>
    </row>
    <row r="2416" spans="2:10" x14ac:dyDescent="0.3">
      <c r="B2416" s="7">
        <v>44593</v>
      </c>
      <c r="C2416" s="3">
        <f t="shared" si="74"/>
        <v>2022</v>
      </c>
      <c r="D2416" s="3">
        <f t="shared" si="75"/>
        <v>202202</v>
      </c>
      <c r="E2416" s="5" t="s">
        <v>4</v>
      </c>
      <c r="F2416" s="5" t="s">
        <v>10</v>
      </c>
      <c r="G2416" s="5" t="s">
        <v>30</v>
      </c>
      <c r="H2416">
        <v>15</v>
      </c>
      <c r="I2416" s="4">
        <v>655185</v>
      </c>
      <c r="J2416" s="4">
        <v>270900</v>
      </c>
    </row>
    <row r="2417" spans="2:10" x14ac:dyDescent="0.3">
      <c r="B2417" s="7">
        <v>44621</v>
      </c>
      <c r="C2417" s="3">
        <f t="shared" si="74"/>
        <v>2022</v>
      </c>
      <c r="D2417" s="3">
        <f t="shared" si="75"/>
        <v>202203</v>
      </c>
      <c r="E2417" s="5" t="s">
        <v>4</v>
      </c>
      <c r="F2417" s="5" t="s">
        <v>10</v>
      </c>
      <c r="G2417" s="5" t="s">
        <v>30</v>
      </c>
      <c r="H2417">
        <v>12</v>
      </c>
      <c r="I2417" s="4">
        <v>510132</v>
      </c>
      <c r="J2417" s="4">
        <v>216720</v>
      </c>
    </row>
    <row r="2418" spans="2:10" x14ac:dyDescent="0.3">
      <c r="B2418" s="7">
        <v>44652</v>
      </c>
      <c r="C2418" s="3">
        <f t="shared" si="74"/>
        <v>2022</v>
      </c>
      <c r="D2418" s="3">
        <f t="shared" si="75"/>
        <v>202204</v>
      </c>
      <c r="E2418" s="5" t="s">
        <v>4</v>
      </c>
      <c r="F2418" s="5" t="s">
        <v>10</v>
      </c>
      <c r="G2418" s="5" t="s">
        <v>30</v>
      </c>
      <c r="H2418">
        <v>22</v>
      </c>
      <c r="I2418" s="4">
        <v>974490</v>
      </c>
      <c r="J2418" s="4">
        <v>397320</v>
      </c>
    </row>
    <row r="2419" spans="2:10" x14ac:dyDescent="0.3">
      <c r="B2419" s="7">
        <v>44682</v>
      </c>
      <c r="C2419" s="3">
        <f t="shared" si="74"/>
        <v>2022</v>
      </c>
      <c r="D2419" s="3">
        <f t="shared" si="75"/>
        <v>202205</v>
      </c>
      <c r="E2419" s="5" t="s">
        <v>4</v>
      </c>
      <c r="F2419" s="5" t="s">
        <v>10</v>
      </c>
      <c r="G2419" s="5" t="s">
        <v>30</v>
      </c>
      <c r="H2419">
        <v>28</v>
      </c>
      <c r="I2419" s="4">
        <v>1242304</v>
      </c>
      <c r="J2419" s="4">
        <v>505680</v>
      </c>
    </row>
    <row r="2420" spans="2:10" x14ac:dyDescent="0.3">
      <c r="B2420" s="7">
        <v>44713</v>
      </c>
      <c r="C2420" s="3">
        <f t="shared" si="74"/>
        <v>2022</v>
      </c>
      <c r="D2420" s="3">
        <f t="shared" si="75"/>
        <v>202206</v>
      </c>
      <c r="E2420" s="5" t="s">
        <v>4</v>
      </c>
      <c r="F2420" s="5" t="s">
        <v>10</v>
      </c>
      <c r="G2420" s="5" t="s">
        <v>30</v>
      </c>
      <c r="H2420">
        <v>26</v>
      </c>
      <c r="I2420" s="4">
        <v>1134380</v>
      </c>
      <c r="J2420" s="4">
        <v>469560</v>
      </c>
    </row>
    <row r="2421" spans="2:10" x14ac:dyDescent="0.3">
      <c r="B2421" s="7">
        <v>44743</v>
      </c>
      <c r="C2421" s="3">
        <f t="shared" si="74"/>
        <v>2022</v>
      </c>
      <c r="D2421" s="3">
        <f t="shared" si="75"/>
        <v>202207</v>
      </c>
      <c r="E2421" s="5" t="s">
        <v>4</v>
      </c>
      <c r="F2421" s="5" t="s">
        <v>10</v>
      </c>
      <c r="G2421" s="5" t="s">
        <v>30</v>
      </c>
      <c r="H2421">
        <v>28</v>
      </c>
      <c r="I2421" s="4">
        <v>1166592</v>
      </c>
      <c r="J2421" s="4">
        <v>505680</v>
      </c>
    </row>
    <row r="2422" spans="2:10" x14ac:dyDescent="0.3">
      <c r="B2422" s="7">
        <v>44774</v>
      </c>
      <c r="C2422" s="3">
        <f t="shared" si="74"/>
        <v>2022</v>
      </c>
      <c r="D2422" s="3">
        <f t="shared" si="75"/>
        <v>202208</v>
      </c>
      <c r="E2422" s="5" t="s">
        <v>4</v>
      </c>
      <c r="F2422" s="5" t="s">
        <v>10</v>
      </c>
      <c r="G2422" s="5" t="s">
        <v>30</v>
      </c>
      <c r="H2422">
        <v>23</v>
      </c>
      <c r="I2422" s="4">
        <v>979110</v>
      </c>
      <c r="J2422" s="4">
        <v>415380</v>
      </c>
    </row>
    <row r="2423" spans="2:10" x14ac:dyDescent="0.3">
      <c r="B2423" s="7">
        <v>44805</v>
      </c>
      <c r="C2423" s="3">
        <f t="shared" si="74"/>
        <v>2022</v>
      </c>
      <c r="D2423" s="3">
        <f t="shared" si="75"/>
        <v>202209</v>
      </c>
      <c r="E2423" s="5" t="s">
        <v>4</v>
      </c>
      <c r="F2423" s="5" t="s">
        <v>10</v>
      </c>
      <c r="G2423" s="5" t="s">
        <v>30</v>
      </c>
      <c r="H2423">
        <v>25</v>
      </c>
      <c r="I2423" s="4">
        <v>1067525</v>
      </c>
      <c r="J2423" s="4">
        <v>451500</v>
      </c>
    </row>
    <row r="2424" spans="2:10" x14ac:dyDescent="0.3">
      <c r="B2424" s="7">
        <v>44835</v>
      </c>
      <c r="C2424" s="3">
        <f t="shared" si="74"/>
        <v>2022</v>
      </c>
      <c r="D2424" s="3">
        <f t="shared" si="75"/>
        <v>202210</v>
      </c>
      <c r="E2424" s="5" t="s">
        <v>4</v>
      </c>
      <c r="F2424" s="5" t="s">
        <v>10</v>
      </c>
      <c r="G2424" s="5" t="s">
        <v>30</v>
      </c>
      <c r="H2424">
        <v>20</v>
      </c>
      <c r="I2424" s="4">
        <v>858140</v>
      </c>
      <c r="J2424" s="4">
        <v>361200</v>
      </c>
    </row>
    <row r="2425" spans="2:10" x14ac:dyDescent="0.3">
      <c r="B2425" s="7">
        <v>44866</v>
      </c>
      <c r="C2425" s="3">
        <f t="shared" si="74"/>
        <v>2022</v>
      </c>
      <c r="D2425" s="3">
        <f t="shared" si="75"/>
        <v>202211</v>
      </c>
      <c r="E2425" s="5" t="s">
        <v>4</v>
      </c>
      <c r="F2425" s="5" t="s">
        <v>10</v>
      </c>
      <c r="G2425" s="5" t="s">
        <v>30</v>
      </c>
      <c r="H2425">
        <v>15</v>
      </c>
      <c r="I2425" s="4">
        <v>656955</v>
      </c>
      <c r="J2425" s="4">
        <v>270900</v>
      </c>
    </row>
    <row r="2426" spans="2:10" x14ac:dyDescent="0.3">
      <c r="B2426" s="7">
        <v>44896</v>
      </c>
      <c r="C2426" s="3">
        <f t="shared" si="74"/>
        <v>2022</v>
      </c>
      <c r="D2426" s="3">
        <f t="shared" si="75"/>
        <v>202212</v>
      </c>
      <c r="E2426" s="5" t="s">
        <v>4</v>
      </c>
      <c r="F2426" s="5" t="s">
        <v>10</v>
      </c>
      <c r="G2426" s="5" t="s">
        <v>30</v>
      </c>
      <c r="H2426">
        <v>18</v>
      </c>
      <c r="I2426" s="4">
        <v>767160</v>
      </c>
      <c r="J2426" s="4">
        <v>325080</v>
      </c>
    </row>
    <row r="2427" spans="2:10" x14ac:dyDescent="0.3">
      <c r="B2427" s="7">
        <v>44197</v>
      </c>
      <c r="C2427" s="3">
        <f t="shared" si="74"/>
        <v>2021</v>
      </c>
      <c r="D2427" s="3">
        <f t="shared" si="75"/>
        <v>202101</v>
      </c>
      <c r="E2427" s="5" t="s">
        <v>4</v>
      </c>
      <c r="F2427" s="5" t="s">
        <v>10</v>
      </c>
      <c r="G2427" s="5" t="s">
        <v>31</v>
      </c>
      <c r="H2427">
        <v>19</v>
      </c>
      <c r="I2427" s="4">
        <v>561678</v>
      </c>
      <c r="J2427" s="4">
        <v>212800</v>
      </c>
    </row>
    <row r="2428" spans="2:10" x14ac:dyDescent="0.3">
      <c r="B2428" s="7">
        <v>44228</v>
      </c>
      <c r="C2428" s="3">
        <f t="shared" si="74"/>
        <v>2021</v>
      </c>
      <c r="D2428" s="3">
        <f t="shared" si="75"/>
        <v>202102</v>
      </c>
      <c r="E2428" s="5" t="s">
        <v>4</v>
      </c>
      <c r="F2428" s="5" t="s">
        <v>10</v>
      </c>
      <c r="G2428" s="5" t="s">
        <v>31</v>
      </c>
      <c r="H2428">
        <v>12</v>
      </c>
      <c r="I2428" s="4">
        <v>353472</v>
      </c>
      <c r="J2428" s="4">
        <v>134400</v>
      </c>
    </row>
    <row r="2429" spans="2:10" x14ac:dyDescent="0.3">
      <c r="B2429" s="7">
        <v>44256</v>
      </c>
      <c r="C2429" s="3">
        <f t="shared" si="74"/>
        <v>2021</v>
      </c>
      <c r="D2429" s="3">
        <f t="shared" si="75"/>
        <v>202103</v>
      </c>
      <c r="E2429" s="5" t="s">
        <v>4</v>
      </c>
      <c r="F2429" s="5" t="s">
        <v>10</v>
      </c>
      <c r="G2429" s="5" t="s">
        <v>31</v>
      </c>
      <c r="H2429">
        <v>10</v>
      </c>
      <c r="I2429" s="4">
        <v>284380</v>
      </c>
      <c r="J2429" s="4">
        <v>112000</v>
      </c>
    </row>
    <row r="2430" spans="2:10" x14ac:dyDescent="0.3">
      <c r="B2430" s="7">
        <v>44287</v>
      </c>
      <c r="C2430" s="3">
        <f t="shared" si="74"/>
        <v>2021</v>
      </c>
      <c r="D2430" s="3">
        <f t="shared" si="75"/>
        <v>202104</v>
      </c>
      <c r="E2430" s="5" t="s">
        <v>4</v>
      </c>
      <c r="F2430" s="5" t="s">
        <v>10</v>
      </c>
      <c r="G2430" s="5" t="s">
        <v>31</v>
      </c>
      <c r="H2430">
        <v>18</v>
      </c>
      <c r="I2430" s="4">
        <v>533448</v>
      </c>
      <c r="J2430" s="4">
        <v>201600</v>
      </c>
    </row>
    <row r="2431" spans="2:10" x14ac:dyDescent="0.3">
      <c r="B2431" s="7">
        <v>44317</v>
      </c>
      <c r="C2431" s="3">
        <f t="shared" si="74"/>
        <v>2021</v>
      </c>
      <c r="D2431" s="3">
        <f t="shared" si="75"/>
        <v>202105</v>
      </c>
      <c r="E2431" s="5" t="s">
        <v>4</v>
      </c>
      <c r="F2431" s="5" t="s">
        <v>10</v>
      </c>
      <c r="G2431" s="5" t="s">
        <v>31</v>
      </c>
      <c r="H2431">
        <v>23</v>
      </c>
      <c r="I2431" s="4">
        <v>696486</v>
      </c>
      <c r="J2431" s="4">
        <v>257600</v>
      </c>
    </row>
    <row r="2432" spans="2:10" x14ac:dyDescent="0.3">
      <c r="B2432" s="7">
        <v>44348</v>
      </c>
      <c r="C2432" s="3">
        <f t="shared" si="74"/>
        <v>2021</v>
      </c>
      <c r="D2432" s="3">
        <f t="shared" si="75"/>
        <v>202106</v>
      </c>
      <c r="E2432" s="5" t="s">
        <v>4</v>
      </c>
      <c r="F2432" s="5" t="s">
        <v>10</v>
      </c>
      <c r="G2432" s="5" t="s">
        <v>31</v>
      </c>
      <c r="H2432">
        <v>22</v>
      </c>
      <c r="I2432" s="4">
        <v>650430</v>
      </c>
      <c r="J2432" s="4">
        <v>246400</v>
      </c>
    </row>
    <row r="2433" spans="2:10" x14ac:dyDescent="0.3">
      <c r="B2433" s="7">
        <v>44378</v>
      </c>
      <c r="C2433" s="3">
        <f t="shared" si="74"/>
        <v>2021</v>
      </c>
      <c r="D2433" s="3">
        <f t="shared" si="75"/>
        <v>202107</v>
      </c>
      <c r="E2433" s="5" t="s">
        <v>4</v>
      </c>
      <c r="F2433" s="5" t="s">
        <v>10</v>
      </c>
      <c r="G2433" s="5" t="s">
        <v>31</v>
      </c>
      <c r="H2433">
        <v>23</v>
      </c>
      <c r="I2433" s="4">
        <v>625094</v>
      </c>
      <c r="J2433" s="4">
        <v>257600</v>
      </c>
    </row>
    <row r="2434" spans="2:10" x14ac:dyDescent="0.3">
      <c r="B2434" s="7">
        <v>44409</v>
      </c>
      <c r="C2434" s="3">
        <f t="shared" si="74"/>
        <v>2021</v>
      </c>
      <c r="D2434" s="3">
        <f t="shared" si="75"/>
        <v>202108</v>
      </c>
      <c r="E2434" s="5" t="s">
        <v>4</v>
      </c>
      <c r="F2434" s="5" t="s">
        <v>10</v>
      </c>
      <c r="G2434" s="5" t="s">
        <v>31</v>
      </c>
      <c r="H2434">
        <v>19</v>
      </c>
      <c r="I2434" s="4">
        <v>536788</v>
      </c>
      <c r="J2434" s="4">
        <v>212800</v>
      </c>
    </row>
    <row r="2435" spans="2:10" x14ac:dyDescent="0.3">
      <c r="B2435" s="7">
        <v>44440</v>
      </c>
      <c r="C2435" s="3">
        <f t="shared" ref="C2435:C2498" si="76">YEAR(B2435)</f>
        <v>2021</v>
      </c>
      <c r="D2435" s="3">
        <f t="shared" ref="D2435:D2498" si="77">VALUE(TEXT(B2435,"ГГГГММ"))</f>
        <v>202109</v>
      </c>
      <c r="E2435" s="5" t="s">
        <v>4</v>
      </c>
      <c r="F2435" s="5" t="s">
        <v>10</v>
      </c>
      <c r="G2435" s="5" t="s">
        <v>31</v>
      </c>
      <c r="H2435">
        <v>20</v>
      </c>
      <c r="I2435" s="4">
        <v>572580</v>
      </c>
      <c r="J2435" s="4">
        <v>224000</v>
      </c>
    </row>
    <row r="2436" spans="2:10" x14ac:dyDescent="0.3">
      <c r="B2436" s="7">
        <v>44470</v>
      </c>
      <c r="C2436" s="3">
        <f t="shared" si="76"/>
        <v>2021</v>
      </c>
      <c r="D2436" s="3">
        <f t="shared" si="77"/>
        <v>202110</v>
      </c>
      <c r="E2436" s="5" t="s">
        <v>4</v>
      </c>
      <c r="F2436" s="5" t="s">
        <v>10</v>
      </c>
      <c r="G2436" s="5" t="s">
        <v>31</v>
      </c>
      <c r="H2436">
        <v>17</v>
      </c>
      <c r="I2436" s="4">
        <v>509456</v>
      </c>
      <c r="J2436" s="4">
        <v>190400</v>
      </c>
    </row>
    <row r="2437" spans="2:10" x14ac:dyDescent="0.3">
      <c r="B2437" s="7">
        <v>44501</v>
      </c>
      <c r="C2437" s="3">
        <f t="shared" si="76"/>
        <v>2021</v>
      </c>
      <c r="D2437" s="3">
        <f t="shared" si="77"/>
        <v>202111</v>
      </c>
      <c r="E2437" s="5" t="s">
        <v>4</v>
      </c>
      <c r="F2437" s="5" t="s">
        <v>10</v>
      </c>
      <c r="G2437" s="5" t="s">
        <v>31</v>
      </c>
      <c r="H2437">
        <v>12</v>
      </c>
      <c r="I2437" s="4">
        <v>349932</v>
      </c>
      <c r="J2437" s="4">
        <v>134400</v>
      </c>
    </row>
    <row r="2438" spans="2:10" x14ac:dyDescent="0.3">
      <c r="B2438" s="7">
        <v>44531</v>
      </c>
      <c r="C2438" s="3">
        <f t="shared" si="76"/>
        <v>2021</v>
      </c>
      <c r="D2438" s="3">
        <f t="shared" si="77"/>
        <v>202112</v>
      </c>
      <c r="E2438" s="5" t="s">
        <v>4</v>
      </c>
      <c r="F2438" s="5" t="s">
        <v>10</v>
      </c>
      <c r="G2438" s="5" t="s">
        <v>31</v>
      </c>
      <c r="H2438">
        <v>15</v>
      </c>
      <c r="I2438" s="4">
        <v>433485</v>
      </c>
      <c r="J2438" s="4">
        <v>168000</v>
      </c>
    </row>
    <row r="2439" spans="2:10" x14ac:dyDescent="0.3">
      <c r="B2439" s="7">
        <v>44562</v>
      </c>
      <c r="C2439" s="3">
        <f t="shared" si="76"/>
        <v>2022</v>
      </c>
      <c r="D2439" s="3">
        <f t="shared" si="77"/>
        <v>202201</v>
      </c>
      <c r="E2439" s="5" t="s">
        <v>4</v>
      </c>
      <c r="F2439" s="5" t="s">
        <v>10</v>
      </c>
      <c r="G2439" s="5" t="s">
        <v>31</v>
      </c>
      <c r="H2439">
        <v>21</v>
      </c>
      <c r="I2439" s="4">
        <v>611520</v>
      </c>
      <c r="J2439" s="4">
        <v>235200</v>
      </c>
    </row>
    <row r="2440" spans="2:10" x14ac:dyDescent="0.3">
      <c r="B2440" s="7">
        <v>44593</v>
      </c>
      <c r="C2440" s="3">
        <f t="shared" si="76"/>
        <v>2022</v>
      </c>
      <c r="D2440" s="3">
        <f t="shared" si="77"/>
        <v>202202</v>
      </c>
      <c r="E2440" s="5" t="s">
        <v>4</v>
      </c>
      <c r="F2440" s="5" t="s">
        <v>10</v>
      </c>
      <c r="G2440" s="5" t="s">
        <v>31</v>
      </c>
      <c r="H2440">
        <v>13</v>
      </c>
      <c r="I2440" s="4">
        <v>380367</v>
      </c>
      <c r="J2440" s="4">
        <v>145600</v>
      </c>
    </row>
    <row r="2441" spans="2:10" x14ac:dyDescent="0.3">
      <c r="B2441" s="7">
        <v>44621</v>
      </c>
      <c r="C2441" s="3">
        <f t="shared" si="76"/>
        <v>2022</v>
      </c>
      <c r="D2441" s="3">
        <f t="shared" si="77"/>
        <v>202203</v>
      </c>
      <c r="E2441" s="5" t="s">
        <v>4</v>
      </c>
      <c r="F2441" s="5" t="s">
        <v>10</v>
      </c>
      <c r="G2441" s="5" t="s">
        <v>31</v>
      </c>
      <c r="H2441">
        <v>11</v>
      </c>
      <c r="I2441" s="4">
        <v>320474</v>
      </c>
      <c r="J2441" s="4">
        <v>123200</v>
      </c>
    </row>
    <row r="2442" spans="2:10" x14ac:dyDescent="0.3">
      <c r="B2442" s="7">
        <v>44652</v>
      </c>
      <c r="C2442" s="3">
        <f t="shared" si="76"/>
        <v>2022</v>
      </c>
      <c r="D2442" s="3">
        <f t="shared" si="77"/>
        <v>202204</v>
      </c>
      <c r="E2442" s="5" t="s">
        <v>4</v>
      </c>
      <c r="F2442" s="5" t="s">
        <v>10</v>
      </c>
      <c r="G2442" s="5" t="s">
        <v>31</v>
      </c>
      <c r="H2442">
        <v>20</v>
      </c>
      <c r="I2442" s="4">
        <v>593640</v>
      </c>
      <c r="J2442" s="4">
        <v>224000</v>
      </c>
    </row>
    <row r="2443" spans="2:10" x14ac:dyDescent="0.3">
      <c r="B2443" s="7">
        <v>44682</v>
      </c>
      <c r="C2443" s="3">
        <f t="shared" si="76"/>
        <v>2022</v>
      </c>
      <c r="D2443" s="3">
        <f t="shared" si="77"/>
        <v>202205</v>
      </c>
      <c r="E2443" s="5" t="s">
        <v>4</v>
      </c>
      <c r="F2443" s="5" t="s">
        <v>10</v>
      </c>
      <c r="G2443" s="5" t="s">
        <v>31</v>
      </c>
      <c r="H2443">
        <v>25</v>
      </c>
      <c r="I2443" s="4">
        <v>751200</v>
      </c>
      <c r="J2443" s="4">
        <v>280000</v>
      </c>
    </row>
    <row r="2444" spans="2:10" x14ac:dyDescent="0.3">
      <c r="B2444" s="7">
        <v>44713</v>
      </c>
      <c r="C2444" s="3">
        <f t="shared" si="76"/>
        <v>2022</v>
      </c>
      <c r="D2444" s="3">
        <f t="shared" si="77"/>
        <v>202206</v>
      </c>
      <c r="E2444" s="5" t="s">
        <v>4</v>
      </c>
      <c r="F2444" s="5" t="s">
        <v>10</v>
      </c>
      <c r="G2444" s="5" t="s">
        <v>31</v>
      </c>
      <c r="H2444">
        <v>24</v>
      </c>
      <c r="I2444" s="4">
        <v>696648</v>
      </c>
      <c r="J2444" s="4">
        <v>268800</v>
      </c>
    </row>
    <row r="2445" spans="2:10" x14ac:dyDescent="0.3">
      <c r="B2445" s="7">
        <v>44743</v>
      </c>
      <c r="C2445" s="3">
        <f t="shared" si="76"/>
        <v>2022</v>
      </c>
      <c r="D2445" s="3">
        <f t="shared" si="77"/>
        <v>202207</v>
      </c>
      <c r="E2445" s="5" t="s">
        <v>4</v>
      </c>
      <c r="F2445" s="5" t="s">
        <v>10</v>
      </c>
      <c r="G2445" s="5" t="s">
        <v>31</v>
      </c>
      <c r="H2445">
        <v>25</v>
      </c>
      <c r="I2445" s="4">
        <v>686125</v>
      </c>
      <c r="J2445" s="4">
        <v>280000</v>
      </c>
    </row>
    <row r="2446" spans="2:10" x14ac:dyDescent="0.3">
      <c r="B2446" s="7">
        <v>44774</v>
      </c>
      <c r="C2446" s="3">
        <f t="shared" si="76"/>
        <v>2022</v>
      </c>
      <c r="D2446" s="3">
        <f t="shared" si="77"/>
        <v>202208</v>
      </c>
      <c r="E2446" s="5" t="s">
        <v>4</v>
      </c>
      <c r="F2446" s="5" t="s">
        <v>10</v>
      </c>
      <c r="G2446" s="5" t="s">
        <v>31</v>
      </c>
      <c r="H2446">
        <v>21</v>
      </c>
      <c r="I2446" s="4">
        <v>616476</v>
      </c>
      <c r="J2446" s="4">
        <v>235200</v>
      </c>
    </row>
    <row r="2447" spans="2:10" x14ac:dyDescent="0.3">
      <c r="B2447" s="7">
        <v>44805</v>
      </c>
      <c r="C2447" s="3">
        <f t="shared" si="76"/>
        <v>2022</v>
      </c>
      <c r="D2447" s="3">
        <f t="shared" si="77"/>
        <v>202209</v>
      </c>
      <c r="E2447" s="5" t="s">
        <v>4</v>
      </c>
      <c r="F2447" s="5" t="s">
        <v>10</v>
      </c>
      <c r="G2447" s="5" t="s">
        <v>31</v>
      </c>
      <c r="H2447">
        <v>22</v>
      </c>
      <c r="I2447" s="4">
        <v>638110</v>
      </c>
      <c r="J2447" s="4">
        <v>246400</v>
      </c>
    </row>
    <row r="2448" spans="2:10" x14ac:dyDescent="0.3">
      <c r="B2448" s="7">
        <v>44835</v>
      </c>
      <c r="C2448" s="3">
        <f t="shared" si="76"/>
        <v>2022</v>
      </c>
      <c r="D2448" s="3">
        <f t="shared" si="77"/>
        <v>202210</v>
      </c>
      <c r="E2448" s="5" t="s">
        <v>4</v>
      </c>
      <c r="F2448" s="5" t="s">
        <v>10</v>
      </c>
      <c r="G2448" s="5" t="s">
        <v>31</v>
      </c>
      <c r="H2448">
        <v>19</v>
      </c>
      <c r="I2448" s="4">
        <v>557042</v>
      </c>
      <c r="J2448" s="4">
        <v>212800</v>
      </c>
    </row>
    <row r="2449" spans="2:10" x14ac:dyDescent="0.3">
      <c r="B2449" s="7">
        <v>44866</v>
      </c>
      <c r="C2449" s="3">
        <f t="shared" si="76"/>
        <v>2022</v>
      </c>
      <c r="D2449" s="3">
        <f t="shared" si="77"/>
        <v>202211</v>
      </c>
      <c r="E2449" s="5" t="s">
        <v>4</v>
      </c>
      <c r="F2449" s="5" t="s">
        <v>10</v>
      </c>
      <c r="G2449" s="5" t="s">
        <v>31</v>
      </c>
      <c r="H2449">
        <v>13</v>
      </c>
      <c r="I2449" s="4">
        <v>371865</v>
      </c>
      <c r="J2449" s="4">
        <v>145600</v>
      </c>
    </row>
    <row r="2450" spans="2:10" x14ac:dyDescent="0.3">
      <c r="B2450" s="7">
        <v>44896</v>
      </c>
      <c r="C2450" s="3">
        <f t="shared" si="76"/>
        <v>2022</v>
      </c>
      <c r="D2450" s="3">
        <f t="shared" si="77"/>
        <v>202212</v>
      </c>
      <c r="E2450" s="5" t="s">
        <v>4</v>
      </c>
      <c r="F2450" s="5" t="s">
        <v>10</v>
      </c>
      <c r="G2450" s="5" t="s">
        <v>31</v>
      </c>
      <c r="H2450">
        <v>16</v>
      </c>
      <c r="I2450" s="4">
        <v>464688</v>
      </c>
      <c r="J2450" s="4">
        <v>179200</v>
      </c>
    </row>
    <row r="2451" spans="2:10" x14ac:dyDescent="0.3">
      <c r="B2451" s="7">
        <v>44197</v>
      </c>
      <c r="C2451" s="3">
        <f t="shared" si="76"/>
        <v>2021</v>
      </c>
      <c r="D2451" s="3">
        <f t="shared" si="77"/>
        <v>202101</v>
      </c>
      <c r="E2451" s="5" t="s">
        <v>4</v>
      </c>
      <c r="F2451" s="5" t="s">
        <v>10</v>
      </c>
      <c r="G2451" s="5" t="s">
        <v>32</v>
      </c>
      <c r="H2451">
        <v>24</v>
      </c>
      <c r="I2451" s="4">
        <v>1111752</v>
      </c>
      <c r="J2451" s="4">
        <v>604800.00000000012</v>
      </c>
    </row>
    <row r="2452" spans="2:10" x14ac:dyDescent="0.3">
      <c r="B2452" s="7">
        <v>44228</v>
      </c>
      <c r="C2452" s="3">
        <f t="shared" si="76"/>
        <v>2021</v>
      </c>
      <c r="D2452" s="3">
        <f t="shared" si="77"/>
        <v>202102</v>
      </c>
      <c r="E2452" s="5" t="s">
        <v>4</v>
      </c>
      <c r="F2452" s="5" t="s">
        <v>10</v>
      </c>
      <c r="G2452" s="5" t="s">
        <v>32</v>
      </c>
      <c r="H2452">
        <v>15</v>
      </c>
      <c r="I2452" s="4">
        <v>701055</v>
      </c>
      <c r="J2452" s="4">
        <v>378000.00000000006</v>
      </c>
    </row>
    <row r="2453" spans="2:10" x14ac:dyDescent="0.3">
      <c r="B2453" s="7">
        <v>44256</v>
      </c>
      <c r="C2453" s="3">
        <f t="shared" si="76"/>
        <v>2021</v>
      </c>
      <c r="D2453" s="3">
        <f t="shared" si="77"/>
        <v>202103</v>
      </c>
      <c r="E2453" s="5" t="s">
        <v>4</v>
      </c>
      <c r="F2453" s="5" t="s">
        <v>10</v>
      </c>
      <c r="G2453" s="5" t="s">
        <v>32</v>
      </c>
      <c r="H2453">
        <v>12</v>
      </c>
      <c r="I2453" s="4">
        <v>547296</v>
      </c>
      <c r="J2453" s="4">
        <v>302400.00000000006</v>
      </c>
    </row>
    <row r="2454" spans="2:10" x14ac:dyDescent="0.3">
      <c r="B2454" s="7">
        <v>44287</v>
      </c>
      <c r="C2454" s="3">
        <f t="shared" si="76"/>
        <v>2021</v>
      </c>
      <c r="D2454" s="3">
        <f t="shared" si="77"/>
        <v>202104</v>
      </c>
      <c r="E2454" s="5" t="s">
        <v>4</v>
      </c>
      <c r="F2454" s="5" t="s">
        <v>10</v>
      </c>
      <c r="G2454" s="5" t="s">
        <v>32</v>
      </c>
      <c r="H2454">
        <v>23</v>
      </c>
      <c r="I2454" s="4">
        <v>1084059</v>
      </c>
      <c r="J2454" s="4">
        <v>579600.00000000012</v>
      </c>
    </row>
    <row r="2455" spans="2:10" x14ac:dyDescent="0.3">
      <c r="B2455" s="7">
        <v>44317</v>
      </c>
      <c r="C2455" s="3">
        <f t="shared" si="76"/>
        <v>2021</v>
      </c>
      <c r="D2455" s="3">
        <f t="shared" si="77"/>
        <v>202105</v>
      </c>
      <c r="E2455" s="5" t="s">
        <v>4</v>
      </c>
      <c r="F2455" s="5" t="s">
        <v>10</v>
      </c>
      <c r="G2455" s="5" t="s">
        <v>32</v>
      </c>
      <c r="H2455">
        <v>29</v>
      </c>
      <c r="I2455" s="4">
        <v>1352386</v>
      </c>
      <c r="J2455" s="4">
        <v>730800.00000000012</v>
      </c>
    </row>
    <row r="2456" spans="2:10" x14ac:dyDescent="0.3">
      <c r="B2456" s="7">
        <v>44348</v>
      </c>
      <c r="C2456" s="3">
        <f t="shared" si="76"/>
        <v>2021</v>
      </c>
      <c r="D2456" s="3">
        <f t="shared" si="77"/>
        <v>202106</v>
      </c>
      <c r="E2456" s="5" t="s">
        <v>4</v>
      </c>
      <c r="F2456" s="5" t="s">
        <v>10</v>
      </c>
      <c r="G2456" s="5" t="s">
        <v>32</v>
      </c>
      <c r="H2456">
        <v>27</v>
      </c>
      <c r="I2456" s="4">
        <v>1242135</v>
      </c>
      <c r="J2456" s="4">
        <v>680400.00000000012</v>
      </c>
    </row>
    <row r="2457" spans="2:10" x14ac:dyDescent="0.3">
      <c r="B2457" s="7">
        <v>44378</v>
      </c>
      <c r="C2457" s="3">
        <f t="shared" si="76"/>
        <v>2021</v>
      </c>
      <c r="D2457" s="3">
        <f t="shared" si="77"/>
        <v>202107</v>
      </c>
      <c r="E2457" s="5" t="s">
        <v>4</v>
      </c>
      <c r="F2457" s="5" t="s">
        <v>10</v>
      </c>
      <c r="G2457" s="5" t="s">
        <v>32</v>
      </c>
      <c r="H2457">
        <v>29</v>
      </c>
      <c r="I2457" s="4">
        <v>1309437</v>
      </c>
      <c r="J2457" s="4">
        <v>730800.00000000012</v>
      </c>
    </row>
    <row r="2458" spans="2:10" x14ac:dyDescent="0.3">
      <c r="B2458" s="7">
        <v>44409</v>
      </c>
      <c r="C2458" s="3">
        <f t="shared" si="76"/>
        <v>2021</v>
      </c>
      <c r="D2458" s="3">
        <f t="shared" si="77"/>
        <v>202108</v>
      </c>
      <c r="E2458" s="5" t="s">
        <v>4</v>
      </c>
      <c r="F2458" s="5" t="s">
        <v>10</v>
      </c>
      <c r="G2458" s="5" t="s">
        <v>32</v>
      </c>
      <c r="H2458">
        <v>24</v>
      </c>
      <c r="I2458" s="4">
        <v>1096224</v>
      </c>
      <c r="J2458" s="4">
        <v>604800.00000000012</v>
      </c>
    </row>
    <row r="2459" spans="2:10" x14ac:dyDescent="0.3">
      <c r="B2459" s="7">
        <v>44440</v>
      </c>
      <c r="C2459" s="3">
        <f t="shared" si="76"/>
        <v>2021</v>
      </c>
      <c r="D2459" s="3">
        <f t="shared" si="77"/>
        <v>202109</v>
      </c>
      <c r="E2459" s="5" t="s">
        <v>4</v>
      </c>
      <c r="F2459" s="5" t="s">
        <v>10</v>
      </c>
      <c r="G2459" s="5" t="s">
        <v>32</v>
      </c>
      <c r="H2459">
        <v>26</v>
      </c>
      <c r="I2459" s="4">
        <v>1195740</v>
      </c>
      <c r="J2459" s="4">
        <v>655200.00000000012</v>
      </c>
    </row>
    <row r="2460" spans="2:10" x14ac:dyDescent="0.3">
      <c r="B2460" s="7">
        <v>44470</v>
      </c>
      <c r="C2460" s="3">
        <f t="shared" si="76"/>
        <v>2021</v>
      </c>
      <c r="D2460" s="3">
        <f t="shared" si="77"/>
        <v>202110</v>
      </c>
      <c r="E2460" s="5" t="s">
        <v>4</v>
      </c>
      <c r="F2460" s="5" t="s">
        <v>10</v>
      </c>
      <c r="G2460" s="5" t="s">
        <v>32</v>
      </c>
      <c r="H2460">
        <v>21</v>
      </c>
      <c r="I2460" s="4">
        <v>968184</v>
      </c>
      <c r="J2460" s="4">
        <v>529200.00000000012</v>
      </c>
    </row>
    <row r="2461" spans="2:10" x14ac:dyDescent="0.3">
      <c r="B2461" s="7">
        <v>44501</v>
      </c>
      <c r="C2461" s="3">
        <f t="shared" si="76"/>
        <v>2021</v>
      </c>
      <c r="D2461" s="3">
        <f t="shared" si="77"/>
        <v>202111</v>
      </c>
      <c r="E2461" s="5" t="s">
        <v>4</v>
      </c>
      <c r="F2461" s="5" t="s">
        <v>10</v>
      </c>
      <c r="G2461" s="5" t="s">
        <v>32</v>
      </c>
      <c r="H2461">
        <v>15</v>
      </c>
      <c r="I2461" s="4">
        <v>699540</v>
      </c>
      <c r="J2461" s="4">
        <v>378000.00000000006</v>
      </c>
    </row>
    <row r="2462" spans="2:10" x14ac:dyDescent="0.3">
      <c r="B2462" s="7">
        <v>44531</v>
      </c>
      <c r="C2462" s="3">
        <f t="shared" si="76"/>
        <v>2021</v>
      </c>
      <c r="D2462" s="3">
        <f t="shared" si="77"/>
        <v>202112</v>
      </c>
      <c r="E2462" s="5" t="s">
        <v>4</v>
      </c>
      <c r="F2462" s="5" t="s">
        <v>10</v>
      </c>
      <c r="G2462" s="5" t="s">
        <v>32</v>
      </c>
      <c r="H2462">
        <v>18</v>
      </c>
      <c r="I2462" s="4">
        <v>835596</v>
      </c>
      <c r="J2462" s="4">
        <v>453600.00000000006</v>
      </c>
    </row>
    <row r="2463" spans="2:10" x14ac:dyDescent="0.3">
      <c r="B2463" s="7">
        <v>44562</v>
      </c>
      <c r="C2463" s="3">
        <f t="shared" si="76"/>
        <v>2022</v>
      </c>
      <c r="D2463" s="3">
        <f t="shared" si="77"/>
        <v>202201</v>
      </c>
      <c r="E2463" s="5" t="s">
        <v>4</v>
      </c>
      <c r="F2463" s="5" t="s">
        <v>10</v>
      </c>
      <c r="G2463" s="5" t="s">
        <v>32</v>
      </c>
      <c r="H2463">
        <v>27</v>
      </c>
      <c r="I2463" s="4">
        <v>1249209</v>
      </c>
      <c r="J2463" s="4">
        <v>680400.00000000012</v>
      </c>
    </row>
    <row r="2464" spans="2:10" x14ac:dyDescent="0.3">
      <c r="B2464" s="7">
        <v>44593</v>
      </c>
      <c r="C2464" s="3">
        <f t="shared" si="76"/>
        <v>2022</v>
      </c>
      <c r="D2464" s="3">
        <f t="shared" si="77"/>
        <v>202202</v>
      </c>
      <c r="E2464" s="5" t="s">
        <v>4</v>
      </c>
      <c r="F2464" s="5" t="s">
        <v>10</v>
      </c>
      <c r="G2464" s="5" t="s">
        <v>32</v>
      </c>
      <c r="H2464">
        <v>17</v>
      </c>
      <c r="I2464" s="4">
        <v>797096</v>
      </c>
      <c r="J2464" s="4">
        <v>428400.00000000006</v>
      </c>
    </row>
    <row r="2465" spans="2:10" x14ac:dyDescent="0.3">
      <c r="B2465" s="7">
        <v>44621</v>
      </c>
      <c r="C2465" s="3">
        <f t="shared" si="76"/>
        <v>2022</v>
      </c>
      <c r="D2465" s="3">
        <f t="shared" si="77"/>
        <v>202203</v>
      </c>
      <c r="E2465" s="5" t="s">
        <v>4</v>
      </c>
      <c r="F2465" s="5" t="s">
        <v>10</v>
      </c>
      <c r="G2465" s="5" t="s">
        <v>32</v>
      </c>
      <c r="H2465">
        <v>14</v>
      </c>
      <c r="I2465" s="4">
        <v>632268</v>
      </c>
      <c r="J2465" s="4">
        <v>352800.00000000006</v>
      </c>
    </row>
    <row r="2466" spans="2:10" x14ac:dyDescent="0.3">
      <c r="B2466" s="7">
        <v>44652</v>
      </c>
      <c r="C2466" s="3">
        <f t="shared" si="76"/>
        <v>2022</v>
      </c>
      <c r="D2466" s="3">
        <f t="shared" si="77"/>
        <v>202204</v>
      </c>
      <c r="E2466" s="5" t="s">
        <v>4</v>
      </c>
      <c r="F2466" s="5" t="s">
        <v>10</v>
      </c>
      <c r="G2466" s="5" t="s">
        <v>32</v>
      </c>
      <c r="H2466">
        <v>25</v>
      </c>
      <c r="I2466" s="4">
        <v>1162125</v>
      </c>
      <c r="J2466" s="4">
        <v>630000.00000000012</v>
      </c>
    </row>
    <row r="2467" spans="2:10" x14ac:dyDescent="0.3">
      <c r="B2467" s="7">
        <v>44682</v>
      </c>
      <c r="C2467" s="3">
        <f t="shared" si="76"/>
        <v>2022</v>
      </c>
      <c r="D2467" s="3">
        <f t="shared" si="77"/>
        <v>202205</v>
      </c>
      <c r="E2467" s="5" t="s">
        <v>4</v>
      </c>
      <c r="F2467" s="5" t="s">
        <v>10</v>
      </c>
      <c r="G2467" s="5" t="s">
        <v>32</v>
      </c>
      <c r="H2467">
        <v>32</v>
      </c>
      <c r="I2467" s="4">
        <v>1519584</v>
      </c>
      <c r="J2467" s="4">
        <v>806400.00000000012</v>
      </c>
    </row>
    <row r="2468" spans="2:10" x14ac:dyDescent="0.3">
      <c r="B2468" s="7">
        <v>44713</v>
      </c>
      <c r="C2468" s="3">
        <f t="shared" si="76"/>
        <v>2022</v>
      </c>
      <c r="D2468" s="3">
        <f t="shared" si="77"/>
        <v>202206</v>
      </c>
      <c r="E2468" s="5" t="s">
        <v>4</v>
      </c>
      <c r="F2468" s="5" t="s">
        <v>10</v>
      </c>
      <c r="G2468" s="5" t="s">
        <v>32</v>
      </c>
      <c r="H2468">
        <v>30</v>
      </c>
      <c r="I2468" s="4">
        <v>1402620</v>
      </c>
      <c r="J2468" s="4">
        <v>756000.00000000012</v>
      </c>
    </row>
    <row r="2469" spans="2:10" x14ac:dyDescent="0.3">
      <c r="B2469" s="7">
        <v>44743</v>
      </c>
      <c r="C2469" s="3">
        <f t="shared" si="76"/>
        <v>2022</v>
      </c>
      <c r="D2469" s="3">
        <f t="shared" si="77"/>
        <v>202207</v>
      </c>
      <c r="E2469" s="5" t="s">
        <v>4</v>
      </c>
      <c r="F2469" s="5" t="s">
        <v>10</v>
      </c>
      <c r="G2469" s="5" t="s">
        <v>32</v>
      </c>
      <c r="H2469">
        <v>32</v>
      </c>
      <c r="I2469" s="4">
        <v>1447328</v>
      </c>
      <c r="J2469" s="4">
        <v>806400.00000000012</v>
      </c>
    </row>
    <row r="2470" spans="2:10" x14ac:dyDescent="0.3">
      <c r="B2470" s="7">
        <v>44774</v>
      </c>
      <c r="C2470" s="3">
        <f t="shared" si="76"/>
        <v>2022</v>
      </c>
      <c r="D2470" s="3">
        <f t="shared" si="77"/>
        <v>202208</v>
      </c>
      <c r="E2470" s="5" t="s">
        <v>4</v>
      </c>
      <c r="F2470" s="5" t="s">
        <v>10</v>
      </c>
      <c r="G2470" s="5" t="s">
        <v>32</v>
      </c>
      <c r="H2470">
        <v>27</v>
      </c>
      <c r="I2470" s="4">
        <v>1227339</v>
      </c>
      <c r="J2470" s="4">
        <v>680400.00000000012</v>
      </c>
    </row>
    <row r="2471" spans="2:10" x14ac:dyDescent="0.3">
      <c r="B2471" s="7">
        <v>44805</v>
      </c>
      <c r="C2471" s="3">
        <f t="shared" si="76"/>
        <v>2022</v>
      </c>
      <c r="D2471" s="3">
        <f t="shared" si="77"/>
        <v>202209</v>
      </c>
      <c r="E2471" s="5" t="s">
        <v>4</v>
      </c>
      <c r="F2471" s="5" t="s">
        <v>10</v>
      </c>
      <c r="G2471" s="5" t="s">
        <v>32</v>
      </c>
      <c r="H2471">
        <v>28</v>
      </c>
      <c r="I2471" s="4">
        <v>1278032</v>
      </c>
      <c r="J2471" s="4">
        <v>705600.00000000012</v>
      </c>
    </row>
    <row r="2472" spans="2:10" x14ac:dyDescent="0.3">
      <c r="B2472" s="7">
        <v>44835</v>
      </c>
      <c r="C2472" s="3">
        <f t="shared" si="76"/>
        <v>2022</v>
      </c>
      <c r="D2472" s="3">
        <f t="shared" si="77"/>
        <v>202210</v>
      </c>
      <c r="E2472" s="5" t="s">
        <v>4</v>
      </c>
      <c r="F2472" s="5" t="s">
        <v>10</v>
      </c>
      <c r="G2472" s="5" t="s">
        <v>32</v>
      </c>
      <c r="H2472">
        <v>23</v>
      </c>
      <c r="I2472" s="4">
        <v>1056620</v>
      </c>
      <c r="J2472" s="4">
        <v>579600.00000000012</v>
      </c>
    </row>
    <row r="2473" spans="2:10" x14ac:dyDescent="0.3">
      <c r="B2473" s="7">
        <v>44866</v>
      </c>
      <c r="C2473" s="3">
        <f t="shared" si="76"/>
        <v>2022</v>
      </c>
      <c r="D2473" s="3">
        <f t="shared" si="77"/>
        <v>202211</v>
      </c>
      <c r="E2473" s="5" t="s">
        <v>4</v>
      </c>
      <c r="F2473" s="5" t="s">
        <v>10</v>
      </c>
      <c r="G2473" s="5" t="s">
        <v>32</v>
      </c>
      <c r="H2473">
        <v>17</v>
      </c>
      <c r="I2473" s="4">
        <v>798303</v>
      </c>
      <c r="J2473" s="4">
        <v>428400.00000000006</v>
      </c>
    </row>
    <row r="2474" spans="2:10" x14ac:dyDescent="0.3">
      <c r="B2474" s="7">
        <v>44896</v>
      </c>
      <c r="C2474" s="3">
        <f t="shared" si="76"/>
        <v>2022</v>
      </c>
      <c r="D2474" s="3">
        <f t="shared" si="77"/>
        <v>202212</v>
      </c>
      <c r="E2474" s="5" t="s">
        <v>4</v>
      </c>
      <c r="F2474" s="5" t="s">
        <v>10</v>
      </c>
      <c r="G2474" s="5" t="s">
        <v>32</v>
      </c>
      <c r="H2474">
        <v>20</v>
      </c>
      <c r="I2474" s="4">
        <v>903140</v>
      </c>
      <c r="J2474" s="4">
        <v>504000.00000000006</v>
      </c>
    </row>
    <row r="2475" spans="2:10" x14ac:dyDescent="0.3">
      <c r="B2475" s="7">
        <v>44197</v>
      </c>
      <c r="C2475" s="3">
        <f t="shared" si="76"/>
        <v>2021</v>
      </c>
      <c r="D2475" s="3">
        <f t="shared" si="77"/>
        <v>202101</v>
      </c>
      <c r="E2475" s="5" t="s">
        <v>4</v>
      </c>
      <c r="F2475" s="5" t="s">
        <v>10</v>
      </c>
      <c r="G2475" s="5" t="s">
        <v>33</v>
      </c>
      <c r="H2475">
        <v>24</v>
      </c>
      <c r="I2475" s="4">
        <v>443832</v>
      </c>
      <c r="J2475" s="4">
        <v>228480</v>
      </c>
    </row>
    <row r="2476" spans="2:10" x14ac:dyDescent="0.3">
      <c r="B2476" s="7">
        <v>44228</v>
      </c>
      <c r="C2476" s="3">
        <f t="shared" si="76"/>
        <v>2021</v>
      </c>
      <c r="D2476" s="3">
        <f t="shared" si="77"/>
        <v>202102</v>
      </c>
      <c r="E2476" s="5" t="s">
        <v>4</v>
      </c>
      <c r="F2476" s="5" t="s">
        <v>10</v>
      </c>
      <c r="G2476" s="5" t="s">
        <v>33</v>
      </c>
      <c r="H2476">
        <v>15</v>
      </c>
      <c r="I2476" s="4">
        <v>276975</v>
      </c>
      <c r="J2476" s="4">
        <v>142800</v>
      </c>
    </row>
    <row r="2477" spans="2:10" x14ac:dyDescent="0.3">
      <c r="B2477" s="7">
        <v>44256</v>
      </c>
      <c r="C2477" s="3">
        <f t="shared" si="76"/>
        <v>2021</v>
      </c>
      <c r="D2477" s="3">
        <f t="shared" si="77"/>
        <v>202103</v>
      </c>
      <c r="E2477" s="5" t="s">
        <v>4</v>
      </c>
      <c r="F2477" s="5" t="s">
        <v>10</v>
      </c>
      <c r="G2477" s="5" t="s">
        <v>33</v>
      </c>
      <c r="H2477">
        <v>12</v>
      </c>
      <c r="I2477" s="4">
        <v>216084</v>
      </c>
      <c r="J2477" s="4">
        <v>114240</v>
      </c>
    </row>
    <row r="2478" spans="2:10" x14ac:dyDescent="0.3">
      <c r="B2478" s="7">
        <v>44287</v>
      </c>
      <c r="C2478" s="3">
        <f t="shared" si="76"/>
        <v>2021</v>
      </c>
      <c r="D2478" s="3">
        <f t="shared" si="77"/>
        <v>202104</v>
      </c>
      <c r="E2478" s="5" t="s">
        <v>4</v>
      </c>
      <c r="F2478" s="5" t="s">
        <v>10</v>
      </c>
      <c r="G2478" s="5" t="s">
        <v>33</v>
      </c>
      <c r="H2478">
        <v>23</v>
      </c>
      <c r="I2478" s="4">
        <v>423476</v>
      </c>
      <c r="J2478" s="4">
        <v>218960</v>
      </c>
    </row>
    <row r="2479" spans="2:10" x14ac:dyDescent="0.3">
      <c r="B2479" s="7">
        <v>44317</v>
      </c>
      <c r="C2479" s="3">
        <f t="shared" si="76"/>
        <v>2021</v>
      </c>
      <c r="D2479" s="3">
        <f t="shared" si="77"/>
        <v>202105</v>
      </c>
      <c r="E2479" s="5" t="s">
        <v>4</v>
      </c>
      <c r="F2479" s="5" t="s">
        <v>10</v>
      </c>
      <c r="G2479" s="5" t="s">
        <v>33</v>
      </c>
      <c r="H2479">
        <v>29</v>
      </c>
      <c r="I2479" s="4">
        <v>550884</v>
      </c>
      <c r="J2479" s="4">
        <v>276080</v>
      </c>
    </row>
    <row r="2480" spans="2:10" x14ac:dyDescent="0.3">
      <c r="B2480" s="7">
        <v>44348</v>
      </c>
      <c r="C2480" s="3">
        <f t="shared" si="76"/>
        <v>2021</v>
      </c>
      <c r="D2480" s="3">
        <f t="shared" si="77"/>
        <v>202106</v>
      </c>
      <c r="E2480" s="5" t="s">
        <v>4</v>
      </c>
      <c r="F2480" s="5" t="s">
        <v>10</v>
      </c>
      <c r="G2480" s="5" t="s">
        <v>33</v>
      </c>
      <c r="H2480">
        <v>27</v>
      </c>
      <c r="I2480" s="4">
        <v>493074</v>
      </c>
      <c r="J2480" s="4">
        <v>257040</v>
      </c>
    </row>
    <row r="2481" spans="2:10" x14ac:dyDescent="0.3">
      <c r="B2481" s="7">
        <v>44378</v>
      </c>
      <c r="C2481" s="3">
        <f t="shared" si="76"/>
        <v>2021</v>
      </c>
      <c r="D2481" s="3">
        <f t="shared" si="77"/>
        <v>202107</v>
      </c>
      <c r="E2481" s="5" t="s">
        <v>4</v>
      </c>
      <c r="F2481" s="5" t="s">
        <v>10</v>
      </c>
      <c r="G2481" s="5" t="s">
        <v>33</v>
      </c>
      <c r="H2481">
        <v>29</v>
      </c>
      <c r="I2481" s="4">
        <v>503730</v>
      </c>
      <c r="J2481" s="4">
        <v>276080</v>
      </c>
    </row>
    <row r="2482" spans="2:10" x14ac:dyDescent="0.3">
      <c r="B2482" s="7">
        <v>44409</v>
      </c>
      <c r="C2482" s="3">
        <f t="shared" si="76"/>
        <v>2021</v>
      </c>
      <c r="D2482" s="3">
        <f t="shared" si="77"/>
        <v>202108</v>
      </c>
      <c r="E2482" s="5" t="s">
        <v>4</v>
      </c>
      <c r="F2482" s="5" t="s">
        <v>10</v>
      </c>
      <c r="G2482" s="5" t="s">
        <v>33</v>
      </c>
      <c r="H2482">
        <v>24</v>
      </c>
      <c r="I2482" s="4">
        <v>420936</v>
      </c>
      <c r="J2482" s="4">
        <v>228480</v>
      </c>
    </row>
    <row r="2483" spans="2:10" x14ac:dyDescent="0.3">
      <c r="B2483" s="7">
        <v>44440</v>
      </c>
      <c r="C2483" s="3">
        <f t="shared" si="76"/>
        <v>2021</v>
      </c>
      <c r="D2483" s="3">
        <f t="shared" si="77"/>
        <v>202109</v>
      </c>
      <c r="E2483" s="5" t="s">
        <v>4</v>
      </c>
      <c r="F2483" s="5" t="s">
        <v>10</v>
      </c>
      <c r="G2483" s="5" t="s">
        <v>33</v>
      </c>
      <c r="H2483">
        <v>26</v>
      </c>
      <c r="I2483" s="4">
        <v>452686</v>
      </c>
      <c r="J2483" s="4">
        <v>247520</v>
      </c>
    </row>
    <row r="2484" spans="2:10" x14ac:dyDescent="0.3">
      <c r="B2484" s="7">
        <v>44470</v>
      </c>
      <c r="C2484" s="3">
        <f t="shared" si="76"/>
        <v>2021</v>
      </c>
      <c r="D2484" s="3">
        <f t="shared" si="77"/>
        <v>202110</v>
      </c>
      <c r="E2484" s="5" t="s">
        <v>4</v>
      </c>
      <c r="F2484" s="5" t="s">
        <v>10</v>
      </c>
      <c r="G2484" s="5" t="s">
        <v>33</v>
      </c>
      <c r="H2484">
        <v>21</v>
      </c>
      <c r="I2484" s="4">
        <v>388815</v>
      </c>
      <c r="J2484" s="4">
        <v>199920</v>
      </c>
    </row>
    <row r="2485" spans="2:10" x14ac:dyDescent="0.3">
      <c r="B2485" s="7">
        <v>44501</v>
      </c>
      <c r="C2485" s="3">
        <f t="shared" si="76"/>
        <v>2021</v>
      </c>
      <c r="D2485" s="3">
        <f t="shared" si="77"/>
        <v>202111</v>
      </c>
      <c r="E2485" s="5" t="s">
        <v>4</v>
      </c>
      <c r="F2485" s="5" t="s">
        <v>10</v>
      </c>
      <c r="G2485" s="5" t="s">
        <v>33</v>
      </c>
      <c r="H2485">
        <v>15</v>
      </c>
      <c r="I2485" s="4">
        <v>276120</v>
      </c>
      <c r="J2485" s="4">
        <v>142800</v>
      </c>
    </row>
    <row r="2486" spans="2:10" x14ac:dyDescent="0.3">
      <c r="B2486" s="7">
        <v>44531</v>
      </c>
      <c r="C2486" s="3">
        <f t="shared" si="76"/>
        <v>2021</v>
      </c>
      <c r="D2486" s="3">
        <f t="shared" si="77"/>
        <v>202112</v>
      </c>
      <c r="E2486" s="5" t="s">
        <v>4</v>
      </c>
      <c r="F2486" s="5" t="s">
        <v>10</v>
      </c>
      <c r="G2486" s="5" t="s">
        <v>33</v>
      </c>
      <c r="H2486">
        <v>18</v>
      </c>
      <c r="I2486" s="4">
        <v>321372</v>
      </c>
      <c r="J2486" s="4">
        <v>171360</v>
      </c>
    </row>
    <row r="2487" spans="2:10" x14ac:dyDescent="0.3">
      <c r="B2487" s="7">
        <v>44562</v>
      </c>
      <c r="C2487" s="3">
        <f t="shared" si="76"/>
        <v>2022</v>
      </c>
      <c r="D2487" s="3">
        <f t="shared" si="77"/>
        <v>202201</v>
      </c>
      <c r="E2487" s="5" t="s">
        <v>4</v>
      </c>
      <c r="F2487" s="5" t="s">
        <v>10</v>
      </c>
      <c r="G2487" s="5" t="s">
        <v>33</v>
      </c>
      <c r="H2487">
        <v>27</v>
      </c>
      <c r="I2487" s="4">
        <v>506682</v>
      </c>
      <c r="J2487" s="4">
        <v>257040</v>
      </c>
    </row>
    <row r="2488" spans="2:10" x14ac:dyDescent="0.3">
      <c r="B2488" s="7">
        <v>44593</v>
      </c>
      <c r="C2488" s="3">
        <f t="shared" si="76"/>
        <v>2022</v>
      </c>
      <c r="D2488" s="3">
        <f t="shared" si="77"/>
        <v>202202</v>
      </c>
      <c r="E2488" s="5" t="s">
        <v>4</v>
      </c>
      <c r="F2488" s="5" t="s">
        <v>10</v>
      </c>
      <c r="G2488" s="5" t="s">
        <v>33</v>
      </c>
      <c r="H2488">
        <v>17</v>
      </c>
      <c r="I2488" s="4">
        <v>309128</v>
      </c>
      <c r="J2488" s="4">
        <v>161840</v>
      </c>
    </row>
    <row r="2489" spans="2:10" x14ac:dyDescent="0.3">
      <c r="B2489" s="7">
        <v>44621</v>
      </c>
      <c r="C2489" s="3">
        <f t="shared" si="76"/>
        <v>2022</v>
      </c>
      <c r="D2489" s="3">
        <f t="shared" si="77"/>
        <v>202203</v>
      </c>
      <c r="E2489" s="5" t="s">
        <v>4</v>
      </c>
      <c r="F2489" s="5" t="s">
        <v>10</v>
      </c>
      <c r="G2489" s="5" t="s">
        <v>33</v>
      </c>
      <c r="H2489">
        <v>14</v>
      </c>
      <c r="I2489" s="4">
        <v>254982</v>
      </c>
      <c r="J2489" s="4">
        <v>133280</v>
      </c>
    </row>
    <row r="2490" spans="2:10" x14ac:dyDescent="0.3">
      <c r="B2490" s="7">
        <v>44652</v>
      </c>
      <c r="C2490" s="3">
        <f t="shared" si="76"/>
        <v>2022</v>
      </c>
      <c r="D2490" s="3">
        <f t="shared" si="77"/>
        <v>202204</v>
      </c>
      <c r="E2490" s="5" t="s">
        <v>4</v>
      </c>
      <c r="F2490" s="5" t="s">
        <v>10</v>
      </c>
      <c r="G2490" s="5" t="s">
        <v>33</v>
      </c>
      <c r="H2490">
        <v>25</v>
      </c>
      <c r="I2490" s="4">
        <v>480300</v>
      </c>
      <c r="J2490" s="4">
        <v>238000</v>
      </c>
    </row>
    <row r="2491" spans="2:10" x14ac:dyDescent="0.3">
      <c r="B2491" s="7">
        <v>44682</v>
      </c>
      <c r="C2491" s="3">
        <f t="shared" si="76"/>
        <v>2022</v>
      </c>
      <c r="D2491" s="3">
        <f t="shared" si="77"/>
        <v>202205</v>
      </c>
      <c r="E2491" s="5" t="s">
        <v>4</v>
      </c>
      <c r="F2491" s="5" t="s">
        <v>10</v>
      </c>
      <c r="G2491" s="5" t="s">
        <v>33</v>
      </c>
      <c r="H2491">
        <v>32</v>
      </c>
      <c r="I2491" s="4">
        <v>593376</v>
      </c>
      <c r="J2491" s="4">
        <v>304640</v>
      </c>
    </row>
    <row r="2492" spans="2:10" x14ac:dyDescent="0.3">
      <c r="B2492" s="7">
        <v>44713</v>
      </c>
      <c r="C2492" s="3">
        <f t="shared" si="76"/>
        <v>2022</v>
      </c>
      <c r="D2492" s="3">
        <f t="shared" si="77"/>
        <v>202206</v>
      </c>
      <c r="E2492" s="5" t="s">
        <v>4</v>
      </c>
      <c r="F2492" s="5" t="s">
        <v>10</v>
      </c>
      <c r="G2492" s="5" t="s">
        <v>33</v>
      </c>
      <c r="H2492">
        <v>30</v>
      </c>
      <c r="I2492" s="4">
        <v>532980</v>
      </c>
      <c r="J2492" s="4">
        <v>285600</v>
      </c>
    </row>
    <row r="2493" spans="2:10" x14ac:dyDescent="0.3">
      <c r="B2493" s="7">
        <v>44743</v>
      </c>
      <c r="C2493" s="3">
        <f t="shared" si="76"/>
        <v>2022</v>
      </c>
      <c r="D2493" s="3">
        <f t="shared" si="77"/>
        <v>202207</v>
      </c>
      <c r="E2493" s="5" t="s">
        <v>4</v>
      </c>
      <c r="F2493" s="5" t="s">
        <v>10</v>
      </c>
      <c r="G2493" s="5" t="s">
        <v>33</v>
      </c>
      <c r="H2493">
        <v>32</v>
      </c>
      <c r="I2493" s="4">
        <v>523040</v>
      </c>
      <c r="J2493" s="4">
        <v>304640</v>
      </c>
    </row>
    <row r="2494" spans="2:10" x14ac:dyDescent="0.3">
      <c r="B2494" s="7">
        <v>44774</v>
      </c>
      <c r="C2494" s="3">
        <f t="shared" si="76"/>
        <v>2022</v>
      </c>
      <c r="D2494" s="3">
        <f t="shared" si="77"/>
        <v>202208</v>
      </c>
      <c r="E2494" s="5" t="s">
        <v>4</v>
      </c>
      <c r="F2494" s="5" t="s">
        <v>10</v>
      </c>
      <c r="G2494" s="5" t="s">
        <v>33</v>
      </c>
      <c r="H2494">
        <v>27</v>
      </c>
      <c r="I2494" s="4">
        <v>468315</v>
      </c>
      <c r="J2494" s="4">
        <v>257040</v>
      </c>
    </row>
    <row r="2495" spans="2:10" x14ac:dyDescent="0.3">
      <c r="B2495" s="7">
        <v>44805</v>
      </c>
      <c r="C2495" s="3">
        <f t="shared" si="76"/>
        <v>2022</v>
      </c>
      <c r="D2495" s="3">
        <f t="shared" si="77"/>
        <v>202209</v>
      </c>
      <c r="E2495" s="5" t="s">
        <v>4</v>
      </c>
      <c r="F2495" s="5" t="s">
        <v>10</v>
      </c>
      <c r="G2495" s="5" t="s">
        <v>33</v>
      </c>
      <c r="H2495">
        <v>28</v>
      </c>
      <c r="I2495" s="4">
        <v>496664</v>
      </c>
      <c r="J2495" s="4">
        <v>266560</v>
      </c>
    </row>
    <row r="2496" spans="2:10" x14ac:dyDescent="0.3">
      <c r="B2496" s="7">
        <v>44835</v>
      </c>
      <c r="C2496" s="3">
        <f t="shared" si="76"/>
        <v>2022</v>
      </c>
      <c r="D2496" s="3">
        <f t="shared" si="77"/>
        <v>202210</v>
      </c>
      <c r="E2496" s="5" t="s">
        <v>4</v>
      </c>
      <c r="F2496" s="5" t="s">
        <v>10</v>
      </c>
      <c r="G2496" s="5" t="s">
        <v>33</v>
      </c>
      <c r="H2496">
        <v>23</v>
      </c>
      <c r="I2496" s="4">
        <v>426144</v>
      </c>
      <c r="J2496" s="4">
        <v>218960</v>
      </c>
    </row>
    <row r="2497" spans="2:10" x14ac:dyDescent="0.3">
      <c r="B2497" s="7">
        <v>44866</v>
      </c>
      <c r="C2497" s="3">
        <f t="shared" si="76"/>
        <v>2022</v>
      </c>
      <c r="D2497" s="3">
        <f t="shared" si="77"/>
        <v>202211</v>
      </c>
      <c r="E2497" s="5" t="s">
        <v>4</v>
      </c>
      <c r="F2497" s="5" t="s">
        <v>10</v>
      </c>
      <c r="G2497" s="5" t="s">
        <v>33</v>
      </c>
      <c r="H2497">
        <v>17</v>
      </c>
      <c r="I2497" s="4">
        <v>316319</v>
      </c>
      <c r="J2497" s="4">
        <v>161840</v>
      </c>
    </row>
    <row r="2498" spans="2:10" x14ac:dyDescent="0.3">
      <c r="B2498" s="7">
        <v>44896</v>
      </c>
      <c r="C2498" s="3">
        <f t="shared" si="76"/>
        <v>2022</v>
      </c>
      <c r="D2498" s="3">
        <f t="shared" si="77"/>
        <v>202212</v>
      </c>
      <c r="E2498" s="5" t="s">
        <v>4</v>
      </c>
      <c r="F2498" s="5" t="s">
        <v>10</v>
      </c>
      <c r="G2498" s="5" t="s">
        <v>33</v>
      </c>
      <c r="H2498">
        <v>20</v>
      </c>
      <c r="I2498" s="4">
        <v>351860</v>
      </c>
      <c r="J2498" s="4">
        <v>190400</v>
      </c>
    </row>
    <row r="2499" spans="2:10" x14ac:dyDescent="0.3">
      <c r="B2499" s="7">
        <v>44197</v>
      </c>
      <c r="C2499" s="3">
        <f t="shared" ref="C2499:C2562" si="78">YEAR(B2499)</f>
        <v>2021</v>
      </c>
      <c r="D2499" s="3">
        <f t="shared" ref="D2499:D2562" si="79">VALUE(TEXT(B2499,"ГГГГММ"))</f>
        <v>202101</v>
      </c>
      <c r="E2499" s="5" t="s">
        <v>4</v>
      </c>
      <c r="F2499" s="5" t="s">
        <v>10</v>
      </c>
      <c r="G2499" s="5" t="s">
        <v>34</v>
      </c>
      <c r="H2499">
        <v>20</v>
      </c>
      <c r="I2499" s="4">
        <v>808780</v>
      </c>
      <c r="J2499" s="4">
        <v>327600</v>
      </c>
    </row>
    <row r="2500" spans="2:10" x14ac:dyDescent="0.3">
      <c r="B2500" s="7">
        <v>44228</v>
      </c>
      <c r="C2500" s="3">
        <f t="shared" si="78"/>
        <v>2021</v>
      </c>
      <c r="D2500" s="3">
        <f t="shared" si="79"/>
        <v>202102</v>
      </c>
      <c r="E2500" s="5" t="s">
        <v>4</v>
      </c>
      <c r="F2500" s="5" t="s">
        <v>10</v>
      </c>
      <c r="G2500" s="5" t="s">
        <v>34</v>
      </c>
      <c r="H2500">
        <v>12</v>
      </c>
      <c r="I2500" s="4">
        <v>492288</v>
      </c>
      <c r="J2500" s="4">
        <v>196560</v>
      </c>
    </row>
    <row r="2501" spans="2:10" x14ac:dyDescent="0.3">
      <c r="B2501" s="7">
        <v>44256</v>
      </c>
      <c r="C2501" s="3">
        <f t="shared" si="78"/>
        <v>2021</v>
      </c>
      <c r="D2501" s="3">
        <f t="shared" si="79"/>
        <v>202103</v>
      </c>
      <c r="E2501" s="5" t="s">
        <v>4</v>
      </c>
      <c r="F2501" s="5" t="s">
        <v>10</v>
      </c>
      <c r="G2501" s="5" t="s">
        <v>34</v>
      </c>
      <c r="H2501">
        <v>10</v>
      </c>
      <c r="I2501" s="4">
        <v>394750</v>
      </c>
      <c r="J2501" s="4">
        <v>163800</v>
      </c>
    </row>
    <row r="2502" spans="2:10" x14ac:dyDescent="0.3">
      <c r="B2502" s="7">
        <v>44287</v>
      </c>
      <c r="C2502" s="3">
        <f t="shared" si="78"/>
        <v>2021</v>
      </c>
      <c r="D2502" s="3">
        <f t="shared" si="79"/>
        <v>202104</v>
      </c>
      <c r="E2502" s="5" t="s">
        <v>4</v>
      </c>
      <c r="F2502" s="5" t="s">
        <v>10</v>
      </c>
      <c r="G2502" s="5" t="s">
        <v>34</v>
      </c>
      <c r="H2502">
        <v>18</v>
      </c>
      <c r="I2502" s="4">
        <v>745110</v>
      </c>
      <c r="J2502" s="4">
        <v>294840</v>
      </c>
    </row>
    <row r="2503" spans="2:10" x14ac:dyDescent="0.3">
      <c r="B2503" s="7">
        <v>44317</v>
      </c>
      <c r="C2503" s="3">
        <f t="shared" si="78"/>
        <v>2021</v>
      </c>
      <c r="D2503" s="3">
        <f t="shared" si="79"/>
        <v>202105</v>
      </c>
      <c r="E2503" s="5" t="s">
        <v>4</v>
      </c>
      <c r="F2503" s="5" t="s">
        <v>10</v>
      </c>
      <c r="G2503" s="5" t="s">
        <v>34</v>
      </c>
      <c r="H2503">
        <v>23</v>
      </c>
      <c r="I2503" s="4">
        <v>947347</v>
      </c>
      <c r="J2503" s="4">
        <v>376740</v>
      </c>
    </row>
    <row r="2504" spans="2:10" x14ac:dyDescent="0.3">
      <c r="B2504" s="7">
        <v>44348</v>
      </c>
      <c r="C2504" s="3">
        <f t="shared" si="78"/>
        <v>2021</v>
      </c>
      <c r="D2504" s="3">
        <f t="shared" si="79"/>
        <v>202106</v>
      </c>
      <c r="E2504" s="5" t="s">
        <v>4</v>
      </c>
      <c r="F2504" s="5" t="s">
        <v>10</v>
      </c>
      <c r="G2504" s="5" t="s">
        <v>34</v>
      </c>
      <c r="H2504">
        <v>22</v>
      </c>
      <c r="I2504" s="4">
        <v>890010</v>
      </c>
      <c r="J2504" s="4">
        <v>360360</v>
      </c>
    </row>
    <row r="2505" spans="2:10" x14ac:dyDescent="0.3">
      <c r="B2505" s="7">
        <v>44378</v>
      </c>
      <c r="C2505" s="3">
        <f t="shared" si="78"/>
        <v>2021</v>
      </c>
      <c r="D2505" s="3">
        <f t="shared" si="79"/>
        <v>202107</v>
      </c>
      <c r="E2505" s="5" t="s">
        <v>4</v>
      </c>
      <c r="F2505" s="5" t="s">
        <v>10</v>
      </c>
      <c r="G2505" s="5" t="s">
        <v>34</v>
      </c>
      <c r="H2505">
        <v>23</v>
      </c>
      <c r="I2505" s="4">
        <v>885293</v>
      </c>
      <c r="J2505" s="4">
        <v>376740</v>
      </c>
    </row>
    <row r="2506" spans="2:10" x14ac:dyDescent="0.3">
      <c r="B2506" s="7">
        <v>44409</v>
      </c>
      <c r="C2506" s="3">
        <f t="shared" si="78"/>
        <v>2021</v>
      </c>
      <c r="D2506" s="3">
        <f t="shared" si="79"/>
        <v>202108</v>
      </c>
      <c r="E2506" s="5" t="s">
        <v>4</v>
      </c>
      <c r="F2506" s="5" t="s">
        <v>10</v>
      </c>
      <c r="G2506" s="5" t="s">
        <v>34</v>
      </c>
      <c r="H2506">
        <v>20</v>
      </c>
      <c r="I2506" s="4">
        <v>796820</v>
      </c>
      <c r="J2506" s="4">
        <v>327600</v>
      </c>
    </row>
    <row r="2507" spans="2:10" x14ac:dyDescent="0.3">
      <c r="B2507" s="7">
        <v>44440</v>
      </c>
      <c r="C2507" s="3">
        <f t="shared" si="78"/>
        <v>2021</v>
      </c>
      <c r="D2507" s="3">
        <f t="shared" si="79"/>
        <v>202109</v>
      </c>
      <c r="E2507" s="5" t="s">
        <v>4</v>
      </c>
      <c r="F2507" s="5" t="s">
        <v>10</v>
      </c>
      <c r="G2507" s="5" t="s">
        <v>34</v>
      </c>
      <c r="H2507">
        <v>21</v>
      </c>
      <c r="I2507" s="4">
        <v>827295</v>
      </c>
      <c r="J2507" s="4">
        <v>343980</v>
      </c>
    </row>
    <row r="2508" spans="2:10" x14ac:dyDescent="0.3">
      <c r="B2508" s="7">
        <v>44470</v>
      </c>
      <c r="C2508" s="3">
        <f t="shared" si="78"/>
        <v>2021</v>
      </c>
      <c r="D2508" s="3">
        <f t="shared" si="79"/>
        <v>202110</v>
      </c>
      <c r="E2508" s="5" t="s">
        <v>4</v>
      </c>
      <c r="F2508" s="5" t="s">
        <v>10</v>
      </c>
      <c r="G2508" s="5" t="s">
        <v>34</v>
      </c>
      <c r="H2508">
        <v>17</v>
      </c>
      <c r="I2508" s="4">
        <v>685457</v>
      </c>
      <c r="J2508" s="4">
        <v>278460</v>
      </c>
    </row>
    <row r="2509" spans="2:10" x14ac:dyDescent="0.3">
      <c r="B2509" s="7">
        <v>44501</v>
      </c>
      <c r="C2509" s="3">
        <f t="shared" si="78"/>
        <v>2021</v>
      </c>
      <c r="D2509" s="3">
        <f t="shared" si="79"/>
        <v>202111</v>
      </c>
      <c r="E2509" s="5" t="s">
        <v>4</v>
      </c>
      <c r="F2509" s="5" t="s">
        <v>10</v>
      </c>
      <c r="G2509" s="5" t="s">
        <v>34</v>
      </c>
      <c r="H2509">
        <v>12</v>
      </c>
      <c r="I2509" s="4">
        <v>484392</v>
      </c>
      <c r="J2509" s="4">
        <v>196560</v>
      </c>
    </row>
    <row r="2510" spans="2:10" x14ac:dyDescent="0.3">
      <c r="B2510" s="7">
        <v>44531</v>
      </c>
      <c r="C2510" s="3">
        <f t="shared" si="78"/>
        <v>2021</v>
      </c>
      <c r="D2510" s="3">
        <f t="shared" si="79"/>
        <v>202112</v>
      </c>
      <c r="E2510" s="5" t="s">
        <v>4</v>
      </c>
      <c r="F2510" s="5" t="s">
        <v>10</v>
      </c>
      <c r="G2510" s="5" t="s">
        <v>34</v>
      </c>
      <c r="H2510">
        <v>15</v>
      </c>
      <c r="I2510" s="4">
        <v>594165</v>
      </c>
      <c r="J2510" s="4">
        <v>245700</v>
      </c>
    </row>
    <row r="2511" spans="2:10" x14ac:dyDescent="0.3">
      <c r="B2511" s="7">
        <v>44562</v>
      </c>
      <c r="C2511" s="3">
        <f t="shared" si="78"/>
        <v>2022</v>
      </c>
      <c r="D2511" s="3">
        <f t="shared" si="79"/>
        <v>202201</v>
      </c>
      <c r="E2511" s="5" t="s">
        <v>4</v>
      </c>
      <c r="F2511" s="5" t="s">
        <v>10</v>
      </c>
      <c r="G2511" s="5" t="s">
        <v>34</v>
      </c>
      <c r="H2511">
        <v>21</v>
      </c>
      <c r="I2511" s="4">
        <v>847875</v>
      </c>
      <c r="J2511" s="4">
        <v>343980</v>
      </c>
    </row>
    <row r="2512" spans="2:10" x14ac:dyDescent="0.3">
      <c r="B2512" s="7">
        <v>44593</v>
      </c>
      <c r="C2512" s="3">
        <f t="shared" si="78"/>
        <v>2022</v>
      </c>
      <c r="D2512" s="3">
        <f t="shared" si="79"/>
        <v>202202</v>
      </c>
      <c r="E2512" s="5" t="s">
        <v>4</v>
      </c>
      <c r="F2512" s="5" t="s">
        <v>10</v>
      </c>
      <c r="G2512" s="5" t="s">
        <v>34</v>
      </c>
      <c r="H2512">
        <v>14</v>
      </c>
      <c r="I2512" s="4">
        <v>567812</v>
      </c>
      <c r="J2512" s="4">
        <v>229320</v>
      </c>
    </row>
    <row r="2513" spans="2:10" x14ac:dyDescent="0.3">
      <c r="B2513" s="7">
        <v>44621</v>
      </c>
      <c r="C2513" s="3">
        <f t="shared" si="78"/>
        <v>2022</v>
      </c>
      <c r="D2513" s="3">
        <f t="shared" si="79"/>
        <v>202203</v>
      </c>
      <c r="E2513" s="5" t="s">
        <v>4</v>
      </c>
      <c r="F2513" s="5" t="s">
        <v>10</v>
      </c>
      <c r="G2513" s="5" t="s">
        <v>34</v>
      </c>
      <c r="H2513">
        <v>11</v>
      </c>
      <c r="I2513" s="4">
        <v>433334</v>
      </c>
      <c r="J2513" s="4">
        <v>180180</v>
      </c>
    </row>
    <row r="2514" spans="2:10" x14ac:dyDescent="0.3">
      <c r="B2514" s="7">
        <v>44652</v>
      </c>
      <c r="C2514" s="3">
        <f t="shared" si="78"/>
        <v>2022</v>
      </c>
      <c r="D2514" s="3">
        <f t="shared" si="79"/>
        <v>202204</v>
      </c>
      <c r="E2514" s="5" t="s">
        <v>4</v>
      </c>
      <c r="F2514" s="5" t="s">
        <v>10</v>
      </c>
      <c r="G2514" s="5" t="s">
        <v>34</v>
      </c>
      <c r="H2514">
        <v>20</v>
      </c>
      <c r="I2514" s="4">
        <v>812440</v>
      </c>
      <c r="J2514" s="4">
        <v>327600</v>
      </c>
    </row>
    <row r="2515" spans="2:10" x14ac:dyDescent="0.3">
      <c r="B2515" s="7">
        <v>44682</v>
      </c>
      <c r="C2515" s="3">
        <f t="shared" si="78"/>
        <v>2022</v>
      </c>
      <c r="D2515" s="3">
        <f t="shared" si="79"/>
        <v>202205</v>
      </c>
      <c r="E2515" s="5" t="s">
        <v>4</v>
      </c>
      <c r="F2515" s="5" t="s">
        <v>10</v>
      </c>
      <c r="G2515" s="5" t="s">
        <v>34</v>
      </c>
      <c r="H2515">
        <v>25</v>
      </c>
      <c r="I2515" s="4">
        <v>1032100</v>
      </c>
      <c r="J2515" s="4">
        <v>409500</v>
      </c>
    </row>
    <row r="2516" spans="2:10" x14ac:dyDescent="0.3">
      <c r="B2516" s="7">
        <v>44713</v>
      </c>
      <c r="C2516" s="3">
        <f t="shared" si="78"/>
        <v>2022</v>
      </c>
      <c r="D2516" s="3">
        <f t="shared" si="79"/>
        <v>202206</v>
      </c>
      <c r="E2516" s="5" t="s">
        <v>4</v>
      </c>
      <c r="F2516" s="5" t="s">
        <v>10</v>
      </c>
      <c r="G2516" s="5" t="s">
        <v>34</v>
      </c>
      <c r="H2516">
        <v>24</v>
      </c>
      <c r="I2516" s="4">
        <v>967680</v>
      </c>
      <c r="J2516" s="4">
        <v>393120</v>
      </c>
    </row>
    <row r="2517" spans="2:10" x14ac:dyDescent="0.3">
      <c r="B2517" s="7">
        <v>44743</v>
      </c>
      <c r="C2517" s="3">
        <f t="shared" si="78"/>
        <v>2022</v>
      </c>
      <c r="D2517" s="3">
        <f t="shared" si="79"/>
        <v>202207</v>
      </c>
      <c r="E2517" s="5" t="s">
        <v>4</v>
      </c>
      <c r="F2517" s="5" t="s">
        <v>10</v>
      </c>
      <c r="G2517" s="5" t="s">
        <v>34</v>
      </c>
      <c r="H2517">
        <v>25</v>
      </c>
      <c r="I2517" s="4">
        <v>985950</v>
      </c>
      <c r="J2517" s="4">
        <v>409500</v>
      </c>
    </row>
    <row r="2518" spans="2:10" x14ac:dyDescent="0.3">
      <c r="B2518" s="7">
        <v>44774</v>
      </c>
      <c r="C2518" s="3">
        <f t="shared" si="78"/>
        <v>2022</v>
      </c>
      <c r="D2518" s="3">
        <f t="shared" si="79"/>
        <v>202208</v>
      </c>
      <c r="E2518" s="5" t="s">
        <v>4</v>
      </c>
      <c r="F2518" s="5" t="s">
        <v>10</v>
      </c>
      <c r="G2518" s="5" t="s">
        <v>34</v>
      </c>
      <c r="H2518">
        <v>21</v>
      </c>
      <c r="I2518" s="4">
        <v>836724</v>
      </c>
      <c r="J2518" s="4">
        <v>343980</v>
      </c>
    </row>
    <row r="2519" spans="2:10" x14ac:dyDescent="0.3">
      <c r="B2519" s="7">
        <v>44805</v>
      </c>
      <c r="C2519" s="3">
        <f t="shared" si="78"/>
        <v>2022</v>
      </c>
      <c r="D2519" s="3">
        <f t="shared" si="79"/>
        <v>202209</v>
      </c>
      <c r="E2519" s="5" t="s">
        <v>4</v>
      </c>
      <c r="F2519" s="5" t="s">
        <v>10</v>
      </c>
      <c r="G2519" s="5" t="s">
        <v>34</v>
      </c>
      <c r="H2519">
        <v>23</v>
      </c>
      <c r="I2519" s="4">
        <v>909627</v>
      </c>
      <c r="J2519" s="4">
        <v>376740</v>
      </c>
    </row>
    <row r="2520" spans="2:10" x14ac:dyDescent="0.3">
      <c r="B2520" s="7">
        <v>44835</v>
      </c>
      <c r="C2520" s="3">
        <f t="shared" si="78"/>
        <v>2022</v>
      </c>
      <c r="D2520" s="3">
        <f t="shared" si="79"/>
        <v>202210</v>
      </c>
      <c r="E2520" s="5" t="s">
        <v>4</v>
      </c>
      <c r="F2520" s="5" t="s">
        <v>10</v>
      </c>
      <c r="G2520" s="5" t="s">
        <v>34</v>
      </c>
      <c r="H2520">
        <v>19</v>
      </c>
      <c r="I2520" s="4">
        <v>766498</v>
      </c>
      <c r="J2520" s="4">
        <v>311220</v>
      </c>
    </row>
    <row r="2521" spans="2:10" x14ac:dyDescent="0.3">
      <c r="B2521" s="7">
        <v>44866</v>
      </c>
      <c r="C2521" s="3">
        <f t="shared" si="78"/>
        <v>2022</v>
      </c>
      <c r="D2521" s="3">
        <f t="shared" si="79"/>
        <v>202211</v>
      </c>
      <c r="E2521" s="5" t="s">
        <v>4</v>
      </c>
      <c r="F2521" s="5" t="s">
        <v>10</v>
      </c>
      <c r="G2521" s="5" t="s">
        <v>34</v>
      </c>
      <c r="H2521">
        <v>14</v>
      </c>
      <c r="I2521" s="4">
        <v>567000</v>
      </c>
      <c r="J2521" s="4">
        <v>229320</v>
      </c>
    </row>
    <row r="2522" spans="2:10" x14ac:dyDescent="0.3">
      <c r="B2522" s="7">
        <v>44896</v>
      </c>
      <c r="C2522" s="3">
        <f t="shared" si="78"/>
        <v>2022</v>
      </c>
      <c r="D2522" s="3">
        <f t="shared" si="79"/>
        <v>202212</v>
      </c>
      <c r="E2522" s="5" t="s">
        <v>4</v>
      </c>
      <c r="F2522" s="5" t="s">
        <v>10</v>
      </c>
      <c r="G2522" s="5" t="s">
        <v>34</v>
      </c>
      <c r="H2522">
        <v>16</v>
      </c>
      <c r="I2522" s="4">
        <v>626432</v>
      </c>
      <c r="J2522" s="4">
        <v>262080</v>
      </c>
    </row>
    <row r="2523" spans="2:10" x14ac:dyDescent="0.3">
      <c r="B2523" s="7">
        <v>44197</v>
      </c>
      <c r="C2523" s="3">
        <f t="shared" si="78"/>
        <v>2021</v>
      </c>
      <c r="D2523" s="3">
        <f t="shared" si="79"/>
        <v>202101</v>
      </c>
      <c r="E2523" s="5" t="s">
        <v>4</v>
      </c>
      <c r="F2523" s="5" t="s">
        <v>11</v>
      </c>
      <c r="G2523" s="5" t="s">
        <v>35</v>
      </c>
      <c r="H2523">
        <v>60</v>
      </c>
      <c r="I2523" s="4">
        <v>373200</v>
      </c>
      <c r="J2523" s="4">
        <v>138000</v>
      </c>
    </row>
    <row r="2524" spans="2:10" x14ac:dyDescent="0.3">
      <c r="B2524" s="7">
        <v>44228</v>
      </c>
      <c r="C2524" s="3">
        <f t="shared" si="78"/>
        <v>2021</v>
      </c>
      <c r="D2524" s="3">
        <f t="shared" si="79"/>
        <v>202102</v>
      </c>
      <c r="E2524" s="5" t="s">
        <v>4</v>
      </c>
      <c r="F2524" s="5" t="s">
        <v>11</v>
      </c>
      <c r="G2524" s="5" t="s">
        <v>35</v>
      </c>
      <c r="H2524">
        <v>38</v>
      </c>
      <c r="I2524" s="4">
        <v>234232</v>
      </c>
      <c r="J2524" s="4">
        <v>87400</v>
      </c>
    </row>
    <row r="2525" spans="2:10" x14ac:dyDescent="0.3">
      <c r="B2525" s="7">
        <v>44256</v>
      </c>
      <c r="C2525" s="3">
        <f t="shared" si="78"/>
        <v>2021</v>
      </c>
      <c r="D2525" s="3">
        <f t="shared" si="79"/>
        <v>202103</v>
      </c>
      <c r="E2525" s="5" t="s">
        <v>4</v>
      </c>
      <c r="F2525" s="5" t="s">
        <v>11</v>
      </c>
      <c r="G2525" s="5" t="s">
        <v>35</v>
      </c>
      <c r="H2525">
        <v>30</v>
      </c>
      <c r="I2525" s="4">
        <v>157800</v>
      </c>
      <c r="J2525" s="4">
        <v>69000</v>
      </c>
    </row>
    <row r="2526" spans="2:10" x14ac:dyDescent="0.3">
      <c r="B2526" s="7">
        <v>44287</v>
      </c>
      <c r="C2526" s="3">
        <f t="shared" si="78"/>
        <v>2021</v>
      </c>
      <c r="D2526" s="3">
        <f t="shared" si="79"/>
        <v>202104</v>
      </c>
      <c r="E2526" s="5" t="s">
        <v>4</v>
      </c>
      <c r="F2526" s="5" t="s">
        <v>11</v>
      </c>
      <c r="G2526" s="5" t="s">
        <v>35</v>
      </c>
      <c r="H2526">
        <v>56</v>
      </c>
      <c r="I2526" s="4">
        <v>398552</v>
      </c>
      <c r="J2526" s="4">
        <v>128800</v>
      </c>
    </row>
    <row r="2527" spans="2:10" x14ac:dyDescent="0.3">
      <c r="B2527" s="7">
        <v>44317</v>
      </c>
      <c r="C2527" s="3">
        <f t="shared" si="78"/>
        <v>2021</v>
      </c>
      <c r="D2527" s="3">
        <f t="shared" si="79"/>
        <v>202105</v>
      </c>
      <c r="E2527" s="5" t="s">
        <v>4</v>
      </c>
      <c r="F2527" s="5" t="s">
        <v>11</v>
      </c>
      <c r="G2527" s="5" t="s">
        <v>35</v>
      </c>
      <c r="H2527">
        <v>71</v>
      </c>
      <c r="I2527" s="4">
        <v>491391</v>
      </c>
      <c r="J2527" s="4">
        <v>163300</v>
      </c>
    </row>
    <row r="2528" spans="2:10" x14ac:dyDescent="0.3">
      <c r="B2528" s="7">
        <v>44348</v>
      </c>
      <c r="C2528" s="3">
        <f t="shared" si="78"/>
        <v>2021</v>
      </c>
      <c r="D2528" s="3">
        <f t="shared" si="79"/>
        <v>202106</v>
      </c>
      <c r="E2528" s="5" t="s">
        <v>4</v>
      </c>
      <c r="F2528" s="5" t="s">
        <v>11</v>
      </c>
      <c r="G2528" s="5" t="s">
        <v>35</v>
      </c>
      <c r="H2528">
        <v>67</v>
      </c>
      <c r="I2528" s="4">
        <v>440391</v>
      </c>
      <c r="J2528" s="4">
        <v>154100</v>
      </c>
    </row>
    <row r="2529" spans="2:10" x14ac:dyDescent="0.3">
      <c r="B2529" s="7">
        <v>44378</v>
      </c>
      <c r="C2529" s="3">
        <f t="shared" si="78"/>
        <v>2021</v>
      </c>
      <c r="D2529" s="3">
        <f t="shared" si="79"/>
        <v>202107</v>
      </c>
      <c r="E2529" s="5" t="s">
        <v>4</v>
      </c>
      <c r="F2529" s="5" t="s">
        <v>11</v>
      </c>
      <c r="G2529" s="5" t="s">
        <v>35</v>
      </c>
      <c r="H2529">
        <v>71</v>
      </c>
      <c r="I2529" s="4">
        <v>295857</v>
      </c>
      <c r="J2529" s="4">
        <v>163300</v>
      </c>
    </row>
    <row r="2530" spans="2:10" x14ac:dyDescent="0.3">
      <c r="B2530" s="7">
        <v>44409</v>
      </c>
      <c r="C2530" s="3">
        <f t="shared" si="78"/>
        <v>2021</v>
      </c>
      <c r="D2530" s="3">
        <f t="shared" si="79"/>
        <v>202108</v>
      </c>
      <c r="E2530" s="5" t="s">
        <v>4</v>
      </c>
      <c r="F2530" s="5" t="s">
        <v>11</v>
      </c>
      <c r="G2530" s="5" t="s">
        <v>35</v>
      </c>
      <c r="H2530">
        <v>60</v>
      </c>
      <c r="I2530" s="4">
        <v>372840</v>
      </c>
      <c r="J2530" s="4">
        <v>138000</v>
      </c>
    </row>
    <row r="2531" spans="2:10" x14ac:dyDescent="0.3">
      <c r="B2531" s="7">
        <v>44440</v>
      </c>
      <c r="C2531" s="3">
        <f t="shared" si="78"/>
        <v>2021</v>
      </c>
      <c r="D2531" s="3">
        <f t="shared" si="79"/>
        <v>202109</v>
      </c>
      <c r="E2531" s="5" t="s">
        <v>4</v>
      </c>
      <c r="F2531" s="5" t="s">
        <v>11</v>
      </c>
      <c r="G2531" s="5" t="s">
        <v>35</v>
      </c>
      <c r="H2531">
        <v>64</v>
      </c>
      <c r="I2531" s="4">
        <v>383424</v>
      </c>
      <c r="J2531" s="4">
        <v>147200</v>
      </c>
    </row>
    <row r="2532" spans="2:10" x14ac:dyDescent="0.3">
      <c r="B2532" s="7">
        <v>44470</v>
      </c>
      <c r="C2532" s="3">
        <f t="shared" si="78"/>
        <v>2021</v>
      </c>
      <c r="D2532" s="3">
        <f t="shared" si="79"/>
        <v>202110</v>
      </c>
      <c r="E2532" s="5" t="s">
        <v>4</v>
      </c>
      <c r="F2532" s="5" t="s">
        <v>11</v>
      </c>
      <c r="G2532" s="5" t="s">
        <v>35</v>
      </c>
      <c r="H2532">
        <v>52</v>
      </c>
      <c r="I2532" s="4">
        <v>309816</v>
      </c>
      <c r="J2532" s="4">
        <v>119600</v>
      </c>
    </row>
    <row r="2533" spans="2:10" x14ac:dyDescent="0.3">
      <c r="B2533" s="7">
        <v>44501</v>
      </c>
      <c r="C2533" s="3">
        <f t="shared" si="78"/>
        <v>2021</v>
      </c>
      <c r="D2533" s="3">
        <f t="shared" si="79"/>
        <v>202111</v>
      </c>
      <c r="E2533" s="5" t="s">
        <v>4</v>
      </c>
      <c r="F2533" s="5" t="s">
        <v>11</v>
      </c>
      <c r="G2533" s="5" t="s">
        <v>35</v>
      </c>
      <c r="H2533">
        <v>38</v>
      </c>
      <c r="I2533" s="4">
        <v>228342</v>
      </c>
      <c r="J2533" s="4">
        <v>87400</v>
      </c>
    </row>
    <row r="2534" spans="2:10" x14ac:dyDescent="0.3">
      <c r="B2534" s="7">
        <v>44531</v>
      </c>
      <c r="C2534" s="3">
        <f t="shared" si="78"/>
        <v>2021</v>
      </c>
      <c r="D2534" s="3">
        <f t="shared" si="79"/>
        <v>202112</v>
      </c>
      <c r="E2534" s="5" t="s">
        <v>4</v>
      </c>
      <c r="F2534" s="5" t="s">
        <v>11</v>
      </c>
      <c r="G2534" s="5" t="s">
        <v>35</v>
      </c>
      <c r="H2534">
        <v>45</v>
      </c>
      <c r="I2534" s="4">
        <v>238005</v>
      </c>
      <c r="J2534" s="4">
        <v>103500</v>
      </c>
    </row>
    <row r="2535" spans="2:10" x14ac:dyDescent="0.3">
      <c r="B2535" s="7">
        <v>44562</v>
      </c>
      <c r="C2535" s="3">
        <f t="shared" si="78"/>
        <v>2022</v>
      </c>
      <c r="D2535" s="3">
        <f t="shared" si="79"/>
        <v>202201</v>
      </c>
      <c r="E2535" s="5" t="s">
        <v>4</v>
      </c>
      <c r="F2535" s="5" t="s">
        <v>11</v>
      </c>
      <c r="G2535" s="5" t="s">
        <v>35</v>
      </c>
      <c r="H2535">
        <v>66</v>
      </c>
      <c r="I2535" s="4">
        <v>420222</v>
      </c>
      <c r="J2535" s="4">
        <v>151800</v>
      </c>
    </row>
    <row r="2536" spans="2:10" x14ac:dyDescent="0.3">
      <c r="B2536" s="7">
        <v>44593</v>
      </c>
      <c r="C2536" s="3">
        <f t="shared" si="78"/>
        <v>2022</v>
      </c>
      <c r="D2536" s="3">
        <f t="shared" si="79"/>
        <v>202202</v>
      </c>
      <c r="E2536" s="5" t="s">
        <v>4</v>
      </c>
      <c r="F2536" s="5" t="s">
        <v>11</v>
      </c>
      <c r="G2536" s="5" t="s">
        <v>35</v>
      </c>
      <c r="H2536">
        <v>41</v>
      </c>
      <c r="I2536" s="4">
        <v>288353</v>
      </c>
      <c r="J2536" s="4">
        <v>94300</v>
      </c>
    </row>
    <row r="2537" spans="2:10" x14ac:dyDescent="0.3">
      <c r="B2537" s="7">
        <v>44621</v>
      </c>
      <c r="C2537" s="3">
        <f t="shared" si="78"/>
        <v>2022</v>
      </c>
      <c r="D2537" s="3">
        <f t="shared" si="79"/>
        <v>202203</v>
      </c>
      <c r="E2537" s="5" t="s">
        <v>4</v>
      </c>
      <c r="F2537" s="5" t="s">
        <v>11</v>
      </c>
      <c r="G2537" s="5" t="s">
        <v>35</v>
      </c>
      <c r="H2537">
        <v>33</v>
      </c>
      <c r="I2537" s="4">
        <v>182655</v>
      </c>
      <c r="J2537" s="4">
        <v>75900</v>
      </c>
    </row>
    <row r="2538" spans="2:10" x14ac:dyDescent="0.3">
      <c r="B2538" s="7">
        <v>44652</v>
      </c>
      <c r="C2538" s="3">
        <f t="shared" si="78"/>
        <v>2022</v>
      </c>
      <c r="D2538" s="3">
        <f t="shared" si="79"/>
        <v>202204</v>
      </c>
      <c r="E2538" s="5" t="s">
        <v>4</v>
      </c>
      <c r="F2538" s="5" t="s">
        <v>11</v>
      </c>
      <c r="G2538" s="5" t="s">
        <v>35</v>
      </c>
      <c r="H2538">
        <v>62</v>
      </c>
      <c r="I2538" s="4">
        <v>410378</v>
      </c>
      <c r="J2538" s="4">
        <v>142600</v>
      </c>
    </row>
    <row r="2539" spans="2:10" x14ac:dyDescent="0.3">
      <c r="B2539" s="7">
        <v>44682</v>
      </c>
      <c r="C2539" s="3">
        <f t="shared" si="78"/>
        <v>2022</v>
      </c>
      <c r="D2539" s="3">
        <f t="shared" si="79"/>
        <v>202205</v>
      </c>
      <c r="E2539" s="5" t="s">
        <v>4</v>
      </c>
      <c r="F2539" s="5" t="s">
        <v>11</v>
      </c>
      <c r="G2539" s="5" t="s">
        <v>35</v>
      </c>
      <c r="H2539">
        <v>78</v>
      </c>
      <c r="I2539" s="4">
        <v>492726</v>
      </c>
      <c r="J2539" s="4">
        <v>179400</v>
      </c>
    </row>
    <row r="2540" spans="2:10" x14ac:dyDescent="0.3">
      <c r="B2540" s="7">
        <v>44713</v>
      </c>
      <c r="C2540" s="3">
        <f t="shared" si="78"/>
        <v>2022</v>
      </c>
      <c r="D2540" s="3">
        <f t="shared" si="79"/>
        <v>202206</v>
      </c>
      <c r="E2540" s="5" t="s">
        <v>4</v>
      </c>
      <c r="F2540" s="5" t="s">
        <v>11</v>
      </c>
      <c r="G2540" s="5" t="s">
        <v>35</v>
      </c>
      <c r="H2540">
        <v>74</v>
      </c>
      <c r="I2540" s="4">
        <v>498760</v>
      </c>
      <c r="J2540" s="4">
        <v>170200</v>
      </c>
    </row>
    <row r="2541" spans="2:10" x14ac:dyDescent="0.3">
      <c r="B2541" s="7">
        <v>44743</v>
      </c>
      <c r="C2541" s="3">
        <f t="shared" si="78"/>
        <v>2022</v>
      </c>
      <c r="D2541" s="3">
        <f t="shared" si="79"/>
        <v>202207</v>
      </c>
      <c r="E2541" s="5" t="s">
        <v>4</v>
      </c>
      <c r="F2541" s="5" t="s">
        <v>11</v>
      </c>
      <c r="G2541" s="5" t="s">
        <v>35</v>
      </c>
      <c r="H2541">
        <v>78</v>
      </c>
      <c r="I2541" s="4">
        <v>360828</v>
      </c>
      <c r="J2541" s="4">
        <v>179400</v>
      </c>
    </row>
    <row r="2542" spans="2:10" x14ac:dyDescent="0.3">
      <c r="B2542" s="7">
        <v>44774</v>
      </c>
      <c r="C2542" s="3">
        <f t="shared" si="78"/>
        <v>2022</v>
      </c>
      <c r="D2542" s="3">
        <f t="shared" si="79"/>
        <v>202208</v>
      </c>
      <c r="E2542" s="5" t="s">
        <v>4</v>
      </c>
      <c r="F2542" s="5" t="s">
        <v>11</v>
      </c>
      <c r="G2542" s="5" t="s">
        <v>35</v>
      </c>
      <c r="H2542">
        <v>66</v>
      </c>
      <c r="I2542" s="4">
        <v>355740</v>
      </c>
      <c r="J2542" s="4">
        <v>151800</v>
      </c>
    </row>
    <row r="2543" spans="2:10" x14ac:dyDescent="0.3">
      <c r="B2543" s="7">
        <v>44805</v>
      </c>
      <c r="C2543" s="3">
        <f t="shared" si="78"/>
        <v>2022</v>
      </c>
      <c r="D2543" s="3">
        <f t="shared" si="79"/>
        <v>202209</v>
      </c>
      <c r="E2543" s="5" t="s">
        <v>4</v>
      </c>
      <c r="F2543" s="5" t="s">
        <v>11</v>
      </c>
      <c r="G2543" s="5" t="s">
        <v>35</v>
      </c>
      <c r="H2543">
        <v>70</v>
      </c>
      <c r="I2543" s="4">
        <v>402500</v>
      </c>
      <c r="J2543" s="4">
        <v>161000</v>
      </c>
    </row>
    <row r="2544" spans="2:10" x14ac:dyDescent="0.3">
      <c r="B2544" s="7">
        <v>44835</v>
      </c>
      <c r="C2544" s="3">
        <f t="shared" si="78"/>
        <v>2022</v>
      </c>
      <c r="D2544" s="3">
        <f t="shared" si="79"/>
        <v>202210</v>
      </c>
      <c r="E2544" s="5" t="s">
        <v>4</v>
      </c>
      <c r="F2544" s="5" t="s">
        <v>11</v>
      </c>
      <c r="G2544" s="5" t="s">
        <v>35</v>
      </c>
      <c r="H2544">
        <v>58</v>
      </c>
      <c r="I2544" s="4">
        <v>372418</v>
      </c>
      <c r="J2544" s="4">
        <v>133400</v>
      </c>
    </row>
    <row r="2545" spans="2:10" x14ac:dyDescent="0.3">
      <c r="B2545" s="7">
        <v>44866</v>
      </c>
      <c r="C2545" s="3">
        <f t="shared" si="78"/>
        <v>2022</v>
      </c>
      <c r="D2545" s="3">
        <f t="shared" si="79"/>
        <v>202211</v>
      </c>
      <c r="E2545" s="5" t="s">
        <v>4</v>
      </c>
      <c r="F2545" s="5" t="s">
        <v>11</v>
      </c>
      <c r="G2545" s="5" t="s">
        <v>35</v>
      </c>
      <c r="H2545">
        <v>41</v>
      </c>
      <c r="I2545" s="4">
        <v>248009</v>
      </c>
      <c r="J2545" s="4">
        <v>94300</v>
      </c>
    </row>
    <row r="2546" spans="2:10" x14ac:dyDescent="0.3">
      <c r="B2546" s="7">
        <v>44896</v>
      </c>
      <c r="C2546" s="3">
        <f t="shared" si="78"/>
        <v>2022</v>
      </c>
      <c r="D2546" s="3">
        <f t="shared" si="79"/>
        <v>202212</v>
      </c>
      <c r="E2546" s="5" t="s">
        <v>4</v>
      </c>
      <c r="F2546" s="5" t="s">
        <v>11</v>
      </c>
      <c r="G2546" s="5" t="s">
        <v>35</v>
      </c>
      <c r="H2546">
        <v>49</v>
      </c>
      <c r="I2546" s="4">
        <v>287189</v>
      </c>
      <c r="J2546" s="4">
        <v>112700</v>
      </c>
    </row>
    <row r="2547" spans="2:10" x14ac:dyDescent="0.3">
      <c r="B2547" s="7">
        <v>44197</v>
      </c>
      <c r="C2547" s="3">
        <f t="shared" si="78"/>
        <v>2021</v>
      </c>
      <c r="D2547" s="3">
        <f t="shared" si="79"/>
        <v>202101</v>
      </c>
      <c r="E2547" s="5" t="s">
        <v>4</v>
      </c>
      <c r="F2547" s="5" t="s">
        <v>11</v>
      </c>
      <c r="G2547" s="5" t="s">
        <v>36</v>
      </c>
      <c r="H2547">
        <v>53</v>
      </c>
      <c r="I2547" s="4">
        <v>544893</v>
      </c>
      <c r="J2547" s="4">
        <v>214650</v>
      </c>
    </row>
    <row r="2548" spans="2:10" x14ac:dyDescent="0.3">
      <c r="B2548" s="7">
        <v>44228</v>
      </c>
      <c r="C2548" s="3">
        <f t="shared" si="78"/>
        <v>2021</v>
      </c>
      <c r="D2548" s="3">
        <f t="shared" si="79"/>
        <v>202102</v>
      </c>
      <c r="E2548" s="5" t="s">
        <v>4</v>
      </c>
      <c r="F2548" s="5" t="s">
        <v>11</v>
      </c>
      <c r="G2548" s="5" t="s">
        <v>36</v>
      </c>
      <c r="H2548">
        <v>33</v>
      </c>
      <c r="I2548" s="4">
        <v>323994</v>
      </c>
      <c r="J2548" s="4">
        <v>133650</v>
      </c>
    </row>
    <row r="2549" spans="2:10" x14ac:dyDescent="0.3">
      <c r="B2549" s="7">
        <v>44256</v>
      </c>
      <c r="C2549" s="3">
        <f t="shared" si="78"/>
        <v>2021</v>
      </c>
      <c r="D2549" s="3">
        <f t="shared" si="79"/>
        <v>202103</v>
      </c>
      <c r="E2549" s="5" t="s">
        <v>4</v>
      </c>
      <c r="F2549" s="5" t="s">
        <v>11</v>
      </c>
      <c r="G2549" s="5" t="s">
        <v>36</v>
      </c>
      <c r="H2549">
        <v>27</v>
      </c>
      <c r="I2549" s="4">
        <v>279126</v>
      </c>
      <c r="J2549" s="4">
        <v>109350</v>
      </c>
    </row>
    <row r="2550" spans="2:10" x14ac:dyDescent="0.3">
      <c r="B2550" s="7">
        <v>44287</v>
      </c>
      <c r="C2550" s="3">
        <f t="shared" si="78"/>
        <v>2021</v>
      </c>
      <c r="D2550" s="3">
        <f t="shared" si="79"/>
        <v>202104</v>
      </c>
      <c r="E2550" s="5" t="s">
        <v>4</v>
      </c>
      <c r="F2550" s="5" t="s">
        <v>11</v>
      </c>
      <c r="G2550" s="5" t="s">
        <v>36</v>
      </c>
      <c r="H2550">
        <v>50</v>
      </c>
      <c r="I2550" s="4">
        <v>538300</v>
      </c>
      <c r="J2550" s="4">
        <v>202500</v>
      </c>
    </row>
    <row r="2551" spans="2:10" x14ac:dyDescent="0.3">
      <c r="B2551" s="7">
        <v>44317</v>
      </c>
      <c r="C2551" s="3">
        <f t="shared" si="78"/>
        <v>2021</v>
      </c>
      <c r="D2551" s="3">
        <f t="shared" si="79"/>
        <v>202105</v>
      </c>
      <c r="E2551" s="5" t="s">
        <v>4</v>
      </c>
      <c r="F2551" s="5" t="s">
        <v>11</v>
      </c>
      <c r="G2551" s="5" t="s">
        <v>36</v>
      </c>
      <c r="H2551">
        <v>63</v>
      </c>
      <c r="I2551" s="4">
        <v>706797</v>
      </c>
      <c r="J2551" s="4">
        <v>255150</v>
      </c>
    </row>
    <row r="2552" spans="2:10" x14ac:dyDescent="0.3">
      <c r="B2552" s="7">
        <v>44348</v>
      </c>
      <c r="C2552" s="3">
        <f t="shared" si="78"/>
        <v>2021</v>
      </c>
      <c r="D2552" s="3">
        <f t="shared" si="79"/>
        <v>202106</v>
      </c>
      <c r="E2552" s="5" t="s">
        <v>4</v>
      </c>
      <c r="F2552" s="5" t="s">
        <v>11</v>
      </c>
      <c r="G2552" s="5" t="s">
        <v>36</v>
      </c>
      <c r="H2552">
        <v>59</v>
      </c>
      <c r="I2552" s="4">
        <v>610709</v>
      </c>
      <c r="J2552" s="4">
        <v>238950</v>
      </c>
    </row>
    <row r="2553" spans="2:10" x14ac:dyDescent="0.3">
      <c r="B2553" s="7">
        <v>44378</v>
      </c>
      <c r="C2553" s="3">
        <f t="shared" si="78"/>
        <v>2021</v>
      </c>
      <c r="D2553" s="3">
        <f t="shared" si="79"/>
        <v>202107</v>
      </c>
      <c r="E2553" s="5" t="s">
        <v>4</v>
      </c>
      <c r="F2553" s="5" t="s">
        <v>11</v>
      </c>
      <c r="G2553" s="5" t="s">
        <v>36</v>
      </c>
      <c r="H2553">
        <v>63</v>
      </c>
      <c r="I2553" s="4">
        <v>535311</v>
      </c>
      <c r="J2553" s="4">
        <v>255150</v>
      </c>
    </row>
    <row r="2554" spans="2:10" x14ac:dyDescent="0.3">
      <c r="B2554" s="7">
        <v>44409</v>
      </c>
      <c r="C2554" s="3">
        <f t="shared" si="78"/>
        <v>2021</v>
      </c>
      <c r="D2554" s="3">
        <f t="shared" si="79"/>
        <v>202108</v>
      </c>
      <c r="E2554" s="5" t="s">
        <v>4</v>
      </c>
      <c r="F2554" s="5" t="s">
        <v>11</v>
      </c>
      <c r="G2554" s="5" t="s">
        <v>36</v>
      </c>
      <c r="H2554">
        <v>53</v>
      </c>
      <c r="I2554" s="4">
        <v>503129</v>
      </c>
      <c r="J2554" s="4">
        <v>214650</v>
      </c>
    </row>
    <row r="2555" spans="2:10" x14ac:dyDescent="0.3">
      <c r="B2555" s="7">
        <v>44440</v>
      </c>
      <c r="C2555" s="3">
        <f t="shared" si="78"/>
        <v>2021</v>
      </c>
      <c r="D2555" s="3">
        <f t="shared" si="79"/>
        <v>202109</v>
      </c>
      <c r="E2555" s="5" t="s">
        <v>4</v>
      </c>
      <c r="F2555" s="5" t="s">
        <v>11</v>
      </c>
      <c r="G2555" s="5" t="s">
        <v>36</v>
      </c>
      <c r="H2555">
        <v>56</v>
      </c>
      <c r="I2555" s="4">
        <v>590856</v>
      </c>
      <c r="J2555" s="4">
        <v>226800</v>
      </c>
    </row>
    <row r="2556" spans="2:10" x14ac:dyDescent="0.3">
      <c r="B2556" s="7">
        <v>44470</v>
      </c>
      <c r="C2556" s="3">
        <f t="shared" si="78"/>
        <v>2021</v>
      </c>
      <c r="D2556" s="3">
        <f t="shared" si="79"/>
        <v>202110</v>
      </c>
      <c r="E2556" s="5" t="s">
        <v>4</v>
      </c>
      <c r="F2556" s="5" t="s">
        <v>11</v>
      </c>
      <c r="G2556" s="5" t="s">
        <v>36</v>
      </c>
      <c r="H2556">
        <v>46</v>
      </c>
      <c r="I2556" s="4">
        <v>459356</v>
      </c>
      <c r="J2556" s="4">
        <v>186300</v>
      </c>
    </row>
    <row r="2557" spans="2:10" x14ac:dyDescent="0.3">
      <c r="B2557" s="7">
        <v>44501</v>
      </c>
      <c r="C2557" s="3">
        <f t="shared" si="78"/>
        <v>2021</v>
      </c>
      <c r="D2557" s="3">
        <f t="shared" si="79"/>
        <v>202111</v>
      </c>
      <c r="E2557" s="5" t="s">
        <v>4</v>
      </c>
      <c r="F2557" s="5" t="s">
        <v>11</v>
      </c>
      <c r="G2557" s="5" t="s">
        <v>36</v>
      </c>
      <c r="H2557">
        <v>33</v>
      </c>
      <c r="I2557" s="4">
        <v>340890</v>
      </c>
      <c r="J2557" s="4">
        <v>133650</v>
      </c>
    </row>
    <row r="2558" spans="2:10" x14ac:dyDescent="0.3">
      <c r="B2558" s="7">
        <v>44531</v>
      </c>
      <c r="C2558" s="3">
        <f t="shared" si="78"/>
        <v>2021</v>
      </c>
      <c r="D2558" s="3">
        <f t="shared" si="79"/>
        <v>202112</v>
      </c>
      <c r="E2558" s="5" t="s">
        <v>4</v>
      </c>
      <c r="F2558" s="5" t="s">
        <v>11</v>
      </c>
      <c r="G2558" s="5" t="s">
        <v>36</v>
      </c>
      <c r="H2558">
        <v>40</v>
      </c>
      <c r="I2558" s="4">
        <v>380640</v>
      </c>
      <c r="J2558" s="4">
        <v>162000</v>
      </c>
    </row>
    <row r="2559" spans="2:10" x14ac:dyDescent="0.3">
      <c r="B2559" s="7">
        <v>44562</v>
      </c>
      <c r="C2559" s="3">
        <f t="shared" si="78"/>
        <v>2022</v>
      </c>
      <c r="D2559" s="3">
        <f t="shared" si="79"/>
        <v>202201</v>
      </c>
      <c r="E2559" s="5" t="s">
        <v>4</v>
      </c>
      <c r="F2559" s="5" t="s">
        <v>11</v>
      </c>
      <c r="G2559" s="5" t="s">
        <v>36</v>
      </c>
      <c r="H2559">
        <v>58</v>
      </c>
      <c r="I2559" s="4">
        <v>600880</v>
      </c>
      <c r="J2559" s="4">
        <v>234900</v>
      </c>
    </row>
    <row r="2560" spans="2:10" x14ac:dyDescent="0.3">
      <c r="B2560" s="7">
        <v>44593</v>
      </c>
      <c r="C2560" s="3">
        <f t="shared" si="78"/>
        <v>2022</v>
      </c>
      <c r="D2560" s="3">
        <f t="shared" si="79"/>
        <v>202202</v>
      </c>
      <c r="E2560" s="5" t="s">
        <v>4</v>
      </c>
      <c r="F2560" s="5" t="s">
        <v>11</v>
      </c>
      <c r="G2560" s="5" t="s">
        <v>36</v>
      </c>
      <c r="H2560">
        <v>37</v>
      </c>
      <c r="I2560" s="4">
        <v>379324</v>
      </c>
      <c r="J2560" s="4">
        <v>149850</v>
      </c>
    </row>
    <row r="2561" spans="2:10" x14ac:dyDescent="0.3">
      <c r="B2561" s="7">
        <v>44621</v>
      </c>
      <c r="C2561" s="3">
        <f t="shared" si="78"/>
        <v>2022</v>
      </c>
      <c r="D2561" s="3">
        <f t="shared" si="79"/>
        <v>202203</v>
      </c>
      <c r="E2561" s="5" t="s">
        <v>4</v>
      </c>
      <c r="F2561" s="5" t="s">
        <v>11</v>
      </c>
      <c r="G2561" s="5" t="s">
        <v>36</v>
      </c>
      <c r="H2561">
        <v>29</v>
      </c>
      <c r="I2561" s="4">
        <v>287100</v>
      </c>
      <c r="J2561" s="4">
        <v>117450</v>
      </c>
    </row>
    <row r="2562" spans="2:10" x14ac:dyDescent="0.3">
      <c r="B2562" s="7">
        <v>44652</v>
      </c>
      <c r="C2562" s="3">
        <f t="shared" si="78"/>
        <v>2022</v>
      </c>
      <c r="D2562" s="3">
        <f t="shared" si="79"/>
        <v>202204</v>
      </c>
      <c r="E2562" s="5" t="s">
        <v>4</v>
      </c>
      <c r="F2562" s="5" t="s">
        <v>11</v>
      </c>
      <c r="G2562" s="5" t="s">
        <v>36</v>
      </c>
      <c r="H2562">
        <v>55</v>
      </c>
      <c r="I2562" s="4">
        <v>582120</v>
      </c>
      <c r="J2562" s="4">
        <v>222750</v>
      </c>
    </row>
    <row r="2563" spans="2:10" x14ac:dyDescent="0.3">
      <c r="B2563" s="7">
        <v>44682</v>
      </c>
      <c r="C2563" s="3">
        <f t="shared" ref="C2563:C2626" si="80">YEAR(B2563)</f>
        <v>2022</v>
      </c>
      <c r="D2563" s="3">
        <f t="shared" ref="D2563:D2626" si="81">VALUE(TEXT(B2563,"ГГГГММ"))</f>
        <v>202205</v>
      </c>
      <c r="E2563" s="5" t="s">
        <v>4</v>
      </c>
      <c r="F2563" s="5" t="s">
        <v>11</v>
      </c>
      <c r="G2563" s="5" t="s">
        <v>36</v>
      </c>
      <c r="H2563">
        <v>69</v>
      </c>
      <c r="I2563" s="4">
        <v>766521</v>
      </c>
      <c r="J2563" s="4">
        <v>279450</v>
      </c>
    </row>
    <row r="2564" spans="2:10" x14ac:dyDescent="0.3">
      <c r="B2564" s="7">
        <v>44713</v>
      </c>
      <c r="C2564" s="3">
        <f t="shared" si="80"/>
        <v>2022</v>
      </c>
      <c r="D2564" s="3">
        <f t="shared" si="81"/>
        <v>202206</v>
      </c>
      <c r="E2564" s="5" t="s">
        <v>4</v>
      </c>
      <c r="F2564" s="5" t="s">
        <v>11</v>
      </c>
      <c r="G2564" s="5" t="s">
        <v>36</v>
      </c>
      <c r="H2564">
        <v>65</v>
      </c>
      <c r="I2564" s="4">
        <v>705835</v>
      </c>
      <c r="J2564" s="4">
        <v>263250</v>
      </c>
    </row>
    <row r="2565" spans="2:10" x14ac:dyDescent="0.3">
      <c r="B2565" s="7">
        <v>44743</v>
      </c>
      <c r="C2565" s="3">
        <f t="shared" si="80"/>
        <v>2022</v>
      </c>
      <c r="D2565" s="3">
        <f t="shared" si="81"/>
        <v>202207</v>
      </c>
      <c r="E2565" s="5" t="s">
        <v>4</v>
      </c>
      <c r="F2565" s="5" t="s">
        <v>11</v>
      </c>
      <c r="G2565" s="5" t="s">
        <v>36</v>
      </c>
      <c r="H2565">
        <v>69</v>
      </c>
      <c r="I2565" s="4">
        <v>605199</v>
      </c>
      <c r="J2565" s="4">
        <v>279450</v>
      </c>
    </row>
    <row r="2566" spans="2:10" x14ac:dyDescent="0.3">
      <c r="B2566" s="7">
        <v>44774</v>
      </c>
      <c r="C2566" s="3">
        <f t="shared" si="80"/>
        <v>2022</v>
      </c>
      <c r="D2566" s="3">
        <f t="shared" si="81"/>
        <v>202208</v>
      </c>
      <c r="E2566" s="5" t="s">
        <v>4</v>
      </c>
      <c r="F2566" s="5" t="s">
        <v>11</v>
      </c>
      <c r="G2566" s="5" t="s">
        <v>36</v>
      </c>
      <c r="H2566">
        <v>58</v>
      </c>
      <c r="I2566" s="4">
        <v>563180</v>
      </c>
      <c r="J2566" s="4">
        <v>234900</v>
      </c>
    </row>
    <row r="2567" spans="2:10" x14ac:dyDescent="0.3">
      <c r="B2567" s="7">
        <v>44805</v>
      </c>
      <c r="C2567" s="3">
        <f t="shared" si="80"/>
        <v>2022</v>
      </c>
      <c r="D2567" s="3">
        <f t="shared" si="81"/>
        <v>202209</v>
      </c>
      <c r="E2567" s="5" t="s">
        <v>4</v>
      </c>
      <c r="F2567" s="5" t="s">
        <v>11</v>
      </c>
      <c r="G2567" s="5" t="s">
        <v>36</v>
      </c>
      <c r="H2567">
        <v>62</v>
      </c>
      <c r="I2567" s="4">
        <v>594084</v>
      </c>
      <c r="J2567" s="4">
        <v>251100</v>
      </c>
    </row>
    <row r="2568" spans="2:10" x14ac:dyDescent="0.3">
      <c r="B2568" s="7">
        <v>44835</v>
      </c>
      <c r="C2568" s="3">
        <f t="shared" si="80"/>
        <v>2022</v>
      </c>
      <c r="D2568" s="3">
        <f t="shared" si="81"/>
        <v>202210</v>
      </c>
      <c r="E2568" s="5" t="s">
        <v>4</v>
      </c>
      <c r="F2568" s="5" t="s">
        <v>11</v>
      </c>
      <c r="G2568" s="5" t="s">
        <v>36</v>
      </c>
      <c r="H2568">
        <v>51</v>
      </c>
      <c r="I2568" s="4">
        <v>556461</v>
      </c>
      <c r="J2568" s="4">
        <v>206550</v>
      </c>
    </row>
    <row r="2569" spans="2:10" x14ac:dyDescent="0.3">
      <c r="B2569" s="7">
        <v>44866</v>
      </c>
      <c r="C2569" s="3">
        <f t="shared" si="80"/>
        <v>2022</v>
      </c>
      <c r="D2569" s="3">
        <f t="shared" si="81"/>
        <v>202211</v>
      </c>
      <c r="E2569" s="5" t="s">
        <v>4</v>
      </c>
      <c r="F2569" s="5" t="s">
        <v>11</v>
      </c>
      <c r="G2569" s="5" t="s">
        <v>36</v>
      </c>
      <c r="H2569">
        <v>37</v>
      </c>
      <c r="I2569" s="4">
        <v>398379</v>
      </c>
      <c r="J2569" s="4">
        <v>149850</v>
      </c>
    </row>
    <row r="2570" spans="2:10" x14ac:dyDescent="0.3">
      <c r="B2570" s="7">
        <v>44896</v>
      </c>
      <c r="C2570" s="3">
        <f t="shared" si="80"/>
        <v>2022</v>
      </c>
      <c r="D2570" s="3">
        <f t="shared" si="81"/>
        <v>202212</v>
      </c>
      <c r="E2570" s="5" t="s">
        <v>4</v>
      </c>
      <c r="F2570" s="5" t="s">
        <v>11</v>
      </c>
      <c r="G2570" s="5" t="s">
        <v>36</v>
      </c>
      <c r="H2570">
        <v>44</v>
      </c>
      <c r="I2570" s="4">
        <v>431772</v>
      </c>
      <c r="J2570" s="4">
        <v>178200</v>
      </c>
    </row>
    <row r="2571" spans="2:10" x14ac:dyDescent="0.3">
      <c r="B2571" s="7">
        <v>44197</v>
      </c>
      <c r="C2571" s="3">
        <f t="shared" si="80"/>
        <v>2021</v>
      </c>
      <c r="D2571" s="3">
        <f t="shared" si="81"/>
        <v>202101</v>
      </c>
      <c r="E2571" s="5" t="s">
        <v>4</v>
      </c>
      <c r="F2571" s="5" t="s">
        <v>11</v>
      </c>
      <c r="G2571" s="5" t="s">
        <v>37</v>
      </c>
      <c r="H2571">
        <v>60</v>
      </c>
      <c r="I2571" s="4">
        <v>487200</v>
      </c>
      <c r="J2571" s="4">
        <v>239399.99999999997</v>
      </c>
    </row>
    <row r="2572" spans="2:10" x14ac:dyDescent="0.3">
      <c r="B2572" s="7">
        <v>44228</v>
      </c>
      <c r="C2572" s="3">
        <f t="shared" si="80"/>
        <v>2021</v>
      </c>
      <c r="D2572" s="3">
        <f t="shared" si="81"/>
        <v>202102</v>
      </c>
      <c r="E2572" s="5" t="s">
        <v>4</v>
      </c>
      <c r="F2572" s="5" t="s">
        <v>11</v>
      </c>
      <c r="G2572" s="5" t="s">
        <v>37</v>
      </c>
      <c r="H2572">
        <v>38</v>
      </c>
      <c r="I2572" s="4">
        <v>326040</v>
      </c>
      <c r="J2572" s="4">
        <v>151619.99999999997</v>
      </c>
    </row>
    <row r="2573" spans="2:10" x14ac:dyDescent="0.3">
      <c r="B2573" s="7">
        <v>44256</v>
      </c>
      <c r="C2573" s="3">
        <f t="shared" si="80"/>
        <v>2021</v>
      </c>
      <c r="D2573" s="3">
        <f t="shared" si="81"/>
        <v>202103</v>
      </c>
      <c r="E2573" s="5" t="s">
        <v>4</v>
      </c>
      <c r="F2573" s="5" t="s">
        <v>11</v>
      </c>
      <c r="G2573" s="5" t="s">
        <v>37</v>
      </c>
      <c r="H2573">
        <v>30</v>
      </c>
      <c r="I2573" s="4">
        <v>224700</v>
      </c>
      <c r="J2573" s="4">
        <v>119699.99999999999</v>
      </c>
    </row>
    <row r="2574" spans="2:10" x14ac:dyDescent="0.3">
      <c r="B2574" s="7">
        <v>44287</v>
      </c>
      <c r="C2574" s="3">
        <f t="shared" si="80"/>
        <v>2021</v>
      </c>
      <c r="D2574" s="3">
        <f t="shared" si="81"/>
        <v>202104</v>
      </c>
      <c r="E2574" s="5" t="s">
        <v>4</v>
      </c>
      <c r="F2574" s="5" t="s">
        <v>11</v>
      </c>
      <c r="G2574" s="5" t="s">
        <v>37</v>
      </c>
      <c r="H2574">
        <v>56</v>
      </c>
      <c r="I2574" s="4">
        <v>500192</v>
      </c>
      <c r="J2574" s="4">
        <v>223439.99999999997</v>
      </c>
    </row>
    <row r="2575" spans="2:10" x14ac:dyDescent="0.3">
      <c r="B2575" s="7">
        <v>44317</v>
      </c>
      <c r="C2575" s="3">
        <f t="shared" si="80"/>
        <v>2021</v>
      </c>
      <c r="D2575" s="3">
        <f t="shared" si="81"/>
        <v>202105</v>
      </c>
      <c r="E2575" s="5" t="s">
        <v>4</v>
      </c>
      <c r="F2575" s="5" t="s">
        <v>11</v>
      </c>
      <c r="G2575" s="5" t="s">
        <v>37</v>
      </c>
      <c r="H2575">
        <v>71</v>
      </c>
      <c r="I2575" s="4">
        <v>611026</v>
      </c>
      <c r="J2575" s="4">
        <v>283289.99999999994</v>
      </c>
    </row>
    <row r="2576" spans="2:10" x14ac:dyDescent="0.3">
      <c r="B2576" s="7">
        <v>44348</v>
      </c>
      <c r="C2576" s="3">
        <f t="shared" si="80"/>
        <v>2021</v>
      </c>
      <c r="D2576" s="3">
        <f t="shared" si="81"/>
        <v>202106</v>
      </c>
      <c r="E2576" s="5" t="s">
        <v>4</v>
      </c>
      <c r="F2576" s="5" t="s">
        <v>11</v>
      </c>
      <c r="G2576" s="5" t="s">
        <v>37</v>
      </c>
      <c r="H2576">
        <v>67</v>
      </c>
      <c r="I2576" s="4">
        <v>577540</v>
      </c>
      <c r="J2576" s="4">
        <v>267329.99999999994</v>
      </c>
    </row>
    <row r="2577" spans="2:10" x14ac:dyDescent="0.3">
      <c r="B2577" s="7">
        <v>44378</v>
      </c>
      <c r="C2577" s="3">
        <f t="shared" si="80"/>
        <v>2021</v>
      </c>
      <c r="D2577" s="3">
        <f t="shared" si="81"/>
        <v>202107</v>
      </c>
      <c r="E2577" s="5" t="s">
        <v>4</v>
      </c>
      <c r="F2577" s="5" t="s">
        <v>11</v>
      </c>
      <c r="G2577" s="5" t="s">
        <v>37</v>
      </c>
      <c r="H2577">
        <v>71</v>
      </c>
      <c r="I2577" s="4">
        <v>492030</v>
      </c>
      <c r="J2577" s="4">
        <v>283289.99999999994</v>
      </c>
    </row>
    <row r="2578" spans="2:10" x14ac:dyDescent="0.3">
      <c r="B2578" s="7">
        <v>44409</v>
      </c>
      <c r="C2578" s="3">
        <f t="shared" si="80"/>
        <v>2021</v>
      </c>
      <c r="D2578" s="3">
        <f t="shared" si="81"/>
        <v>202108</v>
      </c>
      <c r="E2578" s="5" t="s">
        <v>4</v>
      </c>
      <c r="F2578" s="5" t="s">
        <v>11</v>
      </c>
      <c r="G2578" s="5" t="s">
        <v>37</v>
      </c>
      <c r="H2578">
        <v>60</v>
      </c>
      <c r="I2578" s="4">
        <v>506340</v>
      </c>
      <c r="J2578" s="4">
        <v>239399.99999999997</v>
      </c>
    </row>
    <row r="2579" spans="2:10" x14ac:dyDescent="0.3">
      <c r="B2579" s="7">
        <v>44440</v>
      </c>
      <c r="C2579" s="3">
        <f t="shared" si="80"/>
        <v>2021</v>
      </c>
      <c r="D2579" s="3">
        <f t="shared" si="81"/>
        <v>202109</v>
      </c>
      <c r="E2579" s="5" t="s">
        <v>4</v>
      </c>
      <c r="F2579" s="5" t="s">
        <v>11</v>
      </c>
      <c r="G2579" s="5" t="s">
        <v>37</v>
      </c>
      <c r="H2579">
        <v>64</v>
      </c>
      <c r="I2579" s="4">
        <v>471872</v>
      </c>
      <c r="J2579" s="4">
        <v>255359.99999999997</v>
      </c>
    </row>
    <row r="2580" spans="2:10" x14ac:dyDescent="0.3">
      <c r="B2580" s="7">
        <v>44470</v>
      </c>
      <c r="C2580" s="3">
        <f t="shared" si="80"/>
        <v>2021</v>
      </c>
      <c r="D2580" s="3">
        <f t="shared" si="81"/>
        <v>202110</v>
      </c>
      <c r="E2580" s="5" t="s">
        <v>4</v>
      </c>
      <c r="F2580" s="5" t="s">
        <v>11</v>
      </c>
      <c r="G2580" s="5" t="s">
        <v>37</v>
      </c>
      <c r="H2580">
        <v>52</v>
      </c>
      <c r="I2580" s="4">
        <v>439816</v>
      </c>
      <c r="J2580" s="4">
        <v>207479.99999999997</v>
      </c>
    </row>
    <row r="2581" spans="2:10" x14ac:dyDescent="0.3">
      <c r="B2581" s="7">
        <v>44501</v>
      </c>
      <c r="C2581" s="3">
        <f t="shared" si="80"/>
        <v>2021</v>
      </c>
      <c r="D2581" s="3">
        <f t="shared" si="81"/>
        <v>202111</v>
      </c>
      <c r="E2581" s="5" t="s">
        <v>4</v>
      </c>
      <c r="F2581" s="5" t="s">
        <v>11</v>
      </c>
      <c r="G2581" s="5" t="s">
        <v>37</v>
      </c>
      <c r="H2581">
        <v>38</v>
      </c>
      <c r="I2581" s="4">
        <v>320264</v>
      </c>
      <c r="J2581" s="4">
        <v>151619.99999999997</v>
      </c>
    </row>
    <row r="2582" spans="2:10" x14ac:dyDescent="0.3">
      <c r="B2582" s="7">
        <v>44531</v>
      </c>
      <c r="C2582" s="3">
        <f t="shared" si="80"/>
        <v>2021</v>
      </c>
      <c r="D2582" s="3">
        <f t="shared" si="81"/>
        <v>202112</v>
      </c>
      <c r="E2582" s="5" t="s">
        <v>4</v>
      </c>
      <c r="F2582" s="5" t="s">
        <v>11</v>
      </c>
      <c r="G2582" s="5" t="s">
        <v>37</v>
      </c>
      <c r="H2582">
        <v>45</v>
      </c>
      <c r="I2582" s="4">
        <v>377100</v>
      </c>
      <c r="J2582" s="4">
        <v>179549.99999999997</v>
      </c>
    </row>
    <row r="2583" spans="2:10" x14ac:dyDescent="0.3">
      <c r="B2583" s="7">
        <v>44562</v>
      </c>
      <c r="C2583" s="3">
        <f t="shared" si="80"/>
        <v>2022</v>
      </c>
      <c r="D2583" s="3">
        <f t="shared" si="81"/>
        <v>202201</v>
      </c>
      <c r="E2583" s="5" t="s">
        <v>4</v>
      </c>
      <c r="F2583" s="5" t="s">
        <v>11</v>
      </c>
      <c r="G2583" s="5" t="s">
        <v>37</v>
      </c>
      <c r="H2583">
        <v>66</v>
      </c>
      <c r="I2583" s="4">
        <v>580206</v>
      </c>
      <c r="J2583" s="4">
        <v>263339.99999999994</v>
      </c>
    </row>
    <row r="2584" spans="2:10" x14ac:dyDescent="0.3">
      <c r="B2584" s="7">
        <v>44593</v>
      </c>
      <c r="C2584" s="3">
        <f t="shared" si="80"/>
        <v>2022</v>
      </c>
      <c r="D2584" s="3">
        <f t="shared" si="81"/>
        <v>202202</v>
      </c>
      <c r="E2584" s="5" t="s">
        <v>4</v>
      </c>
      <c r="F2584" s="5" t="s">
        <v>11</v>
      </c>
      <c r="G2584" s="5" t="s">
        <v>37</v>
      </c>
      <c r="H2584">
        <v>41</v>
      </c>
      <c r="I2584" s="4">
        <v>367114</v>
      </c>
      <c r="J2584" s="4">
        <v>163589.99999999997</v>
      </c>
    </row>
    <row r="2585" spans="2:10" x14ac:dyDescent="0.3">
      <c r="B2585" s="7">
        <v>44621</v>
      </c>
      <c r="C2585" s="3">
        <f t="shared" si="80"/>
        <v>2022</v>
      </c>
      <c r="D2585" s="3">
        <f t="shared" si="81"/>
        <v>202203</v>
      </c>
      <c r="E2585" s="5" t="s">
        <v>4</v>
      </c>
      <c r="F2585" s="5" t="s">
        <v>11</v>
      </c>
      <c r="G2585" s="5" t="s">
        <v>37</v>
      </c>
      <c r="H2585">
        <v>33</v>
      </c>
      <c r="I2585" s="4">
        <v>260733</v>
      </c>
      <c r="J2585" s="4">
        <v>131669.99999999997</v>
      </c>
    </row>
    <row r="2586" spans="2:10" x14ac:dyDescent="0.3">
      <c r="B2586" s="7">
        <v>44652</v>
      </c>
      <c r="C2586" s="3">
        <f t="shared" si="80"/>
        <v>2022</v>
      </c>
      <c r="D2586" s="3">
        <f t="shared" si="81"/>
        <v>202204</v>
      </c>
      <c r="E2586" s="5" t="s">
        <v>4</v>
      </c>
      <c r="F2586" s="5" t="s">
        <v>11</v>
      </c>
      <c r="G2586" s="5" t="s">
        <v>37</v>
      </c>
      <c r="H2586">
        <v>62</v>
      </c>
      <c r="I2586" s="4">
        <v>567052</v>
      </c>
      <c r="J2586" s="4">
        <v>247379.99999999997</v>
      </c>
    </row>
    <row r="2587" spans="2:10" x14ac:dyDescent="0.3">
      <c r="B2587" s="7">
        <v>44682</v>
      </c>
      <c r="C2587" s="3">
        <f t="shared" si="80"/>
        <v>2022</v>
      </c>
      <c r="D2587" s="3">
        <f t="shared" si="81"/>
        <v>202205</v>
      </c>
      <c r="E2587" s="5" t="s">
        <v>4</v>
      </c>
      <c r="F2587" s="5" t="s">
        <v>11</v>
      </c>
      <c r="G2587" s="5" t="s">
        <v>37</v>
      </c>
      <c r="H2587">
        <v>78</v>
      </c>
      <c r="I2587" s="4">
        <v>734058</v>
      </c>
      <c r="J2587" s="4">
        <v>311219.99999999994</v>
      </c>
    </row>
    <row r="2588" spans="2:10" x14ac:dyDescent="0.3">
      <c r="B2588" s="7">
        <v>44713</v>
      </c>
      <c r="C2588" s="3">
        <f t="shared" si="80"/>
        <v>2022</v>
      </c>
      <c r="D2588" s="3">
        <f t="shared" si="81"/>
        <v>202206</v>
      </c>
      <c r="E2588" s="5" t="s">
        <v>4</v>
      </c>
      <c r="F2588" s="5" t="s">
        <v>11</v>
      </c>
      <c r="G2588" s="5" t="s">
        <v>37</v>
      </c>
      <c r="H2588">
        <v>74</v>
      </c>
      <c r="I2588" s="4">
        <v>621008</v>
      </c>
      <c r="J2588" s="4">
        <v>295259.99999999994</v>
      </c>
    </row>
    <row r="2589" spans="2:10" x14ac:dyDescent="0.3">
      <c r="B2589" s="7">
        <v>44743</v>
      </c>
      <c r="C2589" s="3">
        <f t="shared" si="80"/>
        <v>2022</v>
      </c>
      <c r="D2589" s="3">
        <f t="shared" si="81"/>
        <v>202207</v>
      </c>
      <c r="E2589" s="5" t="s">
        <v>4</v>
      </c>
      <c r="F2589" s="5" t="s">
        <v>11</v>
      </c>
      <c r="G2589" s="5" t="s">
        <v>37</v>
      </c>
      <c r="H2589">
        <v>78</v>
      </c>
      <c r="I2589" s="4">
        <v>584220</v>
      </c>
      <c r="J2589" s="4">
        <v>311219.99999999994</v>
      </c>
    </row>
    <row r="2590" spans="2:10" x14ac:dyDescent="0.3">
      <c r="B2590" s="7">
        <v>44774</v>
      </c>
      <c r="C2590" s="3">
        <f t="shared" si="80"/>
        <v>2022</v>
      </c>
      <c r="D2590" s="3">
        <f t="shared" si="81"/>
        <v>202208</v>
      </c>
      <c r="E2590" s="5" t="s">
        <v>4</v>
      </c>
      <c r="F2590" s="5" t="s">
        <v>11</v>
      </c>
      <c r="G2590" s="5" t="s">
        <v>37</v>
      </c>
      <c r="H2590">
        <v>66</v>
      </c>
      <c r="I2590" s="4">
        <v>468996</v>
      </c>
      <c r="J2590" s="4">
        <v>263339.99999999994</v>
      </c>
    </row>
    <row r="2591" spans="2:10" x14ac:dyDescent="0.3">
      <c r="B2591" s="7">
        <v>44805</v>
      </c>
      <c r="C2591" s="3">
        <f t="shared" si="80"/>
        <v>2022</v>
      </c>
      <c r="D2591" s="3">
        <f t="shared" si="81"/>
        <v>202209</v>
      </c>
      <c r="E2591" s="5" t="s">
        <v>4</v>
      </c>
      <c r="F2591" s="5" t="s">
        <v>11</v>
      </c>
      <c r="G2591" s="5" t="s">
        <v>37</v>
      </c>
      <c r="H2591">
        <v>70</v>
      </c>
      <c r="I2591" s="4">
        <v>506800</v>
      </c>
      <c r="J2591" s="4">
        <v>279299.99999999994</v>
      </c>
    </row>
    <row r="2592" spans="2:10" x14ac:dyDescent="0.3">
      <c r="B2592" s="7">
        <v>44835</v>
      </c>
      <c r="C2592" s="3">
        <f t="shared" si="80"/>
        <v>2022</v>
      </c>
      <c r="D2592" s="3">
        <f t="shared" si="81"/>
        <v>202210</v>
      </c>
      <c r="E2592" s="5" t="s">
        <v>4</v>
      </c>
      <c r="F2592" s="5" t="s">
        <v>11</v>
      </c>
      <c r="G2592" s="5" t="s">
        <v>37</v>
      </c>
      <c r="H2592">
        <v>58</v>
      </c>
      <c r="I2592" s="4">
        <v>493638</v>
      </c>
      <c r="J2592" s="4">
        <v>231419.99999999997</v>
      </c>
    </row>
    <row r="2593" spans="2:10" x14ac:dyDescent="0.3">
      <c r="B2593" s="7">
        <v>44866</v>
      </c>
      <c r="C2593" s="3">
        <f t="shared" si="80"/>
        <v>2022</v>
      </c>
      <c r="D2593" s="3">
        <f t="shared" si="81"/>
        <v>202211</v>
      </c>
      <c r="E2593" s="5" t="s">
        <v>4</v>
      </c>
      <c r="F2593" s="5" t="s">
        <v>11</v>
      </c>
      <c r="G2593" s="5" t="s">
        <v>37</v>
      </c>
      <c r="H2593">
        <v>41</v>
      </c>
      <c r="I2593" s="4">
        <v>345876</v>
      </c>
      <c r="J2593" s="4">
        <v>163589.99999999997</v>
      </c>
    </row>
    <row r="2594" spans="2:10" x14ac:dyDescent="0.3">
      <c r="B2594" s="7">
        <v>44896</v>
      </c>
      <c r="C2594" s="3">
        <f t="shared" si="80"/>
        <v>2022</v>
      </c>
      <c r="D2594" s="3">
        <f t="shared" si="81"/>
        <v>202212</v>
      </c>
      <c r="E2594" s="5" t="s">
        <v>4</v>
      </c>
      <c r="F2594" s="5" t="s">
        <v>11</v>
      </c>
      <c r="G2594" s="5" t="s">
        <v>37</v>
      </c>
      <c r="H2594">
        <v>49</v>
      </c>
      <c r="I2594" s="4">
        <v>363041</v>
      </c>
      <c r="J2594" s="4">
        <v>195509.99999999997</v>
      </c>
    </row>
    <row r="2595" spans="2:10" x14ac:dyDescent="0.3">
      <c r="B2595" s="7">
        <v>44197</v>
      </c>
      <c r="C2595" s="3">
        <f t="shared" si="80"/>
        <v>2021</v>
      </c>
      <c r="D2595" s="3">
        <f t="shared" si="81"/>
        <v>202101</v>
      </c>
      <c r="E2595" s="5" t="s">
        <v>4</v>
      </c>
      <c r="F2595" s="5" t="s">
        <v>11</v>
      </c>
      <c r="G2595" s="5" t="s">
        <v>38</v>
      </c>
      <c r="H2595">
        <v>52</v>
      </c>
      <c r="I2595" s="4">
        <v>517972</v>
      </c>
      <c r="J2595" s="4">
        <v>216580</v>
      </c>
    </row>
    <row r="2596" spans="2:10" x14ac:dyDescent="0.3">
      <c r="B2596" s="7">
        <v>44228</v>
      </c>
      <c r="C2596" s="3">
        <f t="shared" si="80"/>
        <v>2021</v>
      </c>
      <c r="D2596" s="3">
        <f t="shared" si="81"/>
        <v>202102</v>
      </c>
      <c r="E2596" s="5" t="s">
        <v>4</v>
      </c>
      <c r="F2596" s="5" t="s">
        <v>11</v>
      </c>
      <c r="G2596" s="5" t="s">
        <v>38</v>
      </c>
      <c r="H2596">
        <v>33</v>
      </c>
      <c r="I2596" s="4">
        <v>328680</v>
      </c>
      <c r="J2596" s="4">
        <v>137445</v>
      </c>
    </row>
    <row r="2597" spans="2:10" x14ac:dyDescent="0.3">
      <c r="B2597" s="7">
        <v>44256</v>
      </c>
      <c r="C2597" s="3">
        <f t="shared" si="80"/>
        <v>2021</v>
      </c>
      <c r="D2597" s="3">
        <f t="shared" si="81"/>
        <v>202103</v>
      </c>
      <c r="E2597" s="5" t="s">
        <v>4</v>
      </c>
      <c r="F2597" s="5" t="s">
        <v>11</v>
      </c>
      <c r="G2597" s="5" t="s">
        <v>38</v>
      </c>
      <c r="H2597">
        <v>26</v>
      </c>
      <c r="I2597" s="4">
        <v>231114</v>
      </c>
      <c r="J2597" s="4">
        <v>108290</v>
      </c>
    </row>
    <row r="2598" spans="2:10" x14ac:dyDescent="0.3">
      <c r="B2598" s="7">
        <v>44287</v>
      </c>
      <c r="C2598" s="3">
        <f t="shared" si="80"/>
        <v>2021</v>
      </c>
      <c r="D2598" s="3">
        <f t="shared" si="81"/>
        <v>202104</v>
      </c>
      <c r="E2598" s="5" t="s">
        <v>4</v>
      </c>
      <c r="F2598" s="5" t="s">
        <v>11</v>
      </c>
      <c r="G2598" s="5" t="s">
        <v>38</v>
      </c>
      <c r="H2598">
        <v>49</v>
      </c>
      <c r="I2598" s="4">
        <v>536599</v>
      </c>
      <c r="J2598" s="4">
        <v>204085</v>
      </c>
    </row>
    <row r="2599" spans="2:10" x14ac:dyDescent="0.3">
      <c r="B2599" s="7">
        <v>44317</v>
      </c>
      <c r="C2599" s="3">
        <f t="shared" si="80"/>
        <v>2021</v>
      </c>
      <c r="D2599" s="3">
        <f t="shared" si="81"/>
        <v>202105</v>
      </c>
      <c r="E2599" s="5" t="s">
        <v>4</v>
      </c>
      <c r="F2599" s="5" t="s">
        <v>11</v>
      </c>
      <c r="G2599" s="5" t="s">
        <v>38</v>
      </c>
      <c r="H2599">
        <v>62</v>
      </c>
      <c r="I2599" s="4">
        <v>661478</v>
      </c>
      <c r="J2599" s="4">
        <v>258230</v>
      </c>
    </row>
    <row r="2600" spans="2:10" x14ac:dyDescent="0.3">
      <c r="B2600" s="7">
        <v>44348</v>
      </c>
      <c r="C2600" s="3">
        <f t="shared" si="80"/>
        <v>2021</v>
      </c>
      <c r="D2600" s="3">
        <f t="shared" si="81"/>
        <v>202106</v>
      </c>
      <c r="E2600" s="5" t="s">
        <v>4</v>
      </c>
      <c r="F2600" s="5" t="s">
        <v>11</v>
      </c>
      <c r="G2600" s="5" t="s">
        <v>38</v>
      </c>
      <c r="H2600">
        <v>59</v>
      </c>
      <c r="I2600" s="4">
        <v>575663</v>
      </c>
      <c r="J2600" s="4">
        <v>245735</v>
      </c>
    </row>
    <row r="2601" spans="2:10" x14ac:dyDescent="0.3">
      <c r="B2601" s="7">
        <v>44378</v>
      </c>
      <c r="C2601" s="3">
        <f t="shared" si="80"/>
        <v>2021</v>
      </c>
      <c r="D2601" s="3">
        <f t="shared" si="81"/>
        <v>202107</v>
      </c>
      <c r="E2601" s="5" t="s">
        <v>4</v>
      </c>
      <c r="F2601" s="5" t="s">
        <v>11</v>
      </c>
      <c r="G2601" s="5" t="s">
        <v>38</v>
      </c>
      <c r="H2601">
        <v>62</v>
      </c>
      <c r="I2601" s="4">
        <v>504618</v>
      </c>
      <c r="J2601" s="4">
        <v>258230</v>
      </c>
    </row>
    <row r="2602" spans="2:10" x14ac:dyDescent="0.3">
      <c r="B2602" s="7">
        <v>44409</v>
      </c>
      <c r="C2602" s="3">
        <f t="shared" si="80"/>
        <v>2021</v>
      </c>
      <c r="D2602" s="3">
        <f t="shared" si="81"/>
        <v>202108</v>
      </c>
      <c r="E2602" s="5" t="s">
        <v>4</v>
      </c>
      <c r="F2602" s="5" t="s">
        <v>11</v>
      </c>
      <c r="G2602" s="5" t="s">
        <v>38</v>
      </c>
      <c r="H2602">
        <v>52</v>
      </c>
      <c r="I2602" s="4">
        <v>497380</v>
      </c>
      <c r="J2602" s="4">
        <v>216580</v>
      </c>
    </row>
    <row r="2603" spans="2:10" x14ac:dyDescent="0.3">
      <c r="B2603" s="7">
        <v>44440</v>
      </c>
      <c r="C2603" s="3">
        <f t="shared" si="80"/>
        <v>2021</v>
      </c>
      <c r="D2603" s="3">
        <f t="shared" si="81"/>
        <v>202109</v>
      </c>
      <c r="E2603" s="5" t="s">
        <v>4</v>
      </c>
      <c r="F2603" s="5" t="s">
        <v>11</v>
      </c>
      <c r="G2603" s="5" t="s">
        <v>38</v>
      </c>
      <c r="H2603">
        <v>56</v>
      </c>
      <c r="I2603" s="4">
        <v>488320</v>
      </c>
      <c r="J2603" s="4">
        <v>233240</v>
      </c>
    </row>
    <row r="2604" spans="2:10" x14ac:dyDescent="0.3">
      <c r="B2604" s="7">
        <v>44470</v>
      </c>
      <c r="C2604" s="3">
        <f t="shared" si="80"/>
        <v>2021</v>
      </c>
      <c r="D2604" s="3">
        <f t="shared" si="81"/>
        <v>202110</v>
      </c>
      <c r="E2604" s="5" t="s">
        <v>4</v>
      </c>
      <c r="F2604" s="5" t="s">
        <v>11</v>
      </c>
      <c r="G2604" s="5" t="s">
        <v>38</v>
      </c>
      <c r="H2604">
        <v>46</v>
      </c>
      <c r="I2604" s="4">
        <v>446384</v>
      </c>
      <c r="J2604" s="4">
        <v>191590</v>
      </c>
    </row>
    <row r="2605" spans="2:10" x14ac:dyDescent="0.3">
      <c r="B2605" s="7">
        <v>44501</v>
      </c>
      <c r="C2605" s="3">
        <f t="shared" si="80"/>
        <v>2021</v>
      </c>
      <c r="D2605" s="3">
        <f t="shared" si="81"/>
        <v>202111</v>
      </c>
      <c r="E2605" s="5" t="s">
        <v>4</v>
      </c>
      <c r="F2605" s="5" t="s">
        <v>11</v>
      </c>
      <c r="G2605" s="5" t="s">
        <v>38</v>
      </c>
      <c r="H2605">
        <v>33</v>
      </c>
      <c r="I2605" s="4">
        <v>334125</v>
      </c>
      <c r="J2605" s="4">
        <v>137445</v>
      </c>
    </row>
    <row r="2606" spans="2:10" x14ac:dyDescent="0.3">
      <c r="B2606" s="7">
        <v>44531</v>
      </c>
      <c r="C2606" s="3">
        <f t="shared" si="80"/>
        <v>2021</v>
      </c>
      <c r="D2606" s="3">
        <f t="shared" si="81"/>
        <v>202112</v>
      </c>
      <c r="E2606" s="5" t="s">
        <v>4</v>
      </c>
      <c r="F2606" s="5" t="s">
        <v>11</v>
      </c>
      <c r="G2606" s="5" t="s">
        <v>38</v>
      </c>
      <c r="H2606">
        <v>39</v>
      </c>
      <c r="I2606" s="4">
        <v>378495</v>
      </c>
      <c r="J2606" s="4">
        <v>162435</v>
      </c>
    </row>
    <row r="2607" spans="2:10" x14ac:dyDescent="0.3">
      <c r="B2607" s="7">
        <v>44562</v>
      </c>
      <c r="C2607" s="3">
        <f t="shared" si="80"/>
        <v>2022</v>
      </c>
      <c r="D2607" s="3">
        <f t="shared" si="81"/>
        <v>202201</v>
      </c>
      <c r="E2607" s="5" t="s">
        <v>4</v>
      </c>
      <c r="F2607" s="5" t="s">
        <v>11</v>
      </c>
      <c r="G2607" s="5" t="s">
        <v>38</v>
      </c>
      <c r="H2607">
        <v>58</v>
      </c>
      <c r="I2607" s="4">
        <v>556220</v>
      </c>
      <c r="J2607" s="4">
        <v>241570</v>
      </c>
    </row>
    <row r="2608" spans="2:10" x14ac:dyDescent="0.3">
      <c r="B2608" s="7">
        <v>44593</v>
      </c>
      <c r="C2608" s="3">
        <f t="shared" si="80"/>
        <v>2022</v>
      </c>
      <c r="D2608" s="3">
        <f t="shared" si="81"/>
        <v>202202</v>
      </c>
      <c r="E2608" s="5" t="s">
        <v>4</v>
      </c>
      <c r="F2608" s="5" t="s">
        <v>11</v>
      </c>
      <c r="G2608" s="5" t="s">
        <v>38</v>
      </c>
      <c r="H2608">
        <v>36</v>
      </c>
      <c r="I2608" s="4">
        <v>371268</v>
      </c>
      <c r="J2608" s="4">
        <v>149940</v>
      </c>
    </row>
    <row r="2609" spans="2:10" x14ac:dyDescent="0.3">
      <c r="B2609" s="7">
        <v>44621</v>
      </c>
      <c r="C2609" s="3">
        <f t="shared" si="80"/>
        <v>2022</v>
      </c>
      <c r="D2609" s="3">
        <f t="shared" si="81"/>
        <v>202203</v>
      </c>
      <c r="E2609" s="5" t="s">
        <v>4</v>
      </c>
      <c r="F2609" s="5" t="s">
        <v>11</v>
      </c>
      <c r="G2609" s="5" t="s">
        <v>38</v>
      </c>
      <c r="H2609">
        <v>29</v>
      </c>
      <c r="I2609" s="4">
        <v>246906</v>
      </c>
      <c r="J2609" s="4">
        <v>120785</v>
      </c>
    </row>
    <row r="2610" spans="2:10" x14ac:dyDescent="0.3">
      <c r="B2610" s="7">
        <v>44652</v>
      </c>
      <c r="C2610" s="3">
        <f t="shared" si="80"/>
        <v>2022</v>
      </c>
      <c r="D2610" s="3">
        <f t="shared" si="81"/>
        <v>202204</v>
      </c>
      <c r="E2610" s="5" t="s">
        <v>4</v>
      </c>
      <c r="F2610" s="5" t="s">
        <v>11</v>
      </c>
      <c r="G2610" s="5" t="s">
        <v>38</v>
      </c>
      <c r="H2610">
        <v>54</v>
      </c>
      <c r="I2610" s="4">
        <v>576450</v>
      </c>
      <c r="J2610" s="4">
        <v>224910</v>
      </c>
    </row>
    <row r="2611" spans="2:10" x14ac:dyDescent="0.3">
      <c r="B2611" s="7">
        <v>44682</v>
      </c>
      <c r="C2611" s="3">
        <f t="shared" si="80"/>
        <v>2022</v>
      </c>
      <c r="D2611" s="3">
        <f t="shared" si="81"/>
        <v>202205</v>
      </c>
      <c r="E2611" s="5" t="s">
        <v>4</v>
      </c>
      <c r="F2611" s="5" t="s">
        <v>11</v>
      </c>
      <c r="G2611" s="5" t="s">
        <v>38</v>
      </c>
      <c r="H2611">
        <v>68</v>
      </c>
      <c r="I2611" s="4">
        <v>697136</v>
      </c>
      <c r="J2611" s="4">
        <v>283220</v>
      </c>
    </row>
    <row r="2612" spans="2:10" x14ac:dyDescent="0.3">
      <c r="B2612" s="7">
        <v>44713</v>
      </c>
      <c r="C2612" s="3">
        <f t="shared" si="80"/>
        <v>2022</v>
      </c>
      <c r="D2612" s="3">
        <f t="shared" si="81"/>
        <v>202206</v>
      </c>
      <c r="E2612" s="5" t="s">
        <v>4</v>
      </c>
      <c r="F2612" s="5" t="s">
        <v>11</v>
      </c>
      <c r="G2612" s="5" t="s">
        <v>38</v>
      </c>
      <c r="H2612">
        <v>65</v>
      </c>
      <c r="I2612" s="4">
        <v>604695</v>
      </c>
      <c r="J2612" s="4">
        <v>270725</v>
      </c>
    </row>
    <row r="2613" spans="2:10" x14ac:dyDescent="0.3">
      <c r="B2613" s="7">
        <v>44743</v>
      </c>
      <c r="C2613" s="3">
        <f t="shared" si="80"/>
        <v>2022</v>
      </c>
      <c r="D2613" s="3">
        <f t="shared" si="81"/>
        <v>202207</v>
      </c>
      <c r="E2613" s="5" t="s">
        <v>4</v>
      </c>
      <c r="F2613" s="5" t="s">
        <v>11</v>
      </c>
      <c r="G2613" s="5" t="s">
        <v>38</v>
      </c>
      <c r="H2613">
        <v>68</v>
      </c>
      <c r="I2613" s="4">
        <v>583848</v>
      </c>
      <c r="J2613" s="4">
        <v>283220</v>
      </c>
    </row>
    <row r="2614" spans="2:10" x14ac:dyDescent="0.3">
      <c r="B2614" s="7">
        <v>44774</v>
      </c>
      <c r="C2614" s="3">
        <f t="shared" si="80"/>
        <v>2022</v>
      </c>
      <c r="D2614" s="3">
        <f t="shared" si="81"/>
        <v>202208</v>
      </c>
      <c r="E2614" s="5" t="s">
        <v>4</v>
      </c>
      <c r="F2614" s="5" t="s">
        <v>11</v>
      </c>
      <c r="G2614" s="5" t="s">
        <v>38</v>
      </c>
      <c r="H2614">
        <v>58</v>
      </c>
      <c r="I2614" s="4">
        <v>552682</v>
      </c>
      <c r="J2614" s="4">
        <v>241570</v>
      </c>
    </row>
    <row r="2615" spans="2:10" x14ac:dyDescent="0.3">
      <c r="B2615" s="7">
        <v>44805</v>
      </c>
      <c r="C2615" s="3">
        <f t="shared" si="80"/>
        <v>2022</v>
      </c>
      <c r="D2615" s="3">
        <f t="shared" si="81"/>
        <v>202209</v>
      </c>
      <c r="E2615" s="5" t="s">
        <v>4</v>
      </c>
      <c r="F2615" s="5" t="s">
        <v>11</v>
      </c>
      <c r="G2615" s="5" t="s">
        <v>38</v>
      </c>
      <c r="H2615">
        <v>61</v>
      </c>
      <c r="I2615" s="4">
        <v>602375</v>
      </c>
      <c r="J2615" s="4">
        <v>254065</v>
      </c>
    </row>
    <row r="2616" spans="2:10" x14ac:dyDescent="0.3">
      <c r="B2616" s="7">
        <v>44835</v>
      </c>
      <c r="C2616" s="3">
        <f t="shared" si="80"/>
        <v>2022</v>
      </c>
      <c r="D2616" s="3">
        <f t="shared" si="81"/>
        <v>202210</v>
      </c>
      <c r="E2616" s="5" t="s">
        <v>4</v>
      </c>
      <c r="F2616" s="5" t="s">
        <v>11</v>
      </c>
      <c r="G2616" s="5" t="s">
        <v>38</v>
      </c>
      <c r="H2616">
        <v>50</v>
      </c>
      <c r="I2616" s="4">
        <v>506750</v>
      </c>
      <c r="J2616" s="4">
        <v>208250</v>
      </c>
    </row>
    <row r="2617" spans="2:10" x14ac:dyDescent="0.3">
      <c r="B2617" s="7">
        <v>44866</v>
      </c>
      <c r="C2617" s="3">
        <f t="shared" si="80"/>
        <v>2022</v>
      </c>
      <c r="D2617" s="3">
        <f t="shared" si="81"/>
        <v>202211</v>
      </c>
      <c r="E2617" s="5" t="s">
        <v>4</v>
      </c>
      <c r="F2617" s="5" t="s">
        <v>11</v>
      </c>
      <c r="G2617" s="5" t="s">
        <v>38</v>
      </c>
      <c r="H2617">
        <v>36</v>
      </c>
      <c r="I2617" s="4">
        <v>358380</v>
      </c>
      <c r="J2617" s="4">
        <v>149940</v>
      </c>
    </row>
    <row r="2618" spans="2:10" x14ac:dyDescent="0.3">
      <c r="B2618" s="7">
        <v>44896</v>
      </c>
      <c r="C2618" s="3">
        <f t="shared" si="80"/>
        <v>2022</v>
      </c>
      <c r="D2618" s="3">
        <f t="shared" si="81"/>
        <v>202212</v>
      </c>
      <c r="E2618" s="5" t="s">
        <v>4</v>
      </c>
      <c r="F2618" s="5" t="s">
        <v>11</v>
      </c>
      <c r="G2618" s="5" t="s">
        <v>38</v>
      </c>
      <c r="H2618">
        <v>43</v>
      </c>
      <c r="I2618" s="4">
        <v>387258</v>
      </c>
      <c r="J2618" s="4">
        <v>179095</v>
      </c>
    </row>
    <row r="2619" spans="2:10" x14ac:dyDescent="0.3">
      <c r="B2619" s="7">
        <v>44197</v>
      </c>
      <c r="C2619" s="3">
        <f t="shared" si="80"/>
        <v>2021</v>
      </c>
      <c r="D2619" s="3">
        <f t="shared" si="81"/>
        <v>202101</v>
      </c>
      <c r="E2619" s="5" t="s">
        <v>4</v>
      </c>
      <c r="F2619" s="5" t="s">
        <v>11</v>
      </c>
      <c r="G2619" s="5" t="s">
        <v>39</v>
      </c>
      <c r="H2619">
        <v>52</v>
      </c>
      <c r="I2619" s="4">
        <v>378872</v>
      </c>
      <c r="J2619" s="4">
        <v>159120</v>
      </c>
    </row>
    <row r="2620" spans="2:10" x14ac:dyDescent="0.3">
      <c r="B2620" s="7">
        <v>44228</v>
      </c>
      <c r="C2620" s="3">
        <f t="shared" si="80"/>
        <v>2021</v>
      </c>
      <c r="D2620" s="3">
        <f t="shared" si="81"/>
        <v>202102</v>
      </c>
      <c r="E2620" s="5" t="s">
        <v>4</v>
      </c>
      <c r="F2620" s="5" t="s">
        <v>11</v>
      </c>
      <c r="G2620" s="5" t="s">
        <v>39</v>
      </c>
      <c r="H2620">
        <v>33</v>
      </c>
      <c r="I2620" s="4">
        <v>242385</v>
      </c>
      <c r="J2620" s="4">
        <v>100980</v>
      </c>
    </row>
    <row r="2621" spans="2:10" x14ac:dyDescent="0.3">
      <c r="B2621" s="7">
        <v>44256</v>
      </c>
      <c r="C2621" s="3">
        <f t="shared" si="80"/>
        <v>2021</v>
      </c>
      <c r="D2621" s="3">
        <f t="shared" si="81"/>
        <v>202103</v>
      </c>
      <c r="E2621" s="5" t="s">
        <v>4</v>
      </c>
      <c r="F2621" s="5" t="s">
        <v>11</v>
      </c>
      <c r="G2621" s="5" t="s">
        <v>39</v>
      </c>
      <c r="H2621">
        <v>26</v>
      </c>
      <c r="I2621" s="4">
        <v>173992</v>
      </c>
      <c r="J2621" s="4">
        <v>79560</v>
      </c>
    </row>
    <row r="2622" spans="2:10" x14ac:dyDescent="0.3">
      <c r="B2622" s="7">
        <v>44287</v>
      </c>
      <c r="C2622" s="3">
        <f t="shared" si="80"/>
        <v>2021</v>
      </c>
      <c r="D2622" s="3">
        <f t="shared" si="81"/>
        <v>202104</v>
      </c>
      <c r="E2622" s="5" t="s">
        <v>4</v>
      </c>
      <c r="F2622" s="5" t="s">
        <v>11</v>
      </c>
      <c r="G2622" s="5" t="s">
        <v>39</v>
      </c>
      <c r="H2622">
        <v>49</v>
      </c>
      <c r="I2622" s="4">
        <v>399497</v>
      </c>
      <c r="J2622" s="4">
        <v>149940</v>
      </c>
    </row>
    <row r="2623" spans="2:10" x14ac:dyDescent="0.3">
      <c r="B2623" s="7">
        <v>44317</v>
      </c>
      <c r="C2623" s="3">
        <f t="shared" si="80"/>
        <v>2021</v>
      </c>
      <c r="D2623" s="3">
        <f t="shared" si="81"/>
        <v>202105</v>
      </c>
      <c r="E2623" s="5" t="s">
        <v>4</v>
      </c>
      <c r="F2623" s="5" t="s">
        <v>11</v>
      </c>
      <c r="G2623" s="5" t="s">
        <v>39</v>
      </c>
      <c r="H2623">
        <v>62</v>
      </c>
      <c r="I2623" s="4">
        <v>504432</v>
      </c>
      <c r="J2623" s="4">
        <v>189720</v>
      </c>
    </row>
    <row r="2624" spans="2:10" x14ac:dyDescent="0.3">
      <c r="B2624" s="7">
        <v>44348</v>
      </c>
      <c r="C2624" s="3">
        <f t="shared" si="80"/>
        <v>2021</v>
      </c>
      <c r="D2624" s="3">
        <f t="shared" si="81"/>
        <v>202106</v>
      </c>
      <c r="E2624" s="5" t="s">
        <v>4</v>
      </c>
      <c r="F2624" s="5" t="s">
        <v>11</v>
      </c>
      <c r="G2624" s="5" t="s">
        <v>39</v>
      </c>
      <c r="H2624">
        <v>59</v>
      </c>
      <c r="I2624" s="4">
        <v>455480</v>
      </c>
      <c r="J2624" s="4">
        <v>180540</v>
      </c>
    </row>
    <row r="2625" spans="2:10" x14ac:dyDescent="0.3">
      <c r="B2625" s="7">
        <v>44378</v>
      </c>
      <c r="C2625" s="3">
        <f t="shared" si="80"/>
        <v>2021</v>
      </c>
      <c r="D2625" s="3">
        <f t="shared" si="81"/>
        <v>202107</v>
      </c>
      <c r="E2625" s="5" t="s">
        <v>4</v>
      </c>
      <c r="F2625" s="5" t="s">
        <v>11</v>
      </c>
      <c r="G2625" s="5" t="s">
        <v>39</v>
      </c>
      <c r="H2625">
        <v>62</v>
      </c>
      <c r="I2625" s="4">
        <v>388182</v>
      </c>
      <c r="J2625" s="4">
        <v>189720</v>
      </c>
    </row>
    <row r="2626" spans="2:10" x14ac:dyDescent="0.3">
      <c r="B2626" s="7">
        <v>44409</v>
      </c>
      <c r="C2626" s="3">
        <f t="shared" si="80"/>
        <v>2021</v>
      </c>
      <c r="D2626" s="3">
        <f t="shared" si="81"/>
        <v>202108</v>
      </c>
      <c r="E2626" s="5" t="s">
        <v>4</v>
      </c>
      <c r="F2626" s="5" t="s">
        <v>11</v>
      </c>
      <c r="G2626" s="5" t="s">
        <v>39</v>
      </c>
      <c r="H2626">
        <v>52</v>
      </c>
      <c r="I2626" s="4">
        <v>321620</v>
      </c>
      <c r="J2626" s="4">
        <v>159120</v>
      </c>
    </row>
    <row r="2627" spans="2:10" x14ac:dyDescent="0.3">
      <c r="B2627" s="7">
        <v>44440</v>
      </c>
      <c r="C2627" s="3">
        <f t="shared" ref="C2627:C2690" si="82">YEAR(B2627)</f>
        <v>2021</v>
      </c>
      <c r="D2627" s="3">
        <f t="shared" ref="D2627:D2690" si="83">VALUE(TEXT(B2627,"ГГГГММ"))</f>
        <v>202109</v>
      </c>
      <c r="E2627" s="5" t="s">
        <v>4</v>
      </c>
      <c r="F2627" s="5" t="s">
        <v>11</v>
      </c>
      <c r="G2627" s="5" t="s">
        <v>39</v>
      </c>
      <c r="H2627">
        <v>56</v>
      </c>
      <c r="I2627" s="4">
        <v>369768</v>
      </c>
      <c r="J2627" s="4">
        <v>171360</v>
      </c>
    </row>
    <row r="2628" spans="2:10" x14ac:dyDescent="0.3">
      <c r="B2628" s="7">
        <v>44470</v>
      </c>
      <c r="C2628" s="3">
        <f t="shared" si="82"/>
        <v>2021</v>
      </c>
      <c r="D2628" s="3">
        <f t="shared" si="83"/>
        <v>202110</v>
      </c>
      <c r="E2628" s="5" t="s">
        <v>4</v>
      </c>
      <c r="F2628" s="5" t="s">
        <v>11</v>
      </c>
      <c r="G2628" s="5" t="s">
        <v>39</v>
      </c>
      <c r="H2628">
        <v>46</v>
      </c>
      <c r="I2628" s="4">
        <v>370852</v>
      </c>
      <c r="J2628" s="4">
        <v>140760</v>
      </c>
    </row>
    <row r="2629" spans="2:10" x14ac:dyDescent="0.3">
      <c r="B2629" s="7">
        <v>44501</v>
      </c>
      <c r="C2629" s="3">
        <f t="shared" si="82"/>
        <v>2021</v>
      </c>
      <c r="D2629" s="3">
        <f t="shared" si="83"/>
        <v>202111</v>
      </c>
      <c r="E2629" s="5" t="s">
        <v>4</v>
      </c>
      <c r="F2629" s="5" t="s">
        <v>11</v>
      </c>
      <c r="G2629" s="5" t="s">
        <v>39</v>
      </c>
      <c r="H2629">
        <v>33</v>
      </c>
      <c r="I2629" s="4">
        <v>217239</v>
      </c>
      <c r="J2629" s="4">
        <v>100980</v>
      </c>
    </row>
    <row r="2630" spans="2:10" x14ac:dyDescent="0.3">
      <c r="B2630" s="7">
        <v>44531</v>
      </c>
      <c r="C2630" s="3">
        <f t="shared" si="82"/>
        <v>2021</v>
      </c>
      <c r="D2630" s="3">
        <f t="shared" si="83"/>
        <v>202112</v>
      </c>
      <c r="E2630" s="5" t="s">
        <v>4</v>
      </c>
      <c r="F2630" s="5" t="s">
        <v>11</v>
      </c>
      <c r="G2630" s="5" t="s">
        <v>39</v>
      </c>
      <c r="H2630">
        <v>39</v>
      </c>
      <c r="I2630" s="4">
        <v>265980</v>
      </c>
      <c r="J2630" s="4">
        <v>119340</v>
      </c>
    </row>
    <row r="2631" spans="2:10" x14ac:dyDescent="0.3">
      <c r="B2631" s="7">
        <v>44562</v>
      </c>
      <c r="C2631" s="3">
        <f t="shared" si="82"/>
        <v>2022</v>
      </c>
      <c r="D2631" s="3">
        <f t="shared" si="83"/>
        <v>202201</v>
      </c>
      <c r="E2631" s="5" t="s">
        <v>4</v>
      </c>
      <c r="F2631" s="5" t="s">
        <v>11</v>
      </c>
      <c r="G2631" s="5" t="s">
        <v>39</v>
      </c>
      <c r="H2631">
        <v>58</v>
      </c>
      <c r="I2631" s="4">
        <v>417542</v>
      </c>
      <c r="J2631" s="4">
        <v>177480</v>
      </c>
    </row>
    <row r="2632" spans="2:10" x14ac:dyDescent="0.3">
      <c r="B2632" s="7">
        <v>44593</v>
      </c>
      <c r="C2632" s="3">
        <f t="shared" si="82"/>
        <v>2022</v>
      </c>
      <c r="D2632" s="3">
        <f t="shared" si="83"/>
        <v>202202</v>
      </c>
      <c r="E2632" s="5" t="s">
        <v>4</v>
      </c>
      <c r="F2632" s="5" t="s">
        <v>11</v>
      </c>
      <c r="G2632" s="5" t="s">
        <v>39</v>
      </c>
      <c r="H2632">
        <v>36</v>
      </c>
      <c r="I2632" s="4">
        <v>258444</v>
      </c>
      <c r="J2632" s="4">
        <v>110160</v>
      </c>
    </row>
    <row r="2633" spans="2:10" x14ac:dyDescent="0.3">
      <c r="B2633" s="7">
        <v>44621</v>
      </c>
      <c r="C2633" s="3">
        <f t="shared" si="82"/>
        <v>2022</v>
      </c>
      <c r="D2633" s="3">
        <f t="shared" si="83"/>
        <v>202203</v>
      </c>
      <c r="E2633" s="5" t="s">
        <v>4</v>
      </c>
      <c r="F2633" s="5" t="s">
        <v>11</v>
      </c>
      <c r="G2633" s="5" t="s">
        <v>39</v>
      </c>
      <c r="H2633">
        <v>29</v>
      </c>
      <c r="I2633" s="4">
        <v>188790</v>
      </c>
      <c r="J2633" s="4">
        <v>88740</v>
      </c>
    </row>
    <row r="2634" spans="2:10" x14ac:dyDescent="0.3">
      <c r="B2634" s="7">
        <v>44652</v>
      </c>
      <c r="C2634" s="3">
        <f t="shared" si="82"/>
        <v>2022</v>
      </c>
      <c r="D2634" s="3">
        <f t="shared" si="83"/>
        <v>202204</v>
      </c>
      <c r="E2634" s="5" t="s">
        <v>4</v>
      </c>
      <c r="F2634" s="5" t="s">
        <v>11</v>
      </c>
      <c r="G2634" s="5" t="s">
        <v>39</v>
      </c>
      <c r="H2634">
        <v>54</v>
      </c>
      <c r="I2634" s="4">
        <v>409806</v>
      </c>
      <c r="J2634" s="4">
        <v>165240</v>
      </c>
    </row>
    <row r="2635" spans="2:10" x14ac:dyDescent="0.3">
      <c r="B2635" s="7">
        <v>44682</v>
      </c>
      <c r="C2635" s="3">
        <f t="shared" si="82"/>
        <v>2022</v>
      </c>
      <c r="D2635" s="3">
        <f t="shared" si="83"/>
        <v>202205</v>
      </c>
      <c r="E2635" s="5" t="s">
        <v>4</v>
      </c>
      <c r="F2635" s="5" t="s">
        <v>11</v>
      </c>
      <c r="G2635" s="5" t="s">
        <v>39</v>
      </c>
      <c r="H2635">
        <v>68</v>
      </c>
      <c r="I2635" s="4">
        <v>558688</v>
      </c>
      <c r="J2635" s="4">
        <v>208080</v>
      </c>
    </row>
    <row r="2636" spans="2:10" x14ac:dyDescent="0.3">
      <c r="B2636" s="7">
        <v>44713</v>
      </c>
      <c r="C2636" s="3">
        <f t="shared" si="82"/>
        <v>2022</v>
      </c>
      <c r="D2636" s="3">
        <f t="shared" si="83"/>
        <v>202206</v>
      </c>
      <c r="E2636" s="5" t="s">
        <v>4</v>
      </c>
      <c r="F2636" s="5" t="s">
        <v>11</v>
      </c>
      <c r="G2636" s="5" t="s">
        <v>39</v>
      </c>
      <c r="H2636">
        <v>65</v>
      </c>
      <c r="I2636" s="4">
        <v>511810</v>
      </c>
      <c r="J2636" s="4">
        <v>198900</v>
      </c>
    </row>
    <row r="2637" spans="2:10" x14ac:dyDescent="0.3">
      <c r="B2637" s="7">
        <v>44743</v>
      </c>
      <c r="C2637" s="3">
        <f t="shared" si="82"/>
        <v>2022</v>
      </c>
      <c r="D2637" s="3">
        <f t="shared" si="83"/>
        <v>202207</v>
      </c>
      <c r="E2637" s="5" t="s">
        <v>4</v>
      </c>
      <c r="F2637" s="5" t="s">
        <v>11</v>
      </c>
      <c r="G2637" s="5" t="s">
        <v>39</v>
      </c>
      <c r="H2637">
        <v>68</v>
      </c>
      <c r="I2637" s="4">
        <v>386648</v>
      </c>
      <c r="J2637" s="4">
        <v>208080</v>
      </c>
    </row>
    <row r="2638" spans="2:10" x14ac:dyDescent="0.3">
      <c r="B2638" s="7">
        <v>44774</v>
      </c>
      <c r="C2638" s="3">
        <f t="shared" si="82"/>
        <v>2022</v>
      </c>
      <c r="D2638" s="3">
        <f t="shared" si="83"/>
        <v>202208</v>
      </c>
      <c r="E2638" s="5" t="s">
        <v>4</v>
      </c>
      <c r="F2638" s="5" t="s">
        <v>11</v>
      </c>
      <c r="G2638" s="5" t="s">
        <v>39</v>
      </c>
      <c r="H2638">
        <v>58</v>
      </c>
      <c r="I2638" s="4">
        <v>380422</v>
      </c>
      <c r="J2638" s="4">
        <v>177480</v>
      </c>
    </row>
    <row r="2639" spans="2:10" x14ac:dyDescent="0.3">
      <c r="B2639" s="7">
        <v>44805</v>
      </c>
      <c r="C2639" s="3">
        <f t="shared" si="82"/>
        <v>2022</v>
      </c>
      <c r="D2639" s="3">
        <f t="shared" si="83"/>
        <v>202209</v>
      </c>
      <c r="E2639" s="5" t="s">
        <v>4</v>
      </c>
      <c r="F2639" s="5" t="s">
        <v>11</v>
      </c>
      <c r="G2639" s="5" t="s">
        <v>39</v>
      </c>
      <c r="H2639">
        <v>61</v>
      </c>
      <c r="I2639" s="4">
        <v>432063</v>
      </c>
      <c r="J2639" s="4">
        <v>186660</v>
      </c>
    </row>
    <row r="2640" spans="2:10" x14ac:dyDescent="0.3">
      <c r="B2640" s="7">
        <v>44835</v>
      </c>
      <c r="C2640" s="3">
        <f t="shared" si="82"/>
        <v>2022</v>
      </c>
      <c r="D2640" s="3">
        <f t="shared" si="83"/>
        <v>202210</v>
      </c>
      <c r="E2640" s="5" t="s">
        <v>4</v>
      </c>
      <c r="F2640" s="5" t="s">
        <v>11</v>
      </c>
      <c r="G2640" s="5" t="s">
        <v>39</v>
      </c>
      <c r="H2640">
        <v>50</v>
      </c>
      <c r="I2640" s="4">
        <v>373500</v>
      </c>
      <c r="J2640" s="4">
        <v>153000</v>
      </c>
    </row>
    <row r="2641" spans="2:10" x14ac:dyDescent="0.3">
      <c r="B2641" s="7">
        <v>44866</v>
      </c>
      <c r="C2641" s="3">
        <f t="shared" si="82"/>
        <v>2022</v>
      </c>
      <c r="D2641" s="3">
        <f t="shared" si="83"/>
        <v>202211</v>
      </c>
      <c r="E2641" s="5" t="s">
        <v>4</v>
      </c>
      <c r="F2641" s="5" t="s">
        <v>11</v>
      </c>
      <c r="G2641" s="5" t="s">
        <v>39</v>
      </c>
      <c r="H2641">
        <v>36</v>
      </c>
      <c r="I2641" s="4">
        <v>280764</v>
      </c>
      <c r="J2641" s="4">
        <v>110160</v>
      </c>
    </row>
    <row r="2642" spans="2:10" x14ac:dyDescent="0.3">
      <c r="B2642" s="7">
        <v>44896</v>
      </c>
      <c r="C2642" s="3">
        <f t="shared" si="82"/>
        <v>2022</v>
      </c>
      <c r="D2642" s="3">
        <f t="shared" si="83"/>
        <v>202212</v>
      </c>
      <c r="E2642" s="5" t="s">
        <v>4</v>
      </c>
      <c r="F2642" s="5" t="s">
        <v>11</v>
      </c>
      <c r="G2642" s="5" t="s">
        <v>39</v>
      </c>
      <c r="H2642">
        <v>43</v>
      </c>
      <c r="I2642" s="4">
        <v>296528</v>
      </c>
      <c r="J2642" s="4">
        <v>131580</v>
      </c>
    </row>
    <row r="2643" spans="2:10" x14ac:dyDescent="0.3">
      <c r="B2643" s="7">
        <v>44197</v>
      </c>
      <c r="C2643" s="3">
        <f t="shared" si="82"/>
        <v>2021</v>
      </c>
      <c r="D2643" s="3">
        <f t="shared" si="83"/>
        <v>202101</v>
      </c>
      <c r="E2643" s="5" t="s">
        <v>4</v>
      </c>
      <c r="F2643" s="5" t="s">
        <v>11</v>
      </c>
      <c r="G2643" s="5" t="s">
        <v>40</v>
      </c>
      <c r="H2643">
        <v>55</v>
      </c>
      <c r="I2643" s="4">
        <v>473275</v>
      </c>
      <c r="J2643" s="4">
        <v>190080</v>
      </c>
    </row>
    <row r="2644" spans="2:10" x14ac:dyDescent="0.3">
      <c r="B2644" s="7">
        <v>44228</v>
      </c>
      <c r="C2644" s="3">
        <f t="shared" si="82"/>
        <v>2021</v>
      </c>
      <c r="D2644" s="3">
        <f t="shared" si="83"/>
        <v>202102</v>
      </c>
      <c r="E2644" s="5" t="s">
        <v>4</v>
      </c>
      <c r="F2644" s="5" t="s">
        <v>11</v>
      </c>
      <c r="G2644" s="5" t="s">
        <v>40</v>
      </c>
      <c r="H2644">
        <v>34</v>
      </c>
      <c r="I2644" s="4">
        <v>298214</v>
      </c>
      <c r="J2644" s="4">
        <v>117504</v>
      </c>
    </row>
    <row r="2645" spans="2:10" x14ac:dyDescent="0.3">
      <c r="B2645" s="7">
        <v>44256</v>
      </c>
      <c r="C2645" s="3">
        <f t="shared" si="82"/>
        <v>2021</v>
      </c>
      <c r="D2645" s="3">
        <f t="shared" si="83"/>
        <v>202103</v>
      </c>
      <c r="E2645" s="5" t="s">
        <v>4</v>
      </c>
      <c r="F2645" s="5" t="s">
        <v>11</v>
      </c>
      <c r="G2645" s="5" t="s">
        <v>40</v>
      </c>
      <c r="H2645">
        <v>28</v>
      </c>
      <c r="I2645" s="4">
        <v>224532</v>
      </c>
      <c r="J2645" s="4">
        <v>96768</v>
      </c>
    </row>
    <row r="2646" spans="2:10" x14ac:dyDescent="0.3">
      <c r="B2646" s="7">
        <v>44287</v>
      </c>
      <c r="C2646" s="3">
        <f t="shared" si="82"/>
        <v>2021</v>
      </c>
      <c r="D2646" s="3">
        <f t="shared" si="83"/>
        <v>202104</v>
      </c>
      <c r="E2646" s="5" t="s">
        <v>4</v>
      </c>
      <c r="F2646" s="5" t="s">
        <v>11</v>
      </c>
      <c r="G2646" s="5" t="s">
        <v>40</v>
      </c>
      <c r="H2646">
        <v>51</v>
      </c>
      <c r="I2646" s="4">
        <v>442170</v>
      </c>
      <c r="J2646" s="4">
        <v>176256</v>
      </c>
    </row>
    <row r="2647" spans="2:10" x14ac:dyDescent="0.3">
      <c r="B2647" s="7">
        <v>44317</v>
      </c>
      <c r="C2647" s="3">
        <f t="shared" si="82"/>
        <v>2021</v>
      </c>
      <c r="D2647" s="3">
        <f t="shared" si="83"/>
        <v>202105</v>
      </c>
      <c r="E2647" s="5" t="s">
        <v>4</v>
      </c>
      <c r="F2647" s="5" t="s">
        <v>11</v>
      </c>
      <c r="G2647" s="5" t="s">
        <v>40</v>
      </c>
      <c r="H2647">
        <v>65</v>
      </c>
      <c r="I2647" s="4">
        <v>622765</v>
      </c>
      <c r="J2647" s="4">
        <v>224640</v>
      </c>
    </row>
    <row r="2648" spans="2:10" x14ac:dyDescent="0.3">
      <c r="B2648" s="7">
        <v>44348</v>
      </c>
      <c r="C2648" s="3">
        <f t="shared" si="82"/>
        <v>2021</v>
      </c>
      <c r="D2648" s="3">
        <f t="shared" si="83"/>
        <v>202106</v>
      </c>
      <c r="E2648" s="5" t="s">
        <v>4</v>
      </c>
      <c r="F2648" s="5" t="s">
        <v>11</v>
      </c>
      <c r="G2648" s="5" t="s">
        <v>40</v>
      </c>
      <c r="H2648">
        <v>61</v>
      </c>
      <c r="I2648" s="4">
        <v>512705</v>
      </c>
      <c r="J2648" s="4">
        <v>210816</v>
      </c>
    </row>
    <row r="2649" spans="2:10" x14ac:dyDescent="0.3">
      <c r="B2649" s="7">
        <v>44378</v>
      </c>
      <c r="C2649" s="3">
        <f t="shared" si="82"/>
        <v>2021</v>
      </c>
      <c r="D2649" s="3">
        <f t="shared" si="83"/>
        <v>202107</v>
      </c>
      <c r="E2649" s="5" t="s">
        <v>4</v>
      </c>
      <c r="F2649" s="5" t="s">
        <v>11</v>
      </c>
      <c r="G2649" s="5" t="s">
        <v>40</v>
      </c>
      <c r="H2649">
        <v>65</v>
      </c>
      <c r="I2649" s="4">
        <v>440375</v>
      </c>
      <c r="J2649" s="4">
        <v>224640</v>
      </c>
    </row>
    <row r="2650" spans="2:10" x14ac:dyDescent="0.3">
      <c r="B2650" s="7">
        <v>44409</v>
      </c>
      <c r="C2650" s="3">
        <f t="shared" si="82"/>
        <v>2021</v>
      </c>
      <c r="D2650" s="3">
        <f t="shared" si="83"/>
        <v>202108</v>
      </c>
      <c r="E2650" s="5" t="s">
        <v>4</v>
      </c>
      <c r="F2650" s="5" t="s">
        <v>11</v>
      </c>
      <c r="G2650" s="5" t="s">
        <v>40</v>
      </c>
      <c r="H2650">
        <v>55</v>
      </c>
      <c r="I2650" s="4">
        <v>464310</v>
      </c>
      <c r="J2650" s="4">
        <v>190080</v>
      </c>
    </row>
    <row r="2651" spans="2:10" x14ac:dyDescent="0.3">
      <c r="B2651" s="7">
        <v>44440</v>
      </c>
      <c r="C2651" s="3">
        <f t="shared" si="82"/>
        <v>2021</v>
      </c>
      <c r="D2651" s="3">
        <f t="shared" si="83"/>
        <v>202109</v>
      </c>
      <c r="E2651" s="5" t="s">
        <v>4</v>
      </c>
      <c r="F2651" s="5" t="s">
        <v>11</v>
      </c>
      <c r="G2651" s="5" t="s">
        <v>40</v>
      </c>
      <c r="H2651">
        <v>58</v>
      </c>
      <c r="I2651" s="4">
        <v>475948</v>
      </c>
      <c r="J2651" s="4">
        <v>200448</v>
      </c>
    </row>
    <row r="2652" spans="2:10" x14ac:dyDescent="0.3">
      <c r="B2652" s="7">
        <v>44470</v>
      </c>
      <c r="C2652" s="3">
        <f t="shared" si="82"/>
        <v>2021</v>
      </c>
      <c r="D2652" s="3">
        <f t="shared" si="83"/>
        <v>202110</v>
      </c>
      <c r="E2652" s="5" t="s">
        <v>4</v>
      </c>
      <c r="F2652" s="5" t="s">
        <v>11</v>
      </c>
      <c r="G2652" s="5" t="s">
        <v>40</v>
      </c>
      <c r="H2652">
        <v>48</v>
      </c>
      <c r="I2652" s="4">
        <v>427056</v>
      </c>
      <c r="J2652" s="4">
        <v>165888</v>
      </c>
    </row>
    <row r="2653" spans="2:10" x14ac:dyDescent="0.3">
      <c r="B2653" s="7">
        <v>44501</v>
      </c>
      <c r="C2653" s="3">
        <f t="shared" si="82"/>
        <v>2021</v>
      </c>
      <c r="D2653" s="3">
        <f t="shared" si="83"/>
        <v>202111</v>
      </c>
      <c r="E2653" s="5" t="s">
        <v>4</v>
      </c>
      <c r="F2653" s="5" t="s">
        <v>11</v>
      </c>
      <c r="G2653" s="5" t="s">
        <v>40</v>
      </c>
      <c r="H2653">
        <v>34</v>
      </c>
      <c r="I2653" s="4">
        <v>289850</v>
      </c>
      <c r="J2653" s="4">
        <v>117504</v>
      </c>
    </row>
    <row r="2654" spans="2:10" x14ac:dyDescent="0.3">
      <c r="B2654" s="7">
        <v>44531</v>
      </c>
      <c r="C2654" s="3">
        <f t="shared" si="82"/>
        <v>2021</v>
      </c>
      <c r="D2654" s="3">
        <f t="shared" si="83"/>
        <v>202112</v>
      </c>
      <c r="E2654" s="5" t="s">
        <v>4</v>
      </c>
      <c r="F2654" s="5" t="s">
        <v>11</v>
      </c>
      <c r="G2654" s="5" t="s">
        <v>40</v>
      </c>
      <c r="H2654">
        <v>41</v>
      </c>
      <c r="I2654" s="4">
        <v>352354</v>
      </c>
      <c r="J2654" s="4">
        <v>141696</v>
      </c>
    </row>
    <row r="2655" spans="2:10" x14ac:dyDescent="0.3">
      <c r="B2655" s="7">
        <v>44562</v>
      </c>
      <c r="C2655" s="3">
        <f t="shared" si="82"/>
        <v>2022</v>
      </c>
      <c r="D2655" s="3">
        <f t="shared" si="83"/>
        <v>202201</v>
      </c>
      <c r="E2655" s="5" t="s">
        <v>4</v>
      </c>
      <c r="F2655" s="5" t="s">
        <v>11</v>
      </c>
      <c r="G2655" s="5" t="s">
        <v>40</v>
      </c>
      <c r="H2655">
        <v>60</v>
      </c>
      <c r="I2655" s="4">
        <v>502260</v>
      </c>
      <c r="J2655" s="4">
        <v>207360</v>
      </c>
    </row>
    <row r="2656" spans="2:10" x14ac:dyDescent="0.3">
      <c r="B2656" s="7">
        <v>44593</v>
      </c>
      <c r="C2656" s="3">
        <f t="shared" si="82"/>
        <v>2022</v>
      </c>
      <c r="D2656" s="3">
        <f t="shared" si="83"/>
        <v>202202</v>
      </c>
      <c r="E2656" s="5" t="s">
        <v>4</v>
      </c>
      <c r="F2656" s="5" t="s">
        <v>11</v>
      </c>
      <c r="G2656" s="5" t="s">
        <v>40</v>
      </c>
      <c r="H2656">
        <v>38</v>
      </c>
      <c r="I2656" s="4">
        <v>316920</v>
      </c>
      <c r="J2656" s="4">
        <v>131328</v>
      </c>
    </row>
    <row r="2657" spans="2:10" x14ac:dyDescent="0.3">
      <c r="B2657" s="7">
        <v>44621</v>
      </c>
      <c r="C2657" s="3">
        <f t="shared" si="82"/>
        <v>2022</v>
      </c>
      <c r="D2657" s="3">
        <f t="shared" si="83"/>
        <v>202203</v>
      </c>
      <c r="E2657" s="5" t="s">
        <v>4</v>
      </c>
      <c r="F2657" s="5" t="s">
        <v>11</v>
      </c>
      <c r="G2657" s="5" t="s">
        <v>40</v>
      </c>
      <c r="H2657">
        <v>30</v>
      </c>
      <c r="I2657" s="4">
        <v>247200</v>
      </c>
      <c r="J2657" s="4">
        <v>103680</v>
      </c>
    </row>
    <row r="2658" spans="2:10" x14ac:dyDescent="0.3">
      <c r="B2658" s="7">
        <v>44652</v>
      </c>
      <c r="C2658" s="3">
        <f t="shared" si="82"/>
        <v>2022</v>
      </c>
      <c r="D2658" s="3">
        <f t="shared" si="83"/>
        <v>202204</v>
      </c>
      <c r="E2658" s="5" t="s">
        <v>4</v>
      </c>
      <c r="F2658" s="5" t="s">
        <v>11</v>
      </c>
      <c r="G2658" s="5" t="s">
        <v>40</v>
      </c>
      <c r="H2658">
        <v>56</v>
      </c>
      <c r="I2658" s="4">
        <v>474600</v>
      </c>
      <c r="J2658" s="4">
        <v>193536</v>
      </c>
    </row>
    <row r="2659" spans="2:10" x14ac:dyDescent="0.3">
      <c r="B2659" s="7">
        <v>44682</v>
      </c>
      <c r="C2659" s="3">
        <f t="shared" si="82"/>
        <v>2022</v>
      </c>
      <c r="D2659" s="3">
        <f t="shared" si="83"/>
        <v>202205</v>
      </c>
      <c r="E2659" s="5" t="s">
        <v>4</v>
      </c>
      <c r="F2659" s="5" t="s">
        <v>11</v>
      </c>
      <c r="G2659" s="5" t="s">
        <v>40</v>
      </c>
      <c r="H2659">
        <v>71</v>
      </c>
      <c r="I2659" s="4">
        <v>681032</v>
      </c>
      <c r="J2659" s="4">
        <v>245376</v>
      </c>
    </row>
    <row r="2660" spans="2:10" x14ac:dyDescent="0.3">
      <c r="B2660" s="7">
        <v>44713</v>
      </c>
      <c r="C2660" s="3">
        <f t="shared" si="82"/>
        <v>2022</v>
      </c>
      <c r="D2660" s="3">
        <f t="shared" si="83"/>
        <v>202206</v>
      </c>
      <c r="E2660" s="5" t="s">
        <v>4</v>
      </c>
      <c r="F2660" s="5" t="s">
        <v>11</v>
      </c>
      <c r="G2660" s="5" t="s">
        <v>40</v>
      </c>
      <c r="H2660">
        <v>68</v>
      </c>
      <c r="I2660" s="4">
        <v>597176</v>
      </c>
      <c r="J2660" s="4">
        <v>235008</v>
      </c>
    </row>
    <row r="2661" spans="2:10" x14ac:dyDescent="0.3">
      <c r="B2661" s="7">
        <v>44743</v>
      </c>
      <c r="C2661" s="3">
        <f t="shared" si="82"/>
        <v>2022</v>
      </c>
      <c r="D2661" s="3">
        <f t="shared" si="83"/>
        <v>202207</v>
      </c>
      <c r="E2661" s="5" t="s">
        <v>4</v>
      </c>
      <c r="F2661" s="5" t="s">
        <v>11</v>
      </c>
      <c r="G2661" s="5" t="s">
        <v>40</v>
      </c>
      <c r="H2661">
        <v>71</v>
      </c>
      <c r="I2661" s="4">
        <v>492527</v>
      </c>
      <c r="J2661" s="4">
        <v>245376</v>
      </c>
    </row>
    <row r="2662" spans="2:10" x14ac:dyDescent="0.3">
      <c r="B2662" s="7">
        <v>44774</v>
      </c>
      <c r="C2662" s="3">
        <f t="shared" si="82"/>
        <v>2022</v>
      </c>
      <c r="D2662" s="3">
        <f t="shared" si="83"/>
        <v>202208</v>
      </c>
      <c r="E2662" s="5" t="s">
        <v>4</v>
      </c>
      <c r="F2662" s="5" t="s">
        <v>11</v>
      </c>
      <c r="G2662" s="5" t="s">
        <v>40</v>
      </c>
      <c r="H2662">
        <v>60</v>
      </c>
      <c r="I2662" s="4">
        <v>476520</v>
      </c>
      <c r="J2662" s="4">
        <v>207360</v>
      </c>
    </row>
    <row r="2663" spans="2:10" x14ac:dyDescent="0.3">
      <c r="B2663" s="7">
        <v>44805</v>
      </c>
      <c r="C2663" s="3">
        <f t="shared" si="82"/>
        <v>2022</v>
      </c>
      <c r="D2663" s="3">
        <f t="shared" si="83"/>
        <v>202209</v>
      </c>
      <c r="E2663" s="5" t="s">
        <v>4</v>
      </c>
      <c r="F2663" s="5" t="s">
        <v>11</v>
      </c>
      <c r="G2663" s="5" t="s">
        <v>40</v>
      </c>
      <c r="H2663">
        <v>64</v>
      </c>
      <c r="I2663" s="4">
        <v>520576</v>
      </c>
      <c r="J2663" s="4">
        <v>221184</v>
      </c>
    </row>
    <row r="2664" spans="2:10" x14ac:dyDescent="0.3">
      <c r="B2664" s="7">
        <v>44835</v>
      </c>
      <c r="C2664" s="3">
        <f t="shared" si="82"/>
        <v>2022</v>
      </c>
      <c r="D2664" s="3">
        <f t="shared" si="83"/>
        <v>202210</v>
      </c>
      <c r="E2664" s="5" t="s">
        <v>4</v>
      </c>
      <c r="F2664" s="5" t="s">
        <v>11</v>
      </c>
      <c r="G2664" s="5" t="s">
        <v>40</v>
      </c>
      <c r="H2664">
        <v>53</v>
      </c>
      <c r="I2664" s="4">
        <v>452567</v>
      </c>
      <c r="J2664" s="4">
        <v>183168</v>
      </c>
    </row>
    <row r="2665" spans="2:10" x14ac:dyDescent="0.3">
      <c r="B2665" s="7">
        <v>44866</v>
      </c>
      <c r="C2665" s="3">
        <f t="shared" si="82"/>
        <v>2022</v>
      </c>
      <c r="D2665" s="3">
        <f t="shared" si="83"/>
        <v>202211</v>
      </c>
      <c r="E2665" s="5" t="s">
        <v>4</v>
      </c>
      <c r="F2665" s="5" t="s">
        <v>11</v>
      </c>
      <c r="G2665" s="5" t="s">
        <v>40</v>
      </c>
      <c r="H2665">
        <v>38</v>
      </c>
      <c r="I2665" s="4">
        <v>327788</v>
      </c>
      <c r="J2665" s="4">
        <v>131328</v>
      </c>
    </row>
    <row r="2666" spans="2:10" x14ac:dyDescent="0.3">
      <c r="B2666" s="7">
        <v>44896</v>
      </c>
      <c r="C2666" s="3">
        <f t="shared" si="82"/>
        <v>2022</v>
      </c>
      <c r="D2666" s="3">
        <f t="shared" si="83"/>
        <v>202212</v>
      </c>
      <c r="E2666" s="5" t="s">
        <v>4</v>
      </c>
      <c r="F2666" s="5" t="s">
        <v>11</v>
      </c>
      <c r="G2666" s="5" t="s">
        <v>40</v>
      </c>
      <c r="H2666">
        <v>45</v>
      </c>
      <c r="I2666" s="4">
        <v>366390</v>
      </c>
      <c r="J2666" s="4">
        <v>155520</v>
      </c>
    </row>
    <row r="2667" spans="2:10" x14ac:dyDescent="0.3">
      <c r="B2667" s="7">
        <v>44197</v>
      </c>
      <c r="C2667" s="3">
        <f t="shared" si="82"/>
        <v>2021</v>
      </c>
      <c r="D2667" s="3">
        <f t="shared" si="83"/>
        <v>202101</v>
      </c>
      <c r="E2667" s="5" t="s">
        <v>4</v>
      </c>
      <c r="F2667" s="5" t="s">
        <v>11</v>
      </c>
      <c r="G2667" s="5" t="s">
        <v>41</v>
      </c>
      <c r="H2667">
        <v>56</v>
      </c>
      <c r="I2667" s="4">
        <v>550872</v>
      </c>
      <c r="J2667" s="4">
        <v>290472</v>
      </c>
    </row>
    <row r="2668" spans="2:10" x14ac:dyDescent="0.3">
      <c r="B2668" s="7">
        <v>44228</v>
      </c>
      <c r="C2668" s="3">
        <f t="shared" si="82"/>
        <v>2021</v>
      </c>
      <c r="D2668" s="3">
        <f t="shared" si="83"/>
        <v>202102</v>
      </c>
      <c r="E2668" s="5" t="s">
        <v>4</v>
      </c>
      <c r="F2668" s="5" t="s">
        <v>11</v>
      </c>
      <c r="G2668" s="5" t="s">
        <v>41</v>
      </c>
      <c r="H2668">
        <v>35</v>
      </c>
      <c r="I2668" s="4">
        <v>365925</v>
      </c>
      <c r="J2668" s="4">
        <v>181545</v>
      </c>
    </row>
    <row r="2669" spans="2:10" x14ac:dyDescent="0.3">
      <c r="B2669" s="7">
        <v>44256</v>
      </c>
      <c r="C2669" s="3">
        <f t="shared" si="82"/>
        <v>2021</v>
      </c>
      <c r="D2669" s="3">
        <f t="shared" si="83"/>
        <v>202103</v>
      </c>
      <c r="E2669" s="5" t="s">
        <v>4</v>
      </c>
      <c r="F2669" s="5" t="s">
        <v>11</v>
      </c>
      <c r="G2669" s="5" t="s">
        <v>41</v>
      </c>
      <c r="H2669">
        <v>28</v>
      </c>
      <c r="I2669" s="4">
        <v>281624</v>
      </c>
      <c r="J2669" s="4">
        <v>145236</v>
      </c>
    </row>
    <row r="2670" spans="2:10" x14ac:dyDescent="0.3">
      <c r="B2670" s="7">
        <v>44287</v>
      </c>
      <c r="C2670" s="3">
        <f t="shared" si="82"/>
        <v>2021</v>
      </c>
      <c r="D2670" s="3">
        <f t="shared" si="83"/>
        <v>202104</v>
      </c>
      <c r="E2670" s="5" t="s">
        <v>4</v>
      </c>
      <c r="F2670" s="5" t="s">
        <v>11</v>
      </c>
      <c r="G2670" s="5" t="s">
        <v>41</v>
      </c>
      <c r="H2670">
        <v>53</v>
      </c>
      <c r="I2670" s="4">
        <v>602610</v>
      </c>
      <c r="J2670" s="4">
        <v>274911</v>
      </c>
    </row>
    <row r="2671" spans="2:10" x14ac:dyDescent="0.3">
      <c r="B2671" s="7">
        <v>44317</v>
      </c>
      <c r="C2671" s="3">
        <f t="shared" si="82"/>
        <v>2021</v>
      </c>
      <c r="D2671" s="3">
        <f t="shared" si="83"/>
        <v>202105</v>
      </c>
      <c r="E2671" s="5" t="s">
        <v>4</v>
      </c>
      <c r="F2671" s="5" t="s">
        <v>11</v>
      </c>
      <c r="G2671" s="5" t="s">
        <v>41</v>
      </c>
      <c r="H2671">
        <v>67</v>
      </c>
      <c r="I2671" s="4">
        <v>699078</v>
      </c>
      <c r="J2671" s="4">
        <v>347529</v>
      </c>
    </row>
    <row r="2672" spans="2:10" x14ac:dyDescent="0.3">
      <c r="B2672" s="7">
        <v>44348</v>
      </c>
      <c r="C2672" s="3">
        <f t="shared" si="82"/>
        <v>2021</v>
      </c>
      <c r="D2672" s="3">
        <f t="shared" si="83"/>
        <v>202106</v>
      </c>
      <c r="E2672" s="5" t="s">
        <v>4</v>
      </c>
      <c r="F2672" s="5" t="s">
        <v>11</v>
      </c>
      <c r="G2672" s="5" t="s">
        <v>41</v>
      </c>
      <c r="H2672">
        <v>63</v>
      </c>
      <c r="I2672" s="4">
        <v>678447</v>
      </c>
      <c r="J2672" s="4">
        <v>326781</v>
      </c>
    </row>
    <row r="2673" spans="2:10" x14ac:dyDescent="0.3">
      <c r="B2673" s="7">
        <v>44378</v>
      </c>
      <c r="C2673" s="3">
        <f t="shared" si="82"/>
        <v>2021</v>
      </c>
      <c r="D2673" s="3">
        <f t="shared" si="83"/>
        <v>202107</v>
      </c>
      <c r="E2673" s="5" t="s">
        <v>4</v>
      </c>
      <c r="F2673" s="5" t="s">
        <v>11</v>
      </c>
      <c r="G2673" s="5" t="s">
        <v>41</v>
      </c>
      <c r="H2673">
        <v>67</v>
      </c>
      <c r="I2673" s="4">
        <v>640855</v>
      </c>
      <c r="J2673" s="4">
        <v>347529</v>
      </c>
    </row>
    <row r="2674" spans="2:10" x14ac:dyDescent="0.3">
      <c r="B2674" s="7">
        <v>44409</v>
      </c>
      <c r="C2674" s="3">
        <f t="shared" si="82"/>
        <v>2021</v>
      </c>
      <c r="D2674" s="3">
        <f t="shared" si="83"/>
        <v>202108</v>
      </c>
      <c r="E2674" s="5" t="s">
        <v>4</v>
      </c>
      <c r="F2674" s="5" t="s">
        <v>11</v>
      </c>
      <c r="G2674" s="5" t="s">
        <v>41</v>
      </c>
      <c r="H2674">
        <v>56</v>
      </c>
      <c r="I2674" s="4">
        <v>573944</v>
      </c>
      <c r="J2674" s="4">
        <v>290472</v>
      </c>
    </row>
    <row r="2675" spans="2:10" x14ac:dyDescent="0.3">
      <c r="B2675" s="7">
        <v>44440</v>
      </c>
      <c r="C2675" s="3">
        <f t="shared" si="82"/>
        <v>2021</v>
      </c>
      <c r="D2675" s="3">
        <f t="shared" si="83"/>
        <v>202109</v>
      </c>
      <c r="E2675" s="5" t="s">
        <v>4</v>
      </c>
      <c r="F2675" s="5" t="s">
        <v>11</v>
      </c>
      <c r="G2675" s="5" t="s">
        <v>41</v>
      </c>
      <c r="H2675">
        <v>60</v>
      </c>
      <c r="I2675" s="4">
        <v>635100</v>
      </c>
      <c r="J2675" s="4">
        <v>311220</v>
      </c>
    </row>
    <row r="2676" spans="2:10" x14ac:dyDescent="0.3">
      <c r="B2676" s="7">
        <v>44470</v>
      </c>
      <c r="C2676" s="3">
        <f t="shared" si="82"/>
        <v>2021</v>
      </c>
      <c r="D2676" s="3">
        <f t="shared" si="83"/>
        <v>202110</v>
      </c>
      <c r="E2676" s="5" t="s">
        <v>4</v>
      </c>
      <c r="F2676" s="5" t="s">
        <v>11</v>
      </c>
      <c r="G2676" s="5" t="s">
        <v>41</v>
      </c>
      <c r="H2676">
        <v>49</v>
      </c>
      <c r="I2676" s="4">
        <v>512589</v>
      </c>
      <c r="J2676" s="4">
        <v>254163</v>
      </c>
    </row>
    <row r="2677" spans="2:10" x14ac:dyDescent="0.3">
      <c r="B2677" s="7">
        <v>44501</v>
      </c>
      <c r="C2677" s="3">
        <f t="shared" si="82"/>
        <v>2021</v>
      </c>
      <c r="D2677" s="3">
        <f t="shared" si="83"/>
        <v>202111</v>
      </c>
      <c r="E2677" s="5" t="s">
        <v>4</v>
      </c>
      <c r="F2677" s="5" t="s">
        <v>11</v>
      </c>
      <c r="G2677" s="5" t="s">
        <v>41</v>
      </c>
      <c r="H2677">
        <v>35</v>
      </c>
      <c r="I2677" s="4">
        <v>363055</v>
      </c>
      <c r="J2677" s="4">
        <v>181545</v>
      </c>
    </row>
    <row r="2678" spans="2:10" x14ac:dyDescent="0.3">
      <c r="B2678" s="7">
        <v>44531</v>
      </c>
      <c r="C2678" s="3">
        <f t="shared" si="82"/>
        <v>2021</v>
      </c>
      <c r="D2678" s="3">
        <f t="shared" si="83"/>
        <v>202112</v>
      </c>
      <c r="E2678" s="5" t="s">
        <v>4</v>
      </c>
      <c r="F2678" s="5" t="s">
        <v>11</v>
      </c>
      <c r="G2678" s="5" t="s">
        <v>41</v>
      </c>
      <c r="H2678">
        <v>42</v>
      </c>
      <c r="I2678" s="4">
        <v>430962</v>
      </c>
      <c r="J2678" s="4">
        <v>217854</v>
      </c>
    </row>
    <row r="2679" spans="2:10" x14ac:dyDescent="0.3">
      <c r="B2679" s="7">
        <v>44562</v>
      </c>
      <c r="C2679" s="3">
        <f t="shared" si="82"/>
        <v>2022</v>
      </c>
      <c r="D2679" s="3">
        <f t="shared" si="83"/>
        <v>202201</v>
      </c>
      <c r="E2679" s="5" t="s">
        <v>4</v>
      </c>
      <c r="F2679" s="5" t="s">
        <v>11</v>
      </c>
      <c r="G2679" s="5" t="s">
        <v>41</v>
      </c>
      <c r="H2679">
        <v>62</v>
      </c>
      <c r="I2679" s="4">
        <v>651000</v>
      </c>
      <c r="J2679" s="4">
        <v>321594</v>
      </c>
    </row>
    <row r="2680" spans="2:10" x14ac:dyDescent="0.3">
      <c r="B2680" s="7">
        <v>44593</v>
      </c>
      <c r="C2680" s="3">
        <f t="shared" si="82"/>
        <v>2022</v>
      </c>
      <c r="D2680" s="3">
        <f t="shared" si="83"/>
        <v>202202</v>
      </c>
      <c r="E2680" s="5" t="s">
        <v>4</v>
      </c>
      <c r="F2680" s="5" t="s">
        <v>11</v>
      </c>
      <c r="G2680" s="5" t="s">
        <v>41</v>
      </c>
      <c r="H2680">
        <v>39</v>
      </c>
      <c r="I2680" s="4">
        <v>412113</v>
      </c>
      <c r="J2680" s="4">
        <v>202293</v>
      </c>
    </row>
    <row r="2681" spans="2:10" x14ac:dyDescent="0.3">
      <c r="B2681" s="7">
        <v>44621</v>
      </c>
      <c r="C2681" s="3">
        <f t="shared" si="82"/>
        <v>2022</v>
      </c>
      <c r="D2681" s="3">
        <f t="shared" si="83"/>
        <v>202203</v>
      </c>
      <c r="E2681" s="5" t="s">
        <v>4</v>
      </c>
      <c r="F2681" s="5" t="s">
        <v>11</v>
      </c>
      <c r="G2681" s="5" t="s">
        <v>41</v>
      </c>
      <c r="H2681">
        <v>31</v>
      </c>
      <c r="I2681" s="4">
        <v>309380</v>
      </c>
      <c r="J2681" s="4">
        <v>160797</v>
      </c>
    </row>
    <row r="2682" spans="2:10" x14ac:dyDescent="0.3">
      <c r="B2682" s="7">
        <v>44652</v>
      </c>
      <c r="C2682" s="3">
        <f t="shared" si="82"/>
        <v>2022</v>
      </c>
      <c r="D2682" s="3">
        <f t="shared" si="83"/>
        <v>202204</v>
      </c>
      <c r="E2682" s="5" t="s">
        <v>4</v>
      </c>
      <c r="F2682" s="5" t="s">
        <v>11</v>
      </c>
      <c r="G2682" s="5" t="s">
        <v>41</v>
      </c>
      <c r="H2682">
        <v>58</v>
      </c>
      <c r="I2682" s="4">
        <v>611088</v>
      </c>
      <c r="J2682" s="4">
        <v>300846</v>
      </c>
    </row>
    <row r="2683" spans="2:10" x14ac:dyDescent="0.3">
      <c r="B2683" s="7">
        <v>44682</v>
      </c>
      <c r="C2683" s="3">
        <f t="shared" si="82"/>
        <v>2022</v>
      </c>
      <c r="D2683" s="3">
        <f t="shared" si="83"/>
        <v>202205</v>
      </c>
      <c r="E2683" s="5" t="s">
        <v>4</v>
      </c>
      <c r="F2683" s="5" t="s">
        <v>11</v>
      </c>
      <c r="G2683" s="5" t="s">
        <v>41</v>
      </c>
      <c r="H2683">
        <v>73</v>
      </c>
      <c r="I2683" s="4">
        <v>838697</v>
      </c>
      <c r="J2683" s="4">
        <v>378651</v>
      </c>
    </row>
    <row r="2684" spans="2:10" x14ac:dyDescent="0.3">
      <c r="B2684" s="7">
        <v>44713</v>
      </c>
      <c r="C2684" s="3">
        <f t="shared" si="82"/>
        <v>2022</v>
      </c>
      <c r="D2684" s="3">
        <f t="shared" si="83"/>
        <v>202206</v>
      </c>
      <c r="E2684" s="5" t="s">
        <v>4</v>
      </c>
      <c r="F2684" s="5" t="s">
        <v>11</v>
      </c>
      <c r="G2684" s="5" t="s">
        <v>41</v>
      </c>
      <c r="H2684">
        <v>70</v>
      </c>
      <c r="I2684" s="4">
        <v>753270</v>
      </c>
      <c r="J2684" s="4">
        <v>363090</v>
      </c>
    </row>
    <row r="2685" spans="2:10" x14ac:dyDescent="0.3">
      <c r="B2685" s="7">
        <v>44743</v>
      </c>
      <c r="C2685" s="3">
        <f t="shared" si="82"/>
        <v>2022</v>
      </c>
      <c r="D2685" s="3">
        <f t="shared" si="83"/>
        <v>202207</v>
      </c>
      <c r="E2685" s="5" t="s">
        <v>4</v>
      </c>
      <c r="F2685" s="5" t="s">
        <v>11</v>
      </c>
      <c r="G2685" s="5" t="s">
        <v>41</v>
      </c>
      <c r="H2685">
        <v>73</v>
      </c>
      <c r="I2685" s="4">
        <v>626778</v>
      </c>
      <c r="J2685" s="4">
        <v>378651</v>
      </c>
    </row>
    <row r="2686" spans="2:10" x14ac:dyDescent="0.3">
      <c r="B2686" s="7">
        <v>44774</v>
      </c>
      <c r="C2686" s="3">
        <f t="shared" si="82"/>
        <v>2022</v>
      </c>
      <c r="D2686" s="3">
        <f t="shared" si="83"/>
        <v>202208</v>
      </c>
      <c r="E2686" s="5" t="s">
        <v>4</v>
      </c>
      <c r="F2686" s="5" t="s">
        <v>11</v>
      </c>
      <c r="G2686" s="5" t="s">
        <v>41</v>
      </c>
      <c r="H2686">
        <v>62</v>
      </c>
      <c r="I2686" s="4">
        <v>609398</v>
      </c>
      <c r="J2686" s="4">
        <v>321594</v>
      </c>
    </row>
    <row r="2687" spans="2:10" x14ac:dyDescent="0.3">
      <c r="B2687" s="7">
        <v>44805</v>
      </c>
      <c r="C2687" s="3">
        <f t="shared" si="82"/>
        <v>2022</v>
      </c>
      <c r="D2687" s="3">
        <f t="shared" si="83"/>
        <v>202209</v>
      </c>
      <c r="E2687" s="5" t="s">
        <v>4</v>
      </c>
      <c r="F2687" s="5" t="s">
        <v>11</v>
      </c>
      <c r="G2687" s="5" t="s">
        <v>41</v>
      </c>
      <c r="H2687">
        <v>66</v>
      </c>
      <c r="I2687" s="4">
        <v>634722</v>
      </c>
      <c r="J2687" s="4">
        <v>342342</v>
      </c>
    </row>
    <row r="2688" spans="2:10" x14ac:dyDescent="0.3">
      <c r="B2688" s="7">
        <v>44835</v>
      </c>
      <c r="C2688" s="3">
        <f t="shared" si="82"/>
        <v>2022</v>
      </c>
      <c r="D2688" s="3">
        <f t="shared" si="83"/>
        <v>202210</v>
      </c>
      <c r="E2688" s="5" t="s">
        <v>4</v>
      </c>
      <c r="F2688" s="5" t="s">
        <v>11</v>
      </c>
      <c r="G2688" s="5" t="s">
        <v>41</v>
      </c>
      <c r="H2688">
        <v>54</v>
      </c>
      <c r="I2688" s="4">
        <v>562842</v>
      </c>
      <c r="J2688" s="4">
        <v>280098</v>
      </c>
    </row>
    <row r="2689" spans="2:10" x14ac:dyDescent="0.3">
      <c r="B2689" s="7">
        <v>44866</v>
      </c>
      <c r="C2689" s="3">
        <f t="shared" si="82"/>
        <v>2022</v>
      </c>
      <c r="D2689" s="3">
        <f t="shared" si="83"/>
        <v>202211</v>
      </c>
      <c r="E2689" s="5" t="s">
        <v>4</v>
      </c>
      <c r="F2689" s="5" t="s">
        <v>11</v>
      </c>
      <c r="G2689" s="5" t="s">
        <v>41</v>
      </c>
      <c r="H2689">
        <v>39</v>
      </c>
      <c r="I2689" s="4">
        <v>408408</v>
      </c>
      <c r="J2689" s="4">
        <v>202293</v>
      </c>
    </row>
    <row r="2690" spans="2:10" x14ac:dyDescent="0.3">
      <c r="B2690" s="7">
        <v>44896</v>
      </c>
      <c r="C2690" s="3">
        <f t="shared" si="82"/>
        <v>2022</v>
      </c>
      <c r="D2690" s="3">
        <f t="shared" si="83"/>
        <v>202212</v>
      </c>
      <c r="E2690" s="5" t="s">
        <v>4</v>
      </c>
      <c r="F2690" s="5" t="s">
        <v>11</v>
      </c>
      <c r="G2690" s="5" t="s">
        <v>41</v>
      </c>
      <c r="H2690">
        <v>47</v>
      </c>
      <c r="I2690" s="4">
        <v>464642</v>
      </c>
      <c r="J2690" s="4">
        <v>243789</v>
      </c>
    </row>
    <row r="2691" spans="2:10" x14ac:dyDescent="0.3">
      <c r="B2691" s="7">
        <v>44197</v>
      </c>
      <c r="C2691" s="3">
        <f t="shared" ref="C2691:C2754" si="84">YEAR(B2691)</f>
        <v>2021</v>
      </c>
      <c r="D2691" s="3">
        <f t="shared" ref="D2691:D2754" si="85">VALUE(TEXT(B2691,"ГГГГММ"))</f>
        <v>202101</v>
      </c>
      <c r="E2691" s="5" t="s">
        <v>4</v>
      </c>
      <c r="F2691" s="5" t="s">
        <v>12</v>
      </c>
      <c r="G2691" s="5" t="s">
        <v>42</v>
      </c>
      <c r="H2691">
        <v>60</v>
      </c>
      <c r="I2691" s="4">
        <v>793140</v>
      </c>
      <c r="J2691" s="4">
        <v>360000</v>
      </c>
    </row>
    <row r="2692" spans="2:10" x14ac:dyDescent="0.3">
      <c r="B2692" s="7">
        <v>44228</v>
      </c>
      <c r="C2692" s="3">
        <f t="shared" si="84"/>
        <v>2021</v>
      </c>
      <c r="D2692" s="3">
        <f t="shared" si="85"/>
        <v>202102</v>
      </c>
      <c r="E2692" s="5" t="s">
        <v>4</v>
      </c>
      <c r="F2692" s="5" t="s">
        <v>12</v>
      </c>
      <c r="G2692" s="5" t="s">
        <v>42</v>
      </c>
      <c r="H2692">
        <v>38</v>
      </c>
      <c r="I2692" s="4">
        <v>497610</v>
      </c>
      <c r="J2692" s="4">
        <v>228000</v>
      </c>
    </row>
    <row r="2693" spans="2:10" x14ac:dyDescent="0.3">
      <c r="B2693" s="7">
        <v>44256</v>
      </c>
      <c r="C2693" s="3">
        <f t="shared" si="84"/>
        <v>2021</v>
      </c>
      <c r="D2693" s="3">
        <f t="shared" si="85"/>
        <v>202103</v>
      </c>
      <c r="E2693" s="5" t="s">
        <v>4</v>
      </c>
      <c r="F2693" s="5" t="s">
        <v>12</v>
      </c>
      <c r="G2693" s="5" t="s">
        <v>42</v>
      </c>
      <c r="H2693">
        <v>30</v>
      </c>
      <c r="I2693" s="4">
        <v>395580</v>
      </c>
      <c r="J2693" s="4">
        <v>180000</v>
      </c>
    </row>
    <row r="2694" spans="2:10" x14ac:dyDescent="0.3">
      <c r="B2694" s="7">
        <v>44287</v>
      </c>
      <c r="C2694" s="3">
        <f t="shared" si="84"/>
        <v>2021</v>
      </c>
      <c r="D2694" s="3">
        <f t="shared" si="85"/>
        <v>202104</v>
      </c>
      <c r="E2694" s="5" t="s">
        <v>4</v>
      </c>
      <c r="F2694" s="5" t="s">
        <v>12</v>
      </c>
      <c r="G2694" s="5" t="s">
        <v>42</v>
      </c>
      <c r="H2694">
        <v>57</v>
      </c>
      <c r="I2694" s="4">
        <v>788595</v>
      </c>
      <c r="J2694" s="4">
        <v>342000</v>
      </c>
    </row>
    <row r="2695" spans="2:10" x14ac:dyDescent="0.3">
      <c r="B2695" s="7">
        <v>44317</v>
      </c>
      <c r="C2695" s="3">
        <f t="shared" si="84"/>
        <v>2021</v>
      </c>
      <c r="D2695" s="3">
        <f t="shared" si="85"/>
        <v>202105</v>
      </c>
      <c r="E2695" s="5" t="s">
        <v>4</v>
      </c>
      <c r="F2695" s="5" t="s">
        <v>12</v>
      </c>
      <c r="G2695" s="5" t="s">
        <v>42</v>
      </c>
      <c r="H2695">
        <v>72</v>
      </c>
      <c r="I2695" s="4">
        <v>1001448</v>
      </c>
      <c r="J2695" s="4">
        <v>432000</v>
      </c>
    </row>
    <row r="2696" spans="2:10" x14ac:dyDescent="0.3">
      <c r="B2696" s="7">
        <v>44348</v>
      </c>
      <c r="C2696" s="3">
        <f t="shared" si="84"/>
        <v>2021</v>
      </c>
      <c r="D2696" s="3">
        <f t="shared" si="85"/>
        <v>202106</v>
      </c>
      <c r="E2696" s="5" t="s">
        <v>4</v>
      </c>
      <c r="F2696" s="5" t="s">
        <v>12</v>
      </c>
      <c r="G2696" s="5" t="s">
        <v>42</v>
      </c>
      <c r="H2696">
        <v>68</v>
      </c>
      <c r="I2696" s="4">
        <v>905556</v>
      </c>
      <c r="J2696" s="4">
        <v>408000</v>
      </c>
    </row>
    <row r="2697" spans="2:10" x14ac:dyDescent="0.3">
      <c r="B2697" s="7">
        <v>44378</v>
      </c>
      <c r="C2697" s="3">
        <f t="shared" si="84"/>
        <v>2021</v>
      </c>
      <c r="D2697" s="3">
        <f t="shared" si="85"/>
        <v>202107</v>
      </c>
      <c r="E2697" s="5" t="s">
        <v>4</v>
      </c>
      <c r="F2697" s="5" t="s">
        <v>12</v>
      </c>
      <c r="G2697" s="5" t="s">
        <v>42</v>
      </c>
      <c r="H2697">
        <v>72</v>
      </c>
      <c r="I2697" s="4">
        <v>800208</v>
      </c>
      <c r="J2697" s="4">
        <v>432000</v>
      </c>
    </row>
    <row r="2698" spans="2:10" x14ac:dyDescent="0.3">
      <c r="B2698" s="7">
        <v>44409</v>
      </c>
      <c r="C2698" s="3">
        <f t="shared" si="84"/>
        <v>2021</v>
      </c>
      <c r="D2698" s="3">
        <f t="shared" si="85"/>
        <v>202108</v>
      </c>
      <c r="E2698" s="5" t="s">
        <v>4</v>
      </c>
      <c r="F2698" s="5" t="s">
        <v>12</v>
      </c>
      <c r="G2698" s="5" t="s">
        <v>42</v>
      </c>
      <c r="H2698">
        <v>60</v>
      </c>
      <c r="I2698" s="4">
        <v>751320</v>
      </c>
      <c r="J2698" s="4">
        <v>360000</v>
      </c>
    </row>
    <row r="2699" spans="2:10" x14ac:dyDescent="0.3">
      <c r="B2699" s="7">
        <v>44440</v>
      </c>
      <c r="C2699" s="3">
        <f t="shared" si="84"/>
        <v>2021</v>
      </c>
      <c r="D2699" s="3">
        <f t="shared" si="85"/>
        <v>202109</v>
      </c>
      <c r="E2699" s="5" t="s">
        <v>4</v>
      </c>
      <c r="F2699" s="5" t="s">
        <v>12</v>
      </c>
      <c r="G2699" s="5" t="s">
        <v>42</v>
      </c>
      <c r="H2699">
        <v>64</v>
      </c>
      <c r="I2699" s="4">
        <v>834112</v>
      </c>
      <c r="J2699" s="4">
        <v>384000</v>
      </c>
    </row>
    <row r="2700" spans="2:10" x14ac:dyDescent="0.3">
      <c r="B2700" s="7">
        <v>44470</v>
      </c>
      <c r="C2700" s="3">
        <f t="shared" si="84"/>
        <v>2021</v>
      </c>
      <c r="D2700" s="3">
        <f t="shared" si="85"/>
        <v>202110</v>
      </c>
      <c r="E2700" s="5" t="s">
        <v>4</v>
      </c>
      <c r="F2700" s="5" t="s">
        <v>12</v>
      </c>
      <c r="G2700" s="5" t="s">
        <v>42</v>
      </c>
      <c r="H2700">
        <v>53</v>
      </c>
      <c r="I2700" s="4">
        <v>728114</v>
      </c>
      <c r="J2700" s="4">
        <v>318000</v>
      </c>
    </row>
    <row r="2701" spans="2:10" x14ac:dyDescent="0.3">
      <c r="B2701" s="7">
        <v>44501</v>
      </c>
      <c r="C2701" s="3">
        <f t="shared" si="84"/>
        <v>2021</v>
      </c>
      <c r="D2701" s="3">
        <f t="shared" si="85"/>
        <v>202111</v>
      </c>
      <c r="E2701" s="5" t="s">
        <v>4</v>
      </c>
      <c r="F2701" s="5" t="s">
        <v>12</v>
      </c>
      <c r="G2701" s="5" t="s">
        <v>42</v>
      </c>
      <c r="H2701">
        <v>38</v>
      </c>
      <c r="I2701" s="4">
        <v>515508</v>
      </c>
      <c r="J2701" s="4">
        <v>228000</v>
      </c>
    </row>
    <row r="2702" spans="2:10" x14ac:dyDescent="0.3">
      <c r="B2702" s="7">
        <v>44531</v>
      </c>
      <c r="C2702" s="3">
        <f t="shared" si="84"/>
        <v>2021</v>
      </c>
      <c r="D2702" s="3">
        <f t="shared" si="85"/>
        <v>202112</v>
      </c>
      <c r="E2702" s="5" t="s">
        <v>4</v>
      </c>
      <c r="F2702" s="5" t="s">
        <v>12</v>
      </c>
      <c r="G2702" s="5" t="s">
        <v>42</v>
      </c>
      <c r="H2702">
        <v>45</v>
      </c>
      <c r="I2702" s="4">
        <v>567270</v>
      </c>
      <c r="J2702" s="4">
        <v>270000</v>
      </c>
    </row>
    <row r="2703" spans="2:10" x14ac:dyDescent="0.3">
      <c r="B2703" s="7">
        <v>44562</v>
      </c>
      <c r="C2703" s="3">
        <f t="shared" si="84"/>
        <v>2022</v>
      </c>
      <c r="D2703" s="3">
        <f t="shared" si="85"/>
        <v>202201</v>
      </c>
      <c r="E2703" s="5" t="s">
        <v>4</v>
      </c>
      <c r="F2703" s="5" t="s">
        <v>12</v>
      </c>
      <c r="G2703" s="5" t="s">
        <v>42</v>
      </c>
      <c r="H2703">
        <v>66</v>
      </c>
      <c r="I2703" s="4">
        <v>891990</v>
      </c>
      <c r="J2703" s="4">
        <v>396000</v>
      </c>
    </row>
    <row r="2704" spans="2:10" x14ac:dyDescent="0.3">
      <c r="B2704" s="7">
        <v>44593</v>
      </c>
      <c r="C2704" s="3">
        <f t="shared" si="84"/>
        <v>2022</v>
      </c>
      <c r="D2704" s="3">
        <f t="shared" si="85"/>
        <v>202202</v>
      </c>
      <c r="E2704" s="5" t="s">
        <v>4</v>
      </c>
      <c r="F2704" s="5" t="s">
        <v>12</v>
      </c>
      <c r="G2704" s="5" t="s">
        <v>42</v>
      </c>
      <c r="H2704">
        <v>42</v>
      </c>
      <c r="I2704" s="4">
        <v>547638</v>
      </c>
      <c r="J2704" s="4">
        <v>252000</v>
      </c>
    </row>
    <row r="2705" spans="2:10" x14ac:dyDescent="0.3">
      <c r="B2705" s="7">
        <v>44621</v>
      </c>
      <c r="C2705" s="3">
        <f t="shared" si="84"/>
        <v>2022</v>
      </c>
      <c r="D2705" s="3">
        <f t="shared" si="85"/>
        <v>202203</v>
      </c>
      <c r="E2705" s="5" t="s">
        <v>4</v>
      </c>
      <c r="F2705" s="5" t="s">
        <v>12</v>
      </c>
      <c r="G2705" s="5" t="s">
        <v>42</v>
      </c>
      <c r="H2705">
        <v>33</v>
      </c>
      <c r="I2705" s="4">
        <v>417351</v>
      </c>
      <c r="J2705" s="4">
        <v>198000</v>
      </c>
    </row>
    <row r="2706" spans="2:10" x14ac:dyDescent="0.3">
      <c r="B2706" s="7">
        <v>44652</v>
      </c>
      <c r="C2706" s="3">
        <f t="shared" si="84"/>
        <v>2022</v>
      </c>
      <c r="D2706" s="3">
        <f t="shared" si="85"/>
        <v>202204</v>
      </c>
      <c r="E2706" s="5" t="s">
        <v>4</v>
      </c>
      <c r="F2706" s="5" t="s">
        <v>12</v>
      </c>
      <c r="G2706" s="5" t="s">
        <v>42</v>
      </c>
      <c r="H2706">
        <v>62</v>
      </c>
      <c r="I2706" s="4">
        <v>859754</v>
      </c>
      <c r="J2706" s="4">
        <v>372000</v>
      </c>
    </row>
    <row r="2707" spans="2:10" x14ac:dyDescent="0.3">
      <c r="B2707" s="7">
        <v>44682</v>
      </c>
      <c r="C2707" s="3">
        <f t="shared" si="84"/>
        <v>2022</v>
      </c>
      <c r="D2707" s="3">
        <f t="shared" si="85"/>
        <v>202205</v>
      </c>
      <c r="E2707" s="5" t="s">
        <v>4</v>
      </c>
      <c r="F2707" s="5" t="s">
        <v>12</v>
      </c>
      <c r="G2707" s="5" t="s">
        <v>42</v>
      </c>
      <c r="H2707">
        <v>79</v>
      </c>
      <c r="I2707" s="4">
        <v>1075506</v>
      </c>
      <c r="J2707" s="4">
        <v>474000</v>
      </c>
    </row>
    <row r="2708" spans="2:10" x14ac:dyDescent="0.3">
      <c r="B2708" s="7">
        <v>44713</v>
      </c>
      <c r="C2708" s="3">
        <f t="shared" si="84"/>
        <v>2022</v>
      </c>
      <c r="D2708" s="3">
        <f t="shared" si="85"/>
        <v>202206</v>
      </c>
      <c r="E2708" s="5" t="s">
        <v>4</v>
      </c>
      <c r="F2708" s="5" t="s">
        <v>12</v>
      </c>
      <c r="G2708" s="5" t="s">
        <v>42</v>
      </c>
      <c r="H2708">
        <v>75</v>
      </c>
      <c r="I2708" s="4">
        <v>990675</v>
      </c>
      <c r="J2708" s="4">
        <v>450000</v>
      </c>
    </row>
    <row r="2709" spans="2:10" x14ac:dyDescent="0.3">
      <c r="B2709" s="7">
        <v>44743</v>
      </c>
      <c r="C2709" s="3">
        <f t="shared" si="84"/>
        <v>2022</v>
      </c>
      <c r="D2709" s="3">
        <f t="shared" si="85"/>
        <v>202207</v>
      </c>
      <c r="E2709" s="5" t="s">
        <v>4</v>
      </c>
      <c r="F2709" s="5" t="s">
        <v>12</v>
      </c>
      <c r="G2709" s="5" t="s">
        <v>42</v>
      </c>
      <c r="H2709">
        <v>79</v>
      </c>
      <c r="I2709" s="4">
        <v>928092</v>
      </c>
      <c r="J2709" s="4">
        <v>474000</v>
      </c>
    </row>
    <row r="2710" spans="2:10" x14ac:dyDescent="0.3">
      <c r="B2710" s="7">
        <v>44774</v>
      </c>
      <c r="C2710" s="3">
        <f t="shared" si="84"/>
        <v>2022</v>
      </c>
      <c r="D2710" s="3">
        <f t="shared" si="85"/>
        <v>202208</v>
      </c>
      <c r="E2710" s="5" t="s">
        <v>4</v>
      </c>
      <c r="F2710" s="5" t="s">
        <v>12</v>
      </c>
      <c r="G2710" s="5" t="s">
        <v>42</v>
      </c>
      <c r="H2710">
        <v>66</v>
      </c>
      <c r="I2710" s="4">
        <v>829884</v>
      </c>
      <c r="J2710" s="4">
        <v>396000</v>
      </c>
    </row>
    <row r="2711" spans="2:10" x14ac:dyDescent="0.3">
      <c r="B2711" s="7">
        <v>44805</v>
      </c>
      <c r="C2711" s="3">
        <f t="shared" si="84"/>
        <v>2022</v>
      </c>
      <c r="D2711" s="3">
        <f t="shared" si="85"/>
        <v>202209</v>
      </c>
      <c r="E2711" s="5" t="s">
        <v>4</v>
      </c>
      <c r="F2711" s="5" t="s">
        <v>12</v>
      </c>
      <c r="G2711" s="5" t="s">
        <v>42</v>
      </c>
      <c r="H2711">
        <v>71</v>
      </c>
      <c r="I2711" s="4">
        <v>881110</v>
      </c>
      <c r="J2711" s="4">
        <v>426000</v>
      </c>
    </row>
    <row r="2712" spans="2:10" x14ac:dyDescent="0.3">
      <c r="B2712" s="7">
        <v>44835</v>
      </c>
      <c r="C2712" s="3">
        <f t="shared" si="84"/>
        <v>2022</v>
      </c>
      <c r="D2712" s="3">
        <f t="shared" si="85"/>
        <v>202210</v>
      </c>
      <c r="E2712" s="5" t="s">
        <v>4</v>
      </c>
      <c r="F2712" s="5" t="s">
        <v>12</v>
      </c>
      <c r="G2712" s="5" t="s">
        <v>42</v>
      </c>
      <c r="H2712">
        <v>58</v>
      </c>
      <c r="I2712" s="4">
        <v>776794</v>
      </c>
      <c r="J2712" s="4">
        <v>348000</v>
      </c>
    </row>
    <row r="2713" spans="2:10" x14ac:dyDescent="0.3">
      <c r="B2713" s="7">
        <v>44866</v>
      </c>
      <c r="C2713" s="3">
        <f t="shared" si="84"/>
        <v>2022</v>
      </c>
      <c r="D2713" s="3">
        <f t="shared" si="85"/>
        <v>202211</v>
      </c>
      <c r="E2713" s="5" t="s">
        <v>4</v>
      </c>
      <c r="F2713" s="5" t="s">
        <v>12</v>
      </c>
      <c r="G2713" s="5" t="s">
        <v>42</v>
      </c>
      <c r="H2713">
        <v>42</v>
      </c>
      <c r="I2713" s="4">
        <v>540834</v>
      </c>
      <c r="J2713" s="4">
        <v>252000</v>
      </c>
    </row>
    <row r="2714" spans="2:10" x14ac:dyDescent="0.3">
      <c r="B2714" s="7">
        <v>44896</v>
      </c>
      <c r="C2714" s="3">
        <f t="shared" si="84"/>
        <v>2022</v>
      </c>
      <c r="D2714" s="3">
        <f t="shared" si="85"/>
        <v>202212</v>
      </c>
      <c r="E2714" s="5" t="s">
        <v>4</v>
      </c>
      <c r="F2714" s="5" t="s">
        <v>12</v>
      </c>
      <c r="G2714" s="5" t="s">
        <v>42</v>
      </c>
      <c r="H2714">
        <v>50</v>
      </c>
      <c r="I2714" s="4">
        <v>661700</v>
      </c>
      <c r="J2714" s="4">
        <v>300000</v>
      </c>
    </row>
    <row r="2715" spans="2:10" x14ac:dyDescent="0.3">
      <c r="B2715" s="7">
        <v>44197</v>
      </c>
      <c r="C2715" s="3">
        <f t="shared" si="84"/>
        <v>2021</v>
      </c>
      <c r="D2715" s="3">
        <f t="shared" si="85"/>
        <v>202101</v>
      </c>
      <c r="E2715" s="5" t="s">
        <v>4</v>
      </c>
      <c r="F2715" s="5" t="s">
        <v>12</v>
      </c>
      <c r="G2715" s="5" t="s">
        <v>43</v>
      </c>
      <c r="H2715">
        <v>44</v>
      </c>
      <c r="I2715" s="4">
        <v>451264</v>
      </c>
      <c r="J2715" s="4">
        <v>233640</v>
      </c>
    </row>
    <row r="2716" spans="2:10" x14ac:dyDescent="0.3">
      <c r="B2716" s="7">
        <v>44228</v>
      </c>
      <c r="C2716" s="3">
        <f t="shared" si="84"/>
        <v>2021</v>
      </c>
      <c r="D2716" s="3">
        <f t="shared" si="85"/>
        <v>202102</v>
      </c>
      <c r="E2716" s="5" t="s">
        <v>4</v>
      </c>
      <c r="F2716" s="5" t="s">
        <v>12</v>
      </c>
      <c r="G2716" s="5" t="s">
        <v>43</v>
      </c>
      <c r="H2716">
        <v>28</v>
      </c>
      <c r="I2716" s="4">
        <v>286048</v>
      </c>
      <c r="J2716" s="4">
        <v>148680</v>
      </c>
    </row>
    <row r="2717" spans="2:10" x14ac:dyDescent="0.3">
      <c r="B2717" s="7">
        <v>44256</v>
      </c>
      <c r="C2717" s="3">
        <f t="shared" si="84"/>
        <v>2021</v>
      </c>
      <c r="D2717" s="3">
        <f t="shared" si="85"/>
        <v>202103</v>
      </c>
      <c r="E2717" s="5" t="s">
        <v>4</v>
      </c>
      <c r="F2717" s="5" t="s">
        <v>12</v>
      </c>
      <c r="G2717" s="5" t="s">
        <v>43</v>
      </c>
      <c r="H2717">
        <v>22</v>
      </c>
      <c r="I2717" s="4">
        <v>222464</v>
      </c>
      <c r="J2717" s="4">
        <v>116820</v>
      </c>
    </row>
    <row r="2718" spans="2:10" x14ac:dyDescent="0.3">
      <c r="B2718" s="7">
        <v>44287</v>
      </c>
      <c r="C2718" s="3">
        <f t="shared" si="84"/>
        <v>2021</v>
      </c>
      <c r="D2718" s="3">
        <f t="shared" si="85"/>
        <v>202104</v>
      </c>
      <c r="E2718" s="5" t="s">
        <v>4</v>
      </c>
      <c r="F2718" s="5" t="s">
        <v>12</v>
      </c>
      <c r="G2718" s="5" t="s">
        <v>43</v>
      </c>
      <c r="H2718">
        <v>41</v>
      </c>
      <c r="I2718" s="4">
        <v>449401</v>
      </c>
      <c r="J2718" s="4">
        <v>217710</v>
      </c>
    </row>
    <row r="2719" spans="2:10" x14ac:dyDescent="0.3">
      <c r="B2719" s="7">
        <v>44317</v>
      </c>
      <c r="C2719" s="3">
        <f t="shared" si="84"/>
        <v>2021</v>
      </c>
      <c r="D2719" s="3">
        <f t="shared" si="85"/>
        <v>202105</v>
      </c>
      <c r="E2719" s="5" t="s">
        <v>4</v>
      </c>
      <c r="F2719" s="5" t="s">
        <v>12</v>
      </c>
      <c r="G2719" s="5" t="s">
        <v>43</v>
      </c>
      <c r="H2719">
        <v>52</v>
      </c>
      <c r="I2719" s="4">
        <v>573612</v>
      </c>
      <c r="J2719" s="4">
        <v>276120</v>
      </c>
    </row>
    <row r="2720" spans="2:10" x14ac:dyDescent="0.3">
      <c r="B2720" s="7">
        <v>44348</v>
      </c>
      <c r="C2720" s="3">
        <f t="shared" si="84"/>
        <v>2021</v>
      </c>
      <c r="D2720" s="3">
        <f t="shared" si="85"/>
        <v>202106</v>
      </c>
      <c r="E2720" s="5" t="s">
        <v>4</v>
      </c>
      <c r="F2720" s="5" t="s">
        <v>12</v>
      </c>
      <c r="G2720" s="5" t="s">
        <v>43</v>
      </c>
      <c r="H2720">
        <v>49</v>
      </c>
      <c r="I2720" s="4">
        <v>505239</v>
      </c>
      <c r="J2720" s="4">
        <v>260190</v>
      </c>
    </row>
    <row r="2721" spans="2:10" x14ac:dyDescent="0.3">
      <c r="B2721" s="7">
        <v>44378</v>
      </c>
      <c r="C2721" s="3">
        <f t="shared" si="84"/>
        <v>2021</v>
      </c>
      <c r="D2721" s="3">
        <f t="shared" si="85"/>
        <v>202107</v>
      </c>
      <c r="E2721" s="5" t="s">
        <v>4</v>
      </c>
      <c r="F2721" s="5" t="s">
        <v>12</v>
      </c>
      <c r="G2721" s="5" t="s">
        <v>43</v>
      </c>
      <c r="H2721">
        <v>52</v>
      </c>
      <c r="I2721" s="4">
        <v>465816</v>
      </c>
      <c r="J2721" s="4">
        <v>276120</v>
      </c>
    </row>
    <row r="2722" spans="2:10" x14ac:dyDescent="0.3">
      <c r="B2722" s="7">
        <v>44409</v>
      </c>
      <c r="C2722" s="3">
        <f t="shared" si="84"/>
        <v>2021</v>
      </c>
      <c r="D2722" s="3">
        <f t="shared" si="85"/>
        <v>202108</v>
      </c>
      <c r="E2722" s="5" t="s">
        <v>4</v>
      </c>
      <c r="F2722" s="5" t="s">
        <v>12</v>
      </c>
      <c r="G2722" s="5" t="s">
        <v>43</v>
      </c>
      <c r="H2722">
        <v>44</v>
      </c>
      <c r="I2722" s="4">
        <v>434984</v>
      </c>
      <c r="J2722" s="4">
        <v>233640</v>
      </c>
    </row>
    <row r="2723" spans="2:10" x14ac:dyDescent="0.3">
      <c r="B2723" s="7">
        <v>44440</v>
      </c>
      <c r="C2723" s="3">
        <f t="shared" si="84"/>
        <v>2021</v>
      </c>
      <c r="D2723" s="3">
        <f t="shared" si="85"/>
        <v>202109</v>
      </c>
      <c r="E2723" s="5" t="s">
        <v>4</v>
      </c>
      <c r="F2723" s="5" t="s">
        <v>12</v>
      </c>
      <c r="G2723" s="5" t="s">
        <v>43</v>
      </c>
      <c r="H2723">
        <v>47</v>
      </c>
      <c r="I2723" s="4">
        <v>437993</v>
      </c>
      <c r="J2723" s="4">
        <v>249570</v>
      </c>
    </row>
    <row r="2724" spans="2:10" x14ac:dyDescent="0.3">
      <c r="B2724" s="7">
        <v>44470</v>
      </c>
      <c r="C2724" s="3">
        <f t="shared" si="84"/>
        <v>2021</v>
      </c>
      <c r="D2724" s="3">
        <f t="shared" si="85"/>
        <v>202110</v>
      </c>
      <c r="E2724" s="5" t="s">
        <v>4</v>
      </c>
      <c r="F2724" s="5" t="s">
        <v>12</v>
      </c>
      <c r="G2724" s="5" t="s">
        <v>43</v>
      </c>
      <c r="H2724">
        <v>38</v>
      </c>
      <c r="I2724" s="4">
        <v>383686</v>
      </c>
      <c r="J2724" s="4">
        <v>201780</v>
      </c>
    </row>
    <row r="2725" spans="2:10" x14ac:dyDescent="0.3">
      <c r="B2725" s="7">
        <v>44501</v>
      </c>
      <c r="C2725" s="3">
        <f t="shared" si="84"/>
        <v>2021</v>
      </c>
      <c r="D2725" s="3">
        <f t="shared" si="85"/>
        <v>202111</v>
      </c>
      <c r="E2725" s="5" t="s">
        <v>4</v>
      </c>
      <c r="F2725" s="5" t="s">
        <v>12</v>
      </c>
      <c r="G2725" s="5" t="s">
        <v>43</v>
      </c>
      <c r="H2725">
        <v>28</v>
      </c>
      <c r="I2725" s="4">
        <v>282660</v>
      </c>
      <c r="J2725" s="4">
        <v>148680</v>
      </c>
    </row>
    <row r="2726" spans="2:10" x14ac:dyDescent="0.3">
      <c r="B2726" s="7">
        <v>44531</v>
      </c>
      <c r="C2726" s="3">
        <f t="shared" si="84"/>
        <v>2021</v>
      </c>
      <c r="D2726" s="3">
        <f t="shared" si="85"/>
        <v>202112</v>
      </c>
      <c r="E2726" s="5" t="s">
        <v>4</v>
      </c>
      <c r="F2726" s="5" t="s">
        <v>12</v>
      </c>
      <c r="G2726" s="5" t="s">
        <v>43</v>
      </c>
      <c r="H2726">
        <v>33</v>
      </c>
      <c r="I2726" s="4">
        <v>310662</v>
      </c>
      <c r="J2726" s="4">
        <v>175230</v>
      </c>
    </row>
    <row r="2727" spans="2:10" x14ac:dyDescent="0.3">
      <c r="B2727" s="7">
        <v>44562</v>
      </c>
      <c r="C2727" s="3">
        <f t="shared" si="84"/>
        <v>2022</v>
      </c>
      <c r="D2727" s="3">
        <f t="shared" si="85"/>
        <v>202201</v>
      </c>
      <c r="E2727" s="5" t="s">
        <v>4</v>
      </c>
      <c r="F2727" s="5" t="s">
        <v>12</v>
      </c>
      <c r="G2727" s="5" t="s">
        <v>43</v>
      </c>
      <c r="H2727">
        <v>48</v>
      </c>
      <c r="I2727" s="4">
        <v>482064</v>
      </c>
      <c r="J2727" s="4">
        <v>254880</v>
      </c>
    </row>
    <row r="2728" spans="2:10" x14ac:dyDescent="0.3">
      <c r="B2728" s="7">
        <v>44593</v>
      </c>
      <c r="C2728" s="3">
        <f t="shared" si="84"/>
        <v>2022</v>
      </c>
      <c r="D2728" s="3">
        <f t="shared" si="85"/>
        <v>202202</v>
      </c>
      <c r="E2728" s="5" t="s">
        <v>4</v>
      </c>
      <c r="F2728" s="5" t="s">
        <v>12</v>
      </c>
      <c r="G2728" s="5" t="s">
        <v>43</v>
      </c>
      <c r="H2728">
        <v>30</v>
      </c>
      <c r="I2728" s="4">
        <v>322740</v>
      </c>
      <c r="J2728" s="4">
        <v>159300</v>
      </c>
    </row>
    <row r="2729" spans="2:10" x14ac:dyDescent="0.3">
      <c r="B2729" s="7">
        <v>44621</v>
      </c>
      <c r="C2729" s="3">
        <f t="shared" si="84"/>
        <v>2022</v>
      </c>
      <c r="D2729" s="3">
        <f t="shared" si="85"/>
        <v>202203</v>
      </c>
      <c r="E2729" s="5" t="s">
        <v>4</v>
      </c>
      <c r="F2729" s="5" t="s">
        <v>12</v>
      </c>
      <c r="G2729" s="5" t="s">
        <v>43</v>
      </c>
      <c r="H2729">
        <v>24</v>
      </c>
      <c r="I2729" s="4">
        <v>244440</v>
      </c>
      <c r="J2729" s="4">
        <v>127440</v>
      </c>
    </row>
    <row r="2730" spans="2:10" x14ac:dyDescent="0.3">
      <c r="B2730" s="7">
        <v>44652</v>
      </c>
      <c r="C2730" s="3">
        <f t="shared" si="84"/>
        <v>2022</v>
      </c>
      <c r="D2730" s="3">
        <f t="shared" si="85"/>
        <v>202204</v>
      </c>
      <c r="E2730" s="5" t="s">
        <v>4</v>
      </c>
      <c r="F2730" s="5" t="s">
        <v>12</v>
      </c>
      <c r="G2730" s="5" t="s">
        <v>43</v>
      </c>
      <c r="H2730">
        <v>45</v>
      </c>
      <c r="I2730" s="4">
        <v>492840</v>
      </c>
      <c r="J2730" s="4">
        <v>238950</v>
      </c>
    </row>
    <row r="2731" spans="2:10" x14ac:dyDescent="0.3">
      <c r="B2731" s="7">
        <v>44682</v>
      </c>
      <c r="C2731" s="3">
        <f t="shared" si="84"/>
        <v>2022</v>
      </c>
      <c r="D2731" s="3">
        <f t="shared" si="85"/>
        <v>202205</v>
      </c>
      <c r="E2731" s="5" t="s">
        <v>4</v>
      </c>
      <c r="F2731" s="5" t="s">
        <v>12</v>
      </c>
      <c r="G2731" s="5" t="s">
        <v>43</v>
      </c>
      <c r="H2731">
        <v>57</v>
      </c>
      <c r="I2731" s="4">
        <v>630306</v>
      </c>
      <c r="J2731" s="4">
        <v>302670</v>
      </c>
    </row>
    <row r="2732" spans="2:10" x14ac:dyDescent="0.3">
      <c r="B2732" s="7">
        <v>44713</v>
      </c>
      <c r="C2732" s="3">
        <f t="shared" si="84"/>
        <v>2022</v>
      </c>
      <c r="D2732" s="3">
        <f t="shared" si="85"/>
        <v>202206</v>
      </c>
      <c r="E2732" s="5" t="s">
        <v>4</v>
      </c>
      <c r="F2732" s="5" t="s">
        <v>12</v>
      </c>
      <c r="G2732" s="5" t="s">
        <v>43</v>
      </c>
      <c r="H2732">
        <v>54</v>
      </c>
      <c r="I2732" s="4">
        <v>573696</v>
      </c>
      <c r="J2732" s="4">
        <v>286740</v>
      </c>
    </row>
    <row r="2733" spans="2:10" x14ac:dyDescent="0.3">
      <c r="B2733" s="7">
        <v>44743</v>
      </c>
      <c r="C2733" s="3">
        <f t="shared" si="84"/>
        <v>2022</v>
      </c>
      <c r="D2733" s="3">
        <f t="shared" si="85"/>
        <v>202207</v>
      </c>
      <c r="E2733" s="5" t="s">
        <v>4</v>
      </c>
      <c r="F2733" s="5" t="s">
        <v>12</v>
      </c>
      <c r="G2733" s="5" t="s">
        <v>43</v>
      </c>
      <c r="H2733">
        <v>57</v>
      </c>
      <c r="I2733" s="4">
        <v>510891</v>
      </c>
      <c r="J2733" s="4">
        <v>302670</v>
      </c>
    </row>
    <row r="2734" spans="2:10" x14ac:dyDescent="0.3">
      <c r="B2734" s="7">
        <v>44774</v>
      </c>
      <c r="C2734" s="3">
        <f t="shared" si="84"/>
        <v>2022</v>
      </c>
      <c r="D2734" s="3">
        <f t="shared" si="85"/>
        <v>202208</v>
      </c>
      <c r="E2734" s="5" t="s">
        <v>4</v>
      </c>
      <c r="F2734" s="5" t="s">
        <v>12</v>
      </c>
      <c r="G2734" s="5" t="s">
        <v>43</v>
      </c>
      <c r="H2734">
        <v>48</v>
      </c>
      <c r="I2734" s="4">
        <v>450336</v>
      </c>
      <c r="J2734" s="4">
        <v>254880</v>
      </c>
    </row>
    <row r="2735" spans="2:10" x14ac:dyDescent="0.3">
      <c r="B2735" s="7">
        <v>44805</v>
      </c>
      <c r="C2735" s="3">
        <f t="shared" si="84"/>
        <v>2022</v>
      </c>
      <c r="D2735" s="3">
        <f t="shared" si="85"/>
        <v>202209</v>
      </c>
      <c r="E2735" s="5" t="s">
        <v>4</v>
      </c>
      <c r="F2735" s="5" t="s">
        <v>12</v>
      </c>
      <c r="G2735" s="5" t="s">
        <v>43</v>
      </c>
      <c r="H2735">
        <v>51</v>
      </c>
      <c r="I2735" s="4">
        <v>512703</v>
      </c>
      <c r="J2735" s="4">
        <v>270810</v>
      </c>
    </row>
    <row r="2736" spans="2:10" x14ac:dyDescent="0.3">
      <c r="B2736" s="7">
        <v>44835</v>
      </c>
      <c r="C2736" s="3">
        <f t="shared" si="84"/>
        <v>2022</v>
      </c>
      <c r="D2736" s="3">
        <f t="shared" si="85"/>
        <v>202210</v>
      </c>
      <c r="E2736" s="5" t="s">
        <v>4</v>
      </c>
      <c r="F2736" s="5" t="s">
        <v>12</v>
      </c>
      <c r="G2736" s="5" t="s">
        <v>43</v>
      </c>
      <c r="H2736">
        <v>42</v>
      </c>
      <c r="I2736" s="4">
        <v>448224</v>
      </c>
      <c r="J2736" s="4">
        <v>223020</v>
      </c>
    </row>
    <row r="2737" spans="2:10" x14ac:dyDescent="0.3">
      <c r="B2737" s="7">
        <v>44866</v>
      </c>
      <c r="C2737" s="3">
        <f t="shared" si="84"/>
        <v>2022</v>
      </c>
      <c r="D2737" s="3">
        <f t="shared" si="85"/>
        <v>202211</v>
      </c>
      <c r="E2737" s="5" t="s">
        <v>4</v>
      </c>
      <c r="F2737" s="5" t="s">
        <v>12</v>
      </c>
      <c r="G2737" s="5" t="s">
        <v>43</v>
      </c>
      <c r="H2737">
        <v>30</v>
      </c>
      <c r="I2737" s="4">
        <v>305880</v>
      </c>
      <c r="J2737" s="4">
        <v>159300</v>
      </c>
    </row>
    <row r="2738" spans="2:10" x14ac:dyDescent="0.3">
      <c r="B2738" s="7">
        <v>44896</v>
      </c>
      <c r="C2738" s="3">
        <f t="shared" si="84"/>
        <v>2022</v>
      </c>
      <c r="D2738" s="3">
        <f t="shared" si="85"/>
        <v>202212</v>
      </c>
      <c r="E2738" s="5" t="s">
        <v>4</v>
      </c>
      <c r="F2738" s="5" t="s">
        <v>12</v>
      </c>
      <c r="G2738" s="5" t="s">
        <v>43</v>
      </c>
      <c r="H2738">
        <v>36</v>
      </c>
      <c r="I2738" s="4">
        <v>339984</v>
      </c>
      <c r="J2738" s="4">
        <v>191160</v>
      </c>
    </row>
    <row r="2739" spans="2:10" x14ac:dyDescent="0.3">
      <c r="B2739" s="7">
        <v>44197</v>
      </c>
      <c r="C2739" s="3">
        <f t="shared" si="84"/>
        <v>2021</v>
      </c>
      <c r="D2739" s="3">
        <f t="shared" si="85"/>
        <v>202101</v>
      </c>
      <c r="E2739" s="5" t="s">
        <v>4</v>
      </c>
      <c r="F2739" s="5" t="s">
        <v>12</v>
      </c>
      <c r="G2739" s="5" t="s">
        <v>44</v>
      </c>
      <c r="H2739">
        <v>42</v>
      </c>
      <c r="I2739" s="4">
        <v>373800</v>
      </c>
      <c r="J2739" s="4">
        <v>135240</v>
      </c>
    </row>
    <row r="2740" spans="2:10" x14ac:dyDescent="0.3">
      <c r="B2740" s="7">
        <v>44228</v>
      </c>
      <c r="C2740" s="3">
        <f t="shared" si="84"/>
        <v>2021</v>
      </c>
      <c r="D2740" s="3">
        <f t="shared" si="85"/>
        <v>202102</v>
      </c>
      <c r="E2740" s="5" t="s">
        <v>4</v>
      </c>
      <c r="F2740" s="5" t="s">
        <v>12</v>
      </c>
      <c r="G2740" s="5" t="s">
        <v>44</v>
      </c>
      <c r="H2740">
        <v>26</v>
      </c>
      <c r="I2740" s="4">
        <v>230594</v>
      </c>
      <c r="J2740" s="4">
        <v>83720</v>
      </c>
    </row>
    <row r="2741" spans="2:10" x14ac:dyDescent="0.3">
      <c r="B2741" s="7">
        <v>44256</v>
      </c>
      <c r="C2741" s="3">
        <f t="shared" si="84"/>
        <v>2021</v>
      </c>
      <c r="D2741" s="3">
        <f t="shared" si="85"/>
        <v>202103</v>
      </c>
      <c r="E2741" s="5" t="s">
        <v>4</v>
      </c>
      <c r="F2741" s="5" t="s">
        <v>12</v>
      </c>
      <c r="G2741" s="5" t="s">
        <v>44</v>
      </c>
      <c r="H2741">
        <v>21</v>
      </c>
      <c r="I2741" s="4">
        <v>147966</v>
      </c>
      <c r="J2741" s="4">
        <v>67620</v>
      </c>
    </row>
    <row r="2742" spans="2:10" x14ac:dyDescent="0.3">
      <c r="B2742" s="7">
        <v>44287</v>
      </c>
      <c r="C2742" s="3">
        <f t="shared" si="84"/>
        <v>2021</v>
      </c>
      <c r="D2742" s="3">
        <f t="shared" si="85"/>
        <v>202104</v>
      </c>
      <c r="E2742" s="5" t="s">
        <v>4</v>
      </c>
      <c r="F2742" s="5" t="s">
        <v>12</v>
      </c>
      <c r="G2742" s="5" t="s">
        <v>44</v>
      </c>
      <c r="H2742">
        <v>39</v>
      </c>
      <c r="I2742" s="4">
        <v>363402</v>
      </c>
      <c r="J2742" s="4">
        <v>125580</v>
      </c>
    </row>
    <row r="2743" spans="2:10" x14ac:dyDescent="0.3">
      <c r="B2743" s="7">
        <v>44317</v>
      </c>
      <c r="C2743" s="3">
        <f t="shared" si="84"/>
        <v>2021</v>
      </c>
      <c r="D2743" s="3">
        <f t="shared" si="85"/>
        <v>202105</v>
      </c>
      <c r="E2743" s="5" t="s">
        <v>4</v>
      </c>
      <c r="F2743" s="5" t="s">
        <v>12</v>
      </c>
      <c r="G2743" s="5" t="s">
        <v>44</v>
      </c>
      <c r="H2743">
        <v>50</v>
      </c>
      <c r="I2743" s="4">
        <v>459900</v>
      </c>
      <c r="J2743" s="4">
        <v>161000</v>
      </c>
    </row>
    <row r="2744" spans="2:10" x14ac:dyDescent="0.3">
      <c r="B2744" s="7">
        <v>44348</v>
      </c>
      <c r="C2744" s="3">
        <f t="shared" si="84"/>
        <v>2021</v>
      </c>
      <c r="D2744" s="3">
        <f t="shared" si="85"/>
        <v>202106</v>
      </c>
      <c r="E2744" s="5" t="s">
        <v>4</v>
      </c>
      <c r="F2744" s="5" t="s">
        <v>12</v>
      </c>
      <c r="G2744" s="5" t="s">
        <v>44</v>
      </c>
      <c r="H2744">
        <v>47</v>
      </c>
      <c r="I2744" s="4">
        <v>396821</v>
      </c>
      <c r="J2744" s="4">
        <v>151340</v>
      </c>
    </row>
    <row r="2745" spans="2:10" x14ac:dyDescent="0.3">
      <c r="B2745" s="7">
        <v>44378</v>
      </c>
      <c r="C2745" s="3">
        <f t="shared" si="84"/>
        <v>2021</v>
      </c>
      <c r="D2745" s="3">
        <f t="shared" si="85"/>
        <v>202107</v>
      </c>
      <c r="E2745" s="5" t="s">
        <v>4</v>
      </c>
      <c r="F2745" s="5" t="s">
        <v>12</v>
      </c>
      <c r="G2745" s="5" t="s">
        <v>44</v>
      </c>
      <c r="H2745">
        <v>50</v>
      </c>
      <c r="I2745" s="4">
        <v>342550</v>
      </c>
      <c r="J2745" s="4">
        <v>161000</v>
      </c>
    </row>
    <row r="2746" spans="2:10" x14ac:dyDescent="0.3">
      <c r="B2746" s="7">
        <v>44409</v>
      </c>
      <c r="C2746" s="3">
        <f t="shared" si="84"/>
        <v>2021</v>
      </c>
      <c r="D2746" s="3">
        <f t="shared" si="85"/>
        <v>202108</v>
      </c>
      <c r="E2746" s="5" t="s">
        <v>4</v>
      </c>
      <c r="F2746" s="5" t="s">
        <v>12</v>
      </c>
      <c r="G2746" s="5" t="s">
        <v>44</v>
      </c>
      <c r="H2746">
        <v>42</v>
      </c>
      <c r="I2746" s="4">
        <v>323736</v>
      </c>
      <c r="J2746" s="4">
        <v>135240</v>
      </c>
    </row>
    <row r="2747" spans="2:10" x14ac:dyDescent="0.3">
      <c r="B2747" s="7">
        <v>44440</v>
      </c>
      <c r="C2747" s="3">
        <f t="shared" si="84"/>
        <v>2021</v>
      </c>
      <c r="D2747" s="3">
        <f t="shared" si="85"/>
        <v>202109</v>
      </c>
      <c r="E2747" s="5" t="s">
        <v>4</v>
      </c>
      <c r="F2747" s="5" t="s">
        <v>12</v>
      </c>
      <c r="G2747" s="5" t="s">
        <v>44</v>
      </c>
      <c r="H2747">
        <v>44</v>
      </c>
      <c r="I2747" s="4">
        <v>325820</v>
      </c>
      <c r="J2747" s="4">
        <v>141680</v>
      </c>
    </row>
    <row r="2748" spans="2:10" x14ac:dyDescent="0.3">
      <c r="B2748" s="7">
        <v>44470</v>
      </c>
      <c r="C2748" s="3">
        <f t="shared" si="84"/>
        <v>2021</v>
      </c>
      <c r="D2748" s="3">
        <f t="shared" si="85"/>
        <v>202110</v>
      </c>
      <c r="E2748" s="5" t="s">
        <v>4</v>
      </c>
      <c r="F2748" s="5" t="s">
        <v>12</v>
      </c>
      <c r="G2748" s="5" t="s">
        <v>44</v>
      </c>
      <c r="H2748">
        <v>37</v>
      </c>
      <c r="I2748" s="4">
        <v>309135</v>
      </c>
      <c r="J2748" s="4">
        <v>119140</v>
      </c>
    </row>
    <row r="2749" spans="2:10" x14ac:dyDescent="0.3">
      <c r="B2749" s="7">
        <v>44501</v>
      </c>
      <c r="C2749" s="3">
        <f t="shared" si="84"/>
        <v>2021</v>
      </c>
      <c r="D2749" s="3">
        <f t="shared" si="85"/>
        <v>202111</v>
      </c>
      <c r="E2749" s="5" t="s">
        <v>4</v>
      </c>
      <c r="F2749" s="5" t="s">
        <v>12</v>
      </c>
      <c r="G2749" s="5" t="s">
        <v>44</v>
      </c>
      <c r="H2749">
        <v>26</v>
      </c>
      <c r="I2749" s="4">
        <v>208806</v>
      </c>
      <c r="J2749" s="4">
        <v>83720</v>
      </c>
    </row>
    <row r="2750" spans="2:10" x14ac:dyDescent="0.3">
      <c r="B2750" s="7">
        <v>44531</v>
      </c>
      <c r="C2750" s="3">
        <f t="shared" si="84"/>
        <v>2021</v>
      </c>
      <c r="D2750" s="3">
        <f t="shared" si="85"/>
        <v>202112</v>
      </c>
      <c r="E2750" s="5" t="s">
        <v>4</v>
      </c>
      <c r="F2750" s="5" t="s">
        <v>12</v>
      </c>
      <c r="G2750" s="5" t="s">
        <v>44</v>
      </c>
      <c r="H2750">
        <v>31</v>
      </c>
      <c r="I2750" s="4">
        <v>223045</v>
      </c>
      <c r="J2750" s="4">
        <v>99820</v>
      </c>
    </row>
    <row r="2751" spans="2:10" x14ac:dyDescent="0.3">
      <c r="B2751" s="7">
        <v>44562</v>
      </c>
      <c r="C2751" s="3">
        <f t="shared" si="84"/>
        <v>2022</v>
      </c>
      <c r="D2751" s="3">
        <f t="shared" si="85"/>
        <v>202201</v>
      </c>
      <c r="E2751" s="5" t="s">
        <v>4</v>
      </c>
      <c r="F2751" s="5" t="s">
        <v>12</v>
      </c>
      <c r="G2751" s="5" t="s">
        <v>44</v>
      </c>
      <c r="H2751">
        <v>46</v>
      </c>
      <c r="I2751" s="4">
        <v>356730</v>
      </c>
      <c r="J2751" s="4">
        <v>148120</v>
      </c>
    </row>
    <row r="2752" spans="2:10" x14ac:dyDescent="0.3">
      <c r="B2752" s="7">
        <v>44593</v>
      </c>
      <c r="C2752" s="3">
        <f t="shared" si="84"/>
        <v>2022</v>
      </c>
      <c r="D2752" s="3">
        <f t="shared" si="85"/>
        <v>202202</v>
      </c>
      <c r="E2752" s="5" t="s">
        <v>4</v>
      </c>
      <c r="F2752" s="5" t="s">
        <v>12</v>
      </c>
      <c r="G2752" s="5" t="s">
        <v>44</v>
      </c>
      <c r="H2752">
        <v>29</v>
      </c>
      <c r="I2752" s="4">
        <v>241454</v>
      </c>
      <c r="J2752" s="4">
        <v>93380</v>
      </c>
    </row>
    <row r="2753" spans="2:10" x14ac:dyDescent="0.3">
      <c r="B2753" s="7">
        <v>44621</v>
      </c>
      <c r="C2753" s="3">
        <f t="shared" si="84"/>
        <v>2022</v>
      </c>
      <c r="D2753" s="3">
        <f t="shared" si="85"/>
        <v>202203</v>
      </c>
      <c r="E2753" s="5" t="s">
        <v>4</v>
      </c>
      <c r="F2753" s="5" t="s">
        <v>12</v>
      </c>
      <c r="G2753" s="5" t="s">
        <v>44</v>
      </c>
      <c r="H2753">
        <v>23</v>
      </c>
      <c r="I2753" s="4">
        <v>178434</v>
      </c>
      <c r="J2753" s="4">
        <v>74060</v>
      </c>
    </row>
    <row r="2754" spans="2:10" x14ac:dyDescent="0.3">
      <c r="B2754" s="7">
        <v>44652</v>
      </c>
      <c r="C2754" s="3">
        <f t="shared" si="84"/>
        <v>2022</v>
      </c>
      <c r="D2754" s="3">
        <f t="shared" si="85"/>
        <v>202204</v>
      </c>
      <c r="E2754" s="5" t="s">
        <v>4</v>
      </c>
      <c r="F2754" s="5" t="s">
        <v>12</v>
      </c>
      <c r="G2754" s="5" t="s">
        <v>44</v>
      </c>
      <c r="H2754">
        <v>43</v>
      </c>
      <c r="I2754" s="4">
        <v>396546</v>
      </c>
      <c r="J2754" s="4">
        <v>138460</v>
      </c>
    </row>
    <row r="2755" spans="2:10" x14ac:dyDescent="0.3">
      <c r="B2755" s="7">
        <v>44682</v>
      </c>
      <c r="C2755" s="3">
        <f t="shared" ref="C2755:C2818" si="86">YEAR(B2755)</f>
        <v>2022</v>
      </c>
      <c r="D2755" s="3">
        <f t="shared" ref="D2755:D2818" si="87">VALUE(TEXT(B2755,"ГГГГММ"))</f>
        <v>202205</v>
      </c>
      <c r="E2755" s="5" t="s">
        <v>4</v>
      </c>
      <c r="F2755" s="5" t="s">
        <v>12</v>
      </c>
      <c r="G2755" s="5" t="s">
        <v>44</v>
      </c>
      <c r="H2755">
        <v>54</v>
      </c>
      <c r="I2755" s="4">
        <v>470934</v>
      </c>
      <c r="J2755" s="4">
        <v>173880</v>
      </c>
    </row>
    <row r="2756" spans="2:10" x14ac:dyDescent="0.3">
      <c r="B2756" s="7">
        <v>44713</v>
      </c>
      <c r="C2756" s="3">
        <f t="shared" si="86"/>
        <v>2022</v>
      </c>
      <c r="D2756" s="3">
        <f t="shared" si="87"/>
        <v>202206</v>
      </c>
      <c r="E2756" s="5" t="s">
        <v>4</v>
      </c>
      <c r="F2756" s="5" t="s">
        <v>12</v>
      </c>
      <c r="G2756" s="5" t="s">
        <v>44</v>
      </c>
      <c r="H2756">
        <v>52</v>
      </c>
      <c r="I2756" s="4">
        <v>430404</v>
      </c>
      <c r="J2756" s="4">
        <v>167440</v>
      </c>
    </row>
    <row r="2757" spans="2:10" x14ac:dyDescent="0.3">
      <c r="B2757" s="7">
        <v>44743</v>
      </c>
      <c r="C2757" s="3">
        <f t="shared" si="86"/>
        <v>2022</v>
      </c>
      <c r="D2757" s="3">
        <f t="shared" si="87"/>
        <v>202207</v>
      </c>
      <c r="E2757" s="5" t="s">
        <v>4</v>
      </c>
      <c r="F2757" s="5" t="s">
        <v>12</v>
      </c>
      <c r="G2757" s="5" t="s">
        <v>44</v>
      </c>
      <c r="H2757">
        <v>54</v>
      </c>
      <c r="I2757" s="4">
        <v>361476</v>
      </c>
      <c r="J2757" s="4">
        <v>173880</v>
      </c>
    </row>
    <row r="2758" spans="2:10" x14ac:dyDescent="0.3">
      <c r="B2758" s="7">
        <v>44774</v>
      </c>
      <c r="C2758" s="3">
        <f t="shared" si="86"/>
        <v>2022</v>
      </c>
      <c r="D2758" s="3">
        <f t="shared" si="87"/>
        <v>202208</v>
      </c>
      <c r="E2758" s="5" t="s">
        <v>4</v>
      </c>
      <c r="F2758" s="5" t="s">
        <v>12</v>
      </c>
      <c r="G2758" s="5" t="s">
        <v>44</v>
      </c>
      <c r="H2758">
        <v>46</v>
      </c>
      <c r="I2758" s="4">
        <v>356868</v>
      </c>
      <c r="J2758" s="4">
        <v>148120</v>
      </c>
    </row>
    <row r="2759" spans="2:10" x14ac:dyDescent="0.3">
      <c r="B2759" s="7">
        <v>44805</v>
      </c>
      <c r="C2759" s="3">
        <f t="shared" si="86"/>
        <v>2022</v>
      </c>
      <c r="D2759" s="3">
        <f t="shared" si="87"/>
        <v>202209</v>
      </c>
      <c r="E2759" s="5" t="s">
        <v>4</v>
      </c>
      <c r="F2759" s="5" t="s">
        <v>12</v>
      </c>
      <c r="G2759" s="5" t="s">
        <v>44</v>
      </c>
      <c r="H2759">
        <v>49</v>
      </c>
      <c r="I2759" s="4">
        <v>375879</v>
      </c>
      <c r="J2759" s="4">
        <v>157780</v>
      </c>
    </row>
    <row r="2760" spans="2:10" x14ac:dyDescent="0.3">
      <c r="B2760" s="7">
        <v>44835</v>
      </c>
      <c r="C2760" s="3">
        <f t="shared" si="86"/>
        <v>2022</v>
      </c>
      <c r="D2760" s="3">
        <f t="shared" si="87"/>
        <v>202210</v>
      </c>
      <c r="E2760" s="5" t="s">
        <v>4</v>
      </c>
      <c r="F2760" s="5" t="s">
        <v>12</v>
      </c>
      <c r="G2760" s="5" t="s">
        <v>44</v>
      </c>
      <c r="H2760">
        <v>40</v>
      </c>
      <c r="I2760" s="4">
        <v>353640</v>
      </c>
      <c r="J2760" s="4">
        <v>128800</v>
      </c>
    </row>
    <row r="2761" spans="2:10" x14ac:dyDescent="0.3">
      <c r="B2761" s="7">
        <v>44866</v>
      </c>
      <c r="C2761" s="3">
        <f t="shared" si="86"/>
        <v>2022</v>
      </c>
      <c r="D2761" s="3">
        <f t="shared" si="87"/>
        <v>202211</v>
      </c>
      <c r="E2761" s="5" t="s">
        <v>4</v>
      </c>
      <c r="F2761" s="5" t="s">
        <v>12</v>
      </c>
      <c r="G2761" s="5" t="s">
        <v>44</v>
      </c>
      <c r="H2761">
        <v>29</v>
      </c>
      <c r="I2761" s="4">
        <v>235654</v>
      </c>
      <c r="J2761" s="4">
        <v>93380</v>
      </c>
    </row>
    <row r="2762" spans="2:10" x14ac:dyDescent="0.3">
      <c r="B2762" s="7">
        <v>44896</v>
      </c>
      <c r="C2762" s="3">
        <f t="shared" si="86"/>
        <v>2022</v>
      </c>
      <c r="D2762" s="3">
        <f t="shared" si="87"/>
        <v>202212</v>
      </c>
      <c r="E2762" s="5" t="s">
        <v>4</v>
      </c>
      <c r="F2762" s="5" t="s">
        <v>12</v>
      </c>
      <c r="G2762" s="5" t="s">
        <v>44</v>
      </c>
      <c r="H2762">
        <v>35</v>
      </c>
      <c r="I2762" s="4">
        <v>267925</v>
      </c>
      <c r="J2762" s="4">
        <v>112700</v>
      </c>
    </row>
    <row r="2763" spans="2:10" x14ac:dyDescent="0.3">
      <c r="B2763" s="7">
        <v>44197</v>
      </c>
      <c r="C2763" s="3">
        <f t="shared" si="86"/>
        <v>2021</v>
      </c>
      <c r="D2763" s="3">
        <f t="shared" si="87"/>
        <v>202101</v>
      </c>
      <c r="E2763" s="5" t="s">
        <v>4</v>
      </c>
      <c r="F2763" s="5" t="s">
        <v>12</v>
      </c>
      <c r="G2763" s="5" t="s">
        <v>45</v>
      </c>
      <c r="H2763">
        <v>52</v>
      </c>
      <c r="I2763" s="4">
        <v>403312</v>
      </c>
      <c r="J2763" s="4">
        <v>172380</v>
      </c>
    </row>
    <row r="2764" spans="2:10" x14ac:dyDescent="0.3">
      <c r="B2764" s="7">
        <v>44228</v>
      </c>
      <c r="C2764" s="3">
        <f t="shared" si="86"/>
        <v>2021</v>
      </c>
      <c r="D2764" s="3">
        <f t="shared" si="87"/>
        <v>202102</v>
      </c>
      <c r="E2764" s="5" t="s">
        <v>4</v>
      </c>
      <c r="F2764" s="5" t="s">
        <v>12</v>
      </c>
      <c r="G2764" s="5" t="s">
        <v>45</v>
      </c>
      <c r="H2764">
        <v>33</v>
      </c>
      <c r="I2764" s="4">
        <v>281754</v>
      </c>
      <c r="J2764" s="4">
        <v>109395</v>
      </c>
    </row>
    <row r="2765" spans="2:10" x14ac:dyDescent="0.3">
      <c r="B2765" s="7">
        <v>44256</v>
      </c>
      <c r="C2765" s="3">
        <f t="shared" si="86"/>
        <v>2021</v>
      </c>
      <c r="D2765" s="3">
        <f t="shared" si="87"/>
        <v>202103</v>
      </c>
      <c r="E2765" s="5" t="s">
        <v>4</v>
      </c>
      <c r="F2765" s="5" t="s">
        <v>12</v>
      </c>
      <c r="G2765" s="5" t="s">
        <v>45</v>
      </c>
      <c r="H2765">
        <v>26</v>
      </c>
      <c r="I2765" s="4">
        <v>184392</v>
      </c>
      <c r="J2765" s="4">
        <v>86190</v>
      </c>
    </row>
    <row r="2766" spans="2:10" x14ac:dyDescent="0.3">
      <c r="B2766" s="7">
        <v>44287</v>
      </c>
      <c r="C2766" s="3">
        <f t="shared" si="86"/>
        <v>2021</v>
      </c>
      <c r="D2766" s="3">
        <f t="shared" si="87"/>
        <v>202104</v>
      </c>
      <c r="E2766" s="5" t="s">
        <v>4</v>
      </c>
      <c r="F2766" s="5" t="s">
        <v>12</v>
      </c>
      <c r="G2766" s="5" t="s">
        <v>45</v>
      </c>
      <c r="H2766">
        <v>49</v>
      </c>
      <c r="I2766" s="4">
        <v>407337</v>
      </c>
      <c r="J2766" s="4">
        <v>162435</v>
      </c>
    </row>
    <row r="2767" spans="2:10" x14ac:dyDescent="0.3">
      <c r="B2767" s="7">
        <v>44317</v>
      </c>
      <c r="C2767" s="3">
        <f t="shared" si="86"/>
        <v>2021</v>
      </c>
      <c r="D2767" s="3">
        <f t="shared" si="87"/>
        <v>202105</v>
      </c>
      <c r="E2767" s="5" t="s">
        <v>4</v>
      </c>
      <c r="F2767" s="5" t="s">
        <v>12</v>
      </c>
      <c r="G2767" s="5" t="s">
        <v>45</v>
      </c>
      <c r="H2767">
        <v>62</v>
      </c>
      <c r="I2767" s="4">
        <v>540206</v>
      </c>
      <c r="J2767" s="4">
        <v>205530</v>
      </c>
    </row>
    <row r="2768" spans="2:10" x14ac:dyDescent="0.3">
      <c r="B2768" s="7">
        <v>44348</v>
      </c>
      <c r="C2768" s="3">
        <f t="shared" si="86"/>
        <v>2021</v>
      </c>
      <c r="D2768" s="3">
        <f t="shared" si="87"/>
        <v>202106</v>
      </c>
      <c r="E2768" s="5" t="s">
        <v>4</v>
      </c>
      <c r="F2768" s="5" t="s">
        <v>12</v>
      </c>
      <c r="G2768" s="5" t="s">
        <v>45</v>
      </c>
      <c r="H2768">
        <v>58</v>
      </c>
      <c r="I2768" s="4">
        <v>470728</v>
      </c>
      <c r="J2768" s="4">
        <v>192270</v>
      </c>
    </row>
    <row r="2769" spans="2:10" x14ac:dyDescent="0.3">
      <c r="B2769" s="7">
        <v>44378</v>
      </c>
      <c r="C2769" s="3">
        <f t="shared" si="86"/>
        <v>2021</v>
      </c>
      <c r="D2769" s="3">
        <f t="shared" si="87"/>
        <v>202107</v>
      </c>
      <c r="E2769" s="5" t="s">
        <v>4</v>
      </c>
      <c r="F2769" s="5" t="s">
        <v>12</v>
      </c>
      <c r="G2769" s="5" t="s">
        <v>45</v>
      </c>
      <c r="H2769">
        <v>62</v>
      </c>
      <c r="I2769" s="4">
        <v>402566</v>
      </c>
      <c r="J2769" s="4">
        <v>205530</v>
      </c>
    </row>
    <row r="2770" spans="2:10" x14ac:dyDescent="0.3">
      <c r="B2770" s="7">
        <v>44409</v>
      </c>
      <c r="C2770" s="3">
        <f t="shared" si="86"/>
        <v>2021</v>
      </c>
      <c r="D2770" s="3">
        <f t="shared" si="87"/>
        <v>202108</v>
      </c>
      <c r="E2770" s="5" t="s">
        <v>4</v>
      </c>
      <c r="F2770" s="5" t="s">
        <v>12</v>
      </c>
      <c r="G2770" s="5" t="s">
        <v>45</v>
      </c>
      <c r="H2770">
        <v>52</v>
      </c>
      <c r="I2770" s="4">
        <v>370968</v>
      </c>
      <c r="J2770" s="4">
        <v>172380</v>
      </c>
    </row>
    <row r="2771" spans="2:10" x14ac:dyDescent="0.3">
      <c r="B2771" s="7">
        <v>44440</v>
      </c>
      <c r="C2771" s="3">
        <f t="shared" si="86"/>
        <v>2021</v>
      </c>
      <c r="D2771" s="3">
        <f t="shared" si="87"/>
        <v>202109</v>
      </c>
      <c r="E2771" s="5" t="s">
        <v>4</v>
      </c>
      <c r="F2771" s="5" t="s">
        <v>12</v>
      </c>
      <c r="G2771" s="5" t="s">
        <v>45</v>
      </c>
      <c r="H2771">
        <v>55</v>
      </c>
      <c r="I2771" s="4">
        <v>387860</v>
      </c>
      <c r="J2771" s="4">
        <v>182325</v>
      </c>
    </row>
    <row r="2772" spans="2:10" x14ac:dyDescent="0.3">
      <c r="B2772" s="7">
        <v>44470</v>
      </c>
      <c r="C2772" s="3">
        <f t="shared" si="86"/>
        <v>2021</v>
      </c>
      <c r="D2772" s="3">
        <f t="shared" si="87"/>
        <v>202110</v>
      </c>
      <c r="E2772" s="5" t="s">
        <v>4</v>
      </c>
      <c r="F2772" s="5" t="s">
        <v>12</v>
      </c>
      <c r="G2772" s="5" t="s">
        <v>45</v>
      </c>
      <c r="H2772">
        <v>45</v>
      </c>
      <c r="I2772" s="4">
        <v>343845</v>
      </c>
      <c r="J2772" s="4">
        <v>149175</v>
      </c>
    </row>
    <row r="2773" spans="2:10" x14ac:dyDescent="0.3">
      <c r="B2773" s="7">
        <v>44501</v>
      </c>
      <c r="C2773" s="3">
        <f t="shared" si="86"/>
        <v>2021</v>
      </c>
      <c r="D2773" s="3">
        <f t="shared" si="87"/>
        <v>202111</v>
      </c>
      <c r="E2773" s="5" t="s">
        <v>4</v>
      </c>
      <c r="F2773" s="5" t="s">
        <v>12</v>
      </c>
      <c r="G2773" s="5" t="s">
        <v>45</v>
      </c>
      <c r="H2773">
        <v>33</v>
      </c>
      <c r="I2773" s="4">
        <v>262482</v>
      </c>
      <c r="J2773" s="4">
        <v>109395</v>
      </c>
    </row>
    <row r="2774" spans="2:10" x14ac:dyDescent="0.3">
      <c r="B2774" s="7">
        <v>44531</v>
      </c>
      <c r="C2774" s="3">
        <f t="shared" si="86"/>
        <v>2021</v>
      </c>
      <c r="D2774" s="3">
        <f t="shared" si="87"/>
        <v>202112</v>
      </c>
      <c r="E2774" s="5" t="s">
        <v>4</v>
      </c>
      <c r="F2774" s="5" t="s">
        <v>12</v>
      </c>
      <c r="G2774" s="5" t="s">
        <v>45</v>
      </c>
      <c r="H2774">
        <v>39</v>
      </c>
      <c r="I2774" s="4">
        <v>282009</v>
      </c>
      <c r="J2774" s="4">
        <v>129285</v>
      </c>
    </row>
    <row r="2775" spans="2:10" x14ac:dyDescent="0.3">
      <c r="B2775" s="7">
        <v>44562</v>
      </c>
      <c r="C2775" s="3">
        <f t="shared" si="86"/>
        <v>2022</v>
      </c>
      <c r="D2775" s="3">
        <f t="shared" si="87"/>
        <v>202201</v>
      </c>
      <c r="E2775" s="5" t="s">
        <v>4</v>
      </c>
      <c r="F2775" s="5" t="s">
        <v>12</v>
      </c>
      <c r="G2775" s="5" t="s">
        <v>45</v>
      </c>
      <c r="H2775">
        <v>57</v>
      </c>
      <c r="I2775" s="4">
        <v>473499</v>
      </c>
      <c r="J2775" s="4">
        <v>188955</v>
      </c>
    </row>
    <row r="2776" spans="2:10" x14ac:dyDescent="0.3">
      <c r="B2776" s="7">
        <v>44593</v>
      </c>
      <c r="C2776" s="3">
        <f t="shared" si="86"/>
        <v>2022</v>
      </c>
      <c r="D2776" s="3">
        <f t="shared" si="87"/>
        <v>202202</v>
      </c>
      <c r="E2776" s="5" t="s">
        <v>4</v>
      </c>
      <c r="F2776" s="5" t="s">
        <v>12</v>
      </c>
      <c r="G2776" s="5" t="s">
        <v>45</v>
      </c>
      <c r="H2776">
        <v>36</v>
      </c>
      <c r="I2776" s="4">
        <v>274428</v>
      </c>
      <c r="J2776" s="4">
        <v>119340</v>
      </c>
    </row>
    <row r="2777" spans="2:10" x14ac:dyDescent="0.3">
      <c r="B2777" s="7">
        <v>44621</v>
      </c>
      <c r="C2777" s="3">
        <f t="shared" si="86"/>
        <v>2022</v>
      </c>
      <c r="D2777" s="3">
        <f t="shared" si="87"/>
        <v>202203</v>
      </c>
      <c r="E2777" s="5" t="s">
        <v>4</v>
      </c>
      <c r="F2777" s="5" t="s">
        <v>12</v>
      </c>
      <c r="G2777" s="5" t="s">
        <v>45</v>
      </c>
      <c r="H2777">
        <v>29</v>
      </c>
      <c r="I2777" s="4">
        <v>206509</v>
      </c>
      <c r="J2777" s="4">
        <v>96135</v>
      </c>
    </row>
    <row r="2778" spans="2:10" x14ac:dyDescent="0.3">
      <c r="B2778" s="7">
        <v>44652</v>
      </c>
      <c r="C2778" s="3">
        <f t="shared" si="86"/>
        <v>2022</v>
      </c>
      <c r="D2778" s="3">
        <f t="shared" si="87"/>
        <v>202204</v>
      </c>
      <c r="E2778" s="5" t="s">
        <v>4</v>
      </c>
      <c r="F2778" s="5" t="s">
        <v>12</v>
      </c>
      <c r="G2778" s="5" t="s">
        <v>45</v>
      </c>
      <c r="H2778">
        <v>54</v>
      </c>
      <c r="I2778" s="4">
        <v>416664</v>
      </c>
      <c r="J2778" s="4">
        <v>179010</v>
      </c>
    </row>
    <row r="2779" spans="2:10" x14ac:dyDescent="0.3">
      <c r="B2779" s="7">
        <v>44682</v>
      </c>
      <c r="C2779" s="3">
        <f t="shared" si="86"/>
        <v>2022</v>
      </c>
      <c r="D2779" s="3">
        <f t="shared" si="87"/>
        <v>202205</v>
      </c>
      <c r="E2779" s="5" t="s">
        <v>4</v>
      </c>
      <c r="F2779" s="5" t="s">
        <v>12</v>
      </c>
      <c r="G2779" s="5" t="s">
        <v>45</v>
      </c>
      <c r="H2779">
        <v>68</v>
      </c>
      <c r="I2779" s="4">
        <v>536044</v>
      </c>
      <c r="J2779" s="4">
        <v>225420</v>
      </c>
    </row>
    <row r="2780" spans="2:10" x14ac:dyDescent="0.3">
      <c r="B2780" s="7">
        <v>44713</v>
      </c>
      <c r="C2780" s="3">
        <f t="shared" si="86"/>
        <v>2022</v>
      </c>
      <c r="D2780" s="3">
        <f t="shared" si="87"/>
        <v>202206</v>
      </c>
      <c r="E2780" s="5" t="s">
        <v>4</v>
      </c>
      <c r="F2780" s="5" t="s">
        <v>12</v>
      </c>
      <c r="G2780" s="5" t="s">
        <v>45</v>
      </c>
      <c r="H2780">
        <v>64</v>
      </c>
      <c r="I2780" s="4">
        <v>525120</v>
      </c>
      <c r="J2780" s="4">
        <v>212160</v>
      </c>
    </row>
    <row r="2781" spans="2:10" x14ac:dyDescent="0.3">
      <c r="B2781" s="7">
        <v>44743</v>
      </c>
      <c r="C2781" s="3">
        <f t="shared" si="86"/>
        <v>2022</v>
      </c>
      <c r="D2781" s="3">
        <f t="shared" si="87"/>
        <v>202207</v>
      </c>
      <c r="E2781" s="5" t="s">
        <v>4</v>
      </c>
      <c r="F2781" s="5" t="s">
        <v>12</v>
      </c>
      <c r="G2781" s="5" t="s">
        <v>45</v>
      </c>
      <c r="H2781">
        <v>68</v>
      </c>
      <c r="I2781" s="4">
        <v>434384</v>
      </c>
      <c r="J2781" s="4">
        <v>225420</v>
      </c>
    </row>
    <row r="2782" spans="2:10" x14ac:dyDescent="0.3">
      <c r="B2782" s="7">
        <v>44774</v>
      </c>
      <c r="C2782" s="3">
        <f t="shared" si="86"/>
        <v>2022</v>
      </c>
      <c r="D2782" s="3">
        <f t="shared" si="87"/>
        <v>202208</v>
      </c>
      <c r="E2782" s="5" t="s">
        <v>4</v>
      </c>
      <c r="F2782" s="5" t="s">
        <v>12</v>
      </c>
      <c r="G2782" s="5" t="s">
        <v>45</v>
      </c>
      <c r="H2782">
        <v>57</v>
      </c>
      <c r="I2782" s="4">
        <v>451611</v>
      </c>
      <c r="J2782" s="4">
        <v>188955</v>
      </c>
    </row>
    <row r="2783" spans="2:10" x14ac:dyDescent="0.3">
      <c r="B2783" s="7">
        <v>44805</v>
      </c>
      <c r="C2783" s="3">
        <f t="shared" si="86"/>
        <v>2022</v>
      </c>
      <c r="D2783" s="3">
        <f t="shared" si="87"/>
        <v>202209</v>
      </c>
      <c r="E2783" s="5" t="s">
        <v>4</v>
      </c>
      <c r="F2783" s="5" t="s">
        <v>12</v>
      </c>
      <c r="G2783" s="5" t="s">
        <v>45</v>
      </c>
      <c r="H2783">
        <v>61</v>
      </c>
      <c r="I2783" s="4">
        <v>455975</v>
      </c>
      <c r="J2783" s="4">
        <v>202215</v>
      </c>
    </row>
    <row r="2784" spans="2:10" x14ac:dyDescent="0.3">
      <c r="B2784" s="7">
        <v>44835</v>
      </c>
      <c r="C2784" s="3">
        <f t="shared" si="86"/>
        <v>2022</v>
      </c>
      <c r="D2784" s="3">
        <f t="shared" si="87"/>
        <v>202210</v>
      </c>
      <c r="E2784" s="5" t="s">
        <v>4</v>
      </c>
      <c r="F2784" s="5" t="s">
        <v>12</v>
      </c>
      <c r="G2784" s="5" t="s">
        <v>45</v>
      </c>
      <c r="H2784">
        <v>50</v>
      </c>
      <c r="I2784" s="4">
        <v>407000</v>
      </c>
      <c r="J2784" s="4">
        <v>165750</v>
      </c>
    </row>
    <row r="2785" spans="2:10" x14ac:dyDescent="0.3">
      <c r="B2785" s="7">
        <v>44866</v>
      </c>
      <c r="C2785" s="3">
        <f t="shared" si="86"/>
        <v>2022</v>
      </c>
      <c r="D2785" s="3">
        <f t="shared" si="87"/>
        <v>202211</v>
      </c>
      <c r="E2785" s="5" t="s">
        <v>4</v>
      </c>
      <c r="F2785" s="5" t="s">
        <v>12</v>
      </c>
      <c r="G2785" s="5" t="s">
        <v>45</v>
      </c>
      <c r="H2785">
        <v>36</v>
      </c>
      <c r="I2785" s="4">
        <v>261360</v>
      </c>
      <c r="J2785" s="4">
        <v>119340</v>
      </c>
    </row>
    <row r="2786" spans="2:10" x14ac:dyDescent="0.3">
      <c r="B2786" s="7">
        <v>44896</v>
      </c>
      <c r="C2786" s="3">
        <f t="shared" si="86"/>
        <v>2022</v>
      </c>
      <c r="D2786" s="3">
        <f t="shared" si="87"/>
        <v>202212</v>
      </c>
      <c r="E2786" s="5" t="s">
        <v>4</v>
      </c>
      <c r="F2786" s="5" t="s">
        <v>12</v>
      </c>
      <c r="G2786" s="5" t="s">
        <v>45</v>
      </c>
      <c r="H2786">
        <v>43</v>
      </c>
      <c r="I2786" s="4">
        <v>330713</v>
      </c>
      <c r="J2786" s="4">
        <v>142545</v>
      </c>
    </row>
    <row r="2787" spans="2:10" x14ac:dyDescent="0.3">
      <c r="B2787" s="7">
        <v>44197</v>
      </c>
      <c r="C2787" s="3">
        <f t="shared" si="86"/>
        <v>2021</v>
      </c>
      <c r="D2787" s="3">
        <f t="shared" si="87"/>
        <v>202101</v>
      </c>
      <c r="E2787" s="5" t="s">
        <v>4</v>
      </c>
      <c r="F2787" s="5" t="s">
        <v>12</v>
      </c>
      <c r="G2787" s="5" t="s">
        <v>46</v>
      </c>
      <c r="H2787">
        <v>57</v>
      </c>
      <c r="I2787" s="4">
        <v>612066</v>
      </c>
      <c r="J2787" s="4">
        <v>267900</v>
      </c>
    </row>
    <row r="2788" spans="2:10" x14ac:dyDescent="0.3">
      <c r="B2788" s="7">
        <v>44228</v>
      </c>
      <c r="C2788" s="3">
        <f t="shared" si="86"/>
        <v>2021</v>
      </c>
      <c r="D2788" s="3">
        <f t="shared" si="87"/>
        <v>202102</v>
      </c>
      <c r="E2788" s="5" t="s">
        <v>4</v>
      </c>
      <c r="F2788" s="5" t="s">
        <v>12</v>
      </c>
      <c r="G2788" s="5" t="s">
        <v>46</v>
      </c>
      <c r="H2788">
        <v>36</v>
      </c>
      <c r="I2788" s="4">
        <v>409284</v>
      </c>
      <c r="J2788" s="4">
        <v>169200</v>
      </c>
    </row>
    <row r="2789" spans="2:10" x14ac:dyDescent="0.3">
      <c r="B2789" s="7">
        <v>44256</v>
      </c>
      <c r="C2789" s="3">
        <f t="shared" si="86"/>
        <v>2021</v>
      </c>
      <c r="D2789" s="3">
        <f t="shared" si="87"/>
        <v>202103</v>
      </c>
      <c r="E2789" s="5" t="s">
        <v>4</v>
      </c>
      <c r="F2789" s="5" t="s">
        <v>12</v>
      </c>
      <c r="G2789" s="5" t="s">
        <v>46</v>
      </c>
      <c r="H2789">
        <v>29</v>
      </c>
      <c r="I2789" s="4">
        <v>317405</v>
      </c>
      <c r="J2789" s="4">
        <v>136300</v>
      </c>
    </row>
    <row r="2790" spans="2:10" x14ac:dyDescent="0.3">
      <c r="B2790" s="7">
        <v>44287</v>
      </c>
      <c r="C2790" s="3">
        <f t="shared" si="86"/>
        <v>2021</v>
      </c>
      <c r="D2790" s="3">
        <f t="shared" si="87"/>
        <v>202104</v>
      </c>
      <c r="E2790" s="5" t="s">
        <v>4</v>
      </c>
      <c r="F2790" s="5" t="s">
        <v>12</v>
      </c>
      <c r="G2790" s="5" t="s">
        <v>46</v>
      </c>
      <c r="H2790">
        <v>53</v>
      </c>
      <c r="I2790" s="4">
        <v>608016</v>
      </c>
      <c r="J2790" s="4">
        <v>249100</v>
      </c>
    </row>
    <row r="2791" spans="2:10" x14ac:dyDescent="0.3">
      <c r="B2791" s="7">
        <v>44317</v>
      </c>
      <c r="C2791" s="3">
        <f t="shared" si="86"/>
        <v>2021</v>
      </c>
      <c r="D2791" s="3">
        <f t="shared" si="87"/>
        <v>202105</v>
      </c>
      <c r="E2791" s="5" t="s">
        <v>4</v>
      </c>
      <c r="F2791" s="5" t="s">
        <v>12</v>
      </c>
      <c r="G2791" s="5" t="s">
        <v>46</v>
      </c>
      <c r="H2791">
        <v>68</v>
      </c>
      <c r="I2791" s="4">
        <v>806480</v>
      </c>
      <c r="J2791" s="4">
        <v>319600</v>
      </c>
    </row>
    <row r="2792" spans="2:10" x14ac:dyDescent="0.3">
      <c r="B2792" s="7">
        <v>44348</v>
      </c>
      <c r="C2792" s="3">
        <f t="shared" si="86"/>
        <v>2021</v>
      </c>
      <c r="D2792" s="3">
        <f t="shared" si="87"/>
        <v>202106</v>
      </c>
      <c r="E2792" s="5" t="s">
        <v>4</v>
      </c>
      <c r="F2792" s="5" t="s">
        <v>12</v>
      </c>
      <c r="G2792" s="5" t="s">
        <v>46</v>
      </c>
      <c r="H2792">
        <v>64</v>
      </c>
      <c r="I2792" s="4">
        <v>753280</v>
      </c>
      <c r="J2792" s="4">
        <v>300800</v>
      </c>
    </row>
    <row r="2793" spans="2:10" x14ac:dyDescent="0.3">
      <c r="B2793" s="7">
        <v>44378</v>
      </c>
      <c r="C2793" s="3">
        <f t="shared" si="86"/>
        <v>2021</v>
      </c>
      <c r="D2793" s="3">
        <f t="shared" si="87"/>
        <v>202107</v>
      </c>
      <c r="E2793" s="5" t="s">
        <v>4</v>
      </c>
      <c r="F2793" s="5" t="s">
        <v>12</v>
      </c>
      <c r="G2793" s="5" t="s">
        <v>46</v>
      </c>
      <c r="H2793">
        <v>68</v>
      </c>
      <c r="I2793" s="4">
        <v>664224</v>
      </c>
      <c r="J2793" s="4">
        <v>319600</v>
      </c>
    </row>
    <row r="2794" spans="2:10" x14ac:dyDescent="0.3">
      <c r="B2794" s="7">
        <v>44409</v>
      </c>
      <c r="C2794" s="3">
        <f t="shared" si="86"/>
        <v>2021</v>
      </c>
      <c r="D2794" s="3">
        <f t="shared" si="87"/>
        <v>202108</v>
      </c>
      <c r="E2794" s="5" t="s">
        <v>4</v>
      </c>
      <c r="F2794" s="5" t="s">
        <v>12</v>
      </c>
      <c r="G2794" s="5" t="s">
        <v>46</v>
      </c>
      <c r="H2794">
        <v>57</v>
      </c>
      <c r="I2794" s="4">
        <v>631959</v>
      </c>
      <c r="J2794" s="4">
        <v>267900</v>
      </c>
    </row>
    <row r="2795" spans="2:10" x14ac:dyDescent="0.3">
      <c r="B2795" s="7">
        <v>44440</v>
      </c>
      <c r="C2795" s="3">
        <f t="shared" si="86"/>
        <v>2021</v>
      </c>
      <c r="D2795" s="3">
        <f t="shared" si="87"/>
        <v>202109</v>
      </c>
      <c r="E2795" s="5" t="s">
        <v>4</v>
      </c>
      <c r="F2795" s="5" t="s">
        <v>12</v>
      </c>
      <c r="G2795" s="5" t="s">
        <v>46</v>
      </c>
      <c r="H2795">
        <v>60</v>
      </c>
      <c r="I2795" s="4">
        <v>622560</v>
      </c>
      <c r="J2795" s="4">
        <v>282000</v>
      </c>
    </row>
    <row r="2796" spans="2:10" x14ac:dyDescent="0.3">
      <c r="B2796" s="7">
        <v>44470</v>
      </c>
      <c r="C2796" s="3">
        <f t="shared" si="86"/>
        <v>2021</v>
      </c>
      <c r="D2796" s="3">
        <f t="shared" si="87"/>
        <v>202110</v>
      </c>
      <c r="E2796" s="5" t="s">
        <v>4</v>
      </c>
      <c r="F2796" s="5" t="s">
        <v>12</v>
      </c>
      <c r="G2796" s="5" t="s">
        <v>46</v>
      </c>
      <c r="H2796">
        <v>50</v>
      </c>
      <c r="I2796" s="4">
        <v>558650</v>
      </c>
      <c r="J2796" s="4">
        <v>235000</v>
      </c>
    </row>
    <row r="2797" spans="2:10" x14ac:dyDescent="0.3">
      <c r="B2797" s="7">
        <v>44501</v>
      </c>
      <c r="C2797" s="3">
        <f t="shared" si="86"/>
        <v>2021</v>
      </c>
      <c r="D2797" s="3">
        <f t="shared" si="87"/>
        <v>202111</v>
      </c>
      <c r="E2797" s="5" t="s">
        <v>4</v>
      </c>
      <c r="F2797" s="5" t="s">
        <v>12</v>
      </c>
      <c r="G2797" s="5" t="s">
        <v>46</v>
      </c>
      <c r="H2797">
        <v>36</v>
      </c>
      <c r="I2797" s="4">
        <v>405864</v>
      </c>
      <c r="J2797" s="4">
        <v>169200</v>
      </c>
    </row>
    <row r="2798" spans="2:10" x14ac:dyDescent="0.3">
      <c r="B2798" s="7">
        <v>44531</v>
      </c>
      <c r="C2798" s="3">
        <f t="shared" si="86"/>
        <v>2021</v>
      </c>
      <c r="D2798" s="3">
        <f t="shared" si="87"/>
        <v>202112</v>
      </c>
      <c r="E2798" s="5" t="s">
        <v>4</v>
      </c>
      <c r="F2798" s="5" t="s">
        <v>12</v>
      </c>
      <c r="G2798" s="5" t="s">
        <v>46</v>
      </c>
      <c r="H2798">
        <v>43</v>
      </c>
      <c r="I2798" s="4">
        <v>470936</v>
      </c>
      <c r="J2798" s="4">
        <v>202100</v>
      </c>
    </row>
    <row r="2799" spans="2:10" x14ac:dyDescent="0.3">
      <c r="B2799" s="7">
        <v>44562</v>
      </c>
      <c r="C2799" s="3">
        <f t="shared" si="86"/>
        <v>2022</v>
      </c>
      <c r="D2799" s="3">
        <f t="shared" si="87"/>
        <v>202201</v>
      </c>
      <c r="E2799" s="5" t="s">
        <v>4</v>
      </c>
      <c r="F2799" s="5" t="s">
        <v>12</v>
      </c>
      <c r="G2799" s="5" t="s">
        <v>46</v>
      </c>
      <c r="H2799">
        <v>63</v>
      </c>
      <c r="I2799" s="4">
        <v>676242</v>
      </c>
      <c r="J2799" s="4">
        <v>296100</v>
      </c>
    </row>
    <row r="2800" spans="2:10" x14ac:dyDescent="0.3">
      <c r="B2800" s="7">
        <v>44593</v>
      </c>
      <c r="C2800" s="3">
        <f t="shared" si="86"/>
        <v>2022</v>
      </c>
      <c r="D2800" s="3">
        <f t="shared" si="87"/>
        <v>202202</v>
      </c>
      <c r="E2800" s="5" t="s">
        <v>4</v>
      </c>
      <c r="F2800" s="5" t="s">
        <v>12</v>
      </c>
      <c r="G2800" s="5" t="s">
        <v>46</v>
      </c>
      <c r="H2800">
        <v>39</v>
      </c>
      <c r="I2800" s="4">
        <v>461019</v>
      </c>
      <c r="J2800" s="4">
        <v>183300</v>
      </c>
    </row>
    <row r="2801" spans="2:10" x14ac:dyDescent="0.3">
      <c r="B2801" s="7">
        <v>44621</v>
      </c>
      <c r="C2801" s="3">
        <f t="shared" si="86"/>
        <v>2022</v>
      </c>
      <c r="D2801" s="3">
        <f t="shared" si="87"/>
        <v>202203</v>
      </c>
      <c r="E2801" s="5" t="s">
        <v>4</v>
      </c>
      <c r="F2801" s="5" t="s">
        <v>12</v>
      </c>
      <c r="G2801" s="5" t="s">
        <v>46</v>
      </c>
      <c r="H2801">
        <v>32</v>
      </c>
      <c r="I2801" s="4">
        <v>353888</v>
      </c>
      <c r="J2801" s="4">
        <v>150400</v>
      </c>
    </row>
    <row r="2802" spans="2:10" x14ac:dyDescent="0.3">
      <c r="B2802" s="7">
        <v>44652</v>
      </c>
      <c r="C2802" s="3">
        <f t="shared" si="86"/>
        <v>2022</v>
      </c>
      <c r="D2802" s="3">
        <f t="shared" si="87"/>
        <v>202204</v>
      </c>
      <c r="E2802" s="5" t="s">
        <v>4</v>
      </c>
      <c r="F2802" s="5" t="s">
        <v>12</v>
      </c>
      <c r="G2802" s="5" t="s">
        <v>46</v>
      </c>
      <c r="H2802">
        <v>59</v>
      </c>
      <c r="I2802" s="4">
        <v>669237</v>
      </c>
      <c r="J2802" s="4">
        <v>277300</v>
      </c>
    </row>
    <row r="2803" spans="2:10" x14ac:dyDescent="0.3">
      <c r="B2803" s="7">
        <v>44682</v>
      </c>
      <c r="C2803" s="3">
        <f t="shared" si="86"/>
        <v>2022</v>
      </c>
      <c r="D2803" s="3">
        <f t="shared" si="87"/>
        <v>202205</v>
      </c>
      <c r="E2803" s="5" t="s">
        <v>4</v>
      </c>
      <c r="F2803" s="5" t="s">
        <v>12</v>
      </c>
      <c r="G2803" s="5" t="s">
        <v>46</v>
      </c>
      <c r="H2803">
        <v>74</v>
      </c>
      <c r="I2803" s="4">
        <v>852184</v>
      </c>
      <c r="J2803" s="4">
        <v>347800</v>
      </c>
    </row>
    <row r="2804" spans="2:10" x14ac:dyDescent="0.3">
      <c r="B2804" s="7">
        <v>44713</v>
      </c>
      <c r="C2804" s="3">
        <f t="shared" si="86"/>
        <v>2022</v>
      </c>
      <c r="D2804" s="3">
        <f t="shared" si="87"/>
        <v>202206</v>
      </c>
      <c r="E2804" s="5" t="s">
        <v>4</v>
      </c>
      <c r="F2804" s="5" t="s">
        <v>12</v>
      </c>
      <c r="G2804" s="5" t="s">
        <v>46</v>
      </c>
      <c r="H2804">
        <v>70</v>
      </c>
      <c r="I2804" s="4">
        <v>822710</v>
      </c>
      <c r="J2804" s="4">
        <v>329000</v>
      </c>
    </row>
    <row r="2805" spans="2:10" x14ac:dyDescent="0.3">
      <c r="B2805" s="7">
        <v>44743</v>
      </c>
      <c r="C2805" s="3">
        <f t="shared" si="86"/>
        <v>2022</v>
      </c>
      <c r="D2805" s="3">
        <f t="shared" si="87"/>
        <v>202207</v>
      </c>
      <c r="E2805" s="5" t="s">
        <v>4</v>
      </c>
      <c r="F2805" s="5" t="s">
        <v>12</v>
      </c>
      <c r="G2805" s="5" t="s">
        <v>46</v>
      </c>
      <c r="H2805">
        <v>74</v>
      </c>
      <c r="I2805" s="4">
        <v>699374</v>
      </c>
      <c r="J2805" s="4">
        <v>347800</v>
      </c>
    </row>
    <row r="2806" spans="2:10" x14ac:dyDescent="0.3">
      <c r="B2806" s="7">
        <v>44774</v>
      </c>
      <c r="C2806" s="3">
        <f t="shared" si="86"/>
        <v>2022</v>
      </c>
      <c r="D2806" s="3">
        <f t="shared" si="87"/>
        <v>202208</v>
      </c>
      <c r="E2806" s="5" t="s">
        <v>4</v>
      </c>
      <c r="F2806" s="5" t="s">
        <v>12</v>
      </c>
      <c r="G2806" s="5" t="s">
        <v>46</v>
      </c>
      <c r="H2806">
        <v>63</v>
      </c>
      <c r="I2806" s="4">
        <v>717129</v>
      </c>
      <c r="J2806" s="4">
        <v>296100</v>
      </c>
    </row>
    <row r="2807" spans="2:10" x14ac:dyDescent="0.3">
      <c r="B2807" s="7">
        <v>44805</v>
      </c>
      <c r="C2807" s="3">
        <f t="shared" si="86"/>
        <v>2022</v>
      </c>
      <c r="D2807" s="3">
        <f t="shared" si="87"/>
        <v>202209</v>
      </c>
      <c r="E2807" s="5" t="s">
        <v>4</v>
      </c>
      <c r="F2807" s="5" t="s">
        <v>12</v>
      </c>
      <c r="G2807" s="5" t="s">
        <v>46</v>
      </c>
      <c r="H2807">
        <v>66</v>
      </c>
      <c r="I2807" s="4">
        <v>734316</v>
      </c>
      <c r="J2807" s="4">
        <v>310200</v>
      </c>
    </row>
    <row r="2808" spans="2:10" x14ac:dyDescent="0.3">
      <c r="B2808" s="7">
        <v>44835</v>
      </c>
      <c r="C2808" s="3">
        <f t="shared" si="86"/>
        <v>2022</v>
      </c>
      <c r="D2808" s="3">
        <f t="shared" si="87"/>
        <v>202210</v>
      </c>
      <c r="E2808" s="5" t="s">
        <v>4</v>
      </c>
      <c r="F2808" s="5" t="s">
        <v>12</v>
      </c>
      <c r="G2808" s="5" t="s">
        <v>46</v>
      </c>
      <c r="H2808">
        <v>55</v>
      </c>
      <c r="I2808" s="4">
        <v>626890</v>
      </c>
      <c r="J2808" s="4">
        <v>258500</v>
      </c>
    </row>
    <row r="2809" spans="2:10" x14ac:dyDescent="0.3">
      <c r="B2809" s="7">
        <v>44866</v>
      </c>
      <c r="C2809" s="3">
        <f t="shared" si="86"/>
        <v>2022</v>
      </c>
      <c r="D2809" s="3">
        <f t="shared" si="87"/>
        <v>202211</v>
      </c>
      <c r="E2809" s="5" t="s">
        <v>4</v>
      </c>
      <c r="F2809" s="5" t="s">
        <v>12</v>
      </c>
      <c r="G2809" s="5" t="s">
        <v>46</v>
      </c>
      <c r="H2809">
        <v>39</v>
      </c>
      <c r="I2809" s="4">
        <v>430716</v>
      </c>
      <c r="J2809" s="4">
        <v>183300</v>
      </c>
    </row>
    <row r="2810" spans="2:10" x14ac:dyDescent="0.3">
      <c r="B2810" s="7">
        <v>44896</v>
      </c>
      <c r="C2810" s="3">
        <f t="shared" si="86"/>
        <v>2022</v>
      </c>
      <c r="D2810" s="3">
        <f t="shared" si="87"/>
        <v>202212</v>
      </c>
      <c r="E2810" s="5" t="s">
        <v>4</v>
      </c>
      <c r="F2810" s="5" t="s">
        <v>12</v>
      </c>
      <c r="G2810" s="5" t="s">
        <v>46</v>
      </c>
      <c r="H2810">
        <v>47</v>
      </c>
      <c r="I2810" s="4">
        <v>493218</v>
      </c>
      <c r="J2810" s="4">
        <v>220900</v>
      </c>
    </row>
    <row r="2811" spans="2:10" x14ac:dyDescent="0.3">
      <c r="B2811" s="7">
        <v>44197</v>
      </c>
      <c r="C2811" s="3">
        <f t="shared" si="86"/>
        <v>2021</v>
      </c>
      <c r="D2811" s="3">
        <f t="shared" si="87"/>
        <v>202101</v>
      </c>
      <c r="E2811" s="5" t="s">
        <v>4</v>
      </c>
      <c r="F2811" s="5" t="s">
        <v>12</v>
      </c>
      <c r="G2811" s="5" t="s">
        <v>47</v>
      </c>
      <c r="H2811">
        <v>60</v>
      </c>
      <c r="I2811" s="4">
        <v>626340</v>
      </c>
      <c r="J2811" s="4">
        <v>322140</v>
      </c>
    </row>
    <row r="2812" spans="2:10" x14ac:dyDescent="0.3">
      <c r="B2812" s="7">
        <v>44228</v>
      </c>
      <c r="C2812" s="3">
        <f t="shared" si="86"/>
        <v>2021</v>
      </c>
      <c r="D2812" s="3">
        <f t="shared" si="87"/>
        <v>202102</v>
      </c>
      <c r="E2812" s="5" t="s">
        <v>4</v>
      </c>
      <c r="F2812" s="5" t="s">
        <v>12</v>
      </c>
      <c r="G2812" s="5" t="s">
        <v>47</v>
      </c>
      <c r="H2812">
        <v>38</v>
      </c>
      <c r="I2812" s="4">
        <v>397708</v>
      </c>
      <c r="J2812" s="4">
        <v>204022</v>
      </c>
    </row>
    <row r="2813" spans="2:10" x14ac:dyDescent="0.3">
      <c r="B2813" s="7">
        <v>44256</v>
      </c>
      <c r="C2813" s="3">
        <f t="shared" si="86"/>
        <v>2021</v>
      </c>
      <c r="D2813" s="3">
        <f t="shared" si="87"/>
        <v>202103</v>
      </c>
      <c r="E2813" s="5" t="s">
        <v>4</v>
      </c>
      <c r="F2813" s="5" t="s">
        <v>12</v>
      </c>
      <c r="G2813" s="5" t="s">
        <v>47</v>
      </c>
      <c r="H2813">
        <v>30</v>
      </c>
      <c r="I2813" s="4">
        <v>294930</v>
      </c>
      <c r="J2813" s="4">
        <v>161070</v>
      </c>
    </row>
    <row r="2814" spans="2:10" x14ac:dyDescent="0.3">
      <c r="B2814" s="7">
        <v>44287</v>
      </c>
      <c r="C2814" s="3">
        <f t="shared" si="86"/>
        <v>2021</v>
      </c>
      <c r="D2814" s="3">
        <f t="shared" si="87"/>
        <v>202104</v>
      </c>
      <c r="E2814" s="5" t="s">
        <v>4</v>
      </c>
      <c r="F2814" s="5" t="s">
        <v>12</v>
      </c>
      <c r="G2814" s="5" t="s">
        <v>47</v>
      </c>
      <c r="H2814">
        <v>56</v>
      </c>
      <c r="I2814" s="4">
        <v>589008</v>
      </c>
      <c r="J2814" s="4">
        <v>300664</v>
      </c>
    </row>
    <row r="2815" spans="2:10" x14ac:dyDescent="0.3">
      <c r="B2815" s="7">
        <v>44317</v>
      </c>
      <c r="C2815" s="3">
        <f t="shared" si="86"/>
        <v>2021</v>
      </c>
      <c r="D2815" s="3">
        <f t="shared" si="87"/>
        <v>202105</v>
      </c>
      <c r="E2815" s="5" t="s">
        <v>4</v>
      </c>
      <c r="F2815" s="5" t="s">
        <v>12</v>
      </c>
      <c r="G2815" s="5" t="s">
        <v>47</v>
      </c>
      <c r="H2815">
        <v>71</v>
      </c>
      <c r="I2815" s="4">
        <v>768788</v>
      </c>
      <c r="J2815" s="4">
        <v>381199</v>
      </c>
    </row>
    <row r="2816" spans="2:10" x14ac:dyDescent="0.3">
      <c r="B2816" s="7">
        <v>44348</v>
      </c>
      <c r="C2816" s="3">
        <f t="shared" si="86"/>
        <v>2021</v>
      </c>
      <c r="D2816" s="3">
        <f t="shared" si="87"/>
        <v>202106</v>
      </c>
      <c r="E2816" s="5" t="s">
        <v>4</v>
      </c>
      <c r="F2816" s="5" t="s">
        <v>12</v>
      </c>
      <c r="G2816" s="5" t="s">
        <v>47</v>
      </c>
      <c r="H2816">
        <v>67</v>
      </c>
      <c r="I2816" s="4">
        <v>713416</v>
      </c>
      <c r="J2816" s="4">
        <v>359723</v>
      </c>
    </row>
    <row r="2817" spans="2:10" x14ac:dyDescent="0.3">
      <c r="B2817" s="7">
        <v>44378</v>
      </c>
      <c r="C2817" s="3">
        <f t="shared" si="86"/>
        <v>2021</v>
      </c>
      <c r="D2817" s="3">
        <f t="shared" si="87"/>
        <v>202107</v>
      </c>
      <c r="E2817" s="5" t="s">
        <v>4</v>
      </c>
      <c r="F2817" s="5" t="s">
        <v>12</v>
      </c>
      <c r="G2817" s="5" t="s">
        <v>47</v>
      </c>
      <c r="H2817">
        <v>71</v>
      </c>
      <c r="I2817" s="4">
        <v>639000</v>
      </c>
      <c r="J2817" s="4">
        <v>381199</v>
      </c>
    </row>
    <row r="2818" spans="2:10" x14ac:dyDescent="0.3">
      <c r="B2818" s="7">
        <v>44409</v>
      </c>
      <c r="C2818" s="3">
        <f t="shared" si="86"/>
        <v>2021</v>
      </c>
      <c r="D2818" s="3">
        <f t="shared" si="87"/>
        <v>202108</v>
      </c>
      <c r="E2818" s="5" t="s">
        <v>4</v>
      </c>
      <c r="F2818" s="5" t="s">
        <v>12</v>
      </c>
      <c r="G2818" s="5" t="s">
        <v>47</v>
      </c>
      <c r="H2818">
        <v>60</v>
      </c>
      <c r="I2818" s="4">
        <v>579360</v>
      </c>
      <c r="J2818" s="4">
        <v>322140</v>
      </c>
    </row>
    <row r="2819" spans="2:10" x14ac:dyDescent="0.3">
      <c r="B2819" s="7">
        <v>44440</v>
      </c>
      <c r="C2819" s="3">
        <f t="shared" ref="C2819:C2882" si="88">YEAR(B2819)</f>
        <v>2021</v>
      </c>
      <c r="D2819" s="3">
        <f t="shared" ref="D2819:D2882" si="89">VALUE(TEXT(B2819,"ГГГГММ"))</f>
        <v>202109</v>
      </c>
      <c r="E2819" s="5" t="s">
        <v>4</v>
      </c>
      <c r="F2819" s="5" t="s">
        <v>12</v>
      </c>
      <c r="G2819" s="5" t="s">
        <v>47</v>
      </c>
      <c r="H2819">
        <v>64</v>
      </c>
      <c r="I2819" s="4">
        <v>628672</v>
      </c>
      <c r="J2819" s="4">
        <v>343616</v>
      </c>
    </row>
    <row r="2820" spans="2:10" x14ac:dyDescent="0.3">
      <c r="B2820" s="7">
        <v>44470</v>
      </c>
      <c r="C2820" s="3">
        <f t="shared" si="88"/>
        <v>2021</v>
      </c>
      <c r="D2820" s="3">
        <f t="shared" si="89"/>
        <v>202110</v>
      </c>
      <c r="E2820" s="5" t="s">
        <v>4</v>
      </c>
      <c r="F2820" s="5" t="s">
        <v>12</v>
      </c>
      <c r="G2820" s="5" t="s">
        <v>47</v>
      </c>
      <c r="H2820">
        <v>53</v>
      </c>
      <c r="I2820" s="4">
        <v>548868</v>
      </c>
      <c r="J2820" s="4">
        <v>284557</v>
      </c>
    </row>
    <row r="2821" spans="2:10" x14ac:dyDescent="0.3">
      <c r="B2821" s="7">
        <v>44501</v>
      </c>
      <c r="C2821" s="3">
        <f t="shared" si="88"/>
        <v>2021</v>
      </c>
      <c r="D2821" s="3">
        <f t="shared" si="89"/>
        <v>202111</v>
      </c>
      <c r="E2821" s="5" t="s">
        <v>4</v>
      </c>
      <c r="F2821" s="5" t="s">
        <v>12</v>
      </c>
      <c r="G2821" s="5" t="s">
        <v>47</v>
      </c>
      <c r="H2821">
        <v>38</v>
      </c>
      <c r="I2821" s="4">
        <v>399912</v>
      </c>
      <c r="J2821" s="4">
        <v>204022</v>
      </c>
    </row>
    <row r="2822" spans="2:10" x14ac:dyDescent="0.3">
      <c r="B2822" s="7">
        <v>44531</v>
      </c>
      <c r="C2822" s="3">
        <f t="shared" si="88"/>
        <v>2021</v>
      </c>
      <c r="D2822" s="3">
        <f t="shared" si="89"/>
        <v>202112</v>
      </c>
      <c r="E2822" s="5" t="s">
        <v>4</v>
      </c>
      <c r="F2822" s="5" t="s">
        <v>12</v>
      </c>
      <c r="G2822" s="5" t="s">
        <v>47</v>
      </c>
      <c r="H2822">
        <v>45</v>
      </c>
      <c r="I2822" s="4">
        <v>445545</v>
      </c>
      <c r="J2822" s="4">
        <v>241605</v>
      </c>
    </row>
    <row r="2823" spans="2:10" x14ac:dyDescent="0.3">
      <c r="B2823" s="7">
        <v>44562</v>
      </c>
      <c r="C2823" s="3">
        <f t="shared" si="88"/>
        <v>2022</v>
      </c>
      <c r="D2823" s="3">
        <f t="shared" si="89"/>
        <v>202201</v>
      </c>
      <c r="E2823" s="5" t="s">
        <v>4</v>
      </c>
      <c r="F2823" s="5" t="s">
        <v>12</v>
      </c>
      <c r="G2823" s="5" t="s">
        <v>47</v>
      </c>
      <c r="H2823">
        <v>66</v>
      </c>
      <c r="I2823" s="4">
        <v>675444</v>
      </c>
      <c r="J2823" s="4">
        <v>354354</v>
      </c>
    </row>
    <row r="2824" spans="2:10" x14ac:dyDescent="0.3">
      <c r="B2824" s="7">
        <v>44593</v>
      </c>
      <c r="C2824" s="3">
        <f t="shared" si="88"/>
        <v>2022</v>
      </c>
      <c r="D2824" s="3">
        <f t="shared" si="89"/>
        <v>202202</v>
      </c>
      <c r="E2824" s="5" t="s">
        <v>4</v>
      </c>
      <c r="F2824" s="5" t="s">
        <v>12</v>
      </c>
      <c r="G2824" s="5" t="s">
        <v>47</v>
      </c>
      <c r="H2824">
        <v>41</v>
      </c>
      <c r="I2824" s="4">
        <v>428696</v>
      </c>
      <c r="J2824" s="4">
        <v>220129</v>
      </c>
    </row>
    <row r="2825" spans="2:10" x14ac:dyDescent="0.3">
      <c r="B2825" s="7">
        <v>44621</v>
      </c>
      <c r="C2825" s="3">
        <f t="shared" si="88"/>
        <v>2022</v>
      </c>
      <c r="D2825" s="3">
        <f t="shared" si="89"/>
        <v>202203</v>
      </c>
      <c r="E2825" s="5" t="s">
        <v>4</v>
      </c>
      <c r="F2825" s="5" t="s">
        <v>12</v>
      </c>
      <c r="G2825" s="5" t="s">
        <v>47</v>
      </c>
      <c r="H2825">
        <v>33</v>
      </c>
      <c r="I2825" s="4">
        <v>317460</v>
      </c>
      <c r="J2825" s="4">
        <v>177177</v>
      </c>
    </row>
    <row r="2826" spans="2:10" x14ac:dyDescent="0.3">
      <c r="B2826" s="7">
        <v>44652</v>
      </c>
      <c r="C2826" s="3">
        <f t="shared" si="88"/>
        <v>2022</v>
      </c>
      <c r="D2826" s="3">
        <f t="shared" si="89"/>
        <v>202204</v>
      </c>
      <c r="E2826" s="5" t="s">
        <v>4</v>
      </c>
      <c r="F2826" s="5" t="s">
        <v>12</v>
      </c>
      <c r="G2826" s="5" t="s">
        <v>47</v>
      </c>
      <c r="H2826">
        <v>62</v>
      </c>
      <c r="I2826" s="4">
        <v>671088</v>
      </c>
      <c r="J2826" s="4">
        <v>332878</v>
      </c>
    </row>
    <row r="2827" spans="2:10" x14ac:dyDescent="0.3">
      <c r="B2827" s="7">
        <v>44682</v>
      </c>
      <c r="C2827" s="3">
        <f t="shared" si="88"/>
        <v>2022</v>
      </c>
      <c r="D2827" s="3">
        <f t="shared" si="89"/>
        <v>202205</v>
      </c>
      <c r="E2827" s="5" t="s">
        <v>4</v>
      </c>
      <c r="F2827" s="5" t="s">
        <v>12</v>
      </c>
      <c r="G2827" s="5" t="s">
        <v>47</v>
      </c>
      <c r="H2827">
        <v>78</v>
      </c>
      <c r="I2827" s="4">
        <v>826722</v>
      </c>
      <c r="J2827" s="4">
        <v>418782</v>
      </c>
    </row>
    <row r="2828" spans="2:10" x14ac:dyDescent="0.3">
      <c r="B2828" s="7">
        <v>44713</v>
      </c>
      <c r="C2828" s="3">
        <f t="shared" si="88"/>
        <v>2022</v>
      </c>
      <c r="D2828" s="3">
        <f t="shared" si="89"/>
        <v>202206</v>
      </c>
      <c r="E2828" s="5" t="s">
        <v>4</v>
      </c>
      <c r="F2828" s="5" t="s">
        <v>12</v>
      </c>
      <c r="G2828" s="5" t="s">
        <v>47</v>
      </c>
      <c r="H2828">
        <v>74</v>
      </c>
      <c r="I2828" s="4">
        <v>767158</v>
      </c>
      <c r="J2828" s="4">
        <v>397306</v>
      </c>
    </row>
    <row r="2829" spans="2:10" x14ac:dyDescent="0.3">
      <c r="B2829" s="7">
        <v>44743</v>
      </c>
      <c r="C2829" s="3">
        <f t="shared" si="88"/>
        <v>2022</v>
      </c>
      <c r="D2829" s="3">
        <f t="shared" si="89"/>
        <v>202207</v>
      </c>
      <c r="E2829" s="5" t="s">
        <v>4</v>
      </c>
      <c r="F2829" s="5" t="s">
        <v>12</v>
      </c>
      <c r="G2829" s="5" t="s">
        <v>47</v>
      </c>
      <c r="H2829">
        <v>78</v>
      </c>
      <c r="I2829" s="4">
        <v>657228</v>
      </c>
      <c r="J2829" s="4">
        <v>418782</v>
      </c>
    </row>
    <row r="2830" spans="2:10" x14ac:dyDescent="0.3">
      <c r="B2830" s="7">
        <v>44774</v>
      </c>
      <c r="C2830" s="3">
        <f t="shared" si="88"/>
        <v>2022</v>
      </c>
      <c r="D2830" s="3">
        <f t="shared" si="89"/>
        <v>202208</v>
      </c>
      <c r="E2830" s="5" t="s">
        <v>4</v>
      </c>
      <c r="F2830" s="5" t="s">
        <v>12</v>
      </c>
      <c r="G2830" s="5" t="s">
        <v>47</v>
      </c>
      <c r="H2830">
        <v>66</v>
      </c>
      <c r="I2830" s="4">
        <v>662442</v>
      </c>
      <c r="J2830" s="4">
        <v>354354</v>
      </c>
    </row>
    <row r="2831" spans="2:10" x14ac:dyDescent="0.3">
      <c r="B2831" s="7">
        <v>44805</v>
      </c>
      <c r="C2831" s="3">
        <f t="shared" si="88"/>
        <v>2022</v>
      </c>
      <c r="D2831" s="3">
        <f t="shared" si="89"/>
        <v>202209</v>
      </c>
      <c r="E2831" s="5" t="s">
        <v>4</v>
      </c>
      <c r="F2831" s="5" t="s">
        <v>12</v>
      </c>
      <c r="G2831" s="5" t="s">
        <v>47</v>
      </c>
      <c r="H2831">
        <v>70</v>
      </c>
      <c r="I2831" s="4">
        <v>682920</v>
      </c>
      <c r="J2831" s="4">
        <v>375830</v>
      </c>
    </row>
    <row r="2832" spans="2:10" x14ac:dyDescent="0.3">
      <c r="B2832" s="7">
        <v>44835</v>
      </c>
      <c r="C2832" s="3">
        <f t="shared" si="88"/>
        <v>2022</v>
      </c>
      <c r="D2832" s="3">
        <f t="shared" si="89"/>
        <v>202210</v>
      </c>
      <c r="E2832" s="5" t="s">
        <v>4</v>
      </c>
      <c r="F2832" s="5" t="s">
        <v>12</v>
      </c>
      <c r="G2832" s="5" t="s">
        <v>47</v>
      </c>
      <c r="H2832">
        <v>58</v>
      </c>
      <c r="I2832" s="4">
        <v>592238</v>
      </c>
      <c r="J2832" s="4">
        <v>311402</v>
      </c>
    </row>
    <row r="2833" spans="2:10" x14ac:dyDescent="0.3">
      <c r="B2833" s="7">
        <v>44866</v>
      </c>
      <c r="C2833" s="3">
        <f t="shared" si="88"/>
        <v>2022</v>
      </c>
      <c r="D2833" s="3">
        <f t="shared" si="89"/>
        <v>202211</v>
      </c>
      <c r="E2833" s="5" t="s">
        <v>4</v>
      </c>
      <c r="F2833" s="5" t="s">
        <v>12</v>
      </c>
      <c r="G2833" s="5" t="s">
        <v>47</v>
      </c>
      <c r="H2833">
        <v>41</v>
      </c>
      <c r="I2833" s="4">
        <v>411763</v>
      </c>
      <c r="J2833" s="4">
        <v>220129</v>
      </c>
    </row>
    <row r="2834" spans="2:10" x14ac:dyDescent="0.3">
      <c r="B2834" s="7">
        <v>44896</v>
      </c>
      <c r="C2834" s="3">
        <f t="shared" si="88"/>
        <v>2022</v>
      </c>
      <c r="D2834" s="3">
        <f t="shared" si="89"/>
        <v>202212</v>
      </c>
      <c r="E2834" s="5" t="s">
        <v>4</v>
      </c>
      <c r="F2834" s="5" t="s">
        <v>12</v>
      </c>
      <c r="G2834" s="5" t="s">
        <v>47</v>
      </c>
      <c r="H2834">
        <v>50</v>
      </c>
      <c r="I2834" s="4">
        <v>499100</v>
      </c>
      <c r="J2834" s="4">
        <v>268450</v>
      </c>
    </row>
    <row r="2835" spans="2:10" x14ac:dyDescent="0.3">
      <c r="B2835" s="7">
        <v>44197</v>
      </c>
      <c r="C2835" s="3">
        <f t="shared" si="88"/>
        <v>2021</v>
      </c>
      <c r="D2835" s="3">
        <f t="shared" si="89"/>
        <v>202101</v>
      </c>
      <c r="E2835" s="5" t="s">
        <v>4</v>
      </c>
      <c r="F2835" s="5" t="s">
        <v>12</v>
      </c>
      <c r="G2835" s="5" t="s">
        <v>48</v>
      </c>
      <c r="H2835">
        <v>43</v>
      </c>
      <c r="I2835" s="4">
        <v>512775</v>
      </c>
      <c r="J2835" s="4">
        <v>236500</v>
      </c>
    </row>
    <row r="2836" spans="2:10" x14ac:dyDescent="0.3">
      <c r="B2836" s="7">
        <v>44228</v>
      </c>
      <c r="C2836" s="3">
        <f t="shared" si="88"/>
        <v>2021</v>
      </c>
      <c r="D2836" s="3">
        <f t="shared" si="89"/>
        <v>202102</v>
      </c>
      <c r="E2836" s="5" t="s">
        <v>4</v>
      </c>
      <c r="F2836" s="5" t="s">
        <v>12</v>
      </c>
      <c r="G2836" s="5" t="s">
        <v>48</v>
      </c>
      <c r="H2836">
        <v>27</v>
      </c>
      <c r="I2836" s="4">
        <v>337824</v>
      </c>
      <c r="J2836" s="4">
        <v>148500</v>
      </c>
    </row>
    <row r="2837" spans="2:10" x14ac:dyDescent="0.3">
      <c r="B2837" s="7">
        <v>44256</v>
      </c>
      <c r="C2837" s="3">
        <f t="shared" si="88"/>
        <v>2021</v>
      </c>
      <c r="D2837" s="3">
        <f t="shared" si="89"/>
        <v>202103</v>
      </c>
      <c r="E2837" s="5" t="s">
        <v>4</v>
      </c>
      <c r="F2837" s="5" t="s">
        <v>12</v>
      </c>
      <c r="G2837" s="5" t="s">
        <v>48</v>
      </c>
      <c r="H2837">
        <v>22</v>
      </c>
      <c r="I2837" s="4">
        <v>263076</v>
      </c>
      <c r="J2837" s="4">
        <v>121000</v>
      </c>
    </row>
    <row r="2838" spans="2:10" x14ac:dyDescent="0.3">
      <c r="B2838" s="7">
        <v>44287</v>
      </c>
      <c r="C2838" s="3">
        <f t="shared" si="88"/>
        <v>2021</v>
      </c>
      <c r="D2838" s="3">
        <f t="shared" si="89"/>
        <v>202104</v>
      </c>
      <c r="E2838" s="5" t="s">
        <v>4</v>
      </c>
      <c r="F2838" s="5" t="s">
        <v>12</v>
      </c>
      <c r="G2838" s="5" t="s">
        <v>48</v>
      </c>
      <c r="H2838">
        <v>40</v>
      </c>
      <c r="I2838" s="4">
        <v>510680</v>
      </c>
      <c r="J2838" s="4">
        <v>220000</v>
      </c>
    </row>
    <row r="2839" spans="2:10" x14ac:dyDescent="0.3">
      <c r="B2839" s="7">
        <v>44317</v>
      </c>
      <c r="C2839" s="3">
        <f t="shared" si="88"/>
        <v>2021</v>
      </c>
      <c r="D2839" s="3">
        <f t="shared" si="89"/>
        <v>202105</v>
      </c>
      <c r="E2839" s="5" t="s">
        <v>4</v>
      </c>
      <c r="F2839" s="5" t="s">
        <v>12</v>
      </c>
      <c r="G2839" s="5" t="s">
        <v>48</v>
      </c>
      <c r="H2839">
        <v>51</v>
      </c>
      <c r="I2839" s="4">
        <v>649332</v>
      </c>
      <c r="J2839" s="4">
        <v>280500</v>
      </c>
    </row>
    <row r="2840" spans="2:10" x14ac:dyDescent="0.3">
      <c r="B2840" s="7">
        <v>44348</v>
      </c>
      <c r="C2840" s="3">
        <f t="shared" si="88"/>
        <v>2021</v>
      </c>
      <c r="D2840" s="3">
        <f t="shared" si="89"/>
        <v>202106</v>
      </c>
      <c r="E2840" s="5" t="s">
        <v>4</v>
      </c>
      <c r="F2840" s="5" t="s">
        <v>12</v>
      </c>
      <c r="G2840" s="5" t="s">
        <v>48</v>
      </c>
      <c r="H2840">
        <v>48</v>
      </c>
      <c r="I2840" s="4">
        <v>594144</v>
      </c>
      <c r="J2840" s="4">
        <v>264000</v>
      </c>
    </row>
    <row r="2841" spans="2:10" x14ac:dyDescent="0.3">
      <c r="B2841" s="7">
        <v>44378</v>
      </c>
      <c r="C2841" s="3">
        <f t="shared" si="88"/>
        <v>2021</v>
      </c>
      <c r="D2841" s="3">
        <f t="shared" si="89"/>
        <v>202107</v>
      </c>
      <c r="E2841" s="5" t="s">
        <v>4</v>
      </c>
      <c r="F2841" s="5" t="s">
        <v>12</v>
      </c>
      <c r="G2841" s="5" t="s">
        <v>48</v>
      </c>
      <c r="H2841">
        <v>51</v>
      </c>
      <c r="I2841" s="4">
        <v>524637</v>
      </c>
      <c r="J2841" s="4">
        <v>280500</v>
      </c>
    </row>
    <row r="2842" spans="2:10" x14ac:dyDescent="0.3">
      <c r="B2842" s="7">
        <v>44409</v>
      </c>
      <c r="C2842" s="3">
        <f t="shared" si="88"/>
        <v>2021</v>
      </c>
      <c r="D2842" s="3">
        <f t="shared" si="89"/>
        <v>202108</v>
      </c>
      <c r="E2842" s="5" t="s">
        <v>4</v>
      </c>
      <c r="F2842" s="5" t="s">
        <v>12</v>
      </c>
      <c r="G2842" s="5" t="s">
        <v>48</v>
      </c>
      <c r="H2842">
        <v>43</v>
      </c>
      <c r="I2842" s="4">
        <v>508217</v>
      </c>
      <c r="J2842" s="4">
        <v>236500</v>
      </c>
    </row>
    <row r="2843" spans="2:10" x14ac:dyDescent="0.3">
      <c r="B2843" s="7">
        <v>44440</v>
      </c>
      <c r="C2843" s="3">
        <f t="shared" si="88"/>
        <v>2021</v>
      </c>
      <c r="D2843" s="3">
        <f t="shared" si="89"/>
        <v>202109</v>
      </c>
      <c r="E2843" s="5" t="s">
        <v>4</v>
      </c>
      <c r="F2843" s="5" t="s">
        <v>12</v>
      </c>
      <c r="G2843" s="5" t="s">
        <v>48</v>
      </c>
      <c r="H2843">
        <v>45</v>
      </c>
      <c r="I2843" s="4">
        <v>546480</v>
      </c>
      <c r="J2843" s="4">
        <v>247500</v>
      </c>
    </row>
    <row r="2844" spans="2:10" x14ac:dyDescent="0.3">
      <c r="B2844" s="7">
        <v>44470</v>
      </c>
      <c r="C2844" s="3">
        <f t="shared" si="88"/>
        <v>2021</v>
      </c>
      <c r="D2844" s="3">
        <f t="shared" si="89"/>
        <v>202110</v>
      </c>
      <c r="E2844" s="5" t="s">
        <v>4</v>
      </c>
      <c r="F2844" s="5" t="s">
        <v>12</v>
      </c>
      <c r="G2844" s="5" t="s">
        <v>48</v>
      </c>
      <c r="H2844">
        <v>38</v>
      </c>
      <c r="I2844" s="4">
        <v>459990</v>
      </c>
      <c r="J2844" s="4">
        <v>209000</v>
      </c>
    </row>
    <row r="2845" spans="2:10" x14ac:dyDescent="0.3">
      <c r="B2845" s="7">
        <v>44501</v>
      </c>
      <c r="C2845" s="3">
        <f t="shared" si="88"/>
        <v>2021</v>
      </c>
      <c r="D2845" s="3">
        <f t="shared" si="89"/>
        <v>202111</v>
      </c>
      <c r="E2845" s="5" t="s">
        <v>4</v>
      </c>
      <c r="F2845" s="5" t="s">
        <v>12</v>
      </c>
      <c r="G2845" s="5" t="s">
        <v>48</v>
      </c>
      <c r="H2845">
        <v>27</v>
      </c>
      <c r="I2845" s="4">
        <v>321705</v>
      </c>
      <c r="J2845" s="4">
        <v>148500</v>
      </c>
    </row>
    <row r="2846" spans="2:10" x14ac:dyDescent="0.3">
      <c r="B2846" s="7">
        <v>44531</v>
      </c>
      <c r="C2846" s="3">
        <f t="shared" si="88"/>
        <v>2021</v>
      </c>
      <c r="D2846" s="3">
        <f t="shared" si="89"/>
        <v>202112</v>
      </c>
      <c r="E2846" s="5" t="s">
        <v>4</v>
      </c>
      <c r="F2846" s="5" t="s">
        <v>12</v>
      </c>
      <c r="G2846" s="5" t="s">
        <v>48</v>
      </c>
      <c r="H2846">
        <v>32</v>
      </c>
      <c r="I2846" s="4">
        <v>393248</v>
      </c>
      <c r="J2846" s="4">
        <v>176000</v>
      </c>
    </row>
    <row r="2847" spans="2:10" x14ac:dyDescent="0.3">
      <c r="B2847" s="7">
        <v>44562</v>
      </c>
      <c r="C2847" s="3">
        <f t="shared" si="88"/>
        <v>2022</v>
      </c>
      <c r="D2847" s="3">
        <f t="shared" si="89"/>
        <v>202201</v>
      </c>
      <c r="E2847" s="5" t="s">
        <v>4</v>
      </c>
      <c r="F2847" s="5" t="s">
        <v>12</v>
      </c>
      <c r="G2847" s="5" t="s">
        <v>48</v>
      </c>
      <c r="H2847">
        <v>47</v>
      </c>
      <c r="I2847" s="4">
        <v>605548</v>
      </c>
      <c r="J2847" s="4">
        <v>258500</v>
      </c>
    </row>
    <row r="2848" spans="2:10" x14ac:dyDescent="0.3">
      <c r="B2848" s="7">
        <v>44593</v>
      </c>
      <c r="C2848" s="3">
        <f t="shared" si="88"/>
        <v>2022</v>
      </c>
      <c r="D2848" s="3">
        <f t="shared" si="89"/>
        <v>202202</v>
      </c>
      <c r="E2848" s="5" t="s">
        <v>4</v>
      </c>
      <c r="F2848" s="5" t="s">
        <v>12</v>
      </c>
      <c r="G2848" s="5" t="s">
        <v>48</v>
      </c>
      <c r="H2848">
        <v>30</v>
      </c>
      <c r="I2848" s="4">
        <v>373950</v>
      </c>
      <c r="J2848" s="4">
        <v>165000</v>
      </c>
    </row>
    <row r="2849" spans="2:10" x14ac:dyDescent="0.3">
      <c r="B2849" s="7">
        <v>44621</v>
      </c>
      <c r="C2849" s="3">
        <f t="shared" si="88"/>
        <v>2022</v>
      </c>
      <c r="D2849" s="3">
        <f t="shared" si="89"/>
        <v>202203</v>
      </c>
      <c r="E2849" s="5" t="s">
        <v>4</v>
      </c>
      <c r="F2849" s="5" t="s">
        <v>12</v>
      </c>
      <c r="G2849" s="5" t="s">
        <v>48</v>
      </c>
      <c r="H2849">
        <v>24</v>
      </c>
      <c r="I2849" s="4">
        <v>272352</v>
      </c>
      <c r="J2849" s="4">
        <v>132000</v>
      </c>
    </row>
    <row r="2850" spans="2:10" x14ac:dyDescent="0.3">
      <c r="B2850" s="7">
        <v>44652</v>
      </c>
      <c r="C2850" s="3">
        <f t="shared" si="88"/>
        <v>2022</v>
      </c>
      <c r="D2850" s="3">
        <f t="shared" si="89"/>
        <v>202204</v>
      </c>
      <c r="E2850" s="5" t="s">
        <v>4</v>
      </c>
      <c r="F2850" s="5" t="s">
        <v>12</v>
      </c>
      <c r="G2850" s="5" t="s">
        <v>48</v>
      </c>
      <c r="H2850">
        <v>44</v>
      </c>
      <c r="I2850" s="4">
        <v>576048</v>
      </c>
      <c r="J2850" s="4">
        <v>242000</v>
      </c>
    </row>
    <row r="2851" spans="2:10" x14ac:dyDescent="0.3">
      <c r="B2851" s="7">
        <v>44682</v>
      </c>
      <c r="C2851" s="3">
        <f t="shared" si="88"/>
        <v>2022</v>
      </c>
      <c r="D2851" s="3">
        <f t="shared" si="89"/>
        <v>202205</v>
      </c>
      <c r="E2851" s="5" t="s">
        <v>4</v>
      </c>
      <c r="F2851" s="5" t="s">
        <v>12</v>
      </c>
      <c r="G2851" s="5" t="s">
        <v>48</v>
      </c>
      <c r="H2851">
        <v>56</v>
      </c>
      <c r="I2851" s="4">
        <v>714840</v>
      </c>
      <c r="J2851" s="4">
        <v>308000</v>
      </c>
    </row>
    <row r="2852" spans="2:10" x14ac:dyDescent="0.3">
      <c r="B2852" s="7">
        <v>44713</v>
      </c>
      <c r="C2852" s="3">
        <f t="shared" si="88"/>
        <v>2022</v>
      </c>
      <c r="D2852" s="3">
        <f t="shared" si="89"/>
        <v>202206</v>
      </c>
      <c r="E2852" s="5" t="s">
        <v>4</v>
      </c>
      <c r="F2852" s="5" t="s">
        <v>12</v>
      </c>
      <c r="G2852" s="5" t="s">
        <v>48</v>
      </c>
      <c r="H2852">
        <v>53</v>
      </c>
      <c r="I2852" s="4">
        <v>619888</v>
      </c>
      <c r="J2852" s="4">
        <v>291500</v>
      </c>
    </row>
    <row r="2853" spans="2:10" x14ac:dyDescent="0.3">
      <c r="B2853" s="7">
        <v>44743</v>
      </c>
      <c r="C2853" s="3">
        <f t="shared" si="88"/>
        <v>2022</v>
      </c>
      <c r="D2853" s="3">
        <f t="shared" si="89"/>
        <v>202207</v>
      </c>
      <c r="E2853" s="5" t="s">
        <v>4</v>
      </c>
      <c r="F2853" s="5" t="s">
        <v>12</v>
      </c>
      <c r="G2853" s="5" t="s">
        <v>48</v>
      </c>
      <c r="H2853">
        <v>56</v>
      </c>
      <c r="I2853" s="4">
        <v>608664</v>
      </c>
      <c r="J2853" s="4">
        <v>308000</v>
      </c>
    </row>
    <row r="2854" spans="2:10" x14ac:dyDescent="0.3">
      <c r="B2854" s="7">
        <v>44774</v>
      </c>
      <c r="C2854" s="3">
        <f t="shared" si="88"/>
        <v>2022</v>
      </c>
      <c r="D2854" s="3">
        <f t="shared" si="89"/>
        <v>202208</v>
      </c>
      <c r="E2854" s="5" t="s">
        <v>4</v>
      </c>
      <c r="F2854" s="5" t="s">
        <v>12</v>
      </c>
      <c r="G2854" s="5" t="s">
        <v>48</v>
      </c>
      <c r="H2854">
        <v>47</v>
      </c>
      <c r="I2854" s="4">
        <v>528374</v>
      </c>
      <c r="J2854" s="4">
        <v>258500</v>
      </c>
    </row>
    <row r="2855" spans="2:10" x14ac:dyDescent="0.3">
      <c r="B2855" s="7">
        <v>44805</v>
      </c>
      <c r="C2855" s="3">
        <f t="shared" si="88"/>
        <v>2022</v>
      </c>
      <c r="D2855" s="3">
        <f t="shared" si="89"/>
        <v>202209</v>
      </c>
      <c r="E2855" s="5" t="s">
        <v>4</v>
      </c>
      <c r="F2855" s="5" t="s">
        <v>12</v>
      </c>
      <c r="G2855" s="5" t="s">
        <v>48</v>
      </c>
      <c r="H2855">
        <v>50</v>
      </c>
      <c r="I2855" s="4">
        <v>592900</v>
      </c>
      <c r="J2855" s="4">
        <v>275000</v>
      </c>
    </row>
    <row r="2856" spans="2:10" x14ac:dyDescent="0.3">
      <c r="B2856" s="7">
        <v>44835</v>
      </c>
      <c r="C2856" s="3">
        <f t="shared" si="88"/>
        <v>2022</v>
      </c>
      <c r="D2856" s="3">
        <f t="shared" si="89"/>
        <v>202210</v>
      </c>
      <c r="E2856" s="5" t="s">
        <v>4</v>
      </c>
      <c r="F2856" s="5" t="s">
        <v>12</v>
      </c>
      <c r="G2856" s="5" t="s">
        <v>48</v>
      </c>
      <c r="H2856">
        <v>41</v>
      </c>
      <c r="I2856" s="4">
        <v>497494</v>
      </c>
      <c r="J2856" s="4">
        <v>225500</v>
      </c>
    </row>
    <row r="2857" spans="2:10" x14ac:dyDescent="0.3">
      <c r="B2857" s="7">
        <v>44866</v>
      </c>
      <c r="C2857" s="3">
        <f t="shared" si="88"/>
        <v>2022</v>
      </c>
      <c r="D2857" s="3">
        <f t="shared" si="89"/>
        <v>202211</v>
      </c>
      <c r="E2857" s="5" t="s">
        <v>4</v>
      </c>
      <c r="F2857" s="5" t="s">
        <v>12</v>
      </c>
      <c r="G2857" s="5" t="s">
        <v>48</v>
      </c>
      <c r="H2857">
        <v>30</v>
      </c>
      <c r="I2857" s="4">
        <v>367230</v>
      </c>
      <c r="J2857" s="4">
        <v>165000</v>
      </c>
    </row>
    <row r="2858" spans="2:10" x14ac:dyDescent="0.3">
      <c r="B2858" s="7">
        <v>44896</v>
      </c>
      <c r="C2858" s="3">
        <f t="shared" si="88"/>
        <v>2022</v>
      </c>
      <c r="D2858" s="3">
        <f t="shared" si="89"/>
        <v>202212</v>
      </c>
      <c r="E2858" s="5" t="s">
        <v>4</v>
      </c>
      <c r="F2858" s="5" t="s">
        <v>12</v>
      </c>
      <c r="G2858" s="5" t="s">
        <v>48</v>
      </c>
      <c r="H2858">
        <v>35</v>
      </c>
      <c r="I2858" s="4">
        <v>400925</v>
      </c>
      <c r="J2858" s="4">
        <v>192500</v>
      </c>
    </row>
    <row r="2859" spans="2:10" x14ac:dyDescent="0.3">
      <c r="B2859" s="7">
        <v>44197</v>
      </c>
      <c r="C2859" s="3">
        <f t="shared" si="88"/>
        <v>2021</v>
      </c>
      <c r="D2859" s="3">
        <f t="shared" si="89"/>
        <v>202101</v>
      </c>
      <c r="E2859" s="5" t="s">
        <v>4</v>
      </c>
      <c r="F2859" s="5" t="s">
        <v>13</v>
      </c>
      <c r="G2859" s="5" t="s">
        <v>49</v>
      </c>
      <c r="H2859">
        <v>13</v>
      </c>
      <c r="I2859" s="4">
        <v>51831</v>
      </c>
      <c r="J2859" s="4">
        <v>19656</v>
      </c>
    </row>
    <row r="2860" spans="2:10" x14ac:dyDescent="0.3">
      <c r="B2860" s="7">
        <v>44228</v>
      </c>
      <c r="C2860" s="3">
        <f t="shared" si="88"/>
        <v>2021</v>
      </c>
      <c r="D2860" s="3">
        <f t="shared" si="89"/>
        <v>202102</v>
      </c>
      <c r="E2860" s="5" t="s">
        <v>4</v>
      </c>
      <c r="F2860" s="5" t="s">
        <v>13</v>
      </c>
      <c r="G2860" s="5" t="s">
        <v>49</v>
      </c>
      <c r="H2860">
        <v>9</v>
      </c>
      <c r="I2860" s="4">
        <v>37890</v>
      </c>
      <c r="J2860" s="4">
        <v>13608</v>
      </c>
    </row>
    <row r="2861" spans="2:10" x14ac:dyDescent="0.3">
      <c r="B2861" s="7">
        <v>44256</v>
      </c>
      <c r="C2861" s="3">
        <f t="shared" si="88"/>
        <v>2021</v>
      </c>
      <c r="D2861" s="3">
        <f t="shared" si="89"/>
        <v>202103</v>
      </c>
      <c r="E2861" s="5" t="s">
        <v>4</v>
      </c>
      <c r="F2861" s="5" t="s">
        <v>13</v>
      </c>
      <c r="G2861" s="5" t="s">
        <v>49</v>
      </c>
      <c r="H2861">
        <v>7</v>
      </c>
      <c r="I2861" s="4">
        <v>24234</v>
      </c>
      <c r="J2861" s="4">
        <v>10584</v>
      </c>
    </row>
    <row r="2862" spans="2:10" x14ac:dyDescent="0.3">
      <c r="B2862" s="7">
        <v>44287</v>
      </c>
      <c r="C2862" s="3">
        <f t="shared" si="88"/>
        <v>2021</v>
      </c>
      <c r="D2862" s="3">
        <f t="shared" si="89"/>
        <v>202104</v>
      </c>
      <c r="E2862" s="5" t="s">
        <v>4</v>
      </c>
      <c r="F2862" s="5" t="s">
        <v>13</v>
      </c>
      <c r="G2862" s="5" t="s">
        <v>49</v>
      </c>
      <c r="H2862">
        <v>13</v>
      </c>
      <c r="I2862" s="4">
        <v>60762</v>
      </c>
      <c r="J2862" s="4">
        <v>19656</v>
      </c>
    </row>
    <row r="2863" spans="2:10" x14ac:dyDescent="0.3">
      <c r="B2863" s="7">
        <v>44317</v>
      </c>
      <c r="C2863" s="3">
        <f t="shared" si="88"/>
        <v>2021</v>
      </c>
      <c r="D2863" s="3">
        <f t="shared" si="89"/>
        <v>202105</v>
      </c>
      <c r="E2863" s="5" t="s">
        <v>4</v>
      </c>
      <c r="F2863" s="5" t="s">
        <v>13</v>
      </c>
      <c r="G2863" s="5" t="s">
        <v>49</v>
      </c>
      <c r="H2863">
        <v>16</v>
      </c>
      <c r="I2863" s="4">
        <v>77472</v>
      </c>
      <c r="J2863" s="4">
        <v>24192</v>
      </c>
    </row>
    <row r="2864" spans="2:10" x14ac:dyDescent="0.3">
      <c r="B2864" s="7">
        <v>44348</v>
      </c>
      <c r="C2864" s="3">
        <f t="shared" si="88"/>
        <v>2021</v>
      </c>
      <c r="D2864" s="3">
        <f t="shared" si="89"/>
        <v>202106</v>
      </c>
      <c r="E2864" s="5" t="s">
        <v>4</v>
      </c>
      <c r="F2864" s="5" t="s">
        <v>13</v>
      </c>
      <c r="G2864" s="5" t="s">
        <v>49</v>
      </c>
      <c r="H2864">
        <v>15</v>
      </c>
      <c r="I2864" s="4">
        <v>69600</v>
      </c>
      <c r="J2864" s="4">
        <v>22680</v>
      </c>
    </row>
    <row r="2865" spans="2:10" x14ac:dyDescent="0.3">
      <c r="B2865" s="7">
        <v>44378</v>
      </c>
      <c r="C2865" s="3">
        <f t="shared" si="88"/>
        <v>2021</v>
      </c>
      <c r="D2865" s="3">
        <f t="shared" si="89"/>
        <v>202107</v>
      </c>
      <c r="E2865" s="5" t="s">
        <v>4</v>
      </c>
      <c r="F2865" s="5" t="s">
        <v>13</v>
      </c>
      <c r="G2865" s="5" t="s">
        <v>49</v>
      </c>
      <c r="H2865">
        <v>16</v>
      </c>
      <c r="I2865" s="4">
        <v>36048</v>
      </c>
      <c r="J2865" s="4">
        <v>24192</v>
      </c>
    </row>
    <row r="2866" spans="2:10" x14ac:dyDescent="0.3">
      <c r="B2866" s="7">
        <v>44409</v>
      </c>
      <c r="C2866" s="3">
        <f t="shared" si="88"/>
        <v>2021</v>
      </c>
      <c r="D2866" s="3">
        <f t="shared" si="89"/>
        <v>202108</v>
      </c>
      <c r="E2866" s="5" t="s">
        <v>4</v>
      </c>
      <c r="F2866" s="5" t="s">
        <v>13</v>
      </c>
      <c r="G2866" s="5" t="s">
        <v>49</v>
      </c>
      <c r="H2866">
        <v>13</v>
      </c>
      <c r="I2866" s="4">
        <v>47593</v>
      </c>
      <c r="J2866" s="4">
        <v>19656</v>
      </c>
    </row>
    <row r="2867" spans="2:10" x14ac:dyDescent="0.3">
      <c r="B2867" s="7">
        <v>44440</v>
      </c>
      <c r="C2867" s="3">
        <f t="shared" si="88"/>
        <v>2021</v>
      </c>
      <c r="D2867" s="3">
        <f t="shared" si="89"/>
        <v>202109</v>
      </c>
      <c r="E2867" s="5" t="s">
        <v>4</v>
      </c>
      <c r="F2867" s="5" t="s">
        <v>13</v>
      </c>
      <c r="G2867" s="5" t="s">
        <v>49</v>
      </c>
      <c r="H2867">
        <v>14</v>
      </c>
      <c r="I2867" s="4">
        <v>42700</v>
      </c>
      <c r="J2867" s="4">
        <v>21168</v>
      </c>
    </row>
    <row r="2868" spans="2:10" x14ac:dyDescent="0.3">
      <c r="B2868" s="7">
        <v>44470</v>
      </c>
      <c r="C2868" s="3">
        <f t="shared" si="88"/>
        <v>2021</v>
      </c>
      <c r="D2868" s="3">
        <f t="shared" si="89"/>
        <v>202110</v>
      </c>
      <c r="E2868" s="5" t="s">
        <v>4</v>
      </c>
      <c r="F2868" s="5" t="s">
        <v>13</v>
      </c>
      <c r="G2868" s="5" t="s">
        <v>49</v>
      </c>
      <c r="H2868">
        <v>12</v>
      </c>
      <c r="I2868" s="4">
        <v>54000</v>
      </c>
      <c r="J2868" s="4">
        <v>18144</v>
      </c>
    </row>
    <row r="2869" spans="2:10" x14ac:dyDescent="0.3">
      <c r="B2869" s="7">
        <v>44501</v>
      </c>
      <c r="C2869" s="3">
        <f t="shared" si="88"/>
        <v>2021</v>
      </c>
      <c r="D2869" s="3">
        <f t="shared" si="89"/>
        <v>202111</v>
      </c>
      <c r="E2869" s="5" t="s">
        <v>4</v>
      </c>
      <c r="F2869" s="5" t="s">
        <v>13</v>
      </c>
      <c r="G2869" s="5" t="s">
        <v>49</v>
      </c>
      <c r="H2869">
        <v>9</v>
      </c>
      <c r="I2869" s="4">
        <v>37683</v>
      </c>
      <c r="J2869" s="4">
        <v>13608</v>
      </c>
    </row>
    <row r="2870" spans="2:10" x14ac:dyDescent="0.3">
      <c r="B2870" s="7">
        <v>44531</v>
      </c>
      <c r="C2870" s="3">
        <f t="shared" si="88"/>
        <v>2021</v>
      </c>
      <c r="D2870" s="3">
        <f t="shared" si="89"/>
        <v>202112</v>
      </c>
      <c r="E2870" s="5" t="s">
        <v>4</v>
      </c>
      <c r="F2870" s="5" t="s">
        <v>13</v>
      </c>
      <c r="G2870" s="5" t="s">
        <v>49</v>
      </c>
      <c r="H2870">
        <v>10</v>
      </c>
      <c r="I2870" s="4">
        <v>36190</v>
      </c>
      <c r="J2870" s="4">
        <v>15120</v>
      </c>
    </row>
    <row r="2871" spans="2:10" x14ac:dyDescent="0.3">
      <c r="B2871" s="7">
        <v>44562</v>
      </c>
      <c r="C2871" s="3">
        <f t="shared" si="88"/>
        <v>2022</v>
      </c>
      <c r="D2871" s="3">
        <f t="shared" si="89"/>
        <v>202201</v>
      </c>
      <c r="E2871" s="5" t="s">
        <v>4</v>
      </c>
      <c r="F2871" s="5" t="s">
        <v>13</v>
      </c>
      <c r="G2871" s="5" t="s">
        <v>49</v>
      </c>
      <c r="H2871">
        <v>15</v>
      </c>
      <c r="I2871" s="4">
        <v>65970</v>
      </c>
      <c r="J2871" s="4">
        <v>22680</v>
      </c>
    </row>
    <row r="2872" spans="2:10" x14ac:dyDescent="0.3">
      <c r="B2872" s="7">
        <v>44593</v>
      </c>
      <c r="C2872" s="3">
        <f t="shared" si="88"/>
        <v>2022</v>
      </c>
      <c r="D2872" s="3">
        <f t="shared" si="89"/>
        <v>202202</v>
      </c>
      <c r="E2872" s="5" t="s">
        <v>4</v>
      </c>
      <c r="F2872" s="5" t="s">
        <v>13</v>
      </c>
      <c r="G2872" s="5" t="s">
        <v>49</v>
      </c>
      <c r="H2872">
        <v>9</v>
      </c>
      <c r="I2872" s="4">
        <v>39843</v>
      </c>
      <c r="J2872" s="4">
        <v>13608</v>
      </c>
    </row>
    <row r="2873" spans="2:10" x14ac:dyDescent="0.3">
      <c r="B2873" s="7">
        <v>44621</v>
      </c>
      <c r="C2873" s="3">
        <f t="shared" si="88"/>
        <v>2022</v>
      </c>
      <c r="D2873" s="3">
        <f t="shared" si="89"/>
        <v>202203</v>
      </c>
      <c r="E2873" s="5" t="s">
        <v>4</v>
      </c>
      <c r="F2873" s="5" t="s">
        <v>13</v>
      </c>
      <c r="G2873" s="5" t="s">
        <v>49</v>
      </c>
      <c r="H2873">
        <v>8</v>
      </c>
      <c r="I2873" s="4">
        <v>27272</v>
      </c>
      <c r="J2873" s="4">
        <v>12096</v>
      </c>
    </row>
    <row r="2874" spans="2:10" x14ac:dyDescent="0.3">
      <c r="B2874" s="7">
        <v>44652</v>
      </c>
      <c r="C2874" s="3">
        <f t="shared" si="88"/>
        <v>2022</v>
      </c>
      <c r="D2874" s="3">
        <f t="shared" si="89"/>
        <v>202204</v>
      </c>
      <c r="E2874" s="5" t="s">
        <v>4</v>
      </c>
      <c r="F2874" s="5" t="s">
        <v>13</v>
      </c>
      <c r="G2874" s="5" t="s">
        <v>49</v>
      </c>
      <c r="H2874">
        <v>14</v>
      </c>
      <c r="I2874" s="4">
        <v>64288</v>
      </c>
      <c r="J2874" s="4">
        <v>21168</v>
      </c>
    </row>
    <row r="2875" spans="2:10" x14ac:dyDescent="0.3">
      <c r="B2875" s="7">
        <v>44682</v>
      </c>
      <c r="C2875" s="3">
        <f t="shared" si="88"/>
        <v>2022</v>
      </c>
      <c r="D2875" s="3">
        <f t="shared" si="89"/>
        <v>202205</v>
      </c>
      <c r="E2875" s="5" t="s">
        <v>4</v>
      </c>
      <c r="F2875" s="5" t="s">
        <v>13</v>
      </c>
      <c r="G2875" s="5" t="s">
        <v>49</v>
      </c>
      <c r="H2875">
        <v>17</v>
      </c>
      <c r="I2875" s="4">
        <v>75803</v>
      </c>
      <c r="J2875" s="4">
        <v>25704</v>
      </c>
    </row>
    <row r="2876" spans="2:10" x14ac:dyDescent="0.3">
      <c r="B2876" s="7">
        <v>44713</v>
      </c>
      <c r="C2876" s="3">
        <f t="shared" si="88"/>
        <v>2022</v>
      </c>
      <c r="D2876" s="3">
        <f t="shared" si="89"/>
        <v>202206</v>
      </c>
      <c r="E2876" s="5" t="s">
        <v>4</v>
      </c>
      <c r="F2876" s="5" t="s">
        <v>13</v>
      </c>
      <c r="G2876" s="5" t="s">
        <v>49</v>
      </c>
      <c r="H2876">
        <v>17</v>
      </c>
      <c r="I2876" s="4">
        <v>60486</v>
      </c>
      <c r="J2876" s="4">
        <v>25704</v>
      </c>
    </row>
    <row r="2877" spans="2:10" x14ac:dyDescent="0.3">
      <c r="B2877" s="7">
        <v>44743</v>
      </c>
      <c r="C2877" s="3">
        <f t="shared" si="88"/>
        <v>2022</v>
      </c>
      <c r="D2877" s="3">
        <f t="shared" si="89"/>
        <v>202207</v>
      </c>
      <c r="E2877" s="5" t="s">
        <v>4</v>
      </c>
      <c r="F2877" s="5" t="s">
        <v>13</v>
      </c>
      <c r="G2877" s="5" t="s">
        <v>49</v>
      </c>
      <c r="H2877">
        <v>17</v>
      </c>
      <c r="I2877" s="4">
        <v>40630</v>
      </c>
      <c r="J2877" s="4">
        <v>25704</v>
      </c>
    </row>
    <row r="2878" spans="2:10" x14ac:dyDescent="0.3">
      <c r="B2878" s="7">
        <v>44774</v>
      </c>
      <c r="C2878" s="3">
        <f t="shared" si="88"/>
        <v>2022</v>
      </c>
      <c r="D2878" s="3">
        <f t="shared" si="89"/>
        <v>202208</v>
      </c>
      <c r="E2878" s="5" t="s">
        <v>4</v>
      </c>
      <c r="F2878" s="5" t="s">
        <v>13</v>
      </c>
      <c r="G2878" s="5" t="s">
        <v>49</v>
      </c>
      <c r="H2878">
        <v>15</v>
      </c>
      <c r="I2878" s="4">
        <v>54420</v>
      </c>
      <c r="J2878" s="4">
        <v>22680</v>
      </c>
    </row>
    <row r="2879" spans="2:10" x14ac:dyDescent="0.3">
      <c r="B2879" s="7">
        <v>44805</v>
      </c>
      <c r="C2879" s="3">
        <f t="shared" si="88"/>
        <v>2022</v>
      </c>
      <c r="D2879" s="3">
        <f t="shared" si="89"/>
        <v>202209</v>
      </c>
      <c r="E2879" s="5" t="s">
        <v>4</v>
      </c>
      <c r="F2879" s="5" t="s">
        <v>13</v>
      </c>
      <c r="G2879" s="5" t="s">
        <v>49</v>
      </c>
      <c r="H2879">
        <v>16</v>
      </c>
      <c r="I2879" s="4">
        <v>50736</v>
      </c>
      <c r="J2879" s="4">
        <v>24192</v>
      </c>
    </row>
    <row r="2880" spans="2:10" x14ac:dyDescent="0.3">
      <c r="B2880" s="7">
        <v>44835</v>
      </c>
      <c r="C2880" s="3">
        <f t="shared" si="88"/>
        <v>2022</v>
      </c>
      <c r="D2880" s="3">
        <f t="shared" si="89"/>
        <v>202210</v>
      </c>
      <c r="E2880" s="5" t="s">
        <v>4</v>
      </c>
      <c r="F2880" s="5" t="s">
        <v>13</v>
      </c>
      <c r="G2880" s="5" t="s">
        <v>49</v>
      </c>
      <c r="H2880">
        <v>13</v>
      </c>
      <c r="I2880" s="4">
        <v>53924</v>
      </c>
      <c r="J2880" s="4">
        <v>19656</v>
      </c>
    </row>
    <row r="2881" spans="2:10" x14ac:dyDescent="0.3">
      <c r="B2881" s="7">
        <v>44866</v>
      </c>
      <c r="C2881" s="3">
        <f t="shared" si="88"/>
        <v>2022</v>
      </c>
      <c r="D2881" s="3">
        <f t="shared" si="89"/>
        <v>202211</v>
      </c>
      <c r="E2881" s="5" t="s">
        <v>4</v>
      </c>
      <c r="F2881" s="5" t="s">
        <v>13</v>
      </c>
      <c r="G2881" s="5" t="s">
        <v>49</v>
      </c>
      <c r="H2881">
        <v>9</v>
      </c>
      <c r="I2881" s="4">
        <v>39375</v>
      </c>
      <c r="J2881" s="4">
        <v>13608</v>
      </c>
    </row>
    <row r="2882" spans="2:10" x14ac:dyDescent="0.3">
      <c r="B2882" s="7">
        <v>44896</v>
      </c>
      <c r="C2882" s="3">
        <f t="shared" si="88"/>
        <v>2022</v>
      </c>
      <c r="D2882" s="3">
        <f t="shared" si="89"/>
        <v>202212</v>
      </c>
      <c r="E2882" s="5" t="s">
        <v>4</v>
      </c>
      <c r="F2882" s="5" t="s">
        <v>13</v>
      </c>
      <c r="G2882" s="5" t="s">
        <v>49</v>
      </c>
      <c r="H2882">
        <v>11</v>
      </c>
      <c r="I2882" s="4">
        <v>40953</v>
      </c>
      <c r="J2882" s="4">
        <v>16632</v>
      </c>
    </row>
    <row r="2883" spans="2:10" x14ac:dyDescent="0.3">
      <c r="B2883" s="7">
        <v>44197</v>
      </c>
      <c r="C2883" s="3">
        <f t="shared" ref="C2883:C2946" si="90">YEAR(B2883)</f>
        <v>2021</v>
      </c>
      <c r="D2883" s="3">
        <f t="shared" ref="D2883:D2946" si="91">VALUE(TEXT(B2883,"ГГГГММ"))</f>
        <v>202101</v>
      </c>
      <c r="E2883" s="5" t="s">
        <v>4</v>
      </c>
      <c r="F2883" s="5" t="s">
        <v>13</v>
      </c>
      <c r="G2883" s="5" t="s">
        <v>50</v>
      </c>
      <c r="H2883">
        <v>16</v>
      </c>
      <c r="I2883" s="4">
        <v>46464</v>
      </c>
      <c r="J2883" s="4">
        <v>12512</v>
      </c>
    </row>
    <row r="2884" spans="2:10" x14ac:dyDescent="0.3">
      <c r="B2884" s="7">
        <v>44228</v>
      </c>
      <c r="C2884" s="3">
        <f t="shared" si="90"/>
        <v>2021</v>
      </c>
      <c r="D2884" s="3">
        <f t="shared" si="91"/>
        <v>202102</v>
      </c>
      <c r="E2884" s="5" t="s">
        <v>4</v>
      </c>
      <c r="F2884" s="5" t="s">
        <v>13</v>
      </c>
      <c r="G2884" s="5" t="s">
        <v>50</v>
      </c>
      <c r="H2884">
        <v>10</v>
      </c>
      <c r="I2884" s="4">
        <v>28510</v>
      </c>
      <c r="J2884" s="4">
        <v>7820</v>
      </c>
    </row>
    <row r="2885" spans="2:10" x14ac:dyDescent="0.3">
      <c r="B2885" s="7">
        <v>44256</v>
      </c>
      <c r="C2885" s="3">
        <f t="shared" si="90"/>
        <v>2021</v>
      </c>
      <c r="D2885" s="3">
        <f t="shared" si="91"/>
        <v>202103</v>
      </c>
      <c r="E2885" s="5" t="s">
        <v>4</v>
      </c>
      <c r="F2885" s="5" t="s">
        <v>13</v>
      </c>
      <c r="G2885" s="5" t="s">
        <v>50</v>
      </c>
      <c r="H2885">
        <v>8</v>
      </c>
      <c r="I2885" s="4">
        <v>15256</v>
      </c>
      <c r="J2885" s="4">
        <v>6256</v>
      </c>
    </row>
    <row r="2886" spans="2:10" x14ac:dyDescent="0.3">
      <c r="B2886" s="7">
        <v>44287</v>
      </c>
      <c r="C2886" s="3">
        <f t="shared" si="90"/>
        <v>2021</v>
      </c>
      <c r="D2886" s="3">
        <f t="shared" si="91"/>
        <v>202104</v>
      </c>
      <c r="E2886" s="5" t="s">
        <v>4</v>
      </c>
      <c r="F2886" s="5" t="s">
        <v>13</v>
      </c>
      <c r="G2886" s="5" t="s">
        <v>50</v>
      </c>
      <c r="H2886">
        <v>15</v>
      </c>
      <c r="I2886" s="4">
        <v>44160</v>
      </c>
      <c r="J2886" s="4">
        <v>11730</v>
      </c>
    </row>
    <row r="2887" spans="2:10" x14ac:dyDescent="0.3">
      <c r="B2887" s="7">
        <v>44317</v>
      </c>
      <c r="C2887" s="3">
        <f t="shared" si="90"/>
        <v>2021</v>
      </c>
      <c r="D2887" s="3">
        <f t="shared" si="91"/>
        <v>202105</v>
      </c>
      <c r="E2887" s="5" t="s">
        <v>4</v>
      </c>
      <c r="F2887" s="5" t="s">
        <v>13</v>
      </c>
      <c r="G2887" s="5" t="s">
        <v>50</v>
      </c>
      <c r="H2887">
        <v>19</v>
      </c>
      <c r="I2887" s="4">
        <v>58007</v>
      </c>
      <c r="J2887" s="4">
        <v>14858</v>
      </c>
    </row>
    <row r="2888" spans="2:10" x14ac:dyDescent="0.3">
      <c r="B2888" s="7">
        <v>44348</v>
      </c>
      <c r="C2888" s="3">
        <f t="shared" si="90"/>
        <v>2021</v>
      </c>
      <c r="D2888" s="3">
        <f t="shared" si="91"/>
        <v>202106</v>
      </c>
      <c r="E2888" s="5" t="s">
        <v>4</v>
      </c>
      <c r="F2888" s="5" t="s">
        <v>13</v>
      </c>
      <c r="G2888" s="5" t="s">
        <v>50</v>
      </c>
      <c r="H2888">
        <v>18</v>
      </c>
      <c r="I2888" s="4">
        <v>44856</v>
      </c>
      <c r="J2888" s="4">
        <v>14076</v>
      </c>
    </row>
    <row r="2889" spans="2:10" x14ac:dyDescent="0.3">
      <c r="B2889" s="7">
        <v>44378</v>
      </c>
      <c r="C2889" s="3">
        <f t="shared" si="90"/>
        <v>2021</v>
      </c>
      <c r="D2889" s="3">
        <f t="shared" si="91"/>
        <v>202107</v>
      </c>
      <c r="E2889" s="5" t="s">
        <v>4</v>
      </c>
      <c r="F2889" s="5" t="s">
        <v>13</v>
      </c>
      <c r="G2889" s="5" t="s">
        <v>50</v>
      </c>
      <c r="H2889">
        <v>19</v>
      </c>
      <c r="I2889" s="4">
        <v>27588</v>
      </c>
      <c r="J2889" s="4">
        <v>14858</v>
      </c>
    </row>
    <row r="2890" spans="2:10" x14ac:dyDescent="0.3">
      <c r="B2890" s="7">
        <v>44409</v>
      </c>
      <c r="C2890" s="3">
        <f t="shared" si="90"/>
        <v>2021</v>
      </c>
      <c r="D2890" s="3">
        <f t="shared" si="91"/>
        <v>202108</v>
      </c>
      <c r="E2890" s="5" t="s">
        <v>4</v>
      </c>
      <c r="F2890" s="5" t="s">
        <v>13</v>
      </c>
      <c r="G2890" s="5" t="s">
        <v>50</v>
      </c>
      <c r="H2890">
        <v>16</v>
      </c>
      <c r="I2890" s="4">
        <v>43856</v>
      </c>
      <c r="J2890" s="4">
        <v>12512</v>
      </c>
    </row>
    <row r="2891" spans="2:10" x14ac:dyDescent="0.3">
      <c r="B2891" s="7">
        <v>44440</v>
      </c>
      <c r="C2891" s="3">
        <f t="shared" si="90"/>
        <v>2021</v>
      </c>
      <c r="D2891" s="3">
        <f t="shared" si="91"/>
        <v>202109</v>
      </c>
      <c r="E2891" s="5" t="s">
        <v>4</v>
      </c>
      <c r="F2891" s="5" t="s">
        <v>13</v>
      </c>
      <c r="G2891" s="5" t="s">
        <v>50</v>
      </c>
      <c r="H2891">
        <v>17</v>
      </c>
      <c r="I2891" s="4">
        <v>47617</v>
      </c>
      <c r="J2891" s="4">
        <v>13294</v>
      </c>
    </row>
    <row r="2892" spans="2:10" x14ac:dyDescent="0.3">
      <c r="B2892" s="7">
        <v>44470</v>
      </c>
      <c r="C2892" s="3">
        <f t="shared" si="90"/>
        <v>2021</v>
      </c>
      <c r="D2892" s="3">
        <f t="shared" si="91"/>
        <v>202110</v>
      </c>
      <c r="E2892" s="5" t="s">
        <v>4</v>
      </c>
      <c r="F2892" s="5" t="s">
        <v>13</v>
      </c>
      <c r="G2892" s="5" t="s">
        <v>50</v>
      </c>
      <c r="H2892">
        <v>14</v>
      </c>
      <c r="I2892" s="4">
        <v>40460</v>
      </c>
      <c r="J2892" s="4">
        <v>10948</v>
      </c>
    </row>
    <row r="2893" spans="2:10" x14ac:dyDescent="0.3">
      <c r="B2893" s="7">
        <v>44501</v>
      </c>
      <c r="C2893" s="3">
        <f t="shared" si="90"/>
        <v>2021</v>
      </c>
      <c r="D2893" s="3">
        <f t="shared" si="91"/>
        <v>202111</v>
      </c>
      <c r="E2893" s="5" t="s">
        <v>4</v>
      </c>
      <c r="F2893" s="5" t="s">
        <v>13</v>
      </c>
      <c r="G2893" s="5" t="s">
        <v>50</v>
      </c>
      <c r="H2893">
        <v>10</v>
      </c>
      <c r="I2893" s="4">
        <v>22320</v>
      </c>
      <c r="J2893" s="4">
        <v>7820</v>
      </c>
    </row>
    <row r="2894" spans="2:10" x14ac:dyDescent="0.3">
      <c r="B2894" s="7">
        <v>44531</v>
      </c>
      <c r="C2894" s="3">
        <f t="shared" si="90"/>
        <v>2021</v>
      </c>
      <c r="D2894" s="3">
        <f t="shared" si="91"/>
        <v>202112</v>
      </c>
      <c r="E2894" s="5" t="s">
        <v>4</v>
      </c>
      <c r="F2894" s="5" t="s">
        <v>13</v>
      </c>
      <c r="G2894" s="5" t="s">
        <v>50</v>
      </c>
      <c r="H2894">
        <v>12</v>
      </c>
      <c r="I2894" s="4">
        <v>30756</v>
      </c>
      <c r="J2894" s="4">
        <v>9384</v>
      </c>
    </row>
    <row r="2895" spans="2:10" x14ac:dyDescent="0.3">
      <c r="B2895" s="7">
        <v>44562</v>
      </c>
      <c r="C2895" s="3">
        <f t="shared" si="90"/>
        <v>2022</v>
      </c>
      <c r="D2895" s="3">
        <f t="shared" si="91"/>
        <v>202201</v>
      </c>
      <c r="E2895" s="5" t="s">
        <v>4</v>
      </c>
      <c r="F2895" s="5" t="s">
        <v>13</v>
      </c>
      <c r="G2895" s="5" t="s">
        <v>50</v>
      </c>
      <c r="H2895">
        <v>18</v>
      </c>
      <c r="I2895" s="4">
        <v>45180</v>
      </c>
      <c r="J2895" s="4">
        <v>14076</v>
      </c>
    </row>
    <row r="2896" spans="2:10" x14ac:dyDescent="0.3">
      <c r="B2896" s="7">
        <v>44593</v>
      </c>
      <c r="C2896" s="3">
        <f t="shared" si="90"/>
        <v>2022</v>
      </c>
      <c r="D2896" s="3">
        <f t="shared" si="91"/>
        <v>202202</v>
      </c>
      <c r="E2896" s="5" t="s">
        <v>4</v>
      </c>
      <c r="F2896" s="5" t="s">
        <v>13</v>
      </c>
      <c r="G2896" s="5" t="s">
        <v>50</v>
      </c>
      <c r="H2896">
        <v>11</v>
      </c>
      <c r="I2896" s="4">
        <v>37609</v>
      </c>
      <c r="J2896" s="4">
        <v>8602</v>
      </c>
    </row>
    <row r="2897" spans="2:10" x14ac:dyDescent="0.3">
      <c r="B2897" s="7">
        <v>44621</v>
      </c>
      <c r="C2897" s="3">
        <f t="shared" si="90"/>
        <v>2022</v>
      </c>
      <c r="D2897" s="3">
        <f t="shared" si="91"/>
        <v>202203</v>
      </c>
      <c r="E2897" s="5" t="s">
        <v>4</v>
      </c>
      <c r="F2897" s="5" t="s">
        <v>13</v>
      </c>
      <c r="G2897" s="5" t="s">
        <v>50</v>
      </c>
      <c r="H2897">
        <v>9</v>
      </c>
      <c r="I2897" s="4">
        <v>25110</v>
      </c>
      <c r="J2897" s="4">
        <v>7038</v>
      </c>
    </row>
    <row r="2898" spans="2:10" x14ac:dyDescent="0.3">
      <c r="B2898" s="7">
        <v>44652</v>
      </c>
      <c r="C2898" s="3">
        <f t="shared" si="90"/>
        <v>2022</v>
      </c>
      <c r="D2898" s="3">
        <f t="shared" si="91"/>
        <v>202204</v>
      </c>
      <c r="E2898" s="5" t="s">
        <v>4</v>
      </c>
      <c r="F2898" s="5" t="s">
        <v>13</v>
      </c>
      <c r="G2898" s="5" t="s">
        <v>50</v>
      </c>
      <c r="H2898">
        <v>17</v>
      </c>
      <c r="I2898" s="4">
        <v>50779</v>
      </c>
      <c r="J2898" s="4">
        <v>13294</v>
      </c>
    </row>
    <row r="2899" spans="2:10" x14ac:dyDescent="0.3">
      <c r="B2899" s="7">
        <v>44682</v>
      </c>
      <c r="C2899" s="3">
        <f t="shared" si="90"/>
        <v>2022</v>
      </c>
      <c r="D2899" s="3">
        <f t="shared" si="91"/>
        <v>202205</v>
      </c>
      <c r="E2899" s="5" t="s">
        <v>4</v>
      </c>
      <c r="F2899" s="5" t="s">
        <v>13</v>
      </c>
      <c r="G2899" s="5" t="s">
        <v>50</v>
      </c>
      <c r="H2899">
        <v>21</v>
      </c>
      <c r="I2899" s="4">
        <v>82383</v>
      </c>
      <c r="J2899" s="4">
        <v>16422</v>
      </c>
    </row>
    <row r="2900" spans="2:10" x14ac:dyDescent="0.3">
      <c r="B2900" s="7">
        <v>44713</v>
      </c>
      <c r="C2900" s="3">
        <f t="shared" si="90"/>
        <v>2022</v>
      </c>
      <c r="D2900" s="3">
        <f t="shared" si="91"/>
        <v>202206</v>
      </c>
      <c r="E2900" s="5" t="s">
        <v>4</v>
      </c>
      <c r="F2900" s="5" t="s">
        <v>13</v>
      </c>
      <c r="G2900" s="5" t="s">
        <v>50</v>
      </c>
      <c r="H2900">
        <v>20</v>
      </c>
      <c r="I2900" s="4">
        <v>50500</v>
      </c>
      <c r="J2900" s="4">
        <v>15640</v>
      </c>
    </row>
    <row r="2901" spans="2:10" x14ac:dyDescent="0.3">
      <c r="B2901" s="7">
        <v>44743</v>
      </c>
      <c r="C2901" s="3">
        <f t="shared" si="90"/>
        <v>2022</v>
      </c>
      <c r="D2901" s="3">
        <f t="shared" si="91"/>
        <v>202207</v>
      </c>
      <c r="E2901" s="5" t="s">
        <v>4</v>
      </c>
      <c r="F2901" s="5" t="s">
        <v>13</v>
      </c>
      <c r="G2901" s="5" t="s">
        <v>50</v>
      </c>
      <c r="H2901">
        <v>21</v>
      </c>
      <c r="I2901" s="4">
        <v>30093</v>
      </c>
      <c r="J2901" s="4">
        <v>16422</v>
      </c>
    </row>
    <row r="2902" spans="2:10" x14ac:dyDescent="0.3">
      <c r="B2902" s="7">
        <v>44774</v>
      </c>
      <c r="C2902" s="3">
        <f t="shared" si="90"/>
        <v>2022</v>
      </c>
      <c r="D2902" s="3">
        <f t="shared" si="91"/>
        <v>202208</v>
      </c>
      <c r="E2902" s="5" t="s">
        <v>4</v>
      </c>
      <c r="F2902" s="5" t="s">
        <v>13</v>
      </c>
      <c r="G2902" s="5" t="s">
        <v>50</v>
      </c>
      <c r="H2902">
        <v>18</v>
      </c>
      <c r="I2902" s="4">
        <v>42912</v>
      </c>
      <c r="J2902" s="4">
        <v>14076</v>
      </c>
    </row>
    <row r="2903" spans="2:10" x14ac:dyDescent="0.3">
      <c r="B2903" s="7">
        <v>44805</v>
      </c>
      <c r="C2903" s="3">
        <f t="shared" si="90"/>
        <v>2022</v>
      </c>
      <c r="D2903" s="3">
        <f t="shared" si="91"/>
        <v>202209</v>
      </c>
      <c r="E2903" s="5" t="s">
        <v>4</v>
      </c>
      <c r="F2903" s="5" t="s">
        <v>13</v>
      </c>
      <c r="G2903" s="5" t="s">
        <v>50</v>
      </c>
      <c r="H2903">
        <v>19</v>
      </c>
      <c r="I2903" s="4">
        <v>52649</v>
      </c>
      <c r="J2903" s="4">
        <v>14858</v>
      </c>
    </row>
    <row r="2904" spans="2:10" x14ac:dyDescent="0.3">
      <c r="B2904" s="7">
        <v>44835</v>
      </c>
      <c r="C2904" s="3">
        <f t="shared" si="90"/>
        <v>2022</v>
      </c>
      <c r="D2904" s="3">
        <f t="shared" si="91"/>
        <v>202210</v>
      </c>
      <c r="E2904" s="5" t="s">
        <v>4</v>
      </c>
      <c r="F2904" s="5" t="s">
        <v>13</v>
      </c>
      <c r="G2904" s="5" t="s">
        <v>50</v>
      </c>
      <c r="H2904">
        <v>16</v>
      </c>
      <c r="I2904" s="4">
        <v>45456</v>
      </c>
      <c r="J2904" s="4">
        <v>12512</v>
      </c>
    </row>
    <row r="2905" spans="2:10" x14ac:dyDescent="0.3">
      <c r="B2905" s="7">
        <v>44866</v>
      </c>
      <c r="C2905" s="3">
        <f t="shared" si="90"/>
        <v>2022</v>
      </c>
      <c r="D2905" s="3">
        <f t="shared" si="91"/>
        <v>202211</v>
      </c>
      <c r="E2905" s="5" t="s">
        <v>4</v>
      </c>
      <c r="F2905" s="5" t="s">
        <v>13</v>
      </c>
      <c r="G2905" s="5" t="s">
        <v>50</v>
      </c>
      <c r="H2905">
        <v>11</v>
      </c>
      <c r="I2905" s="4">
        <v>35970</v>
      </c>
      <c r="J2905" s="4">
        <v>8602</v>
      </c>
    </row>
    <row r="2906" spans="2:10" x14ac:dyDescent="0.3">
      <c r="B2906" s="7">
        <v>44896</v>
      </c>
      <c r="C2906" s="3">
        <f t="shared" si="90"/>
        <v>2022</v>
      </c>
      <c r="D2906" s="3">
        <f t="shared" si="91"/>
        <v>202212</v>
      </c>
      <c r="E2906" s="5" t="s">
        <v>4</v>
      </c>
      <c r="F2906" s="5" t="s">
        <v>13</v>
      </c>
      <c r="G2906" s="5" t="s">
        <v>50</v>
      </c>
      <c r="H2906">
        <v>14</v>
      </c>
      <c r="I2906" s="4">
        <v>29274</v>
      </c>
      <c r="J2906" s="4">
        <v>10948</v>
      </c>
    </row>
    <row r="2907" spans="2:10" x14ac:dyDescent="0.3">
      <c r="B2907" s="7">
        <v>44197</v>
      </c>
      <c r="C2907" s="3">
        <f t="shared" si="90"/>
        <v>2021</v>
      </c>
      <c r="D2907" s="3">
        <f t="shared" si="91"/>
        <v>202101</v>
      </c>
      <c r="E2907" s="5" t="s">
        <v>4</v>
      </c>
      <c r="F2907" s="5" t="s">
        <v>13</v>
      </c>
      <c r="G2907" s="5" t="s">
        <v>51</v>
      </c>
      <c r="H2907">
        <v>15</v>
      </c>
      <c r="I2907" s="4">
        <v>78465</v>
      </c>
      <c r="J2907" s="4">
        <v>26250</v>
      </c>
    </row>
    <row r="2908" spans="2:10" x14ac:dyDescent="0.3">
      <c r="B2908" s="7">
        <v>44228</v>
      </c>
      <c r="C2908" s="3">
        <f t="shared" si="90"/>
        <v>2021</v>
      </c>
      <c r="D2908" s="3">
        <f t="shared" si="91"/>
        <v>202102</v>
      </c>
      <c r="E2908" s="5" t="s">
        <v>4</v>
      </c>
      <c r="F2908" s="5" t="s">
        <v>13</v>
      </c>
      <c r="G2908" s="5" t="s">
        <v>51</v>
      </c>
      <c r="H2908">
        <v>9</v>
      </c>
      <c r="I2908" s="4">
        <v>49284</v>
      </c>
      <c r="J2908" s="4">
        <v>15750</v>
      </c>
    </row>
    <row r="2909" spans="2:10" x14ac:dyDescent="0.3">
      <c r="B2909" s="7">
        <v>44256</v>
      </c>
      <c r="C2909" s="3">
        <f t="shared" si="90"/>
        <v>2021</v>
      </c>
      <c r="D2909" s="3">
        <f t="shared" si="91"/>
        <v>202103</v>
      </c>
      <c r="E2909" s="5" t="s">
        <v>4</v>
      </c>
      <c r="F2909" s="5" t="s">
        <v>13</v>
      </c>
      <c r="G2909" s="5" t="s">
        <v>51</v>
      </c>
      <c r="H2909">
        <v>8</v>
      </c>
      <c r="I2909" s="4">
        <v>31664</v>
      </c>
      <c r="J2909" s="4">
        <v>14000</v>
      </c>
    </row>
    <row r="2910" spans="2:10" x14ac:dyDescent="0.3">
      <c r="B2910" s="7">
        <v>44287</v>
      </c>
      <c r="C2910" s="3">
        <f t="shared" si="90"/>
        <v>2021</v>
      </c>
      <c r="D2910" s="3">
        <f t="shared" si="91"/>
        <v>202104</v>
      </c>
      <c r="E2910" s="5" t="s">
        <v>4</v>
      </c>
      <c r="F2910" s="5" t="s">
        <v>13</v>
      </c>
      <c r="G2910" s="5" t="s">
        <v>51</v>
      </c>
      <c r="H2910">
        <v>14</v>
      </c>
      <c r="I2910" s="4">
        <v>78498</v>
      </c>
      <c r="J2910" s="4">
        <v>24500</v>
      </c>
    </row>
    <row r="2911" spans="2:10" x14ac:dyDescent="0.3">
      <c r="B2911" s="7">
        <v>44317</v>
      </c>
      <c r="C2911" s="3">
        <f t="shared" si="90"/>
        <v>2021</v>
      </c>
      <c r="D2911" s="3">
        <f t="shared" si="91"/>
        <v>202105</v>
      </c>
      <c r="E2911" s="5" t="s">
        <v>4</v>
      </c>
      <c r="F2911" s="5" t="s">
        <v>13</v>
      </c>
      <c r="G2911" s="5" t="s">
        <v>51</v>
      </c>
      <c r="H2911">
        <v>18</v>
      </c>
      <c r="I2911" s="4">
        <v>93780</v>
      </c>
      <c r="J2911" s="4">
        <v>31500</v>
      </c>
    </row>
    <row r="2912" spans="2:10" x14ac:dyDescent="0.3">
      <c r="B2912" s="7">
        <v>44348</v>
      </c>
      <c r="C2912" s="3">
        <f t="shared" si="90"/>
        <v>2021</v>
      </c>
      <c r="D2912" s="3">
        <f t="shared" si="91"/>
        <v>202106</v>
      </c>
      <c r="E2912" s="5" t="s">
        <v>4</v>
      </c>
      <c r="F2912" s="5" t="s">
        <v>13</v>
      </c>
      <c r="G2912" s="5" t="s">
        <v>51</v>
      </c>
      <c r="H2912">
        <v>17</v>
      </c>
      <c r="I2912" s="4">
        <v>81141</v>
      </c>
      <c r="J2912" s="4">
        <v>29750</v>
      </c>
    </row>
    <row r="2913" spans="2:10" x14ac:dyDescent="0.3">
      <c r="B2913" s="7">
        <v>44378</v>
      </c>
      <c r="C2913" s="3">
        <f t="shared" si="90"/>
        <v>2021</v>
      </c>
      <c r="D2913" s="3">
        <f t="shared" si="91"/>
        <v>202107</v>
      </c>
      <c r="E2913" s="5" t="s">
        <v>4</v>
      </c>
      <c r="F2913" s="5" t="s">
        <v>13</v>
      </c>
      <c r="G2913" s="5" t="s">
        <v>51</v>
      </c>
      <c r="H2913">
        <v>18</v>
      </c>
      <c r="I2913" s="4">
        <v>57456</v>
      </c>
      <c r="J2913" s="4">
        <v>31500</v>
      </c>
    </row>
    <row r="2914" spans="2:10" x14ac:dyDescent="0.3">
      <c r="B2914" s="7">
        <v>44409</v>
      </c>
      <c r="C2914" s="3">
        <f t="shared" si="90"/>
        <v>2021</v>
      </c>
      <c r="D2914" s="3">
        <f t="shared" si="91"/>
        <v>202108</v>
      </c>
      <c r="E2914" s="5" t="s">
        <v>4</v>
      </c>
      <c r="F2914" s="5" t="s">
        <v>13</v>
      </c>
      <c r="G2914" s="5" t="s">
        <v>51</v>
      </c>
      <c r="H2914">
        <v>15</v>
      </c>
      <c r="I2914" s="4">
        <v>68250</v>
      </c>
      <c r="J2914" s="4">
        <v>26250</v>
      </c>
    </row>
    <row r="2915" spans="2:10" x14ac:dyDescent="0.3">
      <c r="B2915" s="7">
        <v>44440</v>
      </c>
      <c r="C2915" s="3">
        <f t="shared" si="90"/>
        <v>2021</v>
      </c>
      <c r="D2915" s="3">
        <f t="shared" si="91"/>
        <v>202109</v>
      </c>
      <c r="E2915" s="5" t="s">
        <v>4</v>
      </c>
      <c r="F2915" s="5" t="s">
        <v>13</v>
      </c>
      <c r="G2915" s="5" t="s">
        <v>51</v>
      </c>
      <c r="H2915">
        <v>16</v>
      </c>
      <c r="I2915" s="4">
        <v>69456</v>
      </c>
      <c r="J2915" s="4">
        <v>28000</v>
      </c>
    </row>
    <row r="2916" spans="2:10" x14ac:dyDescent="0.3">
      <c r="B2916" s="7">
        <v>44470</v>
      </c>
      <c r="C2916" s="3">
        <f t="shared" si="90"/>
        <v>2021</v>
      </c>
      <c r="D2916" s="3">
        <f t="shared" si="91"/>
        <v>202110</v>
      </c>
      <c r="E2916" s="5" t="s">
        <v>4</v>
      </c>
      <c r="F2916" s="5" t="s">
        <v>13</v>
      </c>
      <c r="G2916" s="5" t="s">
        <v>51</v>
      </c>
      <c r="H2916">
        <v>13</v>
      </c>
      <c r="I2916" s="4">
        <v>64259</v>
      </c>
      <c r="J2916" s="4">
        <v>22750</v>
      </c>
    </row>
    <row r="2917" spans="2:10" x14ac:dyDescent="0.3">
      <c r="B2917" s="7">
        <v>44501</v>
      </c>
      <c r="C2917" s="3">
        <f t="shared" si="90"/>
        <v>2021</v>
      </c>
      <c r="D2917" s="3">
        <f t="shared" si="91"/>
        <v>202111</v>
      </c>
      <c r="E2917" s="5" t="s">
        <v>4</v>
      </c>
      <c r="F2917" s="5" t="s">
        <v>13</v>
      </c>
      <c r="G2917" s="5" t="s">
        <v>51</v>
      </c>
      <c r="H2917">
        <v>9</v>
      </c>
      <c r="I2917" s="4">
        <v>43137</v>
      </c>
      <c r="J2917" s="4">
        <v>15750</v>
      </c>
    </row>
    <row r="2918" spans="2:10" x14ac:dyDescent="0.3">
      <c r="B2918" s="7">
        <v>44531</v>
      </c>
      <c r="C2918" s="3">
        <f t="shared" si="90"/>
        <v>2021</v>
      </c>
      <c r="D2918" s="3">
        <f t="shared" si="91"/>
        <v>202112</v>
      </c>
      <c r="E2918" s="5" t="s">
        <v>4</v>
      </c>
      <c r="F2918" s="5" t="s">
        <v>13</v>
      </c>
      <c r="G2918" s="5" t="s">
        <v>51</v>
      </c>
      <c r="H2918">
        <v>11</v>
      </c>
      <c r="I2918" s="4">
        <v>49115</v>
      </c>
      <c r="J2918" s="4">
        <v>19250</v>
      </c>
    </row>
    <row r="2919" spans="2:10" x14ac:dyDescent="0.3">
      <c r="B2919" s="7">
        <v>44562</v>
      </c>
      <c r="C2919" s="3">
        <f t="shared" si="90"/>
        <v>2022</v>
      </c>
      <c r="D2919" s="3">
        <f t="shared" si="91"/>
        <v>202201</v>
      </c>
      <c r="E2919" s="5" t="s">
        <v>4</v>
      </c>
      <c r="F2919" s="5" t="s">
        <v>13</v>
      </c>
      <c r="G2919" s="5" t="s">
        <v>51</v>
      </c>
      <c r="H2919">
        <v>16</v>
      </c>
      <c r="I2919" s="4">
        <v>75264</v>
      </c>
      <c r="J2919" s="4">
        <v>28000</v>
      </c>
    </row>
    <row r="2920" spans="2:10" x14ac:dyDescent="0.3">
      <c r="B2920" s="7">
        <v>44593</v>
      </c>
      <c r="C2920" s="3">
        <f t="shared" si="90"/>
        <v>2022</v>
      </c>
      <c r="D2920" s="3">
        <f t="shared" si="91"/>
        <v>202202</v>
      </c>
      <c r="E2920" s="5" t="s">
        <v>4</v>
      </c>
      <c r="F2920" s="5" t="s">
        <v>13</v>
      </c>
      <c r="G2920" s="5" t="s">
        <v>51</v>
      </c>
      <c r="H2920">
        <v>10</v>
      </c>
      <c r="I2920" s="4">
        <v>56250</v>
      </c>
      <c r="J2920" s="4">
        <v>17500</v>
      </c>
    </row>
    <row r="2921" spans="2:10" x14ac:dyDescent="0.3">
      <c r="B2921" s="7">
        <v>44621</v>
      </c>
      <c r="C2921" s="3">
        <f t="shared" si="90"/>
        <v>2022</v>
      </c>
      <c r="D2921" s="3">
        <f t="shared" si="91"/>
        <v>202203</v>
      </c>
      <c r="E2921" s="5" t="s">
        <v>4</v>
      </c>
      <c r="F2921" s="5" t="s">
        <v>13</v>
      </c>
      <c r="G2921" s="5" t="s">
        <v>51</v>
      </c>
      <c r="H2921">
        <v>8</v>
      </c>
      <c r="I2921" s="4">
        <v>30224</v>
      </c>
      <c r="J2921" s="4">
        <v>14000</v>
      </c>
    </row>
    <row r="2922" spans="2:10" x14ac:dyDescent="0.3">
      <c r="B2922" s="7">
        <v>44652</v>
      </c>
      <c r="C2922" s="3">
        <f t="shared" si="90"/>
        <v>2022</v>
      </c>
      <c r="D2922" s="3">
        <f t="shared" si="91"/>
        <v>202204</v>
      </c>
      <c r="E2922" s="5" t="s">
        <v>4</v>
      </c>
      <c r="F2922" s="5" t="s">
        <v>13</v>
      </c>
      <c r="G2922" s="5" t="s">
        <v>51</v>
      </c>
      <c r="H2922">
        <v>15</v>
      </c>
      <c r="I2922" s="4">
        <v>76305</v>
      </c>
      <c r="J2922" s="4">
        <v>26250</v>
      </c>
    </row>
    <row r="2923" spans="2:10" x14ac:dyDescent="0.3">
      <c r="B2923" s="7">
        <v>44682</v>
      </c>
      <c r="C2923" s="3">
        <f t="shared" si="90"/>
        <v>2022</v>
      </c>
      <c r="D2923" s="3">
        <f t="shared" si="91"/>
        <v>202205</v>
      </c>
      <c r="E2923" s="5" t="s">
        <v>4</v>
      </c>
      <c r="F2923" s="5" t="s">
        <v>13</v>
      </c>
      <c r="G2923" s="5" t="s">
        <v>51</v>
      </c>
      <c r="H2923">
        <v>19</v>
      </c>
      <c r="I2923" s="4">
        <v>107635</v>
      </c>
      <c r="J2923" s="4">
        <v>33250</v>
      </c>
    </row>
    <row r="2924" spans="2:10" x14ac:dyDescent="0.3">
      <c r="B2924" s="7">
        <v>44713</v>
      </c>
      <c r="C2924" s="3">
        <f t="shared" si="90"/>
        <v>2022</v>
      </c>
      <c r="D2924" s="3">
        <f t="shared" si="91"/>
        <v>202206</v>
      </c>
      <c r="E2924" s="5" t="s">
        <v>4</v>
      </c>
      <c r="F2924" s="5" t="s">
        <v>13</v>
      </c>
      <c r="G2924" s="5" t="s">
        <v>51</v>
      </c>
      <c r="H2924">
        <v>18</v>
      </c>
      <c r="I2924" s="4">
        <v>84132</v>
      </c>
      <c r="J2924" s="4">
        <v>31500</v>
      </c>
    </row>
    <row r="2925" spans="2:10" x14ac:dyDescent="0.3">
      <c r="B2925" s="7">
        <v>44743</v>
      </c>
      <c r="C2925" s="3">
        <f t="shared" si="90"/>
        <v>2022</v>
      </c>
      <c r="D2925" s="3">
        <f t="shared" si="91"/>
        <v>202207</v>
      </c>
      <c r="E2925" s="5" t="s">
        <v>4</v>
      </c>
      <c r="F2925" s="5" t="s">
        <v>13</v>
      </c>
      <c r="G2925" s="5" t="s">
        <v>51</v>
      </c>
      <c r="H2925">
        <v>19</v>
      </c>
      <c r="I2925" s="4">
        <v>70870</v>
      </c>
      <c r="J2925" s="4">
        <v>33250</v>
      </c>
    </row>
    <row r="2926" spans="2:10" x14ac:dyDescent="0.3">
      <c r="B2926" s="7">
        <v>44774</v>
      </c>
      <c r="C2926" s="3">
        <f t="shared" si="90"/>
        <v>2022</v>
      </c>
      <c r="D2926" s="3">
        <f t="shared" si="91"/>
        <v>202208</v>
      </c>
      <c r="E2926" s="5" t="s">
        <v>4</v>
      </c>
      <c r="F2926" s="5" t="s">
        <v>13</v>
      </c>
      <c r="G2926" s="5" t="s">
        <v>51</v>
      </c>
      <c r="H2926">
        <v>16</v>
      </c>
      <c r="I2926" s="4">
        <v>73536</v>
      </c>
      <c r="J2926" s="4">
        <v>28000</v>
      </c>
    </row>
    <row r="2927" spans="2:10" x14ac:dyDescent="0.3">
      <c r="B2927" s="7">
        <v>44805</v>
      </c>
      <c r="C2927" s="3">
        <f t="shared" si="90"/>
        <v>2022</v>
      </c>
      <c r="D2927" s="3">
        <f t="shared" si="91"/>
        <v>202209</v>
      </c>
      <c r="E2927" s="5" t="s">
        <v>4</v>
      </c>
      <c r="F2927" s="5" t="s">
        <v>13</v>
      </c>
      <c r="G2927" s="5" t="s">
        <v>51</v>
      </c>
      <c r="H2927">
        <v>17</v>
      </c>
      <c r="I2927" s="4">
        <v>78574</v>
      </c>
      <c r="J2927" s="4">
        <v>29750</v>
      </c>
    </row>
    <row r="2928" spans="2:10" x14ac:dyDescent="0.3">
      <c r="B2928" s="7">
        <v>44835</v>
      </c>
      <c r="C2928" s="3">
        <f t="shared" si="90"/>
        <v>2022</v>
      </c>
      <c r="D2928" s="3">
        <f t="shared" si="91"/>
        <v>202210</v>
      </c>
      <c r="E2928" s="5" t="s">
        <v>4</v>
      </c>
      <c r="F2928" s="5" t="s">
        <v>13</v>
      </c>
      <c r="G2928" s="5" t="s">
        <v>51</v>
      </c>
      <c r="H2928">
        <v>14</v>
      </c>
      <c r="I2928" s="4">
        <v>61572</v>
      </c>
      <c r="J2928" s="4">
        <v>24500</v>
      </c>
    </row>
    <row r="2929" spans="2:10" x14ac:dyDescent="0.3">
      <c r="B2929" s="7">
        <v>44866</v>
      </c>
      <c r="C2929" s="3">
        <f t="shared" si="90"/>
        <v>2022</v>
      </c>
      <c r="D2929" s="3">
        <f t="shared" si="91"/>
        <v>202211</v>
      </c>
      <c r="E2929" s="5" t="s">
        <v>4</v>
      </c>
      <c r="F2929" s="5" t="s">
        <v>13</v>
      </c>
      <c r="G2929" s="5" t="s">
        <v>51</v>
      </c>
      <c r="H2929">
        <v>10</v>
      </c>
      <c r="I2929" s="4">
        <v>42570</v>
      </c>
      <c r="J2929" s="4">
        <v>17500</v>
      </c>
    </row>
    <row r="2930" spans="2:10" x14ac:dyDescent="0.3">
      <c r="B2930" s="7">
        <v>44896</v>
      </c>
      <c r="C2930" s="3">
        <f t="shared" si="90"/>
        <v>2022</v>
      </c>
      <c r="D2930" s="3">
        <f t="shared" si="91"/>
        <v>202212</v>
      </c>
      <c r="E2930" s="5" t="s">
        <v>4</v>
      </c>
      <c r="F2930" s="5" t="s">
        <v>13</v>
      </c>
      <c r="G2930" s="5" t="s">
        <v>51</v>
      </c>
      <c r="H2930">
        <v>12</v>
      </c>
      <c r="I2930" s="4">
        <v>53820</v>
      </c>
      <c r="J2930" s="4">
        <v>21000</v>
      </c>
    </row>
    <row r="2931" spans="2:10" x14ac:dyDescent="0.3">
      <c r="B2931" s="7">
        <v>44197</v>
      </c>
      <c r="C2931" s="3">
        <f t="shared" si="90"/>
        <v>2021</v>
      </c>
      <c r="D2931" s="3">
        <f t="shared" si="91"/>
        <v>202101</v>
      </c>
      <c r="E2931" s="5" t="s">
        <v>4</v>
      </c>
      <c r="F2931" s="5" t="s">
        <v>13</v>
      </c>
      <c r="G2931" s="5" t="s">
        <v>52</v>
      </c>
      <c r="H2931">
        <v>13</v>
      </c>
      <c r="I2931" s="4">
        <v>68445</v>
      </c>
      <c r="J2931" s="4">
        <v>32760</v>
      </c>
    </row>
    <row r="2932" spans="2:10" x14ac:dyDescent="0.3">
      <c r="B2932" s="7">
        <v>44228</v>
      </c>
      <c r="C2932" s="3">
        <f t="shared" si="90"/>
        <v>2021</v>
      </c>
      <c r="D2932" s="3">
        <f t="shared" si="91"/>
        <v>202102</v>
      </c>
      <c r="E2932" s="5" t="s">
        <v>4</v>
      </c>
      <c r="F2932" s="5" t="s">
        <v>13</v>
      </c>
      <c r="G2932" s="5" t="s">
        <v>52</v>
      </c>
      <c r="H2932">
        <v>9</v>
      </c>
      <c r="I2932" s="4">
        <v>50967</v>
      </c>
      <c r="J2932" s="4">
        <v>22680</v>
      </c>
    </row>
    <row r="2933" spans="2:10" x14ac:dyDescent="0.3">
      <c r="B2933" s="7">
        <v>44256</v>
      </c>
      <c r="C2933" s="3">
        <f t="shared" si="90"/>
        <v>2021</v>
      </c>
      <c r="D2933" s="3">
        <f t="shared" si="91"/>
        <v>202103</v>
      </c>
      <c r="E2933" s="5" t="s">
        <v>4</v>
      </c>
      <c r="F2933" s="5" t="s">
        <v>13</v>
      </c>
      <c r="G2933" s="5" t="s">
        <v>52</v>
      </c>
      <c r="H2933">
        <v>7</v>
      </c>
      <c r="I2933" s="4">
        <v>30086</v>
      </c>
      <c r="J2933" s="4">
        <v>17640</v>
      </c>
    </row>
    <row r="2934" spans="2:10" x14ac:dyDescent="0.3">
      <c r="B2934" s="7">
        <v>44287</v>
      </c>
      <c r="C2934" s="3">
        <f t="shared" si="90"/>
        <v>2021</v>
      </c>
      <c r="D2934" s="3">
        <f t="shared" si="91"/>
        <v>202104</v>
      </c>
      <c r="E2934" s="5" t="s">
        <v>4</v>
      </c>
      <c r="F2934" s="5" t="s">
        <v>13</v>
      </c>
      <c r="G2934" s="5" t="s">
        <v>52</v>
      </c>
      <c r="H2934">
        <v>13</v>
      </c>
      <c r="I2934" s="4">
        <v>73580</v>
      </c>
      <c r="J2934" s="4">
        <v>32760</v>
      </c>
    </row>
    <row r="2935" spans="2:10" x14ac:dyDescent="0.3">
      <c r="B2935" s="7">
        <v>44317</v>
      </c>
      <c r="C2935" s="3">
        <f t="shared" si="90"/>
        <v>2021</v>
      </c>
      <c r="D2935" s="3">
        <f t="shared" si="91"/>
        <v>202105</v>
      </c>
      <c r="E2935" s="5" t="s">
        <v>4</v>
      </c>
      <c r="F2935" s="5" t="s">
        <v>13</v>
      </c>
      <c r="G2935" s="5" t="s">
        <v>52</v>
      </c>
      <c r="H2935">
        <v>16</v>
      </c>
      <c r="I2935" s="4">
        <v>94784</v>
      </c>
      <c r="J2935" s="4">
        <v>40320</v>
      </c>
    </row>
    <row r="2936" spans="2:10" x14ac:dyDescent="0.3">
      <c r="B2936" s="7">
        <v>44348</v>
      </c>
      <c r="C2936" s="3">
        <f t="shared" si="90"/>
        <v>2021</v>
      </c>
      <c r="D2936" s="3">
        <f t="shared" si="91"/>
        <v>202106</v>
      </c>
      <c r="E2936" s="5" t="s">
        <v>4</v>
      </c>
      <c r="F2936" s="5" t="s">
        <v>13</v>
      </c>
      <c r="G2936" s="5" t="s">
        <v>52</v>
      </c>
      <c r="H2936">
        <v>15</v>
      </c>
      <c r="I2936" s="4">
        <v>91260</v>
      </c>
      <c r="J2936" s="4">
        <v>37800</v>
      </c>
    </row>
    <row r="2937" spans="2:10" x14ac:dyDescent="0.3">
      <c r="B2937" s="7">
        <v>44378</v>
      </c>
      <c r="C2937" s="3">
        <f t="shared" si="90"/>
        <v>2021</v>
      </c>
      <c r="D2937" s="3">
        <f t="shared" si="91"/>
        <v>202107</v>
      </c>
      <c r="E2937" s="5" t="s">
        <v>4</v>
      </c>
      <c r="F2937" s="5" t="s">
        <v>13</v>
      </c>
      <c r="G2937" s="5" t="s">
        <v>52</v>
      </c>
      <c r="H2937">
        <v>16</v>
      </c>
      <c r="I2937" s="4">
        <v>62384</v>
      </c>
      <c r="J2937" s="4">
        <v>40320</v>
      </c>
    </row>
    <row r="2938" spans="2:10" x14ac:dyDescent="0.3">
      <c r="B2938" s="7">
        <v>44409</v>
      </c>
      <c r="C2938" s="3">
        <f t="shared" si="90"/>
        <v>2021</v>
      </c>
      <c r="D2938" s="3">
        <f t="shared" si="91"/>
        <v>202108</v>
      </c>
      <c r="E2938" s="5" t="s">
        <v>4</v>
      </c>
      <c r="F2938" s="5" t="s">
        <v>13</v>
      </c>
      <c r="G2938" s="5" t="s">
        <v>52</v>
      </c>
      <c r="H2938">
        <v>13</v>
      </c>
      <c r="I2938" s="4">
        <v>70746</v>
      </c>
      <c r="J2938" s="4">
        <v>32760</v>
      </c>
    </row>
    <row r="2939" spans="2:10" x14ac:dyDescent="0.3">
      <c r="B2939" s="7">
        <v>44440</v>
      </c>
      <c r="C2939" s="3">
        <f t="shared" si="90"/>
        <v>2021</v>
      </c>
      <c r="D2939" s="3">
        <f t="shared" si="91"/>
        <v>202109</v>
      </c>
      <c r="E2939" s="5" t="s">
        <v>4</v>
      </c>
      <c r="F2939" s="5" t="s">
        <v>13</v>
      </c>
      <c r="G2939" s="5" t="s">
        <v>52</v>
      </c>
      <c r="H2939">
        <v>14</v>
      </c>
      <c r="I2939" s="4">
        <v>74928</v>
      </c>
      <c r="J2939" s="4">
        <v>35280</v>
      </c>
    </row>
    <row r="2940" spans="2:10" x14ac:dyDescent="0.3">
      <c r="B2940" s="7">
        <v>44470</v>
      </c>
      <c r="C2940" s="3">
        <f t="shared" si="90"/>
        <v>2021</v>
      </c>
      <c r="D2940" s="3">
        <f t="shared" si="91"/>
        <v>202110</v>
      </c>
      <c r="E2940" s="5" t="s">
        <v>4</v>
      </c>
      <c r="F2940" s="5" t="s">
        <v>13</v>
      </c>
      <c r="G2940" s="5" t="s">
        <v>52</v>
      </c>
      <c r="H2940">
        <v>12</v>
      </c>
      <c r="I2940" s="4">
        <v>60300</v>
      </c>
      <c r="J2940" s="4">
        <v>30240</v>
      </c>
    </row>
    <row r="2941" spans="2:10" x14ac:dyDescent="0.3">
      <c r="B2941" s="7">
        <v>44501</v>
      </c>
      <c r="C2941" s="3">
        <f t="shared" si="90"/>
        <v>2021</v>
      </c>
      <c r="D2941" s="3">
        <f t="shared" si="91"/>
        <v>202111</v>
      </c>
      <c r="E2941" s="5" t="s">
        <v>4</v>
      </c>
      <c r="F2941" s="5" t="s">
        <v>13</v>
      </c>
      <c r="G2941" s="5" t="s">
        <v>52</v>
      </c>
      <c r="H2941">
        <v>9</v>
      </c>
      <c r="I2941" s="4">
        <v>47925</v>
      </c>
      <c r="J2941" s="4">
        <v>22680</v>
      </c>
    </row>
    <row r="2942" spans="2:10" x14ac:dyDescent="0.3">
      <c r="B2942" s="7">
        <v>44531</v>
      </c>
      <c r="C2942" s="3">
        <f t="shared" si="90"/>
        <v>2021</v>
      </c>
      <c r="D2942" s="3">
        <f t="shared" si="91"/>
        <v>202112</v>
      </c>
      <c r="E2942" s="5" t="s">
        <v>4</v>
      </c>
      <c r="F2942" s="5" t="s">
        <v>13</v>
      </c>
      <c r="G2942" s="5" t="s">
        <v>52</v>
      </c>
      <c r="H2942">
        <v>10</v>
      </c>
      <c r="I2942" s="4">
        <v>45410</v>
      </c>
      <c r="J2942" s="4">
        <v>25200</v>
      </c>
    </row>
    <row r="2943" spans="2:10" x14ac:dyDescent="0.3">
      <c r="B2943" s="7">
        <v>44562</v>
      </c>
      <c r="C2943" s="3">
        <f t="shared" si="90"/>
        <v>2022</v>
      </c>
      <c r="D2943" s="3">
        <f t="shared" si="91"/>
        <v>202201</v>
      </c>
      <c r="E2943" s="5" t="s">
        <v>4</v>
      </c>
      <c r="F2943" s="5" t="s">
        <v>13</v>
      </c>
      <c r="G2943" s="5" t="s">
        <v>52</v>
      </c>
      <c r="H2943">
        <v>15</v>
      </c>
      <c r="I2943" s="4">
        <v>76815</v>
      </c>
      <c r="J2943" s="4">
        <v>37800</v>
      </c>
    </row>
    <row r="2944" spans="2:10" x14ac:dyDescent="0.3">
      <c r="B2944" s="7">
        <v>44593</v>
      </c>
      <c r="C2944" s="3">
        <f t="shared" si="90"/>
        <v>2022</v>
      </c>
      <c r="D2944" s="3">
        <f t="shared" si="91"/>
        <v>202202</v>
      </c>
      <c r="E2944" s="5" t="s">
        <v>4</v>
      </c>
      <c r="F2944" s="5" t="s">
        <v>13</v>
      </c>
      <c r="G2944" s="5" t="s">
        <v>52</v>
      </c>
      <c r="H2944">
        <v>9</v>
      </c>
      <c r="I2944" s="4">
        <v>51894</v>
      </c>
      <c r="J2944" s="4">
        <v>22680</v>
      </c>
    </row>
    <row r="2945" spans="2:10" x14ac:dyDescent="0.3">
      <c r="B2945" s="7">
        <v>44621</v>
      </c>
      <c r="C2945" s="3">
        <f t="shared" si="90"/>
        <v>2022</v>
      </c>
      <c r="D2945" s="3">
        <f t="shared" si="91"/>
        <v>202203</v>
      </c>
      <c r="E2945" s="5" t="s">
        <v>4</v>
      </c>
      <c r="F2945" s="5" t="s">
        <v>13</v>
      </c>
      <c r="G2945" s="5" t="s">
        <v>52</v>
      </c>
      <c r="H2945">
        <v>8</v>
      </c>
      <c r="I2945" s="4">
        <v>37800</v>
      </c>
      <c r="J2945" s="4">
        <v>20160</v>
      </c>
    </row>
    <row r="2946" spans="2:10" x14ac:dyDescent="0.3">
      <c r="B2946" s="7">
        <v>44652</v>
      </c>
      <c r="C2946" s="3">
        <f t="shared" si="90"/>
        <v>2022</v>
      </c>
      <c r="D2946" s="3">
        <f t="shared" si="91"/>
        <v>202204</v>
      </c>
      <c r="E2946" s="5" t="s">
        <v>4</v>
      </c>
      <c r="F2946" s="5" t="s">
        <v>13</v>
      </c>
      <c r="G2946" s="5" t="s">
        <v>52</v>
      </c>
      <c r="H2946">
        <v>14</v>
      </c>
      <c r="I2946" s="4">
        <v>81816</v>
      </c>
      <c r="J2946" s="4">
        <v>35280</v>
      </c>
    </row>
    <row r="2947" spans="2:10" x14ac:dyDescent="0.3">
      <c r="B2947" s="7">
        <v>44682</v>
      </c>
      <c r="C2947" s="3">
        <f t="shared" ref="C2947:C3010" si="92">YEAR(B2947)</f>
        <v>2022</v>
      </c>
      <c r="D2947" s="3">
        <f t="shared" ref="D2947:D3010" si="93">VALUE(TEXT(B2947,"ГГГГММ"))</f>
        <v>202205</v>
      </c>
      <c r="E2947" s="5" t="s">
        <v>4</v>
      </c>
      <c r="F2947" s="5" t="s">
        <v>13</v>
      </c>
      <c r="G2947" s="5" t="s">
        <v>52</v>
      </c>
      <c r="H2947">
        <v>17</v>
      </c>
      <c r="I2947" s="4">
        <v>113407</v>
      </c>
      <c r="J2947" s="4">
        <v>42840</v>
      </c>
    </row>
    <row r="2948" spans="2:10" x14ac:dyDescent="0.3">
      <c r="B2948" s="7">
        <v>44713</v>
      </c>
      <c r="C2948" s="3">
        <f t="shared" si="92"/>
        <v>2022</v>
      </c>
      <c r="D2948" s="3">
        <f t="shared" si="93"/>
        <v>202206</v>
      </c>
      <c r="E2948" s="5" t="s">
        <v>4</v>
      </c>
      <c r="F2948" s="5" t="s">
        <v>13</v>
      </c>
      <c r="G2948" s="5" t="s">
        <v>52</v>
      </c>
      <c r="H2948">
        <v>17</v>
      </c>
      <c r="I2948" s="4">
        <v>88145</v>
      </c>
      <c r="J2948" s="4">
        <v>42840</v>
      </c>
    </row>
    <row r="2949" spans="2:10" x14ac:dyDescent="0.3">
      <c r="B2949" s="7">
        <v>44743</v>
      </c>
      <c r="C2949" s="3">
        <f t="shared" si="92"/>
        <v>2022</v>
      </c>
      <c r="D2949" s="3">
        <f t="shared" si="93"/>
        <v>202207</v>
      </c>
      <c r="E2949" s="5" t="s">
        <v>4</v>
      </c>
      <c r="F2949" s="5" t="s">
        <v>13</v>
      </c>
      <c r="G2949" s="5" t="s">
        <v>52</v>
      </c>
      <c r="H2949">
        <v>17</v>
      </c>
      <c r="I2949" s="4">
        <v>67711</v>
      </c>
      <c r="J2949" s="4">
        <v>42840</v>
      </c>
    </row>
    <row r="2950" spans="2:10" x14ac:dyDescent="0.3">
      <c r="B2950" s="7">
        <v>44774</v>
      </c>
      <c r="C2950" s="3">
        <f t="shared" si="92"/>
        <v>2022</v>
      </c>
      <c r="D2950" s="3">
        <f t="shared" si="93"/>
        <v>202208</v>
      </c>
      <c r="E2950" s="5" t="s">
        <v>4</v>
      </c>
      <c r="F2950" s="5" t="s">
        <v>13</v>
      </c>
      <c r="G2950" s="5" t="s">
        <v>52</v>
      </c>
      <c r="H2950">
        <v>15</v>
      </c>
      <c r="I2950" s="4">
        <v>74730</v>
      </c>
      <c r="J2950" s="4">
        <v>37800</v>
      </c>
    </row>
    <row r="2951" spans="2:10" x14ac:dyDescent="0.3">
      <c r="B2951" s="7">
        <v>44805</v>
      </c>
      <c r="C2951" s="3">
        <f t="shared" si="92"/>
        <v>2022</v>
      </c>
      <c r="D2951" s="3">
        <f t="shared" si="93"/>
        <v>202209</v>
      </c>
      <c r="E2951" s="5" t="s">
        <v>4</v>
      </c>
      <c r="F2951" s="5" t="s">
        <v>13</v>
      </c>
      <c r="G2951" s="5" t="s">
        <v>52</v>
      </c>
      <c r="H2951">
        <v>16</v>
      </c>
      <c r="I2951" s="4">
        <v>77152</v>
      </c>
      <c r="J2951" s="4">
        <v>40320</v>
      </c>
    </row>
    <row r="2952" spans="2:10" x14ac:dyDescent="0.3">
      <c r="B2952" s="7">
        <v>44835</v>
      </c>
      <c r="C2952" s="3">
        <f t="shared" si="92"/>
        <v>2022</v>
      </c>
      <c r="D2952" s="3">
        <f t="shared" si="93"/>
        <v>202210</v>
      </c>
      <c r="E2952" s="5" t="s">
        <v>4</v>
      </c>
      <c r="F2952" s="5" t="s">
        <v>13</v>
      </c>
      <c r="G2952" s="5" t="s">
        <v>52</v>
      </c>
      <c r="H2952">
        <v>13</v>
      </c>
      <c r="I2952" s="4">
        <v>73697</v>
      </c>
      <c r="J2952" s="4">
        <v>32760</v>
      </c>
    </row>
    <row r="2953" spans="2:10" x14ac:dyDescent="0.3">
      <c r="B2953" s="7">
        <v>44866</v>
      </c>
      <c r="C2953" s="3">
        <f t="shared" si="92"/>
        <v>2022</v>
      </c>
      <c r="D2953" s="3">
        <f t="shared" si="93"/>
        <v>202211</v>
      </c>
      <c r="E2953" s="5" t="s">
        <v>4</v>
      </c>
      <c r="F2953" s="5" t="s">
        <v>13</v>
      </c>
      <c r="G2953" s="5" t="s">
        <v>52</v>
      </c>
      <c r="H2953">
        <v>9</v>
      </c>
      <c r="I2953" s="4">
        <v>47997</v>
      </c>
      <c r="J2953" s="4">
        <v>22680</v>
      </c>
    </row>
    <row r="2954" spans="2:10" x14ac:dyDescent="0.3">
      <c r="B2954" s="7">
        <v>44896</v>
      </c>
      <c r="C2954" s="3">
        <f t="shared" si="92"/>
        <v>2022</v>
      </c>
      <c r="D2954" s="3">
        <f t="shared" si="93"/>
        <v>202212</v>
      </c>
      <c r="E2954" s="5" t="s">
        <v>4</v>
      </c>
      <c r="F2954" s="5" t="s">
        <v>13</v>
      </c>
      <c r="G2954" s="5" t="s">
        <v>52</v>
      </c>
      <c r="H2954">
        <v>11</v>
      </c>
      <c r="I2954" s="4">
        <v>56364</v>
      </c>
      <c r="J2954" s="4">
        <v>27720</v>
      </c>
    </row>
    <row r="2955" spans="2:10" x14ac:dyDescent="0.3">
      <c r="B2955" s="7">
        <v>44197</v>
      </c>
      <c r="C2955" s="3">
        <f t="shared" si="92"/>
        <v>2021</v>
      </c>
      <c r="D2955" s="3">
        <f t="shared" si="93"/>
        <v>202101</v>
      </c>
      <c r="E2955" s="5" t="s">
        <v>4</v>
      </c>
      <c r="F2955" s="5" t="s">
        <v>13</v>
      </c>
      <c r="G2955" s="5" t="s">
        <v>53</v>
      </c>
      <c r="H2955">
        <v>17</v>
      </c>
      <c r="I2955" s="4">
        <v>50201</v>
      </c>
      <c r="J2955" s="4">
        <v>15708</v>
      </c>
    </row>
    <row r="2956" spans="2:10" x14ac:dyDescent="0.3">
      <c r="B2956" s="7">
        <v>44228</v>
      </c>
      <c r="C2956" s="3">
        <f t="shared" si="92"/>
        <v>2021</v>
      </c>
      <c r="D2956" s="3">
        <f t="shared" si="93"/>
        <v>202102</v>
      </c>
      <c r="E2956" s="5" t="s">
        <v>4</v>
      </c>
      <c r="F2956" s="5" t="s">
        <v>13</v>
      </c>
      <c r="G2956" s="5" t="s">
        <v>53</v>
      </c>
      <c r="H2956">
        <v>11</v>
      </c>
      <c r="I2956" s="4">
        <v>45694</v>
      </c>
      <c r="J2956" s="4">
        <v>10164</v>
      </c>
    </row>
    <row r="2957" spans="2:10" x14ac:dyDescent="0.3">
      <c r="B2957" s="7">
        <v>44256</v>
      </c>
      <c r="C2957" s="3">
        <f t="shared" si="92"/>
        <v>2021</v>
      </c>
      <c r="D2957" s="3">
        <f t="shared" si="93"/>
        <v>202103</v>
      </c>
      <c r="E2957" s="5" t="s">
        <v>4</v>
      </c>
      <c r="F2957" s="5" t="s">
        <v>13</v>
      </c>
      <c r="G2957" s="5" t="s">
        <v>53</v>
      </c>
      <c r="H2957">
        <v>9</v>
      </c>
      <c r="I2957" s="4">
        <v>27081</v>
      </c>
      <c r="J2957" s="4">
        <v>8316</v>
      </c>
    </row>
    <row r="2958" spans="2:10" x14ac:dyDescent="0.3">
      <c r="B2958" s="7">
        <v>44287</v>
      </c>
      <c r="C2958" s="3">
        <f t="shared" si="92"/>
        <v>2021</v>
      </c>
      <c r="D2958" s="3">
        <f t="shared" si="93"/>
        <v>202104</v>
      </c>
      <c r="E2958" s="5" t="s">
        <v>4</v>
      </c>
      <c r="F2958" s="5" t="s">
        <v>13</v>
      </c>
      <c r="G2958" s="5" t="s">
        <v>53</v>
      </c>
      <c r="H2958">
        <v>16</v>
      </c>
      <c r="I2958" s="4">
        <v>55888</v>
      </c>
      <c r="J2958" s="4">
        <v>14784</v>
      </c>
    </row>
    <row r="2959" spans="2:10" x14ac:dyDescent="0.3">
      <c r="B2959" s="7">
        <v>44317</v>
      </c>
      <c r="C2959" s="3">
        <f t="shared" si="92"/>
        <v>2021</v>
      </c>
      <c r="D2959" s="3">
        <f t="shared" si="93"/>
        <v>202105</v>
      </c>
      <c r="E2959" s="5" t="s">
        <v>4</v>
      </c>
      <c r="F2959" s="5" t="s">
        <v>13</v>
      </c>
      <c r="G2959" s="5" t="s">
        <v>53</v>
      </c>
      <c r="H2959">
        <v>20</v>
      </c>
      <c r="I2959" s="4">
        <v>76440</v>
      </c>
      <c r="J2959" s="4">
        <v>18480</v>
      </c>
    </row>
    <row r="2960" spans="2:10" x14ac:dyDescent="0.3">
      <c r="B2960" s="7">
        <v>44348</v>
      </c>
      <c r="C2960" s="3">
        <f t="shared" si="92"/>
        <v>2021</v>
      </c>
      <c r="D2960" s="3">
        <f t="shared" si="93"/>
        <v>202106</v>
      </c>
      <c r="E2960" s="5" t="s">
        <v>4</v>
      </c>
      <c r="F2960" s="5" t="s">
        <v>13</v>
      </c>
      <c r="G2960" s="5" t="s">
        <v>53</v>
      </c>
      <c r="H2960">
        <v>19</v>
      </c>
      <c r="I2960" s="4">
        <v>70642</v>
      </c>
      <c r="J2960" s="4">
        <v>17556</v>
      </c>
    </row>
    <row r="2961" spans="2:10" x14ac:dyDescent="0.3">
      <c r="B2961" s="7">
        <v>44378</v>
      </c>
      <c r="C2961" s="3">
        <f t="shared" si="92"/>
        <v>2021</v>
      </c>
      <c r="D2961" s="3">
        <f t="shared" si="93"/>
        <v>202107</v>
      </c>
      <c r="E2961" s="5" t="s">
        <v>4</v>
      </c>
      <c r="F2961" s="5" t="s">
        <v>13</v>
      </c>
      <c r="G2961" s="5" t="s">
        <v>53</v>
      </c>
      <c r="H2961">
        <v>20</v>
      </c>
      <c r="I2961" s="4">
        <v>41040</v>
      </c>
      <c r="J2961" s="4">
        <v>18480</v>
      </c>
    </row>
    <row r="2962" spans="2:10" x14ac:dyDescent="0.3">
      <c r="B2962" s="7">
        <v>44409</v>
      </c>
      <c r="C2962" s="3">
        <f t="shared" si="92"/>
        <v>2021</v>
      </c>
      <c r="D2962" s="3">
        <f t="shared" si="93"/>
        <v>202108</v>
      </c>
      <c r="E2962" s="5" t="s">
        <v>4</v>
      </c>
      <c r="F2962" s="5" t="s">
        <v>13</v>
      </c>
      <c r="G2962" s="5" t="s">
        <v>53</v>
      </c>
      <c r="H2962">
        <v>17</v>
      </c>
      <c r="I2962" s="4">
        <v>45594</v>
      </c>
      <c r="J2962" s="4">
        <v>15708</v>
      </c>
    </row>
    <row r="2963" spans="2:10" x14ac:dyDescent="0.3">
      <c r="B2963" s="7">
        <v>44440</v>
      </c>
      <c r="C2963" s="3">
        <f t="shared" si="92"/>
        <v>2021</v>
      </c>
      <c r="D2963" s="3">
        <f t="shared" si="93"/>
        <v>202109</v>
      </c>
      <c r="E2963" s="5" t="s">
        <v>4</v>
      </c>
      <c r="F2963" s="5" t="s">
        <v>13</v>
      </c>
      <c r="G2963" s="5" t="s">
        <v>53</v>
      </c>
      <c r="H2963">
        <v>18</v>
      </c>
      <c r="I2963" s="4">
        <v>56988</v>
      </c>
      <c r="J2963" s="4">
        <v>16632</v>
      </c>
    </row>
    <row r="2964" spans="2:10" x14ac:dyDescent="0.3">
      <c r="B2964" s="7">
        <v>44470</v>
      </c>
      <c r="C2964" s="3">
        <f t="shared" si="92"/>
        <v>2021</v>
      </c>
      <c r="D2964" s="3">
        <f t="shared" si="93"/>
        <v>202110</v>
      </c>
      <c r="E2964" s="5" t="s">
        <v>4</v>
      </c>
      <c r="F2964" s="5" t="s">
        <v>13</v>
      </c>
      <c r="G2964" s="5" t="s">
        <v>53</v>
      </c>
      <c r="H2964">
        <v>15</v>
      </c>
      <c r="I2964" s="4">
        <v>63885</v>
      </c>
      <c r="J2964" s="4">
        <v>13860</v>
      </c>
    </row>
    <row r="2965" spans="2:10" x14ac:dyDescent="0.3">
      <c r="B2965" s="7">
        <v>44501</v>
      </c>
      <c r="C2965" s="3">
        <f t="shared" si="92"/>
        <v>2021</v>
      </c>
      <c r="D2965" s="3">
        <f t="shared" si="93"/>
        <v>202111</v>
      </c>
      <c r="E2965" s="5" t="s">
        <v>4</v>
      </c>
      <c r="F2965" s="5" t="s">
        <v>13</v>
      </c>
      <c r="G2965" s="5" t="s">
        <v>53</v>
      </c>
      <c r="H2965">
        <v>11</v>
      </c>
      <c r="I2965" s="4">
        <v>37411</v>
      </c>
      <c r="J2965" s="4">
        <v>10164</v>
      </c>
    </row>
    <row r="2966" spans="2:10" x14ac:dyDescent="0.3">
      <c r="B2966" s="7">
        <v>44531</v>
      </c>
      <c r="C2966" s="3">
        <f t="shared" si="92"/>
        <v>2021</v>
      </c>
      <c r="D2966" s="3">
        <f t="shared" si="93"/>
        <v>202112</v>
      </c>
      <c r="E2966" s="5" t="s">
        <v>4</v>
      </c>
      <c r="F2966" s="5" t="s">
        <v>13</v>
      </c>
      <c r="G2966" s="5" t="s">
        <v>53</v>
      </c>
      <c r="H2966">
        <v>13</v>
      </c>
      <c r="I2966" s="4">
        <v>36829</v>
      </c>
      <c r="J2966" s="4">
        <v>12012</v>
      </c>
    </row>
    <row r="2967" spans="2:10" x14ac:dyDescent="0.3">
      <c r="B2967" s="7">
        <v>44562</v>
      </c>
      <c r="C2967" s="3">
        <f t="shared" si="92"/>
        <v>2022</v>
      </c>
      <c r="D2967" s="3">
        <f t="shared" si="93"/>
        <v>202201</v>
      </c>
      <c r="E2967" s="5" t="s">
        <v>4</v>
      </c>
      <c r="F2967" s="5" t="s">
        <v>13</v>
      </c>
      <c r="G2967" s="5" t="s">
        <v>53</v>
      </c>
      <c r="H2967">
        <v>19</v>
      </c>
      <c r="I2967" s="4">
        <v>71668</v>
      </c>
      <c r="J2967" s="4">
        <v>17556</v>
      </c>
    </row>
    <row r="2968" spans="2:10" x14ac:dyDescent="0.3">
      <c r="B2968" s="7">
        <v>44593</v>
      </c>
      <c r="C2968" s="3">
        <f t="shared" si="92"/>
        <v>2022</v>
      </c>
      <c r="D2968" s="3">
        <f t="shared" si="93"/>
        <v>202202</v>
      </c>
      <c r="E2968" s="5" t="s">
        <v>4</v>
      </c>
      <c r="F2968" s="5" t="s">
        <v>13</v>
      </c>
      <c r="G2968" s="5" t="s">
        <v>53</v>
      </c>
      <c r="H2968">
        <v>12</v>
      </c>
      <c r="I2968" s="4">
        <v>46560</v>
      </c>
      <c r="J2968" s="4">
        <v>11088</v>
      </c>
    </row>
    <row r="2969" spans="2:10" x14ac:dyDescent="0.3">
      <c r="B2969" s="7">
        <v>44621</v>
      </c>
      <c r="C2969" s="3">
        <f t="shared" si="92"/>
        <v>2022</v>
      </c>
      <c r="D2969" s="3">
        <f t="shared" si="93"/>
        <v>202203</v>
      </c>
      <c r="E2969" s="5" t="s">
        <v>4</v>
      </c>
      <c r="F2969" s="5" t="s">
        <v>13</v>
      </c>
      <c r="G2969" s="5" t="s">
        <v>53</v>
      </c>
      <c r="H2969">
        <v>10</v>
      </c>
      <c r="I2969" s="4">
        <v>26280</v>
      </c>
      <c r="J2969" s="4">
        <v>9240</v>
      </c>
    </row>
    <row r="2970" spans="2:10" x14ac:dyDescent="0.3">
      <c r="B2970" s="7">
        <v>44652</v>
      </c>
      <c r="C2970" s="3">
        <f t="shared" si="92"/>
        <v>2022</v>
      </c>
      <c r="D2970" s="3">
        <f t="shared" si="93"/>
        <v>202204</v>
      </c>
      <c r="E2970" s="5" t="s">
        <v>4</v>
      </c>
      <c r="F2970" s="5" t="s">
        <v>13</v>
      </c>
      <c r="G2970" s="5" t="s">
        <v>53</v>
      </c>
      <c r="H2970">
        <v>18</v>
      </c>
      <c r="I2970" s="4">
        <v>75726</v>
      </c>
      <c r="J2970" s="4">
        <v>16632</v>
      </c>
    </row>
    <row r="2971" spans="2:10" x14ac:dyDescent="0.3">
      <c r="B2971" s="7">
        <v>44682</v>
      </c>
      <c r="C2971" s="3">
        <f t="shared" si="92"/>
        <v>2022</v>
      </c>
      <c r="D2971" s="3">
        <f t="shared" si="93"/>
        <v>202205</v>
      </c>
      <c r="E2971" s="5" t="s">
        <v>4</v>
      </c>
      <c r="F2971" s="5" t="s">
        <v>13</v>
      </c>
      <c r="G2971" s="5" t="s">
        <v>53</v>
      </c>
      <c r="H2971">
        <v>22</v>
      </c>
      <c r="I2971" s="4">
        <v>96580</v>
      </c>
      <c r="J2971" s="4">
        <v>20328</v>
      </c>
    </row>
    <row r="2972" spans="2:10" x14ac:dyDescent="0.3">
      <c r="B2972" s="7">
        <v>44713</v>
      </c>
      <c r="C2972" s="3">
        <f t="shared" si="92"/>
        <v>2022</v>
      </c>
      <c r="D2972" s="3">
        <f t="shared" si="93"/>
        <v>202206</v>
      </c>
      <c r="E2972" s="5" t="s">
        <v>4</v>
      </c>
      <c r="F2972" s="5" t="s">
        <v>13</v>
      </c>
      <c r="G2972" s="5" t="s">
        <v>53</v>
      </c>
      <c r="H2972">
        <v>21</v>
      </c>
      <c r="I2972" s="4">
        <v>82131</v>
      </c>
      <c r="J2972" s="4">
        <v>19404</v>
      </c>
    </row>
    <row r="2973" spans="2:10" x14ac:dyDescent="0.3">
      <c r="B2973" s="7">
        <v>44743</v>
      </c>
      <c r="C2973" s="3">
        <f t="shared" si="92"/>
        <v>2022</v>
      </c>
      <c r="D2973" s="3">
        <f t="shared" si="93"/>
        <v>202207</v>
      </c>
      <c r="E2973" s="5" t="s">
        <v>4</v>
      </c>
      <c r="F2973" s="5" t="s">
        <v>13</v>
      </c>
      <c r="G2973" s="5" t="s">
        <v>53</v>
      </c>
      <c r="H2973">
        <v>22</v>
      </c>
      <c r="I2973" s="4">
        <v>43120</v>
      </c>
      <c r="J2973" s="4">
        <v>20328</v>
      </c>
    </row>
    <row r="2974" spans="2:10" x14ac:dyDescent="0.3">
      <c r="B2974" s="7">
        <v>44774</v>
      </c>
      <c r="C2974" s="3">
        <f t="shared" si="92"/>
        <v>2022</v>
      </c>
      <c r="D2974" s="3">
        <f t="shared" si="93"/>
        <v>202208</v>
      </c>
      <c r="E2974" s="5" t="s">
        <v>4</v>
      </c>
      <c r="F2974" s="5" t="s">
        <v>13</v>
      </c>
      <c r="G2974" s="5" t="s">
        <v>53</v>
      </c>
      <c r="H2974">
        <v>19</v>
      </c>
      <c r="I2974" s="4">
        <v>45182</v>
      </c>
      <c r="J2974" s="4">
        <v>17556</v>
      </c>
    </row>
    <row r="2975" spans="2:10" x14ac:dyDescent="0.3">
      <c r="B2975" s="7">
        <v>44805</v>
      </c>
      <c r="C2975" s="3">
        <f t="shared" si="92"/>
        <v>2022</v>
      </c>
      <c r="D2975" s="3">
        <f t="shared" si="93"/>
        <v>202209</v>
      </c>
      <c r="E2975" s="5" t="s">
        <v>4</v>
      </c>
      <c r="F2975" s="5" t="s">
        <v>13</v>
      </c>
      <c r="G2975" s="5" t="s">
        <v>53</v>
      </c>
      <c r="H2975">
        <v>20</v>
      </c>
      <c r="I2975" s="4">
        <v>55880</v>
      </c>
      <c r="J2975" s="4">
        <v>18480</v>
      </c>
    </row>
    <row r="2976" spans="2:10" x14ac:dyDescent="0.3">
      <c r="B2976" s="7">
        <v>44835</v>
      </c>
      <c r="C2976" s="3">
        <f t="shared" si="92"/>
        <v>2022</v>
      </c>
      <c r="D2976" s="3">
        <f t="shared" si="93"/>
        <v>202210</v>
      </c>
      <c r="E2976" s="5" t="s">
        <v>4</v>
      </c>
      <c r="F2976" s="5" t="s">
        <v>13</v>
      </c>
      <c r="G2976" s="5" t="s">
        <v>53</v>
      </c>
      <c r="H2976">
        <v>16</v>
      </c>
      <c r="I2976" s="4">
        <v>52144</v>
      </c>
      <c r="J2976" s="4">
        <v>14784</v>
      </c>
    </row>
    <row r="2977" spans="2:10" x14ac:dyDescent="0.3">
      <c r="B2977" s="7">
        <v>44866</v>
      </c>
      <c r="C2977" s="3">
        <f t="shared" si="92"/>
        <v>2022</v>
      </c>
      <c r="D2977" s="3">
        <f t="shared" si="93"/>
        <v>202211</v>
      </c>
      <c r="E2977" s="5" t="s">
        <v>4</v>
      </c>
      <c r="F2977" s="5" t="s">
        <v>13</v>
      </c>
      <c r="G2977" s="5" t="s">
        <v>53</v>
      </c>
      <c r="H2977">
        <v>12</v>
      </c>
      <c r="I2977" s="4">
        <v>38460</v>
      </c>
      <c r="J2977" s="4">
        <v>11088</v>
      </c>
    </row>
    <row r="2978" spans="2:10" x14ac:dyDescent="0.3">
      <c r="B2978" s="7">
        <v>44896</v>
      </c>
      <c r="C2978" s="3">
        <f t="shared" si="92"/>
        <v>2022</v>
      </c>
      <c r="D2978" s="3">
        <f t="shared" si="93"/>
        <v>202212</v>
      </c>
      <c r="E2978" s="5" t="s">
        <v>4</v>
      </c>
      <c r="F2978" s="5" t="s">
        <v>13</v>
      </c>
      <c r="G2978" s="5" t="s">
        <v>53</v>
      </c>
      <c r="H2978">
        <v>14</v>
      </c>
      <c r="I2978" s="4">
        <v>38850</v>
      </c>
      <c r="J2978" s="4">
        <v>12936</v>
      </c>
    </row>
    <row r="2979" spans="2:10" x14ac:dyDescent="0.3">
      <c r="B2979" s="7">
        <v>44197</v>
      </c>
      <c r="C2979" s="3">
        <f t="shared" si="92"/>
        <v>2021</v>
      </c>
      <c r="D2979" s="3">
        <f t="shared" si="93"/>
        <v>202101</v>
      </c>
      <c r="E2979" s="5" t="s">
        <v>4</v>
      </c>
      <c r="F2979" s="5" t="s">
        <v>13</v>
      </c>
      <c r="G2979" s="5" t="s">
        <v>54</v>
      </c>
      <c r="H2979">
        <v>14</v>
      </c>
      <c r="I2979" s="4">
        <v>48132</v>
      </c>
      <c r="J2979" s="4">
        <v>15288</v>
      </c>
    </row>
    <row r="2980" spans="2:10" x14ac:dyDescent="0.3">
      <c r="B2980" s="7">
        <v>44228</v>
      </c>
      <c r="C2980" s="3">
        <f t="shared" si="92"/>
        <v>2021</v>
      </c>
      <c r="D2980" s="3">
        <f t="shared" si="93"/>
        <v>202102</v>
      </c>
      <c r="E2980" s="5" t="s">
        <v>4</v>
      </c>
      <c r="F2980" s="5" t="s">
        <v>13</v>
      </c>
      <c r="G2980" s="5" t="s">
        <v>54</v>
      </c>
      <c r="H2980">
        <v>9</v>
      </c>
      <c r="I2980" s="4">
        <v>38475</v>
      </c>
      <c r="J2980" s="4">
        <v>9828</v>
      </c>
    </row>
    <row r="2981" spans="2:10" x14ac:dyDescent="0.3">
      <c r="B2981" s="7">
        <v>44256</v>
      </c>
      <c r="C2981" s="3">
        <f t="shared" si="92"/>
        <v>2021</v>
      </c>
      <c r="D2981" s="3">
        <f t="shared" si="93"/>
        <v>202103</v>
      </c>
      <c r="E2981" s="5" t="s">
        <v>4</v>
      </c>
      <c r="F2981" s="5" t="s">
        <v>13</v>
      </c>
      <c r="G2981" s="5" t="s">
        <v>54</v>
      </c>
      <c r="H2981">
        <v>7</v>
      </c>
      <c r="I2981" s="4">
        <v>23471</v>
      </c>
      <c r="J2981" s="4">
        <v>7644</v>
      </c>
    </row>
    <row r="2982" spans="2:10" x14ac:dyDescent="0.3">
      <c r="B2982" s="7">
        <v>44287</v>
      </c>
      <c r="C2982" s="3">
        <f t="shared" si="92"/>
        <v>2021</v>
      </c>
      <c r="D2982" s="3">
        <f t="shared" si="93"/>
        <v>202104</v>
      </c>
      <c r="E2982" s="5" t="s">
        <v>4</v>
      </c>
      <c r="F2982" s="5" t="s">
        <v>13</v>
      </c>
      <c r="G2982" s="5" t="s">
        <v>54</v>
      </c>
      <c r="H2982">
        <v>13</v>
      </c>
      <c r="I2982" s="4">
        <v>53053</v>
      </c>
      <c r="J2982" s="4">
        <v>14196</v>
      </c>
    </row>
    <row r="2983" spans="2:10" x14ac:dyDescent="0.3">
      <c r="B2983" s="7">
        <v>44317</v>
      </c>
      <c r="C2983" s="3">
        <f t="shared" si="92"/>
        <v>2021</v>
      </c>
      <c r="D2983" s="3">
        <f t="shared" si="93"/>
        <v>202105</v>
      </c>
      <c r="E2983" s="5" t="s">
        <v>4</v>
      </c>
      <c r="F2983" s="5" t="s">
        <v>13</v>
      </c>
      <c r="G2983" s="5" t="s">
        <v>54</v>
      </c>
      <c r="H2983">
        <v>16</v>
      </c>
      <c r="I2983" s="4">
        <v>72528</v>
      </c>
      <c r="J2983" s="4">
        <v>17472</v>
      </c>
    </row>
    <row r="2984" spans="2:10" x14ac:dyDescent="0.3">
      <c r="B2984" s="7">
        <v>44348</v>
      </c>
      <c r="C2984" s="3">
        <f t="shared" si="92"/>
        <v>2021</v>
      </c>
      <c r="D2984" s="3">
        <f t="shared" si="93"/>
        <v>202106</v>
      </c>
      <c r="E2984" s="5" t="s">
        <v>4</v>
      </c>
      <c r="F2984" s="5" t="s">
        <v>13</v>
      </c>
      <c r="G2984" s="5" t="s">
        <v>54</v>
      </c>
      <c r="H2984">
        <v>15</v>
      </c>
      <c r="I2984" s="4">
        <v>57570</v>
      </c>
      <c r="J2984" s="4">
        <v>16380</v>
      </c>
    </row>
    <row r="2985" spans="2:10" x14ac:dyDescent="0.3">
      <c r="B2985" s="7">
        <v>44378</v>
      </c>
      <c r="C2985" s="3">
        <f t="shared" si="92"/>
        <v>2021</v>
      </c>
      <c r="D2985" s="3">
        <f t="shared" si="93"/>
        <v>202107</v>
      </c>
      <c r="E2985" s="5" t="s">
        <v>4</v>
      </c>
      <c r="F2985" s="5" t="s">
        <v>13</v>
      </c>
      <c r="G2985" s="5" t="s">
        <v>54</v>
      </c>
      <c r="H2985">
        <v>16</v>
      </c>
      <c r="I2985" s="4">
        <v>34880</v>
      </c>
      <c r="J2985" s="4">
        <v>17472</v>
      </c>
    </row>
    <row r="2986" spans="2:10" x14ac:dyDescent="0.3">
      <c r="B2986" s="7">
        <v>44409</v>
      </c>
      <c r="C2986" s="3">
        <f t="shared" si="92"/>
        <v>2021</v>
      </c>
      <c r="D2986" s="3">
        <f t="shared" si="93"/>
        <v>202108</v>
      </c>
      <c r="E2986" s="5" t="s">
        <v>4</v>
      </c>
      <c r="F2986" s="5" t="s">
        <v>13</v>
      </c>
      <c r="G2986" s="5" t="s">
        <v>54</v>
      </c>
      <c r="H2986">
        <v>14</v>
      </c>
      <c r="I2986" s="4">
        <v>52010</v>
      </c>
      <c r="J2986" s="4">
        <v>15288</v>
      </c>
    </row>
    <row r="2987" spans="2:10" x14ac:dyDescent="0.3">
      <c r="B2987" s="7">
        <v>44440</v>
      </c>
      <c r="C2987" s="3">
        <f t="shared" si="92"/>
        <v>2021</v>
      </c>
      <c r="D2987" s="3">
        <f t="shared" si="93"/>
        <v>202109</v>
      </c>
      <c r="E2987" s="5" t="s">
        <v>4</v>
      </c>
      <c r="F2987" s="5" t="s">
        <v>13</v>
      </c>
      <c r="G2987" s="5" t="s">
        <v>54</v>
      </c>
      <c r="H2987">
        <v>15</v>
      </c>
      <c r="I2987" s="4">
        <v>59040</v>
      </c>
      <c r="J2987" s="4">
        <v>16380</v>
      </c>
    </row>
    <row r="2988" spans="2:10" x14ac:dyDescent="0.3">
      <c r="B2988" s="7">
        <v>44470</v>
      </c>
      <c r="C2988" s="3">
        <f t="shared" si="92"/>
        <v>2021</v>
      </c>
      <c r="D2988" s="3">
        <f t="shared" si="93"/>
        <v>202110</v>
      </c>
      <c r="E2988" s="5" t="s">
        <v>4</v>
      </c>
      <c r="F2988" s="5" t="s">
        <v>13</v>
      </c>
      <c r="G2988" s="5" t="s">
        <v>54</v>
      </c>
      <c r="H2988">
        <v>12</v>
      </c>
      <c r="I2988" s="4">
        <v>46980</v>
      </c>
      <c r="J2988" s="4">
        <v>13104</v>
      </c>
    </row>
    <row r="2989" spans="2:10" x14ac:dyDescent="0.3">
      <c r="B2989" s="7">
        <v>44501</v>
      </c>
      <c r="C2989" s="3">
        <f t="shared" si="92"/>
        <v>2021</v>
      </c>
      <c r="D2989" s="3">
        <f t="shared" si="93"/>
        <v>202111</v>
      </c>
      <c r="E2989" s="5" t="s">
        <v>4</v>
      </c>
      <c r="F2989" s="5" t="s">
        <v>13</v>
      </c>
      <c r="G2989" s="5" t="s">
        <v>54</v>
      </c>
      <c r="H2989">
        <v>9</v>
      </c>
      <c r="I2989" s="4">
        <v>30060</v>
      </c>
      <c r="J2989" s="4">
        <v>9828</v>
      </c>
    </row>
    <row r="2990" spans="2:10" x14ac:dyDescent="0.3">
      <c r="B2990" s="7">
        <v>44531</v>
      </c>
      <c r="C2990" s="3">
        <f t="shared" si="92"/>
        <v>2021</v>
      </c>
      <c r="D2990" s="3">
        <f t="shared" si="93"/>
        <v>202112</v>
      </c>
      <c r="E2990" s="5" t="s">
        <v>4</v>
      </c>
      <c r="F2990" s="5" t="s">
        <v>13</v>
      </c>
      <c r="G2990" s="5" t="s">
        <v>54</v>
      </c>
      <c r="H2990">
        <v>10</v>
      </c>
      <c r="I2990" s="4">
        <v>30890</v>
      </c>
      <c r="J2990" s="4">
        <v>10920</v>
      </c>
    </row>
    <row r="2991" spans="2:10" x14ac:dyDescent="0.3">
      <c r="B2991" s="7">
        <v>44562</v>
      </c>
      <c r="C2991" s="3">
        <f t="shared" si="92"/>
        <v>2022</v>
      </c>
      <c r="D2991" s="3">
        <f t="shared" si="93"/>
        <v>202201</v>
      </c>
      <c r="E2991" s="5" t="s">
        <v>4</v>
      </c>
      <c r="F2991" s="5" t="s">
        <v>13</v>
      </c>
      <c r="G2991" s="5" t="s">
        <v>54</v>
      </c>
      <c r="H2991">
        <v>15</v>
      </c>
      <c r="I2991" s="4">
        <v>47415</v>
      </c>
      <c r="J2991" s="4">
        <v>16380</v>
      </c>
    </row>
    <row r="2992" spans="2:10" x14ac:dyDescent="0.3">
      <c r="B2992" s="7">
        <v>44593</v>
      </c>
      <c r="C2992" s="3">
        <f t="shared" si="92"/>
        <v>2022</v>
      </c>
      <c r="D2992" s="3">
        <f t="shared" si="93"/>
        <v>202202</v>
      </c>
      <c r="E2992" s="5" t="s">
        <v>4</v>
      </c>
      <c r="F2992" s="5" t="s">
        <v>13</v>
      </c>
      <c r="G2992" s="5" t="s">
        <v>54</v>
      </c>
      <c r="H2992">
        <v>10</v>
      </c>
      <c r="I2992" s="4">
        <v>38800</v>
      </c>
      <c r="J2992" s="4">
        <v>10920</v>
      </c>
    </row>
    <row r="2993" spans="2:10" x14ac:dyDescent="0.3">
      <c r="B2993" s="7">
        <v>44621</v>
      </c>
      <c r="C2993" s="3">
        <f t="shared" si="92"/>
        <v>2022</v>
      </c>
      <c r="D2993" s="3">
        <f t="shared" si="93"/>
        <v>202203</v>
      </c>
      <c r="E2993" s="5" t="s">
        <v>4</v>
      </c>
      <c r="F2993" s="5" t="s">
        <v>13</v>
      </c>
      <c r="G2993" s="5" t="s">
        <v>54</v>
      </c>
      <c r="H2993">
        <v>8</v>
      </c>
      <c r="I2993" s="4">
        <v>29992</v>
      </c>
      <c r="J2993" s="4">
        <v>8736</v>
      </c>
    </row>
    <row r="2994" spans="2:10" x14ac:dyDescent="0.3">
      <c r="B2994" s="7">
        <v>44652</v>
      </c>
      <c r="C2994" s="3">
        <f t="shared" si="92"/>
        <v>2022</v>
      </c>
      <c r="D2994" s="3">
        <f t="shared" si="93"/>
        <v>202204</v>
      </c>
      <c r="E2994" s="5" t="s">
        <v>4</v>
      </c>
      <c r="F2994" s="5" t="s">
        <v>13</v>
      </c>
      <c r="G2994" s="5" t="s">
        <v>54</v>
      </c>
      <c r="H2994">
        <v>14</v>
      </c>
      <c r="I2994" s="4">
        <v>65352</v>
      </c>
      <c r="J2994" s="4">
        <v>15288</v>
      </c>
    </row>
    <row r="2995" spans="2:10" x14ac:dyDescent="0.3">
      <c r="B2995" s="7">
        <v>44682</v>
      </c>
      <c r="C2995" s="3">
        <f t="shared" si="92"/>
        <v>2022</v>
      </c>
      <c r="D2995" s="3">
        <f t="shared" si="93"/>
        <v>202205</v>
      </c>
      <c r="E2995" s="5" t="s">
        <v>4</v>
      </c>
      <c r="F2995" s="5" t="s">
        <v>13</v>
      </c>
      <c r="G2995" s="5" t="s">
        <v>54</v>
      </c>
      <c r="H2995">
        <v>18</v>
      </c>
      <c r="I2995" s="4">
        <v>77436</v>
      </c>
      <c r="J2995" s="4">
        <v>19656</v>
      </c>
    </row>
    <row r="2996" spans="2:10" x14ac:dyDescent="0.3">
      <c r="B2996" s="7">
        <v>44713</v>
      </c>
      <c r="C2996" s="3">
        <f t="shared" si="92"/>
        <v>2022</v>
      </c>
      <c r="D2996" s="3">
        <f t="shared" si="93"/>
        <v>202206</v>
      </c>
      <c r="E2996" s="5" t="s">
        <v>4</v>
      </c>
      <c r="F2996" s="5" t="s">
        <v>13</v>
      </c>
      <c r="G2996" s="5" t="s">
        <v>54</v>
      </c>
      <c r="H2996">
        <v>17</v>
      </c>
      <c r="I2996" s="4">
        <v>64005</v>
      </c>
      <c r="J2996" s="4">
        <v>18564</v>
      </c>
    </row>
    <row r="2997" spans="2:10" x14ac:dyDescent="0.3">
      <c r="B2997" s="7">
        <v>44743</v>
      </c>
      <c r="C2997" s="3">
        <f t="shared" si="92"/>
        <v>2022</v>
      </c>
      <c r="D2997" s="3">
        <f t="shared" si="93"/>
        <v>202207</v>
      </c>
      <c r="E2997" s="5" t="s">
        <v>4</v>
      </c>
      <c r="F2997" s="5" t="s">
        <v>13</v>
      </c>
      <c r="G2997" s="5" t="s">
        <v>54</v>
      </c>
      <c r="H2997">
        <v>18</v>
      </c>
      <c r="I2997" s="4">
        <v>43884</v>
      </c>
      <c r="J2997" s="4">
        <v>19656</v>
      </c>
    </row>
    <row r="2998" spans="2:10" x14ac:dyDescent="0.3">
      <c r="B2998" s="7">
        <v>44774</v>
      </c>
      <c r="C2998" s="3">
        <f t="shared" si="92"/>
        <v>2022</v>
      </c>
      <c r="D2998" s="3">
        <f t="shared" si="93"/>
        <v>202208</v>
      </c>
      <c r="E2998" s="5" t="s">
        <v>4</v>
      </c>
      <c r="F2998" s="5" t="s">
        <v>13</v>
      </c>
      <c r="G2998" s="5" t="s">
        <v>54</v>
      </c>
      <c r="H2998">
        <v>15</v>
      </c>
      <c r="I2998" s="4">
        <v>53730</v>
      </c>
      <c r="J2998" s="4">
        <v>16380</v>
      </c>
    </row>
    <row r="2999" spans="2:10" x14ac:dyDescent="0.3">
      <c r="B2999" s="7">
        <v>44805</v>
      </c>
      <c r="C2999" s="3">
        <f t="shared" si="92"/>
        <v>2022</v>
      </c>
      <c r="D2999" s="3">
        <f t="shared" si="93"/>
        <v>202209</v>
      </c>
      <c r="E2999" s="5" t="s">
        <v>4</v>
      </c>
      <c r="F2999" s="5" t="s">
        <v>13</v>
      </c>
      <c r="G2999" s="5" t="s">
        <v>54</v>
      </c>
      <c r="H2999">
        <v>16</v>
      </c>
      <c r="I2999" s="4">
        <v>44960</v>
      </c>
      <c r="J2999" s="4">
        <v>17472</v>
      </c>
    </row>
    <row r="3000" spans="2:10" x14ac:dyDescent="0.3">
      <c r="B3000" s="7">
        <v>44835</v>
      </c>
      <c r="C3000" s="3">
        <f t="shared" si="92"/>
        <v>2022</v>
      </c>
      <c r="D3000" s="3">
        <f t="shared" si="93"/>
        <v>202210</v>
      </c>
      <c r="E3000" s="5" t="s">
        <v>4</v>
      </c>
      <c r="F3000" s="5" t="s">
        <v>13</v>
      </c>
      <c r="G3000" s="5" t="s">
        <v>54</v>
      </c>
      <c r="H3000">
        <v>13</v>
      </c>
      <c r="I3000" s="4">
        <v>55146</v>
      </c>
      <c r="J3000" s="4">
        <v>14196</v>
      </c>
    </row>
    <row r="3001" spans="2:10" x14ac:dyDescent="0.3">
      <c r="B3001" s="7">
        <v>44866</v>
      </c>
      <c r="C3001" s="3">
        <f t="shared" si="92"/>
        <v>2022</v>
      </c>
      <c r="D3001" s="3">
        <f t="shared" si="93"/>
        <v>202211</v>
      </c>
      <c r="E3001" s="5" t="s">
        <v>4</v>
      </c>
      <c r="F3001" s="5" t="s">
        <v>13</v>
      </c>
      <c r="G3001" s="5" t="s">
        <v>54</v>
      </c>
      <c r="H3001">
        <v>10</v>
      </c>
      <c r="I3001" s="4">
        <v>43190</v>
      </c>
      <c r="J3001" s="4">
        <v>10920</v>
      </c>
    </row>
    <row r="3002" spans="2:10" x14ac:dyDescent="0.3">
      <c r="B3002" s="7">
        <v>44896</v>
      </c>
      <c r="C3002" s="3">
        <f t="shared" si="92"/>
        <v>2022</v>
      </c>
      <c r="D3002" s="3">
        <f t="shared" si="93"/>
        <v>202212</v>
      </c>
      <c r="E3002" s="5" t="s">
        <v>4</v>
      </c>
      <c r="F3002" s="5" t="s">
        <v>13</v>
      </c>
      <c r="G3002" s="5" t="s">
        <v>54</v>
      </c>
      <c r="H3002">
        <v>11</v>
      </c>
      <c r="I3002" s="4">
        <v>36322</v>
      </c>
      <c r="J3002" s="4">
        <v>12012</v>
      </c>
    </row>
    <row r="3003" spans="2:10" x14ac:dyDescent="0.3">
      <c r="B3003" s="7">
        <v>44197</v>
      </c>
      <c r="C3003" s="3">
        <f t="shared" si="92"/>
        <v>2021</v>
      </c>
      <c r="D3003" s="3">
        <f t="shared" si="93"/>
        <v>202101</v>
      </c>
      <c r="E3003" s="5" t="s">
        <v>4</v>
      </c>
      <c r="F3003" s="5" t="s">
        <v>13</v>
      </c>
      <c r="G3003" s="5" t="s">
        <v>55</v>
      </c>
      <c r="H3003">
        <v>17</v>
      </c>
      <c r="I3003" s="4">
        <v>62781</v>
      </c>
      <c r="J3003" s="4">
        <v>14858</v>
      </c>
    </row>
    <row r="3004" spans="2:10" x14ac:dyDescent="0.3">
      <c r="B3004" s="7">
        <v>44228</v>
      </c>
      <c r="C3004" s="3">
        <f t="shared" si="92"/>
        <v>2021</v>
      </c>
      <c r="D3004" s="3">
        <f t="shared" si="93"/>
        <v>202102</v>
      </c>
      <c r="E3004" s="5" t="s">
        <v>4</v>
      </c>
      <c r="F3004" s="5" t="s">
        <v>13</v>
      </c>
      <c r="G3004" s="5" t="s">
        <v>55</v>
      </c>
      <c r="H3004">
        <v>11</v>
      </c>
      <c r="I3004" s="4">
        <v>39314</v>
      </c>
      <c r="J3004" s="4">
        <v>9614</v>
      </c>
    </row>
    <row r="3005" spans="2:10" x14ac:dyDescent="0.3">
      <c r="B3005" s="7">
        <v>44256</v>
      </c>
      <c r="C3005" s="3">
        <f t="shared" si="92"/>
        <v>2021</v>
      </c>
      <c r="D3005" s="3">
        <f t="shared" si="93"/>
        <v>202103</v>
      </c>
      <c r="E3005" s="5" t="s">
        <v>4</v>
      </c>
      <c r="F3005" s="5" t="s">
        <v>13</v>
      </c>
      <c r="G3005" s="5" t="s">
        <v>55</v>
      </c>
      <c r="H3005">
        <v>9</v>
      </c>
      <c r="I3005" s="4">
        <v>25686</v>
      </c>
      <c r="J3005" s="4">
        <v>7866</v>
      </c>
    </row>
    <row r="3006" spans="2:10" x14ac:dyDescent="0.3">
      <c r="B3006" s="7">
        <v>44287</v>
      </c>
      <c r="C3006" s="3">
        <f t="shared" si="92"/>
        <v>2021</v>
      </c>
      <c r="D3006" s="3">
        <f t="shared" si="93"/>
        <v>202104</v>
      </c>
      <c r="E3006" s="5" t="s">
        <v>4</v>
      </c>
      <c r="F3006" s="5" t="s">
        <v>13</v>
      </c>
      <c r="G3006" s="5" t="s">
        <v>55</v>
      </c>
      <c r="H3006">
        <v>16</v>
      </c>
      <c r="I3006" s="4">
        <v>59280</v>
      </c>
      <c r="J3006" s="4">
        <v>13984</v>
      </c>
    </row>
    <row r="3007" spans="2:10" x14ac:dyDescent="0.3">
      <c r="B3007" s="7">
        <v>44317</v>
      </c>
      <c r="C3007" s="3">
        <f t="shared" si="92"/>
        <v>2021</v>
      </c>
      <c r="D3007" s="3">
        <f t="shared" si="93"/>
        <v>202105</v>
      </c>
      <c r="E3007" s="5" t="s">
        <v>4</v>
      </c>
      <c r="F3007" s="5" t="s">
        <v>13</v>
      </c>
      <c r="G3007" s="5" t="s">
        <v>55</v>
      </c>
      <c r="H3007">
        <v>21</v>
      </c>
      <c r="I3007" s="4">
        <v>90993</v>
      </c>
      <c r="J3007" s="4">
        <v>18354</v>
      </c>
    </row>
    <row r="3008" spans="2:10" x14ac:dyDescent="0.3">
      <c r="B3008" s="7">
        <v>44348</v>
      </c>
      <c r="C3008" s="3">
        <f t="shared" si="92"/>
        <v>2021</v>
      </c>
      <c r="D3008" s="3">
        <f t="shared" si="93"/>
        <v>202106</v>
      </c>
      <c r="E3008" s="5" t="s">
        <v>4</v>
      </c>
      <c r="F3008" s="5" t="s">
        <v>13</v>
      </c>
      <c r="G3008" s="5" t="s">
        <v>55</v>
      </c>
      <c r="H3008">
        <v>20</v>
      </c>
      <c r="I3008" s="4">
        <v>69180</v>
      </c>
      <c r="J3008" s="4">
        <v>17480</v>
      </c>
    </row>
    <row r="3009" spans="2:10" x14ac:dyDescent="0.3">
      <c r="B3009" s="7">
        <v>44378</v>
      </c>
      <c r="C3009" s="3">
        <f t="shared" si="92"/>
        <v>2021</v>
      </c>
      <c r="D3009" s="3">
        <f t="shared" si="93"/>
        <v>202107</v>
      </c>
      <c r="E3009" s="5" t="s">
        <v>4</v>
      </c>
      <c r="F3009" s="5" t="s">
        <v>13</v>
      </c>
      <c r="G3009" s="5" t="s">
        <v>55</v>
      </c>
      <c r="H3009">
        <v>21</v>
      </c>
      <c r="I3009" s="4">
        <v>43344</v>
      </c>
      <c r="J3009" s="4">
        <v>18354</v>
      </c>
    </row>
    <row r="3010" spans="2:10" x14ac:dyDescent="0.3">
      <c r="B3010" s="7">
        <v>44409</v>
      </c>
      <c r="C3010" s="3">
        <f t="shared" si="92"/>
        <v>2021</v>
      </c>
      <c r="D3010" s="3">
        <f t="shared" si="93"/>
        <v>202108</v>
      </c>
      <c r="E3010" s="5" t="s">
        <v>4</v>
      </c>
      <c r="F3010" s="5" t="s">
        <v>13</v>
      </c>
      <c r="G3010" s="5" t="s">
        <v>55</v>
      </c>
      <c r="H3010">
        <v>17</v>
      </c>
      <c r="I3010" s="4">
        <v>39950</v>
      </c>
      <c r="J3010" s="4">
        <v>14858</v>
      </c>
    </row>
    <row r="3011" spans="2:10" x14ac:dyDescent="0.3">
      <c r="B3011" s="7">
        <v>44440</v>
      </c>
      <c r="C3011" s="3">
        <f t="shared" ref="C3011:C3074" si="94">YEAR(B3011)</f>
        <v>2021</v>
      </c>
      <c r="D3011" s="3">
        <f t="shared" ref="D3011:D3074" si="95">VALUE(TEXT(B3011,"ГГГГММ"))</f>
        <v>202109</v>
      </c>
      <c r="E3011" s="5" t="s">
        <v>4</v>
      </c>
      <c r="F3011" s="5" t="s">
        <v>13</v>
      </c>
      <c r="G3011" s="5" t="s">
        <v>55</v>
      </c>
      <c r="H3011">
        <v>19</v>
      </c>
      <c r="I3011" s="4">
        <v>64220</v>
      </c>
      <c r="J3011" s="4">
        <v>16606</v>
      </c>
    </row>
    <row r="3012" spans="2:10" x14ac:dyDescent="0.3">
      <c r="B3012" s="7">
        <v>44470</v>
      </c>
      <c r="C3012" s="3">
        <f t="shared" si="94"/>
        <v>2021</v>
      </c>
      <c r="D3012" s="3">
        <f t="shared" si="95"/>
        <v>202110</v>
      </c>
      <c r="E3012" s="5" t="s">
        <v>4</v>
      </c>
      <c r="F3012" s="5" t="s">
        <v>13</v>
      </c>
      <c r="G3012" s="5" t="s">
        <v>55</v>
      </c>
      <c r="H3012">
        <v>15</v>
      </c>
      <c r="I3012" s="4">
        <v>54540</v>
      </c>
      <c r="J3012" s="4">
        <v>13110</v>
      </c>
    </row>
    <row r="3013" spans="2:10" x14ac:dyDescent="0.3">
      <c r="B3013" s="7">
        <v>44501</v>
      </c>
      <c r="C3013" s="3">
        <f t="shared" si="94"/>
        <v>2021</v>
      </c>
      <c r="D3013" s="3">
        <f t="shared" si="95"/>
        <v>202111</v>
      </c>
      <c r="E3013" s="5" t="s">
        <v>4</v>
      </c>
      <c r="F3013" s="5" t="s">
        <v>13</v>
      </c>
      <c r="G3013" s="5" t="s">
        <v>55</v>
      </c>
      <c r="H3013">
        <v>11</v>
      </c>
      <c r="I3013" s="4">
        <v>28347</v>
      </c>
      <c r="J3013" s="4">
        <v>9614</v>
      </c>
    </row>
    <row r="3014" spans="2:10" x14ac:dyDescent="0.3">
      <c r="B3014" s="7">
        <v>44531</v>
      </c>
      <c r="C3014" s="3">
        <f t="shared" si="94"/>
        <v>2021</v>
      </c>
      <c r="D3014" s="3">
        <f t="shared" si="95"/>
        <v>202112</v>
      </c>
      <c r="E3014" s="5" t="s">
        <v>4</v>
      </c>
      <c r="F3014" s="5" t="s">
        <v>13</v>
      </c>
      <c r="G3014" s="5" t="s">
        <v>55</v>
      </c>
      <c r="H3014">
        <v>13</v>
      </c>
      <c r="I3014" s="4">
        <v>31317</v>
      </c>
      <c r="J3014" s="4">
        <v>11362</v>
      </c>
    </row>
    <row r="3015" spans="2:10" x14ac:dyDescent="0.3">
      <c r="B3015" s="7">
        <v>44562</v>
      </c>
      <c r="C3015" s="3">
        <f t="shared" si="94"/>
        <v>2022</v>
      </c>
      <c r="D3015" s="3">
        <f t="shared" si="95"/>
        <v>202201</v>
      </c>
      <c r="E3015" s="5" t="s">
        <v>4</v>
      </c>
      <c r="F3015" s="5" t="s">
        <v>13</v>
      </c>
      <c r="G3015" s="5" t="s">
        <v>55</v>
      </c>
      <c r="H3015">
        <v>19</v>
      </c>
      <c r="I3015" s="4">
        <v>61598</v>
      </c>
      <c r="J3015" s="4">
        <v>16606</v>
      </c>
    </row>
    <row r="3016" spans="2:10" x14ac:dyDescent="0.3">
      <c r="B3016" s="7">
        <v>44593</v>
      </c>
      <c r="C3016" s="3">
        <f t="shared" si="94"/>
        <v>2022</v>
      </c>
      <c r="D3016" s="3">
        <f t="shared" si="95"/>
        <v>202202</v>
      </c>
      <c r="E3016" s="5" t="s">
        <v>4</v>
      </c>
      <c r="F3016" s="5" t="s">
        <v>13</v>
      </c>
      <c r="G3016" s="5" t="s">
        <v>55</v>
      </c>
      <c r="H3016">
        <v>12</v>
      </c>
      <c r="I3016" s="4">
        <v>38700</v>
      </c>
      <c r="J3016" s="4">
        <v>10488</v>
      </c>
    </row>
    <row r="3017" spans="2:10" x14ac:dyDescent="0.3">
      <c r="B3017" s="7">
        <v>44621</v>
      </c>
      <c r="C3017" s="3">
        <f t="shared" si="94"/>
        <v>2022</v>
      </c>
      <c r="D3017" s="3">
        <f t="shared" si="95"/>
        <v>202203</v>
      </c>
      <c r="E3017" s="5" t="s">
        <v>4</v>
      </c>
      <c r="F3017" s="5" t="s">
        <v>13</v>
      </c>
      <c r="G3017" s="5" t="s">
        <v>55</v>
      </c>
      <c r="H3017">
        <v>10</v>
      </c>
      <c r="I3017" s="4">
        <v>25860</v>
      </c>
      <c r="J3017" s="4">
        <v>8740</v>
      </c>
    </row>
    <row r="3018" spans="2:10" x14ac:dyDescent="0.3">
      <c r="B3018" s="7">
        <v>44652</v>
      </c>
      <c r="C3018" s="3">
        <f t="shared" si="94"/>
        <v>2022</v>
      </c>
      <c r="D3018" s="3">
        <f t="shared" si="95"/>
        <v>202204</v>
      </c>
      <c r="E3018" s="5" t="s">
        <v>4</v>
      </c>
      <c r="F3018" s="5" t="s">
        <v>13</v>
      </c>
      <c r="G3018" s="5" t="s">
        <v>55</v>
      </c>
      <c r="H3018">
        <v>18</v>
      </c>
      <c r="I3018" s="4">
        <v>66978</v>
      </c>
      <c r="J3018" s="4">
        <v>15732</v>
      </c>
    </row>
    <row r="3019" spans="2:10" x14ac:dyDescent="0.3">
      <c r="B3019" s="7">
        <v>44682</v>
      </c>
      <c r="C3019" s="3">
        <f t="shared" si="94"/>
        <v>2022</v>
      </c>
      <c r="D3019" s="3">
        <f t="shared" si="95"/>
        <v>202205</v>
      </c>
      <c r="E3019" s="5" t="s">
        <v>4</v>
      </c>
      <c r="F3019" s="5" t="s">
        <v>13</v>
      </c>
      <c r="G3019" s="5" t="s">
        <v>55</v>
      </c>
      <c r="H3019">
        <v>23</v>
      </c>
      <c r="I3019" s="4">
        <v>76222</v>
      </c>
      <c r="J3019" s="4">
        <v>20102</v>
      </c>
    </row>
    <row r="3020" spans="2:10" x14ac:dyDescent="0.3">
      <c r="B3020" s="7">
        <v>44713</v>
      </c>
      <c r="C3020" s="3">
        <f t="shared" si="94"/>
        <v>2022</v>
      </c>
      <c r="D3020" s="3">
        <f t="shared" si="95"/>
        <v>202206</v>
      </c>
      <c r="E3020" s="5" t="s">
        <v>4</v>
      </c>
      <c r="F3020" s="5" t="s">
        <v>13</v>
      </c>
      <c r="G3020" s="5" t="s">
        <v>55</v>
      </c>
      <c r="H3020">
        <v>22</v>
      </c>
      <c r="I3020" s="4">
        <v>73370</v>
      </c>
      <c r="J3020" s="4">
        <v>19228</v>
      </c>
    </row>
    <row r="3021" spans="2:10" x14ac:dyDescent="0.3">
      <c r="B3021" s="7">
        <v>44743</v>
      </c>
      <c r="C3021" s="3">
        <f t="shared" si="94"/>
        <v>2022</v>
      </c>
      <c r="D3021" s="3">
        <f t="shared" si="95"/>
        <v>202207</v>
      </c>
      <c r="E3021" s="5" t="s">
        <v>4</v>
      </c>
      <c r="F3021" s="5" t="s">
        <v>13</v>
      </c>
      <c r="G3021" s="5" t="s">
        <v>55</v>
      </c>
      <c r="H3021">
        <v>23</v>
      </c>
      <c r="I3021" s="4">
        <v>28865</v>
      </c>
      <c r="J3021" s="4">
        <v>20102</v>
      </c>
    </row>
    <row r="3022" spans="2:10" x14ac:dyDescent="0.3">
      <c r="B3022" s="7">
        <v>44774</v>
      </c>
      <c r="C3022" s="3">
        <f t="shared" si="94"/>
        <v>2022</v>
      </c>
      <c r="D3022" s="3">
        <f t="shared" si="95"/>
        <v>202208</v>
      </c>
      <c r="E3022" s="5" t="s">
        <v>4</v>
      </c>
      <c r="F3022" s="5" t="s">
        <v>13</v>
      </c>
      <c r="G3022" s="5" t="s">
        <v>55</v>
      </c>
      <c r="H3022">
        <v>19</v>
      </c>
      <c r="I3022" s="4">
        <v>49970</v>
      </c>
      <c r="J3022" s="4">
        <v>16606</v>
      </c>
    </row>
    <row r="3023" spans="2:10" x14ac:dyDescent="0.3">
      <c r="B3023" s="7">
        <v>44805</v>
      </c>
      <c r="C3023" s="3">
        <f t="shared" si="94"/>
        <v>2022</v>
      </c>
      <c r="D3023" s="3">
        <f t="shared" si="95"/>
        <v>202209</v>
      </c>
      <c r="E3023" s="5" t="s">
        <v>4</v>
      </c>
      <c r="F3023" s="5" t="s">
        <v>13</v>
      </c>
      <c r="G3023" s="5" t="s">
        <v>55</v>
      </c>
      <c r="H3023">
        <v>20</v>
      </c>
      <c r="I3023" s="4">
        <v>53060</v>
      </c>
      <c r="J3023" s="4">
        <v>17480</v>
      </c>
    </row>
    <row r="3024" spans="2:10" x14ac:dyDescent="0.3">
      <c r="B3024" s="7">
        <v>44835</v>
      </c>
      <c r="C3024" s="3">
        <f t="shared" si="94"/>
        <v>2022</v>
      </c>
      <c r="D3024" s="3">
        <f t="shared" si="95"/>
        <v>202210</v>
      </c>
      <c r="E3024" s="5" t="s">
        <v>4</v>
      </c>
      <c r="F3024" s="5" t="s">
        <v>13</v>
      </c>
      <c r="G3024" s="5" t="s">
        <v>55</v>
      </c>
      <c r="H3024">
        <v>17</v>
      </c>
      <c r="I3024" s="4">
        <v>65178</v>
      </c>
      <c r="J3024" s="4">
        <v>14858</v>
      </c>
    </row>
    <row r="3025" spans="2:10" x14ac:dyDescent="0.3">
      <c r="B3025" s="7">
        <v>44866</v>
      </c>
      <c r="C3025" s="3">
        <f t="shared" si="94"/>
        <v>2022</v>
      </c>
      <c r="D3025" s="3">
        <f t="shared" si="95"/>
        <v>202211</v>
      </c>
      <c r="E3025" s="5" t="s">
        <v>4</v>
      </c>
      <c r="F3025" s="5" t="s">
        <v>13</v>
      </c>
      <c r="G3025" s="5" t="s">
        <v>55</v>
      </c>
      <c r="H3025">
        <v>12</v>
      </c>
      <c r="I3025" s="4">
        <v>33060</v>
      </c>
      <c r="J3025" s="4">
        <v>10488</v>
      </c>
    </row>
    <row r="3026" spans="2:10" x14ac:dyDescent="0.3">
      <c r="B3026" s="7">
        <v>44896</v>
      </c>
      <c r="C3026" s="3">
        <f t="shared" si="94"/>
        <v>2022</v>
      </c>
      <c r="D3026" s="3">
        <f t="shared" si="95"/>
        <v>202212</v>
      </c>
      <c r="E3026" s="5" t="s">
        <v>4</v>
      </c>
      <c r="F3026" s="5" t="s">
        <v>13</v>
      </c>
      <c r="G3026" s="5" t="s">
        <v>55</v>
      </c>
      <c r="H3026">
        <v>15</v>
      </c>
      <c r="I3026" s="4">
        <v>42285</v>
      </c>
      <c r="J3026" s="4">
        <v>13110</v>
      </c>
    </row>
    <row r="3027" spans="2:10" x14ac:dyDescent="0.3">
      <c r="B3027" s="7">
        <v>44197</v>
      </c>
      <c r="C3027" s="3">
        <f t="shared" si="94"/>
        <v>2021</v>
      </c>
      <c r="D3027" s="3">
        <f t="shared" si="95"/>
        <v>202101</v>
      </c>
      <c r="E3027" s="5" t="s">
        <v>5</v>
      </c>
      <c r="F3027" s="5" t="s">
        <v>56</v>
      </c>
      <c r="G3027" s="5" t="s">
        <v>14</v>
      </c>
      <c r="H3027">
        <v>38</v>
      </c>
      <c r="I3027" s="4">
        <v>424650</v>
      </c>
      <c r="J3027" s="4">
        <v>228000</v>
      </c>
    </row>
    <row r="3028" spans="2:10" x14ac:dyDescent="0.3">
      <c r="B3028" s="7">
        <v>44228</v>
      </c>
      <c r="C3028" s="3">
        <f t="shared" si="94"/>
        <v>2021</v>
      </c>
      <c r="D3028" s="3">
        <f t="shared" si="95"/>
        <v>202102</v>
      </c>
      <c r="E3028" s="5" t="s">
        <v>5</v>
      </c>
      <c r="F3028" s="5" t="s">
        <v>56</v>
      </c>
      <c r="G3028" s="5" t="s">
        <v>14</v>
      </c>
      <c r="H3028">
        <v>24</v>
      </c>
      <c r="I3028" s="4">
        <v>269040</v>
      </c>
      <c r="J3028" s="4">
        <v>144000</v>
      </c>
    </row>
    <row r="3029" spans="2:10" x14ac:dyDescent="0.3">
      <c r="B3029" s="7">
        <v>44256</v>
      </c>
      <c r="C3029" s="3">
        <f t="shared" si="94"/>
        <v>2021</v>
      </c>
      <c r="D3029" s="3">
        <f t="shared" si="95"/>
        <v>202103</v>
      </c>
      <c r="E3029" s="5" t="s">
        <v>5</v>
      </c>
      <c r="F3029" s="5" t="s">
        <v>56</v>
      </c>
      <c r="G3029" s="5" t="s">
        <v>14</v>
      </c>
      <c r="H3029">
        <v>19</v>
      </c>
      <c r="I3029" s="4">
        <v>205618</v>
      </c>
      <c r="J3029" s="4">
        <v>114000</v>
      </c>
    </row>
    <row r="3030" spans="2:10" x14ac:dyDescent="0.3">
      <c r="B3030" s="7">
        <v>44287</v>
      </c>
      <c r="C3030" s="3">
        <f t="shared" si="94"/>
        <v>2021</v>
      </c>
      <c r="D3030" s="3">
        <f t="shared" si="95"/>
        <v>202104</v>
      </c>
      <c r="E3030" s="5" t="s">
        <v>5</v>
      </c>
      <c r="F3030" s="5" t="s">
        <v>56</v>
      </c>
      <c r="G3030" s="5" t="s">
        <v>14</v>
      </c>
      <c r="H3030">
        <v>36</v>
      </c>
      <c r="I3030" s="4">
        <v>429804</v>
      </c>
      <c r="J3030" s="4">
        <v>216000</v>
      </c>
    </row>
    <row r="3031" spans="2:10" x14ac:dyDescent="0.3">
      <c r="B3031" s="7">
        <v>44317</v>
      </c>
      <c r="C3031" s="3">
        <f t="shared" si="94"/>
        <v>2021</v>
      </c>
      <c r="D3031" s="3">
        <f t="shared" si="95"/>
        <v>202105</v>
      </c>
      <c r="E3031" s="5" t="s">
        <v>5</v>
      </c>
      <c r="F3031" s="5" t="s">
        <v>56</v>
      </c>
      <c r="G3031" s="5" t="s">
        <v>14</v>
      </c>
      <c r="H3031">
        <v>45</v>
      </c>
      <c r="I3031" s="4">
        <v>529065</v>
      </c>
      <c r="J3031" s="4">
        <v>270000</v>
      </c>
    </row>
    <row r="3032" spans="2:10" x14ac:dyDescent="0.3">
      <c r="B3032" s="7">
        <v>44348</v>
      </c>
      <c r="C3032" s="3">
        <f t="shared" si="94"/>
        <v>2021</v>
      </c>
      <c r="D3032" s="3">
        <f t="shared" si="95"/>
        <v>202106</v>
      </c>
      <c r="E3032" s="5" t="s">
        <v>5</v>
      </c>
      <c r="F3032" s="5" t="s">
        <v>56</v>
      </c>
      <c r="G3032" s="5" t="s">
        <v>14</v>
      </c>
      <c r="H3032">
        <v>43</v>
      </c>
      <c r="I3032" s="4">
        <v>493898</v>
      </c>
      <c r="J3032" s="4">
        <v>258000</v>
      </c>
    </row>
    <row r="3033" spans="2:10" x14ac:dyDescent="0.3">
      <c r="B3033" s="7">
        <v>44378</v>
      </c>
      <c r="C3033" s="3">
        <f t="shared" si="94"/>
        <v>2021</v>
      </c>
      <c r="D3033" s="3">
        <f t="shared" si="95"/>
        <v>202107</v>
      </c>
      <c r="E3033" s="5" t="s">
        <v>5</v>
      </c>
      <c r="F3033" s="5" t="s">
        <v>56</v>
      </c>
      <c r="G3033" s="5" t="s">
        <v>14</v>
      </c>
      <c r="H3033">
        <v>45</v>
      </c>
      <c r="I3033" s="4">
        <v>456570</v>
      </c>
      <c r="J3033" s="4">
        <v>270000</v>
      </c>
    </row>
    <row r="3034" spans="2:10" x14ac:dyDescent="0.3">
      <c r="B3034" s="7">
        <v>44409</v>
      </c>
      <c r="C3034" s="3">
        <f t="shared" si="94"/>
        <v>2021</v>
      </c>
      <c r="D3034" s="3">
        <f t="shared" si="95"/>
        <v>202108</v>
      </c>
      <c r="E3034" s="5" t="s">
        <v>5</v>
      </c>
      <c r="F3034" s="5" t="s">
        <v>56</v>
      </c>
      <c r="G3034" s="5" t="s">
        <v>14</v>
      </c>
      <c r="H3034">
        <v>38</v>
      </c>
      <c r="I3034" s="4">
        <v>413212</v>
      </c>
      <c r="J3034" s="4">
        <v>228000</v>
      </c>
    </row>
    <row r="3035" spans="2:10" x14ac:dyDescent="0.3">
      <c r="B3035" s="7">
        <v>44440</v>
      </c>
      <c r="C3035" s="3">
        <f t="shared" si="94"/>
        <v>2021</v>
      </c>
      <c r="D3035" s="3">
        <f t="shared" si="95"/>
        <v>202109</v>
      </c>
      <c r="E3035" s="5" t="s">
        <v>5</v>
      </c>
      <c r="F3035" s="5" t="s">
        <v>56</v>
      </c>
      <c r="G3035" s="5" t="s">
        <v>14</v>
      </c>
      <c r="H3035">
        <v>41</v>
      </c>
      <c r="I3035" s="4">
        <v>438495</v>
      </c>
      <c r="J3035" s="4">
        <v>246000</v>
      </c>
    </row>
    <row r="3036" spans="2:10" x14ac:dyDescent="0.3">
      <c r="B3036" s="7">
        <v>44470</v>
      </c>
      <c r="C3036" s="3">
        <f t="shared" si="94"/>
        <v>2021</v>
      </c>
      <c r="D3036" s="3">
        <f t="shared" si="95"/>
        <v>202110</v>
      </c>
      <c r="E3036" s="5" t="s">
        <v>5</v>
      </c>
      <c r="F3036" s="5" t="s">
        <v>56</v>
      </c>
      <c r="G3036" s="5" t="s">
        <v>14</v>
      </c>
      <c r="H3036">
        <v>34</v>
      </c>
      <c r="I3036" s="4">
        <v>404328</v>
      </c>
      <c r="J3036" s="4">
        <v>204000</v>
      </c>
    </row>
    <row r="3037" spans="2:10" x14ac:dyDescent="0.3">
      <c r="B3037" s="7">
        <v>44501</v>
      </c>
      <c r="C3037" s="3">
        <f t="shared" si="94"/>
        <v>2021</v>
      </c>
      <c r="D3037" s="3">
        <f t="shared" si="95"/>
        <v>202111</v>
      </c>
      <c r="E3037" s="5" t="s">
        <v>5</v>
      </c>
      <c r="F3037" s="5" t="s">
        <v>56</v>
      </c>
      <c r="G3037" s="5" t="s">
        <v>14</v>
      </c>
      <c r="H3037">
        <v>24</v>
      </c>
      <c r="I3037" s="4">
        <v>273120</v>
      </c>
      <c r="J3037" s="4">
        <v>144000</v>
      </c>
    </row>
    <row r="3038" spans="2:10" x14ac:dyDescent="0.3">
      <c r="B3038" s="7">
        <v>44531</v>
      </c>
      <c r="C3038" s="3">
        <f t="shared" si="94"/>
        <v>2021</v>
      </c>
      <c r="D3038" s="3">
        <f t="shared" si="95"/>
        <v>202112</v>
      </c>
      <c r="E3038" s="5" t="s">
        <v>5</v>
      </c>
      <c r="F3038" s="5" t="s">
        <v>56</v>
      </c>
      <c r="G3038" s="5" t="s">
        <v>14</v>
      </c>
      <c r="H3038">
        <v>29</v>
      </c>
      <c r="I3038" s="4">
        <v>313664</v>
      </c>
      <c r="J3038" s="4">
        <v>174000</v>
      </c>
    </row>
    <row r="3039" spans="2:10" x14ac:dyDescent="0.3">
      <c r="B3039" s="7">
        <v>44562</v>
      </c>
      <c r="C3039" s="3">
        <f t="shared" si="94"/>
        <v>2022</v>
      </c>
      <c r="D3039" s="3">
        <f t="shared" si="95"/>
        <v>202201</v>
      </c>
      <c r="E3039" s="5" t="s">
        <v>5</v>
      </c>
      <c r="F3039" s="5" t="s">
        <v>56</v>
      </c>
      <c r="G3039" s="5" t="s">
        <v>14</v>
      </c>
      <c r="H3039">
        <v>42</v>
      </c>
      <c r="I3039" s="4">
        <v>462420</v>
      </c>
      <c r="J3039" s="4">
        <v>252000</v>
      </c>
    </row>
    <row r="3040" spans="2:10" x14ac:dyDescent="0.3">
      <c r="B3040" s="7">
        <v>44593</v>
      </c>
      <c r="C3040" s="3">
        <f t="shared" si="94"/>
        <v>2022</v>
      </c>
      <c r="D3040" s="3">
        <f t="shared" si="95"/>
        <v>202202</v>
      </c>
      <c r="E3040" s="5" t="s">
        <v>5</v>
      </c>
      <c r="F3040" s="5" t="s">
        <v>56</v>
      </c>
      <c r="G3040" s="5" t="s">
        <v>14</v>
      </c>
      <c r="H3040">
        <v>26</v>
      </c>
      <c r="I3040" s="4">
        <v>300170</v>
      </c>
      <c r="J3040" s="4">
        <v>156000</v>
      </c>
    </row>
    <row r="3041" spans="2:10" x14ac:dyDescent="0.3">
      <c r="B3041" s="7">
        <v>44621</v>
      </c>
      <c r="C3041" s="3">
        <f t="shared" si="94"/>
        <v>2022</v>
      </c>
      <c r="D3041" s="3">
        <f t="shared" si="95"/>
        <v>202203</v>
      </c>
      <c r="E3041" s="5" t="s">
        <v>5</v>
      </c>
      <c r="F3041" s="5" t="s">
        <v>56</v>
      </c>
      <c r="G3041" s="5" t="s">
        <v>14</v>
      </c>
      <c r="H3041">
        <v>21</v>
      </c>
      <c r="I3041" s="4">
        <v>232344</v>
      </c>
      <c r="J3041" s="4">
        <v>126000</v>
      </c>
    </row>
    <row r="3042" spans="2:10" x14ac:dyDescent="0.3">
      <c r="B3042" s="7">
        <v>44652</v>
      </c>
      <c r="C3042" s="3">
        <f t="shared" si="94"/>
        <v>2022</v>
      </c>
      <c r="D3042" s="3">
        <f t="shared" si="95"/>
        <v>202204</v>
      </c>
      <c r="E3042" s="5" t="s">
        <v>5</v>
      </c>
      <c r="F3042" s="5" t="s">
        <v>56</v>
      </c>
      <c r="G3042" s="5" t="s">
        <v>14</v>
      </c>
      <c r="H3042">
        <v>39</v>
      </c>
      <c r="I3042" s="4">
        <v>455013</v>
      </c>
      <c r="J3042" s="4">
        <v>234000</v>
      </c>
    </row>
    <row r="3043" spans="2:10" x14ac:dyDescent="0.3">
      <c r="B3043" s="7">
        <v>44682</v>
      </c>
      <c r="C3043" s="3">
        <f t="shared" si="94"/>
        <v>2022</v>
      </c>
      <c r="D3043" s="3">
        <f t="shared" si="95"/>
        <v>202205</v>
      </c>
      <c r="E3043" s="5" t="s">
        <v>5</v>
      </c>
      <c r="F3043" s="5" t="s">
        <v>56</v>
      </c>
      <c r="G3043" s="5" t="s">
        <v>14</v>
      </c>
      <c r="H3043">
        <v>50</v>
      </c>
      <c r="I3043" s="4">
        <v>597550</v>
      </c>
      <c r="J3043" s="4">
        <v>300000</v>
      </c>
    </row>
    <row r="3044" spans="2:10" x14ac:dyDescent="0.3">
      <c r="B3044" s="7">
        <v>44713</v>
      </c>
      <c r="C3044" s="3">
        <f t="shared" si="94"/>
        <v>2022</v>
      </c>
      <c r="D3044" s="3">
        <f t="shared" si="95"/>
        <v>202206</v>
      </c>
      <c r="E3044" s="5" t="s">
        <v>5</v>
      </c>
      <c r="F3044" s="5" t="s">
        <v>56</v>
      </c>
      <c r="G3044" s="5" t="s">
        <v>14</v>
      </c>
      <c r="H3044">
        <v>47</v>
      </c>
      <c r="I3044" s="4">
        <v>552955</v>
      </c>
      <c r="J3044" s="4">
        <v>282000</v>
      </c>
    </row>
    <row r="3045" spans="2:10" x14ac:dyDescent="0.3">
      <c r="B3045" s="7">
        <v>44743</v>
      </c>
      <c r="C3045" s="3">
        <f t="shared" si="94"/>
        <v>2022</v>
      </c>
      <c r="D3045" s="3">
        <f t="shared" si="95"/>
        <v>202207</v>
      </c>
      <c r="E3045" s="5" t="s">
        <v>5</v>
      </c>
      <c r="F3045" s="5" t="s">
        <v>56</v>
      </c>
      <c r="G3045" s="5" t="s">
        <v>14</v>
      </c>
      <c r="H3045">
        <v>50</v>
      </c>
      <c r="I3045" s="4">
        <v>488500</v>
      </c>
      <c r="J3045" s="4">
        <v>300000</v>
      </c>
    </row>
    <row r="3046" spans="2:10" x14ac:dyDescent="0.3">
      <c r="B3046" s="7">
        <v>44774</v>
      </c>
      <c r="C3046" s="3">
        <f t="shared" si="94"/>
        <v>2022</v>
      </c>
      <c r="D3046" s="3">
        <f t="shared" si="95"/>
        <v>202208</v>
      </c>
      <c r="E3046" s="5" t="s">
        <v>5</v>
      </c>
      <c r="F3046" s="5" t="s">
        <v>56</v>
      </c>
      <c r="G3046" s="5" t="s">
        <v>14</v>
      </c>
      <c r="H3046">
        <v>42</v>
      </c>
      <c r="I3046" s="4">
        <v>470106</v>
      </c>
      <c r="J3046" s="4">
        <v>252000</v>
      </c>
    </row>
    <row r="3047" spans="2:10" x14ac:dyDescent="0.3">
      <c r="B3047" s="7">
        <v>44805</v>
      </c>
      <c r="C3047" s="3">
        <f t="shared" si="94"/>
        <v>2022</v>
      </c>
      <c r="D3047" s="3">
        <f t="shared" si="95"/>
        <v>202209</v>
      </c>
      <c r="E3047" s="5" t="s">
        <v>5</v>
      </c>
      <c r="F3047" s="5" t="s">
        <v>56</v>
      </c>
      <c r="G3047" s="5" t="s">
        <v>14</v>
      </c>
      <c r="H3047">
        <v>45</v>
      </c>
      <c r="I3047" s="4">
        <v>506250</v>
      </c>
      <c r="J3047" s="4">
        <v>270000</v>
      </c>
    </row>
    <row r="3048" spans="2:10" x14ac:dyDescent="0.3">
      <c r="B3048" s="7">
        <v>44835</v>
      </c>
      <c r="C3048" s="3">
        <f t="shared" si="94"/>
        <v>2022</v>
      </c>
      <c r="D3048" s="3">
        <f t="shared" si="95"/>
        <v>202210</v>
      </c>
      <c r="E3048" s="5" t="s">
        <v>5</v>
      </c>
      <c r="F3048" s="5" t="s">
        <v>56</v>
      </c>
      <c r="G3048" s="5" t="s">
        <v>14</v>
      </c>
      <c r="H3048">
        <v>37</v>
      </c>
      <c r="I3048" s="4">
        <v>430051</v>
      </c>
      <c r="J3048" s="4">
        <v>222000</v>
      </c>
    </row>
    <row r="3049" spans="2:10" x14ac:dyDescent="0.3">
      <c r="B3049" s="7">
        <v>44866</v>
      </c>
      <c r="C3049" s="3">
        <f t="shared" si="94"/>
        <v>2022</v>
      </c>
      <c r="D3049" s="3">
        <f t="shared" si="95"/>
        <v>202211</v>
      </c>
      <c r="E3049" s="5" t="s">
        <v>5</v>
      </c>
      <c r="F3049" s="5" t="s">
        <v>56</v>
      </c>
      <c r="G3049" s="5" t="s">
        <v>14</v>
      </c>
      <c r="H3049">
        <v>26</v>
      </c>
      <c r="I3049" s="4">
        <v>283322</v>
      </c>
      <c r="J3049" s="4">
        <v>156000</v>
      </c>
    </row>
    <row r="3050" spans="2:10" x14ac:dyDescent="0.3">
      <c r="B3050" s="7">
        <v>44896</v>
      </c>
      <c r="C3050" s="3">
        <f t="shared" si="94"/>
        <v>2022</v>
      </c>
      <c r="D3050" s="3">
        <f t="shared" si="95"/>
        <v>202212</v>
      </c>
      <c r="E3050" s="5" t="s">
        <v>5</v>
      </c>
      <c r="F3050" s="5" t="s">
        <v>56</v>
      </c>
      <c r="G3050" s="5" t="s">
        <v>14</v>
      </c>
      <c r="H3050">
        <v>32</v>
      </c>
      <c r="I3050" s="4">
        <v>344736</v>
      </c>
      <c r="J3050" s="4">
        <v>192000</v>
      </c>
    </row>
    <row r="3051" spans="2:10" x14ac:dyDescent="0.3">
      <c r="B3051" s="7">
        <v>44197</v>
      </c>
      <c r="C3051" s="3">
        <f t="shared" si="94"/>
        <v>2021</v>
      </c>
      <c r="D3051" s="3">
        <f t="shared" si="95"/>
        <v>202101</v>
      </c>
      <c r="E3051" s="5" t="s">
        <v>5</v>
      </c>
      <c r="F3051" s="5" t="s">
        <v>56</v>
      </c>
      <c r="G3051" s="5" t="s">
        <v>15</v>
      </c>
      <c r="H3051">
        <v>35</v>
      </c>
      <c r="I3051" s="4">
        <v>469000</v>
      </c>
      <c r="J3051" s="4">
        <v>247800</v>
      </c>
    </row>
    <row r="3052" spans="2:10" x14ac:dyDescent="0.3">
      <c r="B3052" s="7">
        <v>44228</v>
      </c>
      <c r="C3052" s="3">
        <f t="shared" si="94"/>
        <v>2021</v>
      </c>
      <c r="D3052" s="3">
        <f t="shared" si="95"/>
        <v>202102</v>
      </c>
      <c r="E3052" s="5" t="s">
        <v>5</v>
      </c>
      <c r="F3052" s="5" t="s">
        <v>56</v>
      </c>
      <c r="G3052" s="5" t="s">
        <v>15</v>
      </c>
      <c r="H3052">
        <v>22</v>
      </c>
      <c r="I3052" s="4">
        <v>296912</v>
      </c>
      <c r="J3052" s="4">
        <v>155760</v>
      </c>
    </row>
    <row r="3053" spans="2:10" x14ac:dyDescent="0.3">
      <c r="B3053" s="7">
        <v>44256</v>
      </c>
      <c r="C3053" s="3">
        <f t="shared" si="94"/>
        <v>2021</v>
      </c>
      <c r="D3053" s="3">
        <f t="shared" si="95"/>
        <v>202103</v>
      </c>
      <c r="E3053" s="5" t="s">
        <v>5</v>
      </c>
      <c r="F3053" s="5" t="s">
        <v>56</v>
      </c>
      <c r="G3053" s="5" t="s">
        <v>15</v>
      </c>
      <c r="H3053">
        <v>18</v>
      </c>
      <c r="I3053" s="4">
        <v>235260</v>
      </c>
      <c r="J3053" s="4">
        <v>127440</v>
      </c>
    </row>
    <row r="3054" spans="2:10" x14ac:dyDescent="0.3">
      <c r="B3054" s="7">
        <v>44287</v>
      </c>
      <c r="C3054" s="3">
        <f t="shared" si="94"/>
        <v>2021</v>
      </c>
      <c r="D3054" s="3">
        <f t="shared" si="95"/>
        <v>202104</v>
      </c>
      <c r="E3054" s="5" t="s">
        <v>5</v>
      </c>
      <c r="F3054" s="5" t="s">
        <v>56</v>
      </c>
      <c r="G3054" s="5" t="s">
        <v>15</v>
      </c>
      <c r="H3054">
        <v>33</v>
      </c>
      <c r="I3054" s="4">
        <v>442497</v>
      </c>
      <c r="J3054" s="4">
        <v>233640</v>
      </c>
    </row>
    <row r="3055" spans="2:10" x14ac:dyDescent="0.3">
      <c r="B3055" s="7">
        <v>44317</v>
      </c>
      <c r="C3055" s="3">
        <f t="shared" si="94"/>
        <v>2021</v>
      </c>
      <c r="D3055" s="3">
        <f t="shared" si="95"/>
        <v>202105</v>
      </c>
      <c r="E3055" s="5" t="s">
        <v>5</v>
      </c>
      <c r="F3055" s="5" t="s">
        <v>56</v>
      </c>
      <c r="G3055" s="5" t="s">
        <v>15</v>
      </c>
      <c r="H3055">
        <v>42</v>
      </c>
      <c r="I3055" s="4">
        <v>588924</v>
      </c>
      <c r="J3055" s="4">
        <v>297360</v>
      </c>
    </row>
    <row r="3056" spans="2:10" x14ac:dyDescent="0.3">
      <c r="B3056" s="7">
        <v>44348</v>
      </c>
      <c r="C3056" s="3">
        <f t="shared" si="94"/>
        <v>2021</v>
      </c>
      <c r="D3056" s="3">
        <f t="shared" si="95"/>
        <v>202106</v>
      </c>
      <c r="E3056" s="5" t="s">
        <v>5</v>
      </c>
      <c r="F3056" s="5" t="s">
        <v>56</v>
      </c>
      <c r="G3056" s="5" t="s">
        <v>15</v>
      </c>
      <c r="H3056">
        <v>39</v>
      </c>
      <c r="I3056" s="4">
        <v>523887</v>
      </c>
      <c r="J3056" s="4">
        <v>276120</v>
      </c>
    </row>
    <row r="3057" spans="2:10" x14ac:dyDescent="0.3">
      <c r="B3057" s="7">
        <v>44378</v>
      </c>
      <c r="C3057" s="3">
        <f t="shared" si="94"/>
        <v>2021</v>
      </c>
      <c r="D3057" s="3">
        <f t="shared" si="95"/>
        <v>202107</v>
      </c>
      <c r="E3057" s="5" t="s">
        <v>5</v>
      </c>
      <c r="F3057" s="5" t="s">
        <v>56</v>
      </c>
      <c r="G3057" s="5" t="s">
        <v>15</v>
      </c>
      <c r="H3057">
        <v>42</v>
      </c>
      <c r="I3057" s="4">
        <v>507066</v>
      </c>
      <c r="J3057" s="4">
        <v>297360</v>
      </c>
    </row>
    <row r="3058" spans="2:10" x14ac:dyDescent="0.3">
      <c r="B3058" s="7">
        <v>44409</v>
      </c>
      <c r="C3058" s="3">
        <f t="shared" si="94"/>
        <v>2021</v>
      </c>
      <c r="D3058" s="3">
        <f t="shared" si="95"/>
        <v>202108</v>
      </c>
      <c r="E3058" s="5" t="s">
        <v>5</v>
      </c>
      <c r="F3058" s="5" t="s">
        <v>56</v>
      </c>
      <c r="G3058" s="5" t="s">
        <v>15</v>
      </c>
      <c r="H3058">
        <v>35</v>
      </c>
      <c r="I3058" s="4">
        <v>468755</v>
      </c>
      <c r="J3058" s="4">
        <v>247800</v>
      </c>
    </row>
    <row r="3059" spans="2:10" x14ac:dyDescent="0.3">
      <c r="B3059" s="7">
        <v>44440</v>
      </c>
      <c r="C3059" s="3">
        <f t="shared" si="94"/>
        <v>2021</v>
      </c>
      <c r="D3059" s="3">
        <f t="shared" si="95"/>
        <v>202109</v>
      </c>
      <c r="E3059" s="5" t="s">
        <v>5</v>
      </c>
      <c r="F3059" s="5" t="s">
        <v>56</v>
      </c>
      <c r="G3059" s="5" t="s">
        <v>15</v>
      </c>
      <c r="H3059">
        <v>37</v>
      </c>
      <c r="I3059" s="4">
        <v>489510</v>
      </c>
      <c r="J3059" s="4">
        <v>261960</v>
      </c>
    </row>
    <row r="3060" spans="2:10" x14ac:dyDescent="0.3">
      <c r="B3060" s="7">
        <v>44470</v>
      </c>
      <c r="C3060" s="3">
        <f t="shared" si="94"/>
        <v>2021</v>
      </c>
      <c r="D3060" s="3">
        <f t="shared" si="95"/>
        <v>202110</v>
      </c>
      <c r="E3060" s="5" t="s">
        <v>5</v>
      </c>
      <c r="F3060" s="5" t="s">
        <v>56</v>
      </c>
      <c r="G3060" s="5" t="s">
        <v>15</v>
      </c>
      <c r="H3060">
        <v>31</v>
      </c>
      <c r="I3060" s="4">
        <v>430156</v>
      </c>
      <c r="J3060" s="4">
        <v>219480</v>
      </c>
    </row>
    <row r="3061" spans="2:10" x14ac:dyDescent="0.3">
      <c r="B3061" s="7">
        <v>44501</v>
      </c>
      <c r="C3061" s="3">
        <f t="shared" si="94"/>
        <v>2021</v>
      </c>
      <c r="D3061" s="3">
        <f t="shared" si="95"/>
        <v>202111</v>
      </c>
      <c r="E3061" s="5" t="s">
        <v>5</v>
      </c>
      <c r="F3061" s="5" t="s">
        <v>56</v>
      </c>
      <c r="G3061" s="5" t="s">
        <v>15</v>
      </c>
      <c r="H3061">
        <v>22</v>
      </c>
      <c r="I3061" s="4">
        <v>282172</v>
      </c>
      <c r="J3061" s="4">
        <v>155760</v>
      </c>
    </row>
    <row r="3062" spans="2:10" x14ac:dyDescent="0.3">
      <c r="B3062" s="7">
        <v>44531</v>
      </c>
      <c r="C3062" s="3">
        <f t="shared" si="94"/>
        <v>2021</v>
      </c>
      <c r="D3062" s="3">
        <f t="shared" si="95"/>
        <v>202112</v>
      </c>
      <c r="E3062" s="5" t="s">
        <v>5</v>
      </c>
      <c r="F3062" s="5" t="s">
        <v>56</v>
      </c>
      <c r="G3062" s="5" t="s">
        <v>15</v>
      </c>
      <c r="H3062">
        <v>26</v>
      </c>
      <c r="I3062" s="4">
        <v>326534</v>
      </c>
      <c r="J3062" s="4">
        <v>184080</v>
      </c>
    </row>
    <row r="3063" spans="2:10" x14ac:dyDescent="0.3">
      <c r="B3063" s="7">
        <v>44562</v>
      </c>
      <c r="C3063" s="3">
        <f t="shared" si="94"/>
        <v>2022</v>
      </c>
      <c r="D3063" s="3">
        <f t="shared" si="95"/>
        <v>202201</v>
      </c>
      <c r="E3063" s="5" t="s">
        <v>5</v>
      </c>
      <c r="F3063" s="5" t="s">
        <v>56</v>
      </c>
      <c r="G3063" s="5" t="s">
        <v>15</v>
      </c>
      <c r="H3063">
        <v>39</v>
      </c>
      <c r="I3063" s="4">
        <v>520767</v>
      </c>
      <c r="J3063" s="4">
        <v>276120</v>
      </c>
    </row>
    <row r="3064" spans="2:10" x14ac:dyDescent="0.3">
      <c r="B3064" s="7">
        <v>44593</v>
      </c>
      <c r="C3064" s="3">
        <f t="shared" si="94"/>
        <v>2022</v>
      </c>
      <c r="D3064" s="3">
        <f t="shared" si="95"/>
        <v>202202</v>
      </c>
      <c r="E3064" s="5" t="s">
        <v>5</v>
      </c>
      <c r="F3064" s="5" t="s">
        <v>56</v>
      </c>
      <c r="G3064" s="5" t="s">
        <v>15</v>
      </c>
      <c r="H3064">
        <v>24</v>
      </c>
      <c r="I3064" s="4">
        <v>330864</v>
      </c>
      <c r="J3064" s="4">
        <v>169920</v>
      </c>
    </row>
    <row r="3065" spans="2:10" x14ac:dyDescent="0.3">
      <c r="B3065" s="7">
        <v>44621</v>
      </c>
      <c r="C3065" s="3">
        <f t="shared" si="94"/>
        <v>2022</v>
      </c>
      <c r="D3065" s="3">
        <f t="shared" si="95"/>
        <v>202203</v>
      </c>
      <c r="E3065" s="5" t="s">
        <v>5</v>
      </c>
      <c r="F3065" s="5" t="s">
        <v>56</v>
      </c>
      <c r="G3065" s="5" t="s">
        <v>15</v>
      </c>
      <c r="H3065">
        <v>20</v>
      </c>
      <c r="I3065" s="4">
        <v>252640</v>
      </c>
      <c r="J3065" s="4">
        <v>141600</v>
      </c>
    </row>
    <row r="3066" spans="2:10" x14ac:dyDescent="0.3">
      <c r="B3066" s="7">
        <v>44652</v>
      </c>
      <c r="C3066" s="3">
        <f t="shared" si="94"/>
        <v>2022</v>
      </c>
      <c r="D3066" s="3">
        <f t="shared" si="95"/>
        <v>202204</v>
      </c>
      <c r="E3066" s="5" t="s">
        <v>5</v>
      </c>
      <c r="F3066" s="5" t="s">
        <v>56</v>
      </c>
      <c r="G3066" s="5" t="s">
        <v>15</v>
      </c>
      <c r="H3066">
        <v>36</v>
      </c>
      <c r="I3066" s="4">
        <v>504108</v>
      </c>
      <c r="J3066" s="4">
        <v>254880</v>
      </c>
    </row>
    <row r="3067" spans="2:10" x14ac:dyDescent="0.3">
      <c r="B3067" s="7">
        <v>44682</v>
      </c>
      <c r="C3067" s="3">
        <f t="shared" si="94"/>
        <v>2022</v>
      </c>
      <c r="D3067" s="3">
        <f t="shared" si="95"/>
        <v>202205</v>
      </c>
      <c r="E3067" s="5" t="s">
        <v>5</v>
      </c>
      <c r="F3067" s="5" t="s">
        <v>56</v>
      </c>
      <c r="G3067" s="5" t="s">
        <v>15</v>
      </c>
      <c r="H3067">
        <v>46</v>
      </c>
      <c r="I3067" s="4">
        <v>658536</v>
      </c>
      <c r="J3067" s="4">
        <v>325680</v>
      </c>
    </row>
    <row r="3068" spans="2:10" x14ac:dyDescent="0.3">
      <c r="B3068" s="7">
        <v>44713</v>
      </c>
      <c r="C3068" s="3">
        <f t="shared" si="94"/>
        <v>2022</v>
      </c>
      <c r="D3068" s="3">
        <f t="shared" si="95"/>
        <v>202206</v>
      </c>
      <c r="E3068" s="5" t="s">
        <v>5</v>
      </c>
      <c r="F3068" s="5" t="s">
        <v>56</v>
      </c>
      <c r="G3068" s="5" t="s">
        <v>15</v>
      </c>
      <c r="H3068">
        <v>43</v>
      </c>
      <c r="I3068" s="4">
        <v>583553</v>
      </c>
      <c r="J3068" s="4">
        <v>304440</v>
      </c>
    </row>
    <row r="3069" spans="2:10" x14ac:dyDescent="0.3">
      <c r="B3069" s="7">
        <v>44743</v>
      </c>
      <c r="C3069" s="3">
        <f t="shared" si="94"/>
        <v>2022</v>
      </c>
      <c r="D3069" s="3">
        <f t="shared" si="95"/>
        <v>202207</v>
      </c>
      <c r="E3069" s="5" t="s">
        <v>5</v>
      </c>
      <c r="F3069" s="5" t="s">
        <v>56</v>
      </c>
      <c r="G3069" s="5" t="s">
        <v>15</v>
      </c>
      <c r="H3069">
        <v>46</v>
      </c>
      <c r="I3069" s="4">
        <v>542432</v>
      </c>
      <c r="J3069" s="4">
        <v>325680</v>
      </c>
    </row>
    <row r="3070" spans="2:10" x14ac:dyDescent="0.3">
      <c r="B3070" s="7">
        <v>44774</v>
      </c>
      <c r="C3070" s="3">
        <f t="shared" si="94"/>
        <v>2022</v>
      </c>
      <c r="D3070" s="3">
        <f t="shared" si="95"/>
        <v>202208</v>
      </c>
      <c r="E3070" s="5" t="s">
        <v>5</v>
      </c>
      <c r="F3070" s="5" t="s">
        <v>56</v>
      </c>
      <c r="G3070" s="5" t="s">
        <v>15</v>
      </c>
      <c r="H3070">
        <v>39</v>
      </c>
      <c r="I3070" s="4">
        <v>487227</v>
      </c>
      <c r="J3070" s="4">
        <v>276120</v>
      </c>
    </row>
    <row r="3071" spans="2:10" x14ac:dyDescent="0.3">
      <c r="B3071" s="7">
        <v>44805</v>
      </c>
      <c r="C3071" s="3">
        <f t="shared" si="94"/>
        <v>2022</v>
      </c>
      <c r="D3071" s="3">
        <f t="shared" si="95"/>
        <v>202209</v>
      </c>
      <c r="E3071" s="5" t="s">
        <v>5</v>
      </c>
      <c r="F3071" s="5" t="s">
        <v>56</v>
      </c>
      <c r="G3071" s="5" t="s">
        <v>15</v>
      </c>
      <c r="H3071">
        <v>41</v>
      </c>
      <c r="I3071" s="4">
        <v>498273</v>
      </c>
      <c r="J3071" s="4">
        <v>290280</v>
      </c>
    </row>
    <row r="3072" spans="2:10" x14ac:dyDescent="0.3">
      <c r="B3072" s="7">
        <v>44835</v>
      </c>
      <c r="C3072" s="3">
        <f t="shared" si="94"/>
        <v>2022</v>
      </c>
      <c r="D3072" s="3">
        <f t="shared" si="95"/>
        <v>202210</v>
      </c>
      <c r="E3072" s="5" t="s">
        <v>5</v>
      </c>
      <c r="F3072" s="5" t="s">
        <v>56</v>
      </c>
      <c r="G3072" s="5" t="s">
        <v>15</v>
      </c>
      <c r="H3072">
        <v>34</v>
      </c>
      <c r="I3072" s="4">
        <v>470628</v>
      </c>
      <c r="J3072" s="4">
        <v>240720</v>
      </c>
    </row>
    <row r="3073" spans="2:10" x14ac:dyDescent="0.3">
      <c r="B3073" s="7">
        <v>44866</v>
      </c>
      <c r="C3073" s="3">
        <f t="shared" si="94"/>
        <v>2022</v>
      </c>
      <c r="D3073" s="3">
        <f t="shared" si="95"/>
        <v>202211</v>
      </c>
      <c r="E3073" s="5" t="s">
        <v>5</v>
      </c>
      <c r="F3073" s="5" t="s">
        <v>56</v>
      </c>
      <c r="G3073" s="5" t="s">
        <v>15</v>
      </c>
      <c r="H3073">
        <v>24</v>
      </c>
      <c r="I3073" s="4">
        <v>308064</v>
      </c>
      <c r="J3073" s="4">
        <v>169920</v>
      </c>
    </row>
    <row r="3074" spans="2:10" x14ac:dyDescent="0.3">
      <c r="B3074" s="7">
        <v>44896</v>
      </c>
      <c r="C3074" s="3">
        <f t="shared" si="94"/>
        <v>2022</v>
      </c>
      <c r="D3074" s="3">
        <f t="shared" si="95"/>
        <v>202212</v>
      </c>
      <c r="E3074" s="5" t="s">
        <v>5</v>
      </c>
      <c r="F3074" s="5" t="s">
        <v>56</v>
      </c>
      <c r="G3074" s="5" t="s">
        <v>15</v>
      </c>
      <c r="H3074">
        <v>29</v>
      </c>
      <c r="I3074" s="4">
        <v>355192</v>
      </c>
      <c r="J3074" s="4">
        <v>205320</v>
      </c>
    </row>
    <row r="3075" spans="2:10" x14ac:dyDescent="0.3">
      <c r="B3075" s="7">
        <v>44197</v>
      </c>
      <c r="C3075" s="3">
        <f t="shared" ref="C3075:C3138" si="96">YEAR(B3075)</f>
        <v>2021</v>
      </c>
      <c r="D3075" s="3">
        <f t="shared" ref="D3075:D3138" si="97">VALUE(TEXT(B3075,"ГГГГММ"))</f>
        <v>202101</v>
      </c>
      <c r="E3075" s="5" t="s">
        <v>5</v>
      </c>
      <c r="F3075" s="5" t="s">
        <v>56</v>
      </c>
      <c r="G3075" s="5" t="s">
        <v>16</v>
      </c>
      <c r="H3075">
        <v>35</v>
      </c>
      <c r="I3075" s="4">
        <v>917630</v>
      </c>
      <c r="J3075" s="4">
        <v>367500</v>
      </c>
    </row>
    <row r="3076" spans="2:10" x14ac:dyDescent="0.3">
      <c r="B3076" s="7">
        <v>44228</v>
      </c>
      <c r="C3076" s="3">
        <f t="shared" si="96"/>
        <v>2021</v>
      </c>
      <c r="D3076" s="3">
        <f t="shared" si="97"/>
        <v>202102</v>
      </c>
      <c r="E3076" s="5" t="s">
        <v>5</v>
      </c>
      <c r="F3076" s="5" t="s">
        <v>56</v>
      </c>
      <c r="G3076" s="5" t="s">
        <v>16</v>
      </c>
      <c r="H3076">
        <v>22</v>
      </c>
      <c r="I3076" s="4">
        <v>577434</v>
      </c>
      <c r="J3076" s="4">
        <v>231000</v>
      </c>
    </row>
    <row r="3077" spans="2:10" x14ac:dyDescent="0.3">
      <c r="B3077" s="7">
        <v>44256</v>
      </c>
      <c r="C3077" s="3">
        <f t="shared" si="96"/>
        <v>2021</v>
      </c>
      <c r="D3077" s="3">
        <f t="shared" si="97"/>
        <v>202103</v>
      </c>
      <c r="E3077" s="5" t="s">
        <v>5</v>
      </c>
      <c r="F3077" s="5" t="s">
        <v>56</v>
      </c>
      <c r="G3077" s="5" t="s">
        <v>16</v>
      </c>
      <c r="H3077">
        <v>18</v>
      </c>
      <c r="I3077" s="4">
        <v>463140</v>
      </c>
      <c r="J3077" s="4">
        <v>189000</v>
      </c>
    </row>
    <row r="3078" spans="2:10" x14ac:dyDescent="0.3">
      <c r="B3078" s="7">
        <v>44287</v>
      </c>
      <c r="C3078" s="3">
        <f t="shared" si="96"/>
        <v>2021</v>
      </c>
      <c r="D3078" s="3">
        <f t="shared" si="97"/>
        <v>202104</v>
      </c>
      <c r="E3078" s="5" t="s">
        <v>5</v>
      </c>
      <c r="F3078" s="5" t="s">
        <v>56</v>
      </c>
      <c r="G3078" s="5" t="s">
        <v>16</v>
      </c>
      <c r="H3078">
        <v>33</v>
      </c>
      <c r="I3078" s="4">
        <v>863412</v>
      </c>
      <c r="J3078" s="4">
        <v>346500</v>
      </c>
    </row>
    <row r="3079" spans="2:10" x14ac:dyDescent="0.3">
      <c r="B3079" s="7">
        <v>44317</v>
      </c>
      <c r="C3079" s="3">
        <f t="shared" si="96"/>
        <v>2021</v>
      </c>
      <c r="D3079" s="3">
        <f t="shared" si="97"/>
        <v>202105</v>
      </c>
      <c r="E3079" s="5" t="s">
        <v>5</v>
      </c>
      <c r="F3079" s="5" t="s">
        <v>56</v>
      </c>
      <c r="G3079" s="5" t="s">
        <v>16</v>
      </c>
      <c r="H3079">
        <v>42</v>
      </c>
      <c r="I3079" s="4">
        <v>1123458</v>
      </c>
      <c r="J3079" s="4">
        <v>441000</v>
      </c>
    </row>
    <row r="3080" spans="2:10" x14ac:dyDescent="0.3">
      <c r="B3080" s="7">
        <v>44348</v>
      </c>
      <c r="C3080" s="3">
        <f t="shared" si="96"/>
        <v>2021</v>
      </c>
      <c r="D3080" s="3">
        <f t="shared" si="97"/>
        <v>202106</v>
      </c>
      <c r="E3080" s="5" t="s">
        <v>5</v>
      </c>
      <c r="F3080" s="5" t="s">
        <v>56</v>
      </c>
      <c r="G3080" s="5" t="s">
        <v>16</v>
      </c>
      <c r="H3080">
        <v>39</v>
      </c>
      <c r="I3080" s="4">
        <v>1037790</v>
      </c>
      <c r="J3080" s="4">
        <v>409500</v>
      </c>
    </row>
    <row r="3081" spans="2:10" x14ac:dyDescent="0.3">
      <c r="B3081" s="7">
        <v>44378</v>
      </c>
      <c r="C3081" s="3">
        <f t="shared" si="96"/>
        <v>2021</v>
      </c>
      <c r="D3081" s="3">
        <f t="shared" si="97"/>
        <v>202107</v>
      </c>
      <c r="E3081" s="5" t="s">
        <v>5</v>
      </c>
      <c r="F3081" s="5" t="s">
        <v>56</v>
      </c>
      <c r="G3081" s="5" t="s">
        <v>16</v>
      </c>
      <c r="H3081">
        <v>42</v>
      </c>
      <c r="I3081" s="4">
        <v>1015182</v>
      </c>
      <c r="J3081" s="4">
        <v>441000</v>
      </c>
    </row>
    <row r="3082" spans="2:10" x14ac:dyDescent="0.3">
      <c r="B3082" s="7">
        <v>44409</v>
      </c>
      <c r="C3082" s="3">
        <f t="shared" si="96"/>
        <v>2021</v>
      </c>
      <c r="D3082" s="3">
        <f t="shared" si="97"/>
        <v>202108</v>
      </c>
      <c r="E3082" s="5" t="s">
        <v>5</v>
      </c>
      <c r="F3082" s="5" t="s">
        <v>56</v>
      </c>
      <c r="G3082" s="5" t="s">
        <v>16</v>
      </c>
      <c r="H3082">
        <v>35</v>
      </c>
      <c r="I3082" s="4">
        <v>884660</v>
      </c>
      <c r="J3082" s="4">
        <v>367500</v>
      </c>
    </row>
    <row r="3083" spans="2:10" x14ac:dyDescent="0.3">
      <c r="B3083" s="7">
        <v>44440</v>
      </c>
      <c r="C3083" s="3">
        <f t="shared" si="96"/>
        <v>2021</v>
      </c>
      <c r="D3083" s="3">
        <f t="shared" si="97"/>
        <v>202109</v>
      </c>
      <c r="E3083" s="5" t="s">
        <v>5</v>
      </c>
      <c r="F3083" s="5" t="s">
        <v>56</v>
      </c>
      <c r="G3083" s="5" t="s">
        <v>16</v>
      </c>
      <c r="H3083">
        <v>37</v>
      </c>
      <c r="I3083" s="4">
        <v>939208</v>
      </c>
      <c r="J3083" s="4">
        <v>388500</v>
      </c>
    </row>
    <row r="3084" spans="2:10" x14ac:dyDescent="0.3">
      <c r="B3084" s="7">
        <v>44470</v>
      </c>
      <c r="C3084" s="3">
        <f t="shared" si="96"/>
        <v>2021</v>
      </c>
      <c r="D3084" s="3">
        <f t="shared" si="97"/>
        <v>202110</v>
      </c>
      <c r="E3084" s="5" t="s">
        <v>5</v>
      </c>
      <c r="F3084" s="5" t="s">
        <v>56</v>
      </c>
      <c r="G3084" s="5" t="s">
        <v>16</v>
      </c>
      <c r="H3084">
        <v>31</v>
      </c>
      <c r="I3084" s="4">
        <v>819268</v>
      </c>
      <c r="J3084" s="4">
        <v>325500</v>
      </c>
    </row>
    <row r="3085" spans="2:10" x14ac:dyDescent="0.3">
      <c r="B3085" s="7">
        <v>44501</v>
      </c>
      <c r="C3085" s="3">
        <f t="shared" si="96"/>
        <v>2021</v>
      </c>
      <c r="D3085" s="3">
        <f t="shared" si="97"/>
        <v>202111</v>
      </c>
      <c r="E3085" s="5" t="s">
        <v>5</v>
      </c>
      <c r="F3085" s="5" t="s">
        <v>56</v>
      </c>
      <c r="G3085" s="5" t="s">
        <v>16</v>
      </c>
      <c r="H3085">
        <v>22</v>
      </c>
      <c r="I3085" s="4">
        <v>585046</v>
      </c>
      <c r="J3085" s="4">
        <v>231000</v>
      </c>
    </row>
    <row r="3086" spans="2:10" x14ac:dyDescent="0.3">
      <c r="B3086" s="7">
        <v>44531</v>
      </c>
      <c r="C3086" s="3">
        <f t="shared" si="96"/>
        <v>2021</v>
      </c>
      <c r="D3086" s="3">
        <f t="shared" si="97"/>
        <v>202112</v>
      </c>
      <c r="E3086" s="5" t="s">
        <v>5</v>
      </c>
      <c r="F3086" s="5" t="s">
        <v>56</v>
      </c>
      <c r="G3086" s="5" t="s">
        <v>16</v>
      </c>
      <c r="H3086">
        <v>26</v>
      </c>
      <c r="I3086" s="4">
        <v>672048</v>
      </c>
      <c r="J3086" s="4">
        <v>273000</v>
      </c>
    </row>
    <row r="3087" spans="2:10" x14ac:dyDescent="0.3">
      <c r="B3087" s="7">
        <v>44562</v>
      </c>
      <c r="C3087" s="3">
        <f t="shared" si="96"/>
        <v>2022</v>
      </c>
      <c r="D3087" s="3">
        <f t="shared" si="97"/>
        <v>202201</v>
      </c>
      <c r="E3087" s="5" t="s">
        <v>5</v>
      </c>
      <c r="F3087" s="5" t="s">
        <v>56</v>
      </c>
      <c r="G3087" s="5" t="s">
        <v>16</v>
      </c>
      <c r="H3087">
        <v>39</v>
      </c>
      <c r="I3087" s="4">
        <v>1026012</v>
      </c>
      <c r="J3087" s="4">
        <v>409500</v>
      </c>
    </row>
    <row r="3088" spans="2:10" x14ac:dyDescent="0.3">
      <c r="B3088" s="7">
        <v>44593</v>
      </c>
      <c r="C3088" s="3">
        <f t="shared" si="96"/>
        <v>2022</v>
      </c>
      <c r="D3088" s="3">
        <f t="shared" si="97"/>
        <v>202202</v>
      </c>
      <c r="E3088" s="5" t="s">
        <v>5</v>
      </c>
      <c r="F3088" s="5" t="s">
        <v>56</v>
      </c>
      <c r="G3088" s="5" t="s">
        <v>16</v>
      </c>
      <c r="H3088">
        <v>24</v>
      </c>
      <c r="I3088" s="4">
        <v>631248</v>
      </c>
      <c r="J3088" s="4">
        <v>252000</v>
      </c>
    </row>
    <row r="3089" spans="2:10" x14ac:dyDescent="0.3">
      <c r="B3089" s="7">
        <v>44621</v>
      </c>
      <c r="C3089" s="3">
        <f t="shared" si="96"/>
        <v>2022</v>
      </c>
      <c r="D3089" s="3">
        <f t="shared" si="97"/>
        <v>202203</v>
      </c>
      <c r="E3089" s="5" t="s">
        <v>5</v>
      </c>
      <c r="F3089" s="5" t="s">
        <v>56</v>
      </c>
      <c r="G3089" s="5" t="s">
        <v>16</v>
      </c>
      <c r="H3089">
        <v>20</v>
      </c>
      <c r="I3089" s="4">
        <v>503520</v>
      </c>
      <c r="J3089" s="4">
        <v>210000</v>
      </c>
    </row>
    <row r="3090" spans="2:10" x14ac:dyDescent="0.3">
      <c r="B3090" s="7">
        <v>44652</v>
      </c>
      <c r="C3090" s="3">
        <f t="shared" si="96"/>
        <v>2022</v>
      </c>
      <c r="D3090" s="3">
        <f t="shared" si="97"/>
        <v>202204</v>
      </c>
      <c r="E3090" s="5" t="s">
        <v>5</v>
      </c>
      <c r="F3090" s="5" t="s">
        <v>56</v>
      </c>
      <c r="G3090" s="5" t="s">
        <v>16</v>
      </c>
      <c r="H3090">
        <v>36</v>
      </c>
      <c r="I3090" s="4">
        <v>966708</v>
      </c>
      <c r="J3090" s="4">
        <v>378000</v>
      </c>
    </row>
    <row r="3091" spans="2:10" x14ac:dyDescent="0.3">
      <c r="B3091" s="7">
        <v>44682</v>
      </c>
      <c r="C3091" s="3">
        <f t="shared" si="96"/>
        <v>2022</v>
      </c>
      <c r="D3091" s="3">
        <f t="shared" si="97"/>
        <v>202205</v>
      </c>
      <c r="E3091" s="5" t="s">
        <v>5</v>
      </c>
      <c r="F3091" s="5" t="s">
        <v>56</v>
      </c>
      <c r="G3091" s="5" t="s">
        <v>16</v>
      </c>
      <c r="H3091">
        <v>46</v>
      </c>
      <c r="I3091" s="4">
        <v>1219046</v>
      </c>
      <c r="J3091" s="4">
        <v>483000</v>
      </c>
    </row>
    <row r="3092" spans="2:10" x14ac:dyDescent="0.3">
      <c r="B3092" s="7">
        <v>44713</v>
      </c>
      <c r="C3092" s="3">
        <f t="shared" si="96"/>
        <v>2022</v>
      </c>
      <c r="D3092" s="3">
        <f t="shared" si="97"/>
        <v>202206</v>
      </c>
      <c r="E3092" s="5" t="s">
        <v>5</v>
      </c>
      <c r="F3092" s="5" t="s">
        <v>56</v>
      </c>
      <c r="G3092" s="5" t="s">
        <v>16</v>
      </c>
      <c r="H3092">
        <v>43</v>
      </c>
      <c r="I3092" s="4">
        <v>1106304</v>
      </c>
      <c r="J3092" s="4">
        <v>451500</v>
      </c>
    </row>
    <row r="3093" spans="2:10" x14ac:dyDescent="0.3">
      <c r="B3093" s="7">
        <v>44743</v>
      </c>
      <c r="C3093" s="3">
        <f t="shared" si="96"/>
        <v>2022</v>
      </c>
      <c r="D3093" s="3">
        <f t="shared" si="97"/>
        <v>202207</v>
      </c>
      <c r="E3093" s="5" t="s">
        <v>5</v>
      </c>
      <c r="F3093" s="5" t="s">
        <v>56</v>
      </c>
      <c r="G3093" s="5" t="s">
        <v>16</v>
      </c>
      <c r="H3093">
        <v>46</v>
      </c>
      <c r="I3093" s="4">
        <v>1130358</v>
      </c>
      <c r="J3093" s="4">
        <v>483000</v>
      </c>
    </row>
    <row r="3094" spans="2:10" x14ac:dyDescent="0.3">
      <c r="B3094" s="7">
        <v>44774</v>
      </c>
      <c r="C3094" s="3">
        <f t="shared" si="96"/>
        <v>2022</v>
      </c>
      <c r="D3094" s="3">
        <f t="shared" si="97"/>
        <v>202208</v>
      </c>
      <c r="E3094" s="5" t="s">
        <v>5</v>
      </c>
      <c r="F3094" s="5" t="s">
        <v>56</v>
      </c>
      <c r="G3094" s="5" t="s">
        <v>16</v>
      </c>
      <c r="H3094">
        <v>39</v>
      </c>
      <c r="I3094" s="4">
        <v>996801</v>
      </c>
      <c r="J3094" s="4">
        <v>409500</v>
      </c>
    </row>
    <row r="3095" spans="2:10" x14ac:dyDescent="0.3">
      <c r="B3095" s="7">
        <v>44805</v>
      </c>
      <c r="C3095" s="3">
        <f t="shared" si="96"/>
        <v>2022</v>
      </c>
      <c r="D3095" s="3">
        <f t="shared" si="97"/>
        <v>202209</v>
      </c>
      <c r="E3095" s="5" t="s">
        <v>5</v>
      </c>
      <c r="F3095" s="5" t="s">
        <v>56</v>
      </c>
      <c r="G3095" s="5" t="s">
        <v>16</v>
      </c>
      <c r="H3095">
        <v>41</v>
      </c>
      <c r="I3095" s="4">
        <v>1083999</v>
      </c>
      <c r="J3095" s="4">
        <v>430500</v>
      </c>
    </row>
    <row r="3096" spans="2:10" x14ac:dyDescent="0.3">
      <c r="B3096" s="7">
        <v>44835</v>
      </c>
      <c r="C3096" s="3">
        <f t="shared" si="96"/>
        <v>2022</v>
      </c>
      <c r="D3096" s="3">
        <f t="shared" si="97"/>
        <v>202210</v>
      </c>
      <c r="E3096" s="5" t="s">
        <v>5</v>
      </c>
      <c r="F3096" s="5" t="s">
        <v>56</v>
      </c>
      <c r="G3096" s="5" t="s">
        <v>16</v>
      </c>
      <c r="H3096">
        <v>34</v>
      </c>
      <c r="I3096" s="4">
        <v>887400</v>
      </c>
      <c r="J3096" s="4">
        <v>357000</v>
      </c>
    </row>
    <row r="3097" spans="2:10" x14ac:dyDescent="0.3">
      <c r="B3097" s="7">
        <v>44866</v>
      </c>
      <c r="C3097" s="3">
        <f t="shared" si="96"/>
        <v>2022</v>
      </c>
      <c r="D3097" s="3">
        <f t="shared" si="97"/>
        <v>202211</v>
      </c>
      <c r="E3097" s="5" t="s">
        <v>5</v>
      </c>
      <c r="F3097" s="5" t="s">
        <v>56</v>
      </c>
      <c r="G3097" s="5" t="s">
        <v>16</v>
      </c>
      <c r="H3097">
        <v>24</v>
      </c>
      <c r="I3097" s="4">
        <v>638160</v>
      </c>
      <c r="J3097" s="4">
        <v>252000</v>
      </c>
    </row>
    <row r="3098" spans="2:10" x14ac:dyDescent="0.3">
      <c r="B3098" s="7">
        <v>44896</v>
      </c>
      <c r="C3098" s="3">
        <f t="shared" si="96"/>
        <v>2022</v>
      </c>
      <c r="D3098" s="3">
        <f t="shared" si="97"/>
        <v>202212</v>
      </c>
      <c r="E3098" s="5" t="s">
        <v>5</v>
      </c>
      <c r="F3098" s="5" t="s">
        <v>56</v>
      </c>
      <c r="G3098" s="5" t="s">
        <v>16</v>
      </c>
      <c r="H3098">
        <v>29</v>
      </c>
      <c r="I3098" s="4">
        <v>750027</v>
      </c>
      <c r="J3098" s="4">
        <v>304500</v>
      </c>
    </row>
    <row r="3099" spans="2:10" x14ac:dyDescent="0.3">
      <c r="B3099" s="7">
        <v>44197</v>
      </c>
      <c r="C3099" s="3">
        <f t="shared" si="96"/>
        <v>2021</v>
      </c>
      <c r="D3099" s="3">
        <f t="shared" si="97"/>
        <v>202101</v>
      </c>
      <c r="E3099" s="5" t="s">
        <v>5</v>
      </c>
      <c r="F3099" s="5" t="s">
        <v>56</v>
      </c>
      <c r="G3099" s="5" t="s">
        <v>17</v>
      </c>
      <c r="H3099">
        <v>38</v>
      </c>
      <c r="I3099" s="4">
        <v>703494</v>
      </c>
      <c r="J3099" s="4">
        <v>284240</v>
      </c>
    </row>
    <row r="3100" spans="2:10" x14ac:dyDescent="0.3">
      <c r="B3100" s="7">
        <v>44228</v>
      </c>
      <c r="C3100" s="3">
        <f t="shared" si="96"/>
        <v>2021</v>
      </c>
      <c r="D3100" s="3">
        <f t="shared" si="97"/>
        <v>202102</v>
      </c>
      <c r="E3100" s="5" t="s">
        <v>5</v>
      </c>
      <c r="F3100" s="5" t="s">
        <v>56</v>
      </c>
      <c r="G3100" s="5" t="s">
        <v>17</v>
      </c>
      <c r="H3100">
        <v>24</v>
      </c>
      <c r="I3100" s="4">
        <v>449136</v>
      </c>
      <c r="J3100" s="4">
        <v>179520</v>
      </c>
    </row>
    <row r="3101" spans="2:10" x14ac:dyDescent="0.3">
      <c r="B3101" s="7">
        <v>44256</v>
      </c>
      <c r="C3101" s="3">
        <f t="shared" si="96"/>
        <v>2021</v>
      </c>
      <c r="D3101" s="3">
        <f t="shared" si="97"/>
        <v>202103</v>
      </c>
      <c r="E3101" s="5" t="s">
        <v>5</v>
      </c>
      <c r="F3101" s="5" t="s">
        <v>56</v>
      </c>
      <c r="G3101" s="5" t="s">
        <v>17</v>
      </c>
      <c r="H3101">
        <v>19</v>
      </c>
      <c r="I3101" s="4">
        <v>339454</v>
      </c>
      <c r="J3101" s="4">
        <v>142120</v>
      </c>
    </row>
    <row r="3102" spans="2:10" x14ac:dyDescent="0.3">
      <c r="B3102" s="7">
        <v>44287</v>
      </c>
      <c r="C3102" s="3">
        <f t="shared" si="96"/>
        <v>2021</v>
      </c>
      <c r="D3102" s="3">
        <f t="shared" si="97"/>
        <v>202104</v>
      </c>
      <c r="E3102" s="5" t="s">
        <v>5</v>
      </c>
      <c r="F3102" s="5" t="s">
        <v>56</v>
      </c>
      <c r="G3102" s="5" t="s">
        <v>17</v>
      </c>
      <c r="H3102">
        <v>36</v>
      </c>
      <c r="I3102" s="4">
        <v>665928</v>
      </c>
      <c r="J3102" s="4">
        <v>269280</v>
      </c>
    </row>
    <row r="3103" spans="2:10" x14ac:dyDescent="0.3">
      <c r="B3103" s="7">
        <v>44317</v>
      </c>
      <c r="C3103" s="3">
        <f t="shared" si="96"/>
        <v>2021</v>
      </c>
      <c r="D3103" s="3">
        <f t="shared" si="97"/>
        <v>202105</v>
      </c>
      <c r="E3103" s="5" t="s">
        <v>5</v>
      </c>
      <c r="F3103" s="5" t="s">
        <v>56</v>
      </c>
      <c r="G3103" s="5" t="s">
        <v>17</v>
      </c>
      <c r="H3103">
        <v>45</v>
      </c>
      <c r="I3103" s="4">
        <v>870570</v>
      </c>
      <c r="J3103" s="4">
        <v>336600</v>
      </c>
    </row>
    <row r="3104" spans="2:10" x14ac:dyDescent="0.3">
      <c r="B3104" s="7">
        <v>44348</v>
      </c>
      <c r="C3104" s="3">
        <f t="shared" si="96"/>
        <v>2021</v>
      </c>
      <c r="D3104" s="3">
        <f t="shared" si="97"/>
        <v>202106</v>
      </c>
      <c r="E3104" s="5" t="s">
        <v>5</v>
      </c>
      <c r="F3104" s="5" t="s">
        <v>56</v>
      </c>
      <c r="G3104" s="5" t="s">
        <v>17</v>
      </c>
      <c r="H3104">
        <v>43</v>
      </c>
      <c r="I3104" s="4">
        <v>764153</v>
      </c>
      <c r="J3104" s="4">
        <v>321640</v>
      </c>
    </row>
    <row r="3105" spans="2:10" x14ac:dyDescent="0.3">
      <c r="B3105" s="7">
        <v>44378</v>
      </c>
      <c r="C3105" s="3">
        <f t="shared" si="96"/>
        <v>2021</v>
      </c>
      <c r="D3105" s="3">
        <f t="shared" si="97"/>
        <v>202107</v>
      </c>
      <c r="E3105" s="5" t="s">
        <v>5</v>
      </c>
      <c r="F3105" s="5" t="s">
        <v>56</v>
      </c>
      <c r="G3105" s="5" t="s">
        <v>17</v>
      </c>
      <c r="H3105">
        <v>45</v>
      </c>
      <c r="I3105" s="4">
        <v>758205</v>
      </c>
      <c r="J3105" s="4">
        <v>336600</v>
      </c>
    </row>
    <row r="3106" spans="2:10" x14ac:dyDescent="0.3">
      <c r="B3106" s="7">
        <v>44409</v>
      </c>
      <c r="C3106" s="3">
        <f t="shared" si="96"/>
        <v>2021</v>
      </c>
      <c r="D3106" s="3">
        <f t="shared" si="97"/>
        <v>202108</v>
      </c>
      <c r="E3106" s="5" t="s">
        <v>5</v>
      </c>
      <c r="F3106" s="5" t="s">
        <v>56</v>
      </c>
      <c r="G3106" s="5" t="s">
        <v>17</v>
      </c>
      <c r="H3106">
        <v>38</v>
      </c>
      <c r="I3106" s="4">
        <v>681416</v>
      </c>
      <c r="J3106" s="4">
        <v>284240</v>
      </c>
    </row>
    <row r="3107" spans="2:10" x14ac:dyDescent="0.3">
      <c r="B3107" s="7">
        <v>44440</v>
      </c>
      <c r="C3107" s="3">
        <f t="shared" si="96"/>
        <v>2021</v>
      </c>
      <c r="D3107" s="3">
        <f t="shared" si="97"/>
        <v>202109</v>
      </c>
      <c r="E3107" s="5" t="s">
        <v>5</v>
      </c>
      <c r="F3107" s="5" t="s">
        <v>56</v>
      </c>
      <c r="G3107" s="5" t="s">
        <v>17</v>
      </c>
      <c r="H3107">
        <v>40</v>
      </c>
      <c r="I3107" s="4">
        <v>693760</v>
      </c>
      <c r="J3107" s="4">
        <v>299200</v>
      </c>
    </row>
    <row r="3108" spans="2:10" x14ac:dyDescent="0.3">
      <c r="B3108" s="7">
        <v>44470</v>
      </c>
      <c r="C3108" s="3">
        <f t="shared" si="96"/>
        <v>2021</v>
      </c>
      <c r="D3108" s="3">
        <f t="shared" si="97"/>
        <v>202110</v>
      </c>
      <c r="E3108" s="5" t="s">
        <v>5</v>
      </c>
      <c r="F3108" s="5" t="s">
        <v>56</v>
      </c>
      <c r="G3108" s="5" t="s">
        <v>17</v>
      </c>
      <c r="H3108">
        <v>33</v>
      </c>
      <c r="I3108" s="4">
        <v>598125</v>
      </c>
      <c r="J3108" s="4">
        <v>246840</v>
      </c>
    </row>
    <row r="3109" spans="2:10" x14ac:dyDescent="0.3">
      <c r="B3109" s="7">
        <v>44501</v>
      </c>
      <c r="C3109" s="3">
        <f t="shared" si="96"/>
        <v>2021</v>
      </c>
      <c r="D3109" s="3">
        <f t="shared" si="97"/>
        <v>202111</v>
      </c>
      <c r="E3109" s="5" t="s">
        <v>5</v>
      </c>
      <c r="F3109" s="5" t="s">
        <v>56</v>
      </c>
      <c r="G3109" s="5" t="s">
        <v>17</v>
      </c>
      <c r="H3109">
        <v>24</v>
      </c>
      <c r="I3109" s="4">
        <v>444552</v>
      </c>
      <c r="J3109" s="4">
        <v>179520</v>
      </c>
    </row>
    <row r="3110" spans="2:10" x14ac:dyDescent="0.3">
      <c r="B3110" s="7">
        <v>44531</v>
      </c>
      <c r="C3110" s="3">
        <f t="shared" si="96"/>
        <v>2021</v>
      </c>
      <c r="D3110" s="3">
        <f t="shared" si="97"/>
        <v>202112</v>
      </c>
      <c r="E3110" s="5" t="s">
        <v>5</v>
      </c>
      <c r="F3110" s="5" t="s">
        <v>56</v>
      </c>
      <c r="G3110" s="5" t="s">
        <v>17</v>
      </c>
      <c r="H3110">
        <v>29</v>
      </c>
      <c r="I3110" s="4">
        <v>534876</v>
      </c>
      <c r="J3110" s="4">
        <v>216920</v>
      </c>
    </row>
    <row r="3111" spans="2:10" x14ac:dyDescent="0.3">
      <c r="B3111" s="7">
        <v>44562</v>
      </c>
      <c r="C3111" s="3">
        <f t="shared" si="96"/>
        <v>2022</v>
      </c>
      <c r="D3111" s="3">
        <f t="shared" si="97"/>
        <v>202201</v>
      </c>
      <c r="E3111" s="5" t="s">
        <v>5</v>
      </c>
      <c r="F3111" s="5" t="s">
        <v>56</v>
      </c>
      <c r="G3111" s="5" t="s">
        <v>17</v>
      </c>
      <c r="H3111">
        <v>42</v>
      </c>
      <c r="I3111" s="4">
        <v>774270</v>
      </c>
      <c r="J3111" s="4">
        <v>314160</v>
      </c>
    </row>
    <row r="3112" spans="2:10" x14ac:dyDescent="0.3">
      <c r="B3112" s="7">
        <v>44593</v>
      </c>
      <c r="C3112" s="3">
        <f t="shared" si="96"/>
        <v>2022</v>
      </c>
      <c r="D3112" s="3">
        <f t="shared" si="97"/>
        <v>202202</v>
      </c>
      <c r="E3112" s="5" t="s">
        <v>5</v>
      </c>
      <c r="F3112" s="5" t="s">
        <v>56</v>
      </c>
      <c r="G3112" s="5" t="s">
        <v>17</v>
      </c>
      <c r="H3112">
        <v>26</v>
      </c>
      <c r="I3112" s="4">
        <v>469040</v>
      </c>
      <c r="J3112" s="4">
        <v>194480</v>
      </c>
    </row>
    <row r="3113" spans="2:10" x14ac:dyDescent="0.3">
      <c r="B3113" s="7">
        <v>44621</v>
      </c>
      <c r="C3113" s="3">
        <f t="shared" si="96"/>
        <v>2022</v>
      </c>
      <c r="D3113" s="3">
        <f t="shared" si="97"/>
        <v>202203</v>
      </c>
      <c r="E3113" s="5" t="s">
        <v>5</v>
      </c>
      <c r="F3113" s="5" t="s">
        <v>56</v>
      </c>
      <c r="G3113" s="5" t="s">
        <v>17</v>
      </c>
      <c r="H3113">
        <v>21</v>
      </c>
      <c r="I3113" s="4">
        <v>367731</v>
      </c>
      <c r="J3113" s="4">
        <v>157080</v>
      </c>
    </row>
    <row r="3114" spans="2:10" x14ac:dyDescent="0.3">
      <c r="B3114" s="7">
        <v>44652</v>
      </c>
      <c r="C3114" s="3">
        <f t="shared" si="96"/>
        <v>2022</v>
      </c>
      <c r="D3114" s="3">
        <f t="shared" si="97"/>
        <v>202204</v>
      </c>
      <c r="E3114" s="5" t="s">
        <v>5</v>
      </c>
      <c r="F3114" s="5" t="s">
        <v>56</v>
      </c>
      <c r="G3114" s="5" t="s">
        <v>17</v>
      </c>
      <c r="H3114">
        <v>39</v>
      </c>
      <c r="I3114" s="4">
        <v>743184</v>
      </c>
      <c r="J3114" s="4">
        <v>291720</v>
      </c>
    </row>
    <row r="3115" spans="2:10" x14ac:dyDescent="0.3">
      <c r="B3115" s="7">
        <v>44682</v>
      </c>
      <c r="C3115" s="3">
        <f t="shared" si="96"/>
        <v>2022</v>
      </c>
      <c r="D3115" s="3">
        <f t="shared" si="97"/>
        <v>202205</v>
      </c>
      <c r="E3115" s="5" t="s">
        <v>5</v>
      </c>
      <c r="F3115" s="5" t="s">
        <v>56</v>
      </c>
      <c r="G3115" s="5" t="s">
        <v>17</v>
      </c>
      <c r="H3115">
        <v>49</v>
      </c>
      <c r="I3115" s="4">
        <v>927129</v>
      </c>
      <c r="J3115" s="4">
        <v>366520</v>
      </c>
    </row>
    <row r="3116" spans="2:10" x14ac:dyDescent="0.3">
      <c r="B3116" s="7">
        <v>44713</v>
      </c>
      <c r="C3116" s="3">
        <f t="shared" si="96"/>
        <v>2022</v>
      </c>
      <c r="D3116" s="3">
        <f t="shared" si="97"/>
        <v>202206</v>
      </c>
      <c r="E3116" s="5" t="s">
        <v>5</v>
      </c>
      <c r="F3116" s="5" t="s">
        <v>56</v>
      </c>
      <c r="G3116" s="5" t="s">
        <v>17</v>
      </c>
      <c r="H3116">
        <v>47</v>
      </c>
      <c r="I3116" s="4">
        <v>863437</v>
      </c>
      <c r="J3116" s="4">
        <v>351560</v>
      </c>
    </row>
    <row r="3117" spans="2:10" x14ac:dyDescent="0.3">
      <c r="B3117" s="7">
        <v>44743</v>
      </c>
      <c r="C3117" s="3">
        <f t="shared" si="96"/>
        <v>2022</v>
      </c>
      <c r="D3117" s="3">
        <f t="shared" si="97"/>
        <v>202207</v>
      </c>
      <c r="E3117" s="5" t="s">
        <v>5</v>
      </c>
      <c r="F3117" s="5" t="s">
        <v>56</v>
      </c>
      <c r="G3117" s="5" t="s">
        <v>17</v>
      </c>
      <c r="H3117">
        <v>49</v>
      </c>
      <c r="I3117" s="4">
        <v>817271</v>
      </c>
      <c r="J3117" s="4">
        <v>366520</v>
      </c>
    </row>
    <row r="3118" spans="2:10" x14ac:dyDescent="0.3">
      <c r="B3118" s="7">
        <v>44774</v>
      </c>
      <c r="C3118" s="3">
        <f t="shared" si="96"/>
        <v>2022</v>
      </c>
      <c r="D3118" s="3">
        <f t="shared" si="97"/>
        <v>202208</v>
      </c>
      <c r="E3118" s="5" t="s">
        <v>5</v>
      </c>
      <c r="F3118" s="5" t="s">
        <v>56</v>
      </c>
      <c r="G3118" s="5" t="s">
        <v>17</v>
      </c>
      <c r="H3118">
        <v>42</v>
      </c>
      <c r="I3118" s="4">
        <v>757134</v>
      </c>
      <c r="J3118" s="4">
        <v>314160</v>
      </c>
    </row>
    <row r="3119" spans="2:10" x14ac:dyDescent="0.3">
      <c r="B3119" s="7">
        <v>44805</v>
      </c>
      <c r="C3119" s="3">
        <f t="shared" si="96"/>
        <v>2022</v>
      </c>
      <c r="D3119" s="3">
        <f t="shared" si="97"/>
        <v>202209</v>
      </c>
      <c r="E3119" s="5" t="s">
        <v>5</v>
      </c>
      <c r="F3119" s="5" t="s">
        <v>56</v>
      </c>
      <c r="G3119" s="5" t="s">
        <v>17</v>
      </c>
      <c r="H3119">
        <v>44</v>
      </c>
      <c r="I3119" s="4">
        <v>777568</v>
      </c>
      <c r="J3119" s="4">
        <v>329120</v>
      </c>
    </row>
    <row r="3120" spans="2:10" x14ac:dyDescent="0.3">
      <c r="B3120" s="7">
        <v>44835</v>
      </c>
      <c r="C3120" s="3">
        <f t="shared" si="96"/>
        <v>2022</v>
      </c>
      <c r="D3120" s="3">
        <f t="shared" si="97"/>
        <v>202210</v>
      </c>
      <c r="E3120" s="5" t="s">
        <v>5</v>
      </c>
      <c r="F3120" s="5" t="s">
        <v>56</v>
      </c>
      <c r="G3120" s="5" t="s">
        <v>17</v>
      </c>
      <c r="H3120">
        <v>37</v>
      </c>
      <c r="I3120" s="4">
        <v>703000</v>
      </c>
      <c r="J3120" s="4">
        <v>276760</v>
      </c>
    </row>
    <row r="3121" spans="2:10" x14ac:dyDescent="0.3">
      <c r="B3121" s="7">
        <v>44866</v>
      </c>
      <c r="C3121" s="3">
        <f t="shared" si="96"/>
        <v>2022</v>
      </c>
      <c r="D3121" s="3">
        <f t="shared" si="97"/>
        <v>202211</v>
      </c>
      <c r="E3121" s="5" t="s">
        <v>5</v>
      </c>
      <c r="F3121" s="5" t="s">
        <v>56</v>
      </c>
      <c r="G3121" s="5" t="s">
        <v>17</v>
      </c>
      <c r="H3121">
        <v>26</v>
      </c>
      <c r="I3121" s="4">
        <v>483314</v>
      </c>
      <c r="J3121" s="4">
        <v>194480</v>
      </c>
    </row>
    <row r="3122" spans="2:10" x14ac:dyDescent="0.3">
      <c r="B3122" s="7">
        <v>44896</v>
      </c>
      <c r="C3122" s="3">
        <f t="shared" si="96"/>
        <v>2022</v>
      </c>
      <c r="D3122" s="3">
        <f t="shared" si="97"/>
        <v>202212</v>
      </c>
      <c r="E3122" s="5" t="s">
        <v>5</v>
      </c>
      <c r="F3122" s="5" t="s">
        <v>56</v>
      </c>
      <c r="G3122" s="5" t="s">
        <v>17</v>
      </c>
      <c r="H3122">
        <v>31</v>
      </c>
      <c r="I3122" s="4">
        <v>559829</v>
      </c>
      <c r="J3122" s="4">
        <v>231880</v>
      </c>
    </row>
    <row r="3123" spans="2:10" x14ac:dyDescent="0.3">
      <c r="B3123" s="7">
        <v>44197</v>
      </c>
      <c r="C3123" s="3">
        <f t="shared" si="96"/>
        <v>2021</v>
      </c>
      <c r="D3123" s="3">
        <f t="shared" si="97"/>
        <v>202101</v>
      </c>
      <c r="E3123" s="5" t="s">
        <v>5</v>
      </c>
      <c r="F3123" s="5" t="s">
        <v>56</v>
      </c>
      <c r="G3123" s="5" t="s">
        <v>18</v>
      </c>
      <c r="H3123">
        <v>30</v>
      </c>
      <c r="I3123" s="4">
        <v>944340</v>
      </c>
      <c r="J3123" s="4">
        <v>504000</v>
      </c>
    </row>
    <row r="3124" spans="2:10" x14ac:dyDescent="0.3">
      <c r="B3124" s="7">
        <v>44228</v>
      </c>
      <c r="C3124" s="3">
        <f t="shared" si="96"/>
        <v>2021</v>
      </c>
      <c r="D3124" s="3">
        <f t="shared" si="97"/>
        <v>202102</v>
      </c>
      <c r="E3124" s="5" t="s">
        <v>5</v>
      </c>
      <c r="F3124" s="5" t="s">
        <v>56</v>
      </c>
      <c r="G3124" s="5" t="s">
        <v>18</v>
      </c>
      <c r="H3124">
        <v>19</v>
      </c>
      <c r="I3124" s="4">
        <v>593674</v>
      </c>
      <c r="J3124" s="4">
        <v>319200</v>
      </c>
    </row>
    <row r="3125" spans="2:10" x14ac:dyDescent="0.3">
      <c r="B3125" s="7">
        <v>44256</v>
      </c>
      <c r="C3125" s="3">
        <f t="shared" si="96"/>
        <v>2021</v>
      </c>
      <c r="D3125" s="3">
        <f t="shared" si="97"/>
        <v>202103</v>
      </c>
      <c r="E3125" s="5" t="s">
        <v>5</v>
      </c>
      <c r="F3125" s="5" t="s">
        <v>56</v>
      </c>
      <c r="G3125" s="5" t="s">
        <v>18</v>
      </c>
      <c r="H3125">
        <v>15</v>
      </c>
      <c r="I3125" s="4">
        <v>460905</v>
      </c>
      <c r="J3125" s="4">
        <v>252000</v>
      </c>
    </row>
    <row r="3126" spans="2:10" x14ac:dyDescent="0.3">
      <c r="B3126" s="7">
        <v>44287</v>
      </c>
      <c r="C3126" s="3">
        <f t="shared" si="96"/>
        <v>2021</v>
      </c>
      <c r="D3126" s="3">
        <f t="shared" si="97"/>
        <v>202104</v>
      </c>
      <c r="E3126" s="5" t="s">
        <v>5</v>
      </c>
      <c r="F3126" s="5" t="s">
        <v>56</v>
      </c>
      <c r="G3126" s="5" t="s">
        <v>18</v>
      </c>
      <c r="H3126">
        <v>28</v>
      </c>
      <c r="I3126" s="4">
        <v>904456</v>
      </c>
      <c r="J3126" s="4">
        <v>470400</v>
      </c>
    </row>
    <row r="3127" spans="2:10" x14ac:dyDescent="0.3">
      <c r="B3127" s="7">
        <v>44317</v>
      </c>
      <c r="C3127" s="3">
        <f t="shared" si="96"/>
        <v>2021</v>
      </c>
      <c r="D3127" s="3">
        <f t="shared" si="97"/>
        <v>202105</v>
      </c>
      <c r="E3127" s="5" t="s">
        <v>5</v>
      </c>
      <c r="F3127" s="5" t="s">
        <v>56</v>
      </c>
      <c r="G3127" s="5" t="s">
        <v>18</v>
      </c>
      <c r="H3127">
        <v>35</v>
      </c>
      <c r="I3127" s="4">
        <v>1113875</v>
      </c>
      <c r="J3127" s="4">
        <v>588000</v>
      </c>
    </row>
    <row r="3128" spans="2:10" x14ac:dyDescent="0.3">
      <c r="B3128" s="7">
        <v>44348</v>
      </c>
      <c r="C3128" s="3">
        <f t="shared" si="96"/>
        <v>2021</v>
      </c>
      <c r="D3128" s="3">
        <f t="shared" si="97"/>
        <v>202106</v>
      </c>
      <c r="E3128" s="5" t="s">
        <v>5</v>
      </c>
      <c r="F3128" s="5" t="s">
        <v>56</v>
      </c>
      <c r="G3128" s="5" t="s">
        <v>18</v>
      </c>
      <c r="H3128">
        <v>33</v>
      </c>
      <c r="I3128" s="4">
        <v>1041447</v>
      </c>
      <c r="J3128" s="4">
        <v>554400</v>
      </c>
    </row>
    <row r="3129" spans="2:10" x14ac:dyDescent="0.3">
      <c r="B3129" s="7">
        <v>44378</v>
      </c>
      <c r="C3129" s="3">
        <f t="shared" si="96"/>
        <v>2021</v>
      </c>
      <c r="D3129" s="3">
        <f t="shared" si="97"/>
        <v>202107</v>
      </c>
      <c r="E3129" s="5" t="s">
        <v>5</v>
      </c>
      <c r="F3129" s="5" t="s">
        <v>56</v>
      </c>
      <c r="G3129" s="5" t="s">
        <v>18</v>
      </c>
      <c r="H3129">
        <v>35</v>
      </c>
      <c r="I3129" s="4">
        <v>1027740</v>
      </c>
      <c r="J3129" s="4">
        <v>588000</v>
      </c>
    </row>
    <row r="3130" spans="2:10" x14ac:dyDescent="0.3">
      <c r="B3130" s="7">
        <v>44409</v>
      </c>
      <c r="C3130" s="3">
        <f t="shared" si="96"/>
        <v>2021</v>
      </c>
      <c r="D3130" s="3">
        <f t="shared" si="97"/>
        <v>202108</v>
      </c>
      <c r="E3130" s="5" t="s">
        <v>5</v>
      </c>
      <c r="F3130" s="5" t="s">
        <v>56</v>
      </c>
      <c r="G3130" s="5" t="s">
        <v>18</v>
      </c>
      <c r="H3130">
        <v>30</v>
      </c>
      <c r="I3130" s="4">
        <v>924810</v>
      </c>
      <c r="J3130" s="4">
        <v>504000</v>
      </c>
    </row>
    <row r="3131" spans="2:10" x14ac:dyDescent="0.3">
      <c r="B3131" s="7">
        <v>44440</v>
      </c>
      <c r="C3131" s="3">
        <f t="shared" si="96"/>
        <v>2021</v>
      </c>
      <c r="D3131" s="3">
        <f t="shared" si="97"/>
        <v>202109</v>
      </c>
      <c r="E3131" s="5" t="s">
        <v>5</v>
      </c>
      <c r="F3131" s="5" t="s">
        <v>56</v>
      </c>
      <c r="G3131" s="5" t="s">
        <v>18</v>
      </c>
      <c r="H3131">
        <v>31</v>
      </c>
      <c r="I3131" s="4">
        <v>964534</v>
      </c>
      <c r="J3131" s="4">
        <v>520800</v>
      </c>
    </row>
    <row r="3132" spans="2:10" x14ac:dyDescent="0.3">
      <c r="B3132" s="7">
        <v>44470</v>
      </c>
      <c r="C3132" s="3">
        <f t="shared" si="96"/>
        <v>2021</v>
      </c>
      <c r="D3132" s="3">
        <f t="shared" si="97"/>
        <v>202110</v>
      </c>
      <c r="E3132" s="5" t="s">
        <v>5</v>
      </c>
      <c r="F3132" s="5" t="s">
        <v>56</v>
      </c>
      <c r="G3132" s="5" t="s">
        <v>18</v>
      </c>
      <c r="H3132">
        <v>26</v>
      </c>
      <c r="I3132" s="4">
        <v>815750</v>
      </c>
      <c r="J3132" s="4">
        <v>436800</v>
      </c>
    </row>
    <row r="3133" spans="2:10" x14ac:dyDescent="0.3">
      <c r="B3133" s="7">
        <v>44501</v>
      </c>
      <c r="C3133" s="3">
        <f t="shared" si="96"/>
        <v>2021</v>
      </c>
      <c r="D3133" s="3">
        <f t="shared" si="97"/>
        <v>202111</v>
      </c>
      <c r="E3133" s="5" t="s">
        <v>5</v>
      </c>
      <c r="F3133" s="5" t="s">
        <v>56</v>
      </c>
      <c r="G3133" s="5" t="s">
        <v>18</v>
      </c>
      <c r="H3133">
        <v>19</v>
      </c>
      <c r="I3133" s="4">
        <v>586682</v>
      </c>
      <c r="J3133" s="4">
        <v>319200</v>
      </c>
    </row>
    <row r="3134" spans="2:10" x14ac:dyDescent="0.3">
      <c r="B3134" s="7">
        <v>44531</v>
      </c>
      <c r="C3134" s="3">
        <f t="shared" si="96"/>
        <v>2021</v>
      </c>
      <c r="D3134" s="3">
        <f t="shared" si="97"/>
        <v>202112</v>
      </c>
      <c r="E3134" s="5" t="s">
        <v>5</v>
      </c>
      <c r="F3134" s="5" t="s">
        <v>56</v>
      </c>
      <c r="G3134" s="5" t="s">
        <v>18</v>
      </c>
      <c r="H3134">
        <v>22</v>
      </c>
      <c r="I3134" s="4">
        <v>669064</v>
      </c>
      <c r="J3134" s="4">
        <v>369600</v>
      </c>
    </row>
    <row r="3135" spans="2:10" x14ac:dyDescent="0.3">
      <c r="B3135" s="7">
        <v>44562</v>
      </c>
      <c r="C3135" s="3">
        <f t="shared" si="96"/>
        <v>2022</v>
      </c>
      <c r="D3135" s="3">
        <f t="shared" si="97"/>
        <v>202201</v>
      </c>
      <c r="E3135" s="5" t="s">
        <v>5</v>
      </c>
      <c r="F3135" s="5" t="s">
        <v>56</v>
      </c>
      <c r="G3135" s="5" t="s">
        <v>18</v>
      </c>
      <c r="H3135">
        <v>33</v>
      </c>
      <c r="I3135" s="4">
        <v>1035936</v>
      </c>
      <c r="J3135" s="4">
        <v>554400</v>
      </c>
    </row>
    <row r="3136" spans="2:10" x14ac:dyDescent="0.3">
      <c r="B3136" s="7">
        <v>44593</v>
      </c>
      <c r="C3136" s="3">
        <f t="shared" si="96"/>
        <v>2022</v>
      </c>
      <c r="D3136" s="3">
        <f t="shared" si="97"/>
        <v>202202</v>
      </c>
      <c r="E3136" s="5" t="s">
        <v>5</v>
      </c>
      <c r="F3136" s="5" t="s">
        <v>56</v>
      </c>
      <c r="G3136" s="5" t="s">
        <v>18</v>
      </c>
      <c r="H3136">
        <v>21</v>
      </c>
      <c r="I3136" s="4">
        <v>651273</v>
      </c>
      <c r="J3136" s="4">
        <v>352800</v>
      </c>
    </row>
    <row r="3137" spans="2:10" x14ac:dyDescent="0.3">
      <c r="B3137" s="7">
        <v>44621</v>
      </c>
      <c r="C3137" s="3">
        <f t="shared" si="96"/>
        <v>2022</v>
      </c>
      <c r="D3137" s="3">
        <f t="shared" si="97"/>
        <v>202203</v>
      </c>
      <c r="E3137" s="5" t="s">
        <v>5</v>
      </c>
      <c r="F3137" s="5" t="s">
        <v>56</v>
      </c>
      <c r="G3137" s="5" t="s">
        <v>18</v>
      </c>
      <c r="H3137">
        <v>17</v>
      </c>
      <c r="I3137" s="4">
        <v>520200</v>
      </c>
      <c r="J3137" s="4">
        <v>285600</v>
      </c>
    </row>
    <row r="3138" spans="2:10" x14ac:dyDescent="0.3">
      <c r="B3138" s="7">
        <v>44652</v>
      </c>
      <c r="C3138" s="3">
        <f t="shared" si="96"/>
        <v>2022</v>
      </c>
      <c r="D3138" s="3">
        <f t="shared" si="97"/>
        <v>202204</v>
      </c>
      <c r="E3138" s="5" t="s">
        <v>5</v>
      </c>
      <c r="F3138" s="5" t="s">
        <v>56</v>
      </c>
      <c r="G3138" s="5" t="s">
        <v>18</v>
      </c>
      <c r="H3138">
        <v>31</v>
      </c>
      <c r="I3138" s="4">
        <v>992930</v>
      </c>
      <c r="J3138" s="4">
        <v>520800</v>
      </c>
    </row>
    <row r="3139" spans="2:10" x14ac:dyDescent="0.3">
      <c r="B3139" s="7">
        <v>44682</v>
      </c>
      <c r="C3139" s="3">
        <f t="shared" ref="C3139:C3202" si="98">YEAR(B3139)</f>
        <v>2022</v>
      </c>
      <c r="D3139" s="3">
        <f t="shared" ref="D3139:D3202" si="99">VALUE(TEXT(B3139,"ГГГГММ"))</f>
        <v>202205</v>
      </c>
      <c r="E3139" s="5" t="s">
        <v>5</v>
      </c>
      <c r="F3139" s="5" t="s">
        <v>56</v>
      </c>
      <c r="G3139" s="5" t="s">
        <v>18</v>
      </c>
      <c r="H3139">
        <v>39</v>
      </c>
      <c r="I3139" s="4">
        <v>1241214</v>
      </c>
      <c r="J3139" s="4">
        <v>655200</v>
      </c>
    </row>
    <row r="3140" spans="2:10" x14ac:dyDescent="0.3">
      <c r="B3140" s="7">
        <v>44713</v>
      </c>
      <c r="C3140" s="3">
        <f t="shared" si="98"/>
        <v>2022</v>
      </c>
      <c r="D3140" s="3">
        <f t="shared" si="99"/>
        <v>202206</v>
      </c>
      <c r="E3140" s="5" t="s">
        <v>5</v>
      </c>
      <c r="F3140" s="5" t="s">
        <v>56</v>
      </c>
      <c r="G3140" s="5" t="s">
        <v>18</v>
      </c>
      <c r="H3140">
        <v>37</v>
      </c>
      <c r="I3140" s="4">
        <v>1169940</v>
      </c>
      <c r="J3140" s="4">
        <v>621600</v>
      </c>
    </row>
    <row r="3141" spans="2:10" x14ac:dyDescent="0.3">
      <c r="B3141" s="7">
        <v>44743</v>
      </c>
      <c r="C3141" s="3">
        <f t="shared" si="98"/>
        <v>2022</v>
      </c>
      <c r="D3141" s="3">
        <f t="shared" si="99"/>
        <v>202207</v>
      </c>
      <c r="E3141" s="5" t="s">
        <v>5</v>
      </c>
      <c r="F3141" s="5" t="s">
        <v>56</v>
      </c>
      <c r="G3141" s="5" t="s">
        <v>18</v>
      </c>
      <c r="H3141">
        <v>39</v>
      </c>
      <c r="I3141" s="4">
        <v>1173549</v>
      </c>
      <c r="J3141" s="4">
        <v>655200</v>
      </c>
    </row>
    <row r="3142" spans="2:10" x14ac:dyDescent="0.3">
      <c r="B3142" s="7">
        <v>44774</v>
      </c>
      <c r="C3142" s="3">
        <f t="shared" si="98"/>
        <v>2022</v>
      </c>
      <c r="D3142" s="3">
        <f t="shared" si="99"/>
        <v>202208</v>
      </c>
      <c r="E3142" s="5" t="s">
        <v>5</v>
      </c>
      <c r="F3142" s="5" t="s">
        <v>56</v>
      </c>
      <c r="G3142" s="5" t="s">
        <v>18</v>
      </c>
      <c r="H3142">
        <v>33</v>
      </c>
      <c r="I3142" s="4">
        <v>1019865</v>
      </c>
      <c r="J3142" s="4">
        <v>554400</v>
      </c>
    </row>
    <row r="3143" spans="2:10" x14ac:dyDescent="0.3">
      <c r="B3143" s="7">
        <v>44805</v>
      </c>
      <c r="C3143" s="3">
        <f t="shared" si="98"/>
        <v>2022</v>
      </c>
      <c r="D3143" s="3">
        <f t="shared" si="99"/>
        <v>202209</v>
      </c>
      <c r="E3143" s="5" t="s">
        <v>5</v>
      </c>
      <c r="F3143" s="5" t="s">
        <v>56</v>
      </c>
      <c r="G3143" s="5" t="s">
        <v>18</v>
      </c>
      <c r="H3143">
        <v>35</v>
      </c>
      <c r="I3143" s="4">
        <v>1082970</v>
      </c>
      <c r="J3143" s="4">
        <v>588000</v>
      </c>
    </row>
    <row r="3144" spans="2:10" x14ac:dyDescent="0.3">
      <c r="B3144" s="7">
        <v>44835</v>
      </c>
      <c r="C3144" s="3">
        <f t="shared" si="98"/>
        <v>2022</v>
      </c>
      <c r="D3144" s="3">
        <f t="shared" si="99"/>
        <v>202210</v>
      </c>
      <c r="E3144" s="5" t="s">
        <v>5</v>
      </c>
      <c r="F3144" s="5" t="s">
        <v>56</v>
      </c>
      <c r="G3144" s="5" t="s">
        <v>18</v>
      </c>
      <c r="H3144">
        <v>29</v>
      </c>
      <c r="I3144" s="4">
        <v>904075</v>
      </c>
      <c r="J3144" s="4">
        <v>487200</v>
      </c>
    </row>
    <row r="3145" spans="2:10" x14ac:dyDescent="0.3">
      <c r="B3145" s="7">
        <v>44866</v>
      </c>
      <c r="C3145" s="3">
        <f t="shared" si="98"/>
        <v>2022</v>
      </c>
      <c r="D3145" s="3">
        <f t="shared" si="99"/>
        <v>202211</v>
      </c>
      <c r="E3145" s="5" t="s">
        <v>5</v>
      </c>
      <c r="F3145" s="5" t="s">
        <v>56</v>
      </c>
      <c r="G3145" s="5" t="s">
        <v>18</v>
      </c>
      <c r="H3145">
        <v>21</v>
      </c>
      <c r="I3145" s="4">
        <v>662109</v>
      </c>
      <c r="J3145" s="4">
        <v>352800</v>
      </c>
    </row>
    <row r="3146" spans="2:10" x14ac:dyDescent="0.3">
      <c r="B3146" s="7">
        <v>44896</v>
      </c>
      <c r="C3146" s="3">
        <f t="shared" si="98"/>
        <v>2022</v>
      </c>
      <c r="D3146" s="3">
        <f t="shared" si="99"/>
        <v>202212</v>
      </c>
      <c r="E3146" s="5" t="s">
        <v>5</v>
      </c>
      <c r="F3146" s="5" t="s">
        <v>56</v>
      </c>
      <c r="G3146" s="5" t="s">
        <v>18</v>
      </c>
      <c r="H3146">
        <v>25</v>
      </c>
      <c r="I3146" s="4">
        <v>761025</v>
      </c>
      <c r="J3146" s="4">
        <v>420000</v>
      </c>
    </row>
    <row r="3147" spans="2:10" x14ac:dyDescent="0.3">
      <c r="B3147" s="7">
        <v>44197</v>
      </c>
      <c r="C3147" s="3">
        <f t="shared" si="98"/>
        <v>2021</v>
      </c>
      <c r="D3147" s="3">
        <f t="shared" si="99"/>
        <v>202101</v>
      </c>
      <c r="E3147" s="5" t="s">
        <v>5</v>
      </c>
      <c r="F3147" s="5" t="s">
        <v>56</v>
      </c>
      <c r="G3147" s="5" t="s">
        <v>19</v>
      </c>
      <c r="H3147">
        <v>28</v>
      </c>
      <c r="I3147" s="4">
        <v>446012</v>
      </c>
      <c r="J3147" s="4">
        <v>172200</v>
      </c>
    </row>
    <row r="3148" spans="2:10" x14ac:dyDescent="0.3">
      <c r="B3148" s="7">
        <v>44228</v>
      </c>
      <c r="C3148" s="3">
        <f t="shared" si="98"/>
        <v>2021</v>
      </c>
      <c r="D3148" s="3">
        <f t="shared" si="99"/>
        <v>202102</v>
      </c>
      <c r="E3148" s="5" t="s">
        <v>5</v>
      </c>
      <c r="F3148" s="5" t="s">
        <v>56</v>
      </c>
      <c r="G3148" s="5" t="s">
        <v>19</v>
      </c>
      <c r="H3148">
        <v>18</v>
      </c>
      <c r="I3148" s="4">
        <v>300510</v>
      </c>
      <c r="J3148" s="4">
        <v>110700</v>
      </c>
    </row>
    <row r="3149" spans="2:10" x14ac:dyDescent="0.3">
      <c r="B3149" s="7">
        <v>44256</v>
      </c>
      <c r="C3149" s="3">
        <f t="shared" si="98"/>
        <v>2021</v>
      </c>
      <c r="D3149" s="3">
        <f t="shared" si="99"/>
        <v>202103</v>
      </c>
      <c r="E3149" s="5" t="s">
        <v>5</v>
      </c>
      <c r="F3149" s="5" t="s">
        <v>56</v>
      </c>
      <c r="G3149" s="5" t="s">
        <v>19</v>
      </c>
      <c r="H3149">
        <v>14</v>
      </c>
      <c r="I3149" s="4">
        <v>224686</v>
      </c>
      <c r="J3149" s="4">
        <v>86100</v>
      </c>
    </row>
    <row r="3150" spans="2:10" x14ac:dyDescent="0.3">
      <c r="B3150" s="7">
        <v>44287</v>
      </c>
      <c r="C3150" s="3">
        <f t="shared" si="98"/>
        <v>2021</v>
      </c>
      <c r="D3150" s="3">
        <f t="shared" si="99"/>
        <v>202104</v>
      </c>
      <c r="E3150" s="5" t="s">
        <v>5</v>
      </c>
      <c r="F3150" s="5" t="s">
        <v>56</v>
      </c>
      <c r="G3150" s="5" t="s">
        <v>19</v>
      </c>
      <c r="H3150">
        <v>27</v>
      </c>
      <c r="I3150" s="4">
        <v>444204</v>
      </c>
      <c r="J3150" s="4">
        <v>166050</v>
      </c>
    </row>
    <row r="3151" spans="2:10" x14ac:dyDescent="0.3">
      <c r="B3151" s="7">
        <v>44317</v>
      </c>
      <c r="C3151" s="3">
        <f t="shared" si="98"/>
        <v>2021</v>
      </c>
      <c r="D3151" s="3">
        <f t="shared" si="99"/>
        <v>202105</v>
      </c>
      <c r="E3151" s="5" t="s">
        <v>5</v>
      </c>
      <c r="F3151" s="5" t="s">
        <v>56</v>
      </c>
      <c r="G3151" s="5" t="s">
        <v>19</v>
      </c>
      <c r="H3151">
        <v>34</v>
      </c>
      <c r="I3151" s="4">
        <v>571166</v>
      </c>
      <c r="J3151" s="4">
        <v>209100</v>
      </c>
    </row>
    <row r="3152" spans="2:10" x14ac:dyDescent="0.3">
      <c r="B3152" s="7">
        <v>44348</v>
      </c>
      <c r="C3152" s="3">
        <f t="shared" si="98"/>
        <v>2021</v>
      </c>
      <c r="D3152" s="3">
        <f t="shared" si="99"/>
        <v>202106</v>
      </c>
      <c r="E3152" s="5" t="s">
        <v>5</v>
      </c>
      <c r="F3152" s="5" t="s">
        <v>56</v>
      </c>
      <c r="G3152" s="5" t="s">
        <v>19</v>
      </c>
      <c r="H3152">
        <v>32</v>
      </c>
      <c r="I3152" s="4">
        <v>506976</v>
      </c>
      <c r="J3152" s="4">
        <v>196800</v>
      </c>
    </row>
    <row r="3153" spans="2:10" x14ac:dyDescent="0.3">
      <c r="B3153" s="7">
        <v>44378</v>
      </c>
      <c r="C3153" s="3">
        <f t="shared" si="98"/>
        <v>2021</v>
      </c>
      <c r="D3153" s="3">
        <f t="shared" si="99"/>
        <v>202107</v>
      </c>
      <c r="E3153" s="5" t="s">
        <v>5</v>
      </c>
      <c r="F3153" s="5" t="s">
        <v>56</v>
      </c>
      <c r="G3153" s="5" t="s">
        <v>19</v>
      </c>
      <c r="H3153">
        <v>34</v>
      </c>
      <c r="I3153" s="4">
        <v>494428</v>
      </c>
      <c r="J3153" s="4">
        <v>209100</v>
      </c>
    </row>
    <row r="3154" spans="2:10" x14ac:dyDescent="0.3">
      <c r="B3154" s="7">
        <v>44409</v>
      </c>
      <c r="C3154" s="3">
        <f t="shared" si="98"/>
        <v>2021</v>
      </c>
      <c r="D3154" s="3">
        <f t="shared" si="99"/>
        <v>202108</v>
      </c>
      <c r="E3154" s="5" t="s">
        <v>5</v>
      </c>
      <c r="F3154" s="5" t="s">
        <v>56</v>
      </c>
      <c r="G3154" s="5" t="s">
        <v>19</v>
      </c>
      <c r="H3154">
        <v>28</v>
      </c>
      <c r="I3154" s="4">
        <v>453068</v>
      </c>
      <c r="J3154" s="4">
        <v>172200</v>
      </c>
    </row>
    <row r="3155" spans="2:10" x14ac:dyDescent="0.3">
      <c r="B3155" s="7">
        <v>44440</v>
      </c>
      <c r="C3155" s="3">
        <f t="shared" si="98"/>
        <v>2021</v>
      </c>
      <c r="D3155" s="3">
        <f t="shared" si="99"/>
        <v>202109</v>
      </c>
      <c r="E3155" s="5" t="s">
        <v>5</v>
      </c>
      <c r="F3155" s="5" t="s">
        <v>56</v>
      </c>
      <c r="G3155" s="5" t="s">
        <v>19</v>
      </c>
      <c r="H3155">
        <v>30</v>
      </c>
      <c r="I3155" s="4">
        <v>491910</v>
      </c>
      <c r="J3155" s="4">
        <v>184500</v>
      </c>
    </row>
    <row r="3156" spans="2:10" x14ac:dyDescent="0.3">
      <c r="B3156" s="7">
        <v>44470</v>
      </c>
      <c r="C3156" s="3">
        <f t="shared" si="98"/>
        <v>2021</v>
      </c>
      <c r="D3156" s="3">
        <f t="shared" si="99"/>
        <v>202110</v>
      </c>
      <c r="E3156" s="5" t="s">
        <v>5</v>
      </c>
      <c r="F3156" s="5" t="s">
        <v>56</v>
      </c>
      <c r="G3156" s="5" t="s">
        <v>19</v>
      </c>
      <c r="H3156">
        <v>25</v>
      </c>
      <c r="I3156" s="4">
        <v>419050</v>
      </c>
      <c r="J3156" s="4">
        <v>153750</v>
      </c>
    </row>
    <row r="3157" spans="2:10" x14ac:dyDescent="0.3">
      <c r="B3157" s="7">
        <v>44501</v>
      </c>
      <c r="C3157" s="3">
        <f t="shared" si="98"/>
        <v>2021</v>
      </c>
      <c r="D3157" s="3">
        <f t="shared" si="99"/>
        <v>202111</v>
      </c>
      <c r="E3157" s="5" t="s">
        <v>5</v>
      </c>
      <c r="F3157" s="5" t="s">
        <v>56</v>
      </c>
      <c r="G3157" s="5" t="s">
        <v>19</v>
      </c>
      <c r="H3157">
        <v>18</v>
      </c>
      <c r="I3157" s="4">
        <v>286632</v>
      </c>
      <c r="J3157" s="4">
        <v>110700</v>
      </c>
    </row>
    <row r="3158" spans="2:10" x14ac:dyDescent="0.3">
      <c r="B3158" s="7">
        <v>44531</v>
      </c>
      <c r="C3158" s="3">
        <f t="shared" si="98"/>
        <v>2021</v>
      </c>
      <c r="D3158" s="3">
        <f t="shared" si="99"/>
        <v>202112</v>
      </c>
      <c r="E3158" s="5" t="s">
        <v>5</v>
      </c>
      <c r="F3158" s="5" t="s">
        <v>56</v>
      </c>
      <c r="G3158" s="5" t="s">
        <v>19</v>
      </c>
      <c r="H3158">
        <v>21</v>
      </c>
      <c r="I3158" s="4">
        <v>330981</v>
      </c>
      <c r="J3158" s="4">
        <v>129150</v>
      </c>
    </row>
    <row r="3159" spans="2:10" x14ac:dyDescent="0.3">
      <c r="B3159" s="7">
        <v>44562</v>
      </c>
      <c r="C3159" s="3">
        <f t="shared" si="98"/>
        <v>2022</v>
      </c>
      <c r="D3159" s="3">
        <f t="shared" si="99"/>
        <v>202201</v>
      </c>
      <c r="E3159" s="5" t="s">
        <v>5</v>
      </c>
      <c r="F3159" s="5" t="s">
        <v>56</v>
      </c>
      <c r="G3159" s="5" t="s">
        <v>19</v>
      </c>
      <c r="H3159">
        <v>31</v>
      </c>
      <c r="I3159" s="4">
        <v>497953</v>
      </c>
      <c r="J3159" s="4">
        <v>190650</v>
      </c>
    </row>
    <row r="3160" spans="2:10" x14ac:dyDescent="0.3">
      <c r="B3160" s="7">
        <v>44593</v>
      </c>
      <c r="C3160" s="3">
        <f t="shared" si="98"/>
        <v>2022</v>
      </c>
      <c r="D3160" s="3">
        <f t="shared" si="99"/>
        <v>202202</v>
      </c>
      <c r="E3160" s="5" t="s">
        <v>5</v>
      </c>
      <c r="F3160" s="5" t="s">
        <v>56</v>
      </c>
      <c r="G3160" s="5" t="s">
        <v>19</v>
      </c>
      <c r="H3160">
        <v>20</v>
      </c>
      <c r="I3160" s="4">
        <v>326440</v>
      </c>
      <c r="J3160" s="4">
        <v>123000</v>
      </c>
    </row>
    <row r="3161" spans="2:10" x14ac:dyDescent="0.3">
      <c r="B3161" s="7">
        <v>44621</v>
      </c>
      <c r="C3161" s="3">
        <f t="shared" si="98"/>
        <v>2022</v>
      </c>
      <c r="D3161" s="3">
        <f t="shared" si="99"/>
        <v>202203</v>
      </c>
      <c r="E3161" s="5" t="s">
        <v>5</v>
      </c>
      <c r="F3161" s="5" t="s">
        <v>56</v>
      </c>
      <c r="G3161" s="5" t="s">
        <v>19</v>
      </c>
      <c r="H3161">
        <v>16</v>
      </c>
      <c r="I3161" s="4">
        <v>257344</v>
      </c>
      <c r="J3161" s="4">
        <v>98400</v>
      </c>
    </row>
    <row r="3162" spans="2:10" x14ac:dyDescent="0.3">
      <c r="B3162" s="7">
        <v>44652</v>
      </c>
      <c r="C3162" s="3">
        <f t="shared" si="98"/>
        <v>2022</v>
      </c>
      <c r="D3162" s="3">
        <f t="shared" si="99"/>
        <v>202204</v>
      </c>
      <c r="E3162" s="5" t="s">
        <v>5</v>
      </c>
      <c r="F3162" s="5" t="s">
        <v>56</v>
      </c>
      <c r="G3162" s="5" t="s">
        <v>19</v>
      </c>
      <c r="H3162">
        <v>29</v>
      </c>
      <c r="I3162" s="4">
        <v>491550</v>
      </c>
      <c r="J3162" s="4">
        <v>178350</v>
      </c>
    </row>
    <row r="3163" spans="2:10" x14ac:dyDescent="0.3">
      <c r="B3163" s="7">
        <v>44682</v>
      </c>
      <c r="C3163" s="3">
        <f t="shared" si="98"/>
        <v>2022</v>
      </c>
      <c r="D3163" s="3">
        <f t="shared" si="99"/>
        <v>202205</v>
      </c>
      <c r="E3163" s="5" t="s">
        <v>5</v>
      </c>
      <c r="F3163" s="5" t="s">
        <v>56</v>
      </c>
      <c r="G3163" s="5" t="s">
        <v>19</v>
      </c>
      <c r="H3163">
        <v>37</v>
      </c>
      <c r="I3163" s="4">
        <v>611758</v>
      </c>
      <c r="J3163" s="4">
        <v>227550</v>
      </c>
    </row>
    <row r="3164" spans="2:10" x14ac:dyDescent="0.3">
      <c r="B3164" s="7">
        <v>44713</v>
      </c>
      <c r="C3164" s="3">
        <f t="shared" si="98"/>
        <v>2022</v>
      </c>
      <c r="D3164" s="3">
        <f t="shared" si="99"/>
        <v>202206</v>
      </c>
      <c r="E3164" s="5" t="s">
        <v>5</v>
      </c>
      <c r="F3164" s="5" t="s">
        <v>56</v>
      </c>
      <c r="G3164" s="5" t="s">
        <v>19</v>
      </c>
      <c r="H3164">
        <v>35</v>
      </c>
      <c r="I3164" s="4">
        <v>562275</v>
      </c>
      <c r="J3164" s="4">
        <v>215250</v>
      </c>
    </row>
    <row r="3165" spans="2:10" x14ac:dyDescent="0.3">
      <c r="B3165" s="7">
        <v>44743</v>
      </c>
      <c r="C3165" s="3">
        <f t="shared" si="98"/>
        <v>2022</v>
      </c>
      <c r="D3165" s="3">
        <f t="shared" si="99"/>
        <v>202207</v>
      </c>
      <c r="E3165" s="5" t="s">
        <v>5</v>
      </c>
      <c r="F3165" s="5" t="s">
        <v>56</v>
      </c>
      <c r="G3165" s="5" t="s">
        <v>19</v>
      </c>
      <c r="H3165">
        <v>37</v>
      </c>
      <c r="I3165" s="4">
        <v>550005</v>
      </c>
      <c r="J3165" s="4">
        <v>227550</v>
      </c>
    </row>
    <row r="3166" spans="2:10" x14ac:dyDescent="0.3">
      <c r="B3166" s="7">
        <v>44774</v>
      </c>
      <c r="C3166" s="3">
        <f t="shared" si="98"/>
        <v>2022</v>
      </c>
      <c r="D3166" s="3">
        <f t="shared" si="99"/>
        <v>202208</v>
      </c>
      <c r="E3166" s="5" t="s">
        <v>5</v>
      </c>
      <c r="F3166" s="5" t="s">
        <v>56</v>
      </c>
      <c r="G3166" s="5" t="s">
        <v>19</v>
      </c>
      <c r="H3166">
        <v>31</v>
      </c>
      <c r="I3166" s="4">
        <v>490420</v>
      </c>
      <c r="J3166" s="4">
        <v>190650</v>
      </c>
    </row>
    <row r="3167" spans="2:10" x14ac:dyDescent="0.3">
      <c r="B3167" s="7">
        <v>44805</v>
      </c>
      <c r="C3167" s="3">
        <f t="shared" si="98"/>
        <v>2022</v>
      </c>
      <c r="D3167" s="3">
        <f t="shared" si="99"/>
        <v>202209</v>
      </c>
      <c r="E3167" s="5" t="s">
        <v>5</v>
      </c>
      <c r="F3167" s="5" t="s">
        <v>56</v>
      </c>
      <c r="G3167" s="5" t="s">
        <v>19</v>
      </c>
      <c r="H3167">
        <v>33</v>
      </c>
      <c r="I3167" s="4">
        <v>503151</v>
      </c>
      <c r="J3167" s="4">
        <v>202950</v>
      </c>
    </row>
    <row r="3168" spans="2:10" x14ac:dyDescent="0.3">
      <c r="B3168" s="7">
        <v>44835</v>
      </c>
      <c r="C3168" s="3">
        <f t="shared" si="98"/>
        <v>2022</v>
      </c>
      <c r="D3168" s="3">
        <f t="shared" si="99"/>
        <v>202210</v>
      </c>
      <c r="E3168" s="5" t="s">
        <v>5</v>
      </c>
      <c r="F3168" s="5" t="s">
        <v>56</v>
      </c>
      <c r="G3168" s="5" t="s">
        <v>19</v>
      </c>
      <c r="H3168">
        <v>27</v>
      </c>
      <c r="I3168" s="4">
        <v>447093</v>
      </c>
      <c r="J3168" s="4">
        <v>166050</v>
      </c>
    </row>
    <row r="3169" spans="2:10" x14ac:dyDescent="0.3">
      <c r="B3169" s="7">
        <v>44866</v>
      </c>
      <c r="C3169" s="3">
        <f t="shared" si="98"/>
        <v>2022</v>
      </c>
      <c r="D3169" s="3">
        <f t="shared" si="99"/>
        <v>202211</v>
      </c>
      <c r="E3169" s="5" t="s">
        <v>5</v>
      </c>
      <c r="F3169" s="5" t="s">
        <v>56</v>
      </c>
      <c r="G3169" s="5" t="s">
        <v>19</v>
      </c>
      <c r="H3169">
        <v>20</v>
      </c>
      <c r="I3169" s="4">
        <v>317480</v>
      </c>
      <c r="J3169" s="4">
        <v>123000</v>
      </c>
    </row>
    <row r="3170" spans="2:10" x14ac:dyDescent="0.3">
      <c r="B3170" s="7">
        <v>44896</v>
      </c>
      <c r="C3170" s="3">
        <f t="shared" si="98"/>
        <v>2022</v>
      </c>
      <c r="D3170" s="3">
        <f t="shared" si="99"/>
        <v>202212</v>
      </c>
      <c r="E3170" s="5" t="s">
        <v>5</v>
      </c>
      <c r="F3170" s="5" t="s">
        <v>56</v>
      </c>
      <c r="G3170" s="5" t="s">
        <v>19</v>
      </c>
      <c r="H3170">
        <v>23</v>
      </c>
      <c r="I3170" s="4">
        <v>376970</v>
      </c>
      <c r="J3170" s="4">
        <v>141450</v>
      </c>
    </row>
    <row r="3171" spans="2:10" x14ac:dyDescent="0.3">
      <c r="B3171" s="7">
        <v>44197</v>
      </c>
      <c r="C3171" s="3">
        <f t="shared" si="98"/>
        <v>2021</v>
      </c>
      <c r="D3171" s="3">
        <f t="shared" si="99"/>
        <v>202101</v>
      </c>
      <c r="E3171" s="5" t="s">
        <v>5</v>
      </c>
      <c r="F3171" s="5" t="s">
        <v>56</v>
      </c>
      <c r="G3171" s="5" t="s">
        <v>20</v>
      </c>
      <c r="H3171">
        <v>37</v>
      </c>
      <c r="I3171" s="4">
        <v>461242</v>
      </c>
      <c r="J3171" s="4">
        <v>162800</v>
      </c>
    </row>
    <row r="3172" spans="2:10" x14ac:dyDescent="0.3">
      <c r="B3172" s="7">
        <v>44228</v>
      </c>
      <c r="C3172" s="3">
        <f t="shared" si="98"/>
        <v>2021</v>
      </c>
      <c r="D3172" s="3">
        <f t="shared" si="99"/>
        <v>202102</v>
      </c>
      <c r="E3172" s="5" t="s">
        <v>5</v>
      </c>
      <c r="F3172" s="5" t="s">
        <v>56</v>
      </c>
      <c r="G3172" s="5" t="s">
        <v>20</v>
      </c>
      <c r="H3172">
        <v>23</v>
      </c>
      <c r="I3172" s="4">
        <v>297597</v>
      </c>
      <c r="J3172" s="4">
        <v>101200</v>
      </c>
    </row>
    <row r="3173" spans="2:10" x14ac:dyDescent="0.3">
      <c r="B3173" s="7">
        <v>44256</v>
      </c>
      <c r="C3173" s="3">
        <f t="shared" si="98"/>
        <v>2021</v>
      </c>
      <c r="D3173" s="3">
        <f t="shared" si="99"/>
        <v>202103</v>
      </c>
      <c r="E3173" s="5" t="s">
        <v>5</v>
      </c>
      <c r="F3173" s="5" t="s">
        <v>56</v>
      </c>
      <c r="G3173" s="5" t="s">
        <v>20</v>
      </c>
      <c r="H3173">
        <v>19</v>
      </c>
      <c r="I3173" s="4">
        <v>228171</v>
      </c>
      <c r="J3173" s="4">
        <v>83600</v>
      </c>
    </row>
    <row r="3174" spans="2:10" x14ac:dyDescent="0.3">
      <c r="B3174" s="7">
        <v>44287</v>
      </c>
      <c r="C3174" s="3">
        <f t="shared" si="98"/>
        <v>2021</v>
      </c>
      <c r="D3174" s="3">
        <f t="shared" si="99"/>
        <v>202104</v>
      </c>
      <c r="E3174" s="5" t="s">
        <v>5</v>
      </c>
      <c r="F3174" s="5" t="s">
        <v>56</v>
      </c>
      <c r="G3174" s="5" t="s">
        <v>20</v>
      </c>
      <c r="H3174">
        <v>35</v>
      </c>
      <c r="I3174" s="4">
        <v>428890</v>
      </c>
      <c r="J3174" s="4">
        <v>154000</v>
      </c>
    </row>
    <row r="3175" spans="2:10" x14ac:dyDescent="0.3">
      <c r="B3175" s="7">
        <v>44317</v>
      </c>
      <c r="C3175" s="3">
        <f t="shared" si="98"/>
        <v>2021</v>
      </c>
      <c r="D3175" s="3">
        <f t="shared" si="99"/>
        <v>202105</v>
      </c>
      <c r="E3175" s="5" t="s">
        <v>5</v>
      </c>
      <c r="F3175" s="5" t="s">
        <v>56</v>
      </c>
      <c r="G3175" s="5" t="s">
        <v>20</v>
      </c>
      <c r="H3175">
        <v>44</v>
      </c>
      <c r="I3175" s="4">
        <v>547580</v>
      </c>
      <c r="J3175" s="4">
        <v>193600</v>
      </c>
    </row>
    <row r="3176" spans="2:10" x14ac:dyDescent="0.3">
      <c r="B3176" s="7">
        <v>44348</v>
      </c>
      <c r="C3176" s="3">
        <f t="shared" si="98"/>
        <v>2021</v>
      </c>
      <c r="D3176" s="3">
        <f t="shared" si="99"/>
        <v>202106</v>
      </c>
      <c r="E3176" s="5" t="s">
        <v>5</v>
      </c>
      <c r="F3176" s="5" t="s">
        <v>56</v>
      </c>
      <c r="G3176" s="5" t="s">
        <v>20</v>
      </c>
      <c r="H3176">
        <v>42</v>
      </c>
      <c r="I3176" s="4">
        <v>530040</v>
      </c>
      <c r="J3176" s="4">
        <v>184800</v>
      </c>
    </row>
    <row r="3177" spans="2:10" x14ac:dyDescent="0.3">
      <c r="B3177" s="7">
        <v>44378</v>
      </c>
      <c r="C3177" s="3">
        <f t="shared" si="98"/>
        <v>2021</v>
      </c>
      <c r="D3177" s="3">
        <f t="shared" si="99"/>
        <v>202107</v>
      </c>
      <c r="E3177" s="5" t="s">
        <v>5</v>
      </c>
      <c r="F3177" s="5" t="s">
        <v>56</v>
      </c>
      <c r="G3177" s="5" t="s">
        <v>20</v>
      </c>
      <c r="H3177">
        <v>44</v>
      </c>
      <c r="I3177" s="4">
        <v>473968</v>
      </c>
      <c r="J3177" s="4">
        <v>193600</v>
      </c>
    </row>
    <row r="3178" spans="2:10" x14ac:dyDescent="0.3">
      <c r="B3178" s="7">
        <v>44409</v>
      </c>
      <c r="C3178" s="3">
        <f t="shared" si="98"/>
        <v>2021</v>
      </c>
      <c r="D3178" s="3">
        <f t="shared" si="99"/>
        <v>202108</v>
      </c>
      <c r="E3178" s="5" t="s">
        <v>5</v>
      </c>
      <c r="F3178" s="5" t="s">
        <v>56</v>
      </c>
      <c r="G3178" s="5" t="s">
        <v>20</v>
      </c>
      <c r="H3178">
        <v>37</v>
      </c>
      <c r="I3178" s="4">
        <v>441447</v>
      </c>
      <c r="J3178" s="4">
        <v>162800</v>
      </c>
    </row>
    <row r="3179" spans="2:10" x14ac:dyDescent="0.3">
      <c r="B3179" s="7">
        <v>44440</v>
      </c>
      <c r="C3179" s="3">
        <f t="shared" si="98"/>
        <v>2021</v>
      </c>
      <c r="D3179" s="3">
        <f t="shared" si="99"/>
        <v>202109</v>
      </c>
      <c r="E3179" s="5" t="s">
        <v>5</v>
      </c>
      <c r="F3179" s="5" t="s">
        <v>56</v>
      </c>
      <c r="G3179" s="5" t="s">
        <v>20</v>
      </c>
      <c r="H3179">
        <v>39</v>
      </c>
      <c r="I3179" s="4">
        <v>469833</v>
      </c>
      <c r="J3179" s="4">
        <v>171600</v>
      </c>
    </row>
    <row r="3180" spans="2:10" x14ac:dyDescent="0.3">
      <c r="B3180" s="7">
        <v>44470</v>
      </c>
      <c r="C3180" s="3">
        <f t="shared" si="98"/>
        <v>2021</v>
      </c>
      <c r="D3180" s="3">
        <f t="shared" si="99"/>
        <v>202110</v>
      </c>
      <c r="E3180" s="5" t="s">
        <v>5</v>
      </c>
      <c r="F3180" s="5" t="s">
        <v>56</v>
      </c>
      <c r="G3180" s="5" t="s">
        <v>20</v>
      </c>
      <c r="H3180">
        <v>32</v>
      </c>
      <c r="I3180" s="4">
        <v>383648</v>
      </c>
      <c r="J3180" s="4">
        <v>140800</v>
      </c>
    </row>
    <row r="3181" spans="2:10" x14ac:dyDescent="0.3">
      <c r="B3181" s="7">
        <v>44501</v>
      </c>
      <c r="C3181" s="3">
        <f t="shared" si="98"/>
        <v>2021</v>
      </c>
      <c r="D3181" s="3">
        <f t="shared" si="99"/>
        <v>202111</v>
      </c>
      <c r="E3181" s="5" t="s">
        <v>5</v>
      </c>
      <c r="F3181" s="5" t="s">
        <v>56</v>
      </c>
      <c r="G3181" s="5" t="s">
        <v>20</v>
      </c>
      <c r="H3181">
        <v>23</v>
      </c>
      <c r="I3181" s="4">
        <v>282164</v>
      </c>
      <c r="J3181" s="4">
        <v>101200</v>
      </c>
    </row>
    <row r="3182" spans="2:10" x14ac:dyDescent="0.3">
      <c r="B3182" s="7">
        <v>44531</v>
      </c>
      <c r="C3182" s="3">
        <f t="shared" si="98"/>
        <v>2021</v>
      </c>
      <c r="D3182" s="3">
        <f t="shared" si="99"/>
        <v>202112</v>
      </c>
      <c r="E3182" s="5" t="s">
        <v>5</v>
      </c>
      <c r="F3182" s="5" t="s">
        <v>56</v>
      </c>
      <c r="G3182" s="5" t="s">
        <v>20</v>
      </c>
      <c r="H3182">
        <v>28</v>
      </c>
      <c r="I3182" s="4">
        <v>332864</v>
      </c>
      <c r="J3182" s="4">
        <v>123200</v>
      </c>
    </row>
    <row r="3183" spans="2:10" x14ac:dyDescent="0.3">
      <c r="B3183" s="7">
        <v>44562</v>
      </c>
      <c r="C3183" s="3">
        <f t="shared" si="98"/>
        <v>2022</v>
      </c>
      <c r="D3183" s="3">
        <f t="shared" si="99"/>
        <v>202201</v>
      </c>
      <c r="E3183" s="5" t="s">
        <v>5</v>
      </c>
      <c r="F3183" s="5" t="s">
        <v>56</v>
      </c>
      <c r="G3183" s="5" t="s">
        <v>20</v>
      </c>
      <c r="H3183">
        <v>41</v>
      </c>
      <c r="I3183" s="4">
        <v>502742</v>
      </c>
      <c r="J3183" s="4">
        <v>180400</v>
      </c>
    </row>
    <row r="3184" spans="2:10" x14ac:dyDescent="0.3">
      <c r="B3184" s="7">
        <v>44593</v>
      </c>
      <c r="C3184" s="3">
        <f t="shared" si="98"/>
        <v>2022</v>
      </c>
      <c r="D3184" s="3">
        <f t="shared" si="99"/>
        <v>202202</v>
      </c>
      <c r="E3184" s="5" t="s">
        <v>5</v>
      </c>
      <c r="F3184" s="5" t="s">
        <v>56</v>
      </c>
      <c r="G3184" s="5" t="s">
        <v>20</v>
      </c>
      <c r="H3184">
        <v>26</v>
      </c>
      <c r="I3184" s="4">
        <v>317798</v>
      </c>
      <c r="J3184" s="4">
        <v>114400</v>
      </c>
    </row>
    <row r="3185" spans="2:10" x14ac:dyDescent="0.3">
      <c r="B3185" s="7">
        <v>44621</v>
      </c>
      <c r="C3185" s="3">
        <f t="shared" si="98"/>
        <v>2022</v>
      </c>
      <c r="D3185" s="3">
        <f t="shared" si="99"/>
        <v>202203</v>
      </c>
      <c r="E3185" s="5" t="s">
        <v>5</v>
      </c>
      <c r="F3185" s="5" t="s">
        <v>56</v>
      </c>
      <c r="G3185" s="5" t="s">
        <v>20</v>
      </c>
      <c r="H3185">
        <v>21</v>
      </c>
      <c r="I3185" s="4">
        <v>260379</v>
      </c>
      <c r="J3185" s="4">
        <v>92400</v>
      </c>
    </row>
    <row r="3186" spans="2:10" x14ac:dyDescent="0.3">
      <c r="B3186" s="7">
        <v>44652</v>
      </c>
      <c r="C3186" s="3">
        <f t="shared" si="98"/>
        <v>2022</v>
      </c>
      <c r="D3186" s="3">
        <f t="shared" si="99"/>
        <v>202204</v>
      </c>
      <c r="E3186" s="5" t="s">
        <v>5</v>
      </c>
      <c r="F3186" s="5" t="s">
        <v>56</v>
      </c>
      <c r="G3186" s="5" t="s">
        <v>20</v>
      </c>
      <c r="H3186">
        <v>38</v>
      </c>
      <c r="I3186" s="4">
        <v>491416</v>
      </c>
      <c r="J3186" s="4">
        <v>167200</v>
      </c>
    </row>
    <row r="3187" spans="2:10" x14ac:dyDescent="0.3">
      <c r="B3187" s="7">
        <v>44682</v>
      </c>
      <c r="C3187" s="3">
        <f t="shared" si="98"/>
        <v>2022</v>
      </c>
      <c r="D3187" s="3">
        <f t="shared" si="99"/>
        <v>202205</v>
      </c>
      <c r="E3187" s="5" t="s">
        <v>5</v>
      </c>
      <c r="F3187" s="5" t="s">
        <v>56</v>
      </c>
      <c r="G3187" s="5" t="s">
        <v>20</v>
      </c>
      <c r="H3187">
        <v>48</v>
      </c>
      <c r="I3187" s="4">
        <v>614976</v>
      </c>
      <c r="J3187" s="4">
        <v>211200</v>
      </c>
    </row>
    <row r="3188" spans="2:10" x14ac:dyDescent="0.3">
      <c r="B3188" s="7">
        <v>44713</v>
      </c>
      <c r="C3188" s="3">
        <f t="shared" si="98"/>
        <v>2022</v>
      </c>
      <c r="D3188" s="3">
        <f t="shared" si="99"/>
        <v>202206</v>
      </c>
      <c r="E3188" s="5" t="s">
        <v>5</v>
      </c>
      <c r="F3188" s="5" t="s">
        <v>56</v>
      </c>
      <c r="G3188" s="5" t="s">
        <v>20</v>
      </c>
      <c r="H3188">
        <v>46</v>
      </c>
      <c r="I3188" s="4">
        <v>579968</v>
      </c>
      <c r="J3188" s="4">
        <v>202400</v>
      </c>
    </row>
    <row r="3189" spans="2:10" x14ac:dyDescent="0.3">
      <c r="B3189" s="7">
        <v>44743</v>
      </c>
      <c r="C3189" s="3">
        <f t="shared" si="98"/>
        <v>2022</v>
      </c>
      <c r="D3189" s="3">
        <f t="shared" si="99"/>
        <v>202207</v>
      </c>
      <c r="E3189" s="5" t="s">
        <v>5</v>
      </c>
      <c r="F3189" s="5" t="s">
        <v>56</v>
      </c>
      <c r="G3189" s="5" t="s">
        <v>20</v>
      </c>
      <c r="H3189">
        <v>48</v>
      </c>
      <c r="I3189" s="4">
        <v>502224</v>
      </c>
      <c r="J3189" s="4">
        <v>211200</v>
      </c>
    </row>
    <row r="3190" spans="2:10" x14ac:dyDescent="0.3">
      <c r="B3190" s="7">
        <v>44774</v>
      </c>
      <c r="C3190" s="3">
        <f t="shared" si="98"/>
        <v>2022</v>
      </c>
      <c r="D3190" s="3">
        <f t="shared" si="99"/>
        <v>202208</v>
      </c>
      <c r="E3190" s="5" t="s">
        <v>5</v>
      </c>
      <c r="F3190" s="5" t="s">
        <v>56</v>
      </c>
      <c r="G3190" s="5" t="s">
        <v>20</v>
      </c>
      <c r="H3190">
        <v>41</v>
      </c>
      <c r="I3190" s="4">
        <v>482898</v>
      </c>
      <c r="J3190" s="4">
        <v>180400</v>
      </c>
    </row>
    <row r="3191" spans="2:10" x14ac:dyDescent="0.3">
      <c r="B3191" s="7">
        <v>44805</v>
      </c>
      <c r="C3191" s="3">
        <f t="shared" si="98"/>
        <v>2022</v>
      </c>
      <c r="D3191" s="3">
        <f t="shared" si="99"/>
        <v>202209</v>
      </c>
      <c r="E3191" s="5" t="s">
        <v>5</v>
      </c>
      <c r="F3191" s="5" t="s">
        <v>56</v>
      </c>
      <c r="G3191" s="5" t="s">
        <v>20</v>
      </c>
      <c r="H3191">
        <v>43</v>
      </c>
      <c r="I3191" s="4">
        <v>498413</v>
      </c>
      <c r="J3191" s="4">
        <v>189200</v>
      </c>
    </row>
    <row r="3192" spans="2:10" x14ac:dyDescent="0.3">
      <c r="B3192" s="7">
        <v>44835</v>
      </c>
      <c r="C3192" s="3">
        <f t="shared" si="98"/>
        <v>2022</v>
      </c>
      <c r="D3192" s="3">
        <f t="shared" si="99"/>
        <v>202210</v>
      </c>
      <c r="E3192" s="5" t="s">
        <v>5</v>
      </c>
      <c r="F3192" s="5" t="s">
        <v>56</v>
      </c>
      <c r="G3192" s="5" t="s">
        <v>20</v>
      </c>
      <c r="H3192">
        <v>36</v>
      </c>
      <c r="I3192" s="4">
        <v>441792</v>
      </c>
      <c r="J3192" s="4">
        <v>158400</v>
      </c>
    </row>
    <row r="3193" spans="2:10" x14ac:dyDescent="0.3">
      <c r="B3193" s="7">
        <v>44866</v>
      </c>
      <c r="C3193" s="3">
        <f t="shared" si="98"/>
        <v>2022</v>
      </c>
      <c r="D3193" s="3">
        <f t="shared" si="99"/>
        <v>202211</v>
      </c>
      <c r="E3193" s="5" t="s">
        <v>5</v>
      </c>
      <c r="F3193" s="5" t="s">
        <v>56</v>
      </c>
      <c r="G3193" s="5" t="s">
        <v>20</v>
      </c>
      <c r="H3193">
        <v>26</v>
      </c>
      <c r="I3193" s="4">
        <v>307216</v>
      </c>
      <c r="J3193" s="4">
        <v>114400</v>
      </c>
    </row>
    <row r="3194" spans="2:10" x14ac:dyDescent="0.3">
      <c r="B3194" s="7">
        <v>44896</v>
      </c>
      <c r="C3194" s="3">
        <f t="shared" si="98"/>
        <v>2022</v>
      </c>
      <c r="D3194" s="3">
        <f t="shared" si="99"/>
        <v>202212</v>
      </c>
      <c r="E3194" s="5" t="s">
        <v>5</v>
      </c>
      <c r="F3194" s="5" t="s">
        <v>56</v>
      </c>
      <c r="G3194" s="5" t="s">
        <v>20</v>
      </c>
      <c r="H3194">
        <v>31</v>
      </c>
      <c r="I3194" s="4">
        <v>381920</v>
      </c>
      <c r="J3194" s="4">
        <v>136400</v>
      </c>
    </row>
    <row r="3195" spans="2:10" x14ac:dyDescent="0.3">
      <c r="B3195" s="7">
        <v>44197</v>
      </c>
      <c r="C3195" s="3">
        <f t="shared" si="98"/>
        <v>2021</v>
      </c>
      <c r="D3195" s="3">
        <f t="shared" si="99"/>
        <v>202101</v>
      </c>
      <c r="E3195" s="5" t="s">
        <v>5</v>
      </c>
      <c r="F3195" s="5" t="s">
        <v>9</v>
      </c>
      <c r="G3195" s="5" t="s">
        <v>21</v>
      </c>
      <c r="H3195">
        <v>19</v>
      </c>
      <c r="I3195" s="4">
        <v>107312</v>
      </c>
      <c r="J3195" s="4">
        <v>34447</v>
      </c>
    </row>
    <row r="3196" spans="2:10" x14ac:dyDescent="0.3">
      <c r="B3196" s="7">
        <v>44228</v>
      </c>
      <c r="C3196" s="3">
        <f t="shared" si="98"/>
        <v>2021</v>
      </c>
      <c r="D3196" s="3">
        <f t="shared" si="99"/>
        <v>202102</v>
      </c>
      <c r="E3196" s="5" t="s">
        <v>5</v>
      </c>
      <c r="F3196" s="5" t="s">
        <v>9</v>
      </c>
      <c r="G3196" s="5" t="s">
        <v>21</v>
      </c>
      <c r="H3196">
        <v>12</v>
      </c>
      <c r="I3196" s="4">
        <v>65280</v>
      </c>
      <c r="J3196" s="4">
        <v>21756</v>
      </c>
    </row>
    <row r="3197" spans="2:10" x14ac:dyDescent="0.3">
      <c r="B3197" s="7">
        <v>44256</v>
      </c>
      <c r="C3197" s="3">
        <f t="shared" si="98"/>
        <v>2021</v>
      </c>
      <c r="D3197" s="3">
        <f t="shared" si="99"/>
        <v>202103</v>
      </c>
      <c r="E3197" s="5" t="s">
        <v>5</v>
      </c>
      <c r="F3197" s="5" t="s">
        <v>9</v>
      </c>
      <c r="G3197" s="5" t="s">
        <v>21</v>
      </c>
      <c r="H3197">
        <v>10</v>
      </c>
      <c r="I3197" s="4">
        <v>44900</v>
      </c>
      <c r="J3197" s="4">
        <v>18130</v>
      </c>
    </row>
    <row r="3198" spans="2:10" x14ac:dyDescent="0.3">
      <c r="B3198" s="7">
        <v>44287</v>
      </c>
      <c r="C3198" s="3">
        <f t="shared" si="98"/>
        <v>2021</v>
      </c>
      <c r="D3198" s="3">
        <f t="shared" si="99"/>
        <v>202104</v>
      </c>
      <c r="E3198" s="5" t="s">
        <v>5</v>
      </c>
      <c r="F3198" s="5" t="s">
        <v>9</v>
      </c>
      <c r="G3198" s="5" t="s">
        <v>21</v>
      </c>
      <c r="H3198">
        <v>18</v>
      </c>
      <c r="I3198" s="4">
        <v>107010</v>
      </c>
      <c r="J3198" s="4">
        <v>32634</v>
      </c>
    </row>
    <row r="3199" spans="2:10" x14ac:dyDescent="0.3">
      <c r="B3199" s="7">
        <v>44317</v>
      </c>
      <c r="C3199" s="3">
        <f t="shared" si="98"/>
        <v>2021</v>
      </c>
      <c r="D3199" s="3">
        <f t="shared" si="99"/>
        <v>202105</v>
      </c>
      <c r="E3199" s="5" t="s">
        <v>5</v>
      </c>
      <c r="F3199" s="5" t="s">
        <v>9</v>
      </c>
      <c r="G3199" s="5" t="s">
        <v>21</v>
      </c>
      <c r="H3199">
        <v>22</v>
      </c>
      <c r="I3199" s="4">
        <v>128942</v>
      </c>
      <c r="J3199" s="4">
        <v>39886</v>
      </c>
    </row>
    <row r="3200" spans="2:10" x14ac:dyDescent="0.3">
      <c r="B3200" s="7">
        <v>44348</v>
      </c>
      <c r="C3200" s="3">
        <f t="shared" si="98"/>
        <v>2021</v>
      </c>
      <c r="D3200" s="3">
        <f t="shared" si="99"/>
        <v>202106</v>
      </c>
      <c r="E3200" s="5" t="s">
        <v>5</v>
      </c>
      <c r="F3200" s="5" t="s">
        <v>9</v>
      </c>
      <c r="G3200" s="5" t="s">
        <v>21</v>
      </c>
      <c r="H3200">
        <v>21</v>
      </c>
      <c r="I3200" s="4">
        <v>102102</v>
      </c>
      <c r="J3200" s="4">
        <v>38073</v>
      </c>
    </row>
    <row r="3201" spans="2:10" x14ac:dyDescent="0.3">
      <c r="B3201" s="7">
        <v>44378</v>
      </c>
      <c r="C3201" s="3">
        <f t="shared" si="98"/>
        <v>2021</v>
      </c>
      <c r="D3201" s="3">
        <f t="shared" si="99"/>
        <v>202107</v>
      </c>
      <c r="E3201" s="5" t="s">
        <v>5</v>
      </c>
      <c r="F3201" s="5" t="s">
        <v>9</v>
      </c>
      <c r="G3201" s="5" t="s">
        <v>21</v>
      </c>
      <c r="H3201">
        <v>22</v>
      </c>
      <c r="I3201" s="4">
        <v>75042</v>
      </c>
      <c r="J3201" s="4">
        <v>39886</v>
      </c>
    </row>
    <row r="3202" spans="2:10" x14ac:dyDescent="0.3">
      <c r="B3202" s="7">
        <v>44409</v>
      </c>
      <c r="C3202" s="3">
        <f t="shared" si="98"/>
        <v>2021</v>
      </c>
      <c r="D3202" s="3">
        <f t="shared" si="99"/>
        <v>202108</v>
      </c>
      <c r="E3202" s="5" t="s">
        <v>5</v>
      </c>
      <c r="F3202" s="5" t="s">
        <v>9</v>
      </c>
      <c r="G3202" s="5" t="s">
        <v>21</v>
      </c>
      <c r="H3202">
        <v>19</v>
      </c>
      <c r="I3202" s="4">
        <v>86013</v>
      </c>
      <c r="J3202" s="4">
        <v>34447</v>
      </c>
    </row>
    <row r="3203" spans="2:10" x14ac:dyDescent="0.3">
      <c r="B3203" s="7">
        <v>44440</v>
      </c>
      <c r="C3203" s="3">
        <f t="shared" ref="C3203:C3266" si="100">YEAR(B3203)</f>
        <v>2021</v>
      </c>
      <c r="D3203" s="3">
        <f t="shared" ref="D3203:D3266" si="101">VALUE(TEXT(B3203,"ГГГГММ"))</f>
        <v>202109</v>
      </c>
      <c r="E3203" s="5" t="s">
        <v>5</v>
      </c>
      <c r="F3203" s="5" t="s">
        <v>9</v>
      </c>
      <c r="G3203" s="5" t="s">
        <v>21</v>
      </c>
      <c r="H3203">
        <v>20</v>
      </c>
      <c r="I3203" s="4">
        <v>89140</v>
      </c>
      <c r="J3203" s="4">
        <v>36260</v>
      </c>
    </row>
    <row r="3204" spans="2:10" x14ac:dyDescent="0.3">
      <c r="B3204" s="7">
        <v>44470</v>
      </c>
      <c r="C3204" s="3">
        <f t="shared" si="100"/>
        <v>2021</v>
      </c>
      <c r="D3204" s="3">
        <f t="shared" si="101"/>
        <v>202110</v>
      </c>
      <c r="E3204" s="5" t="s">
        <v>5</v>
      </c>
      <c r="F3204" s="5" t="s">
        <v>9</v>
      </c>
      <c r="G3204" s="5" t="s">
        <v>21</v>
      </c>
      <c r="H3204">
        <v>17</v>
      </c>
      <c r="I3204" s="4">
        <v>92633</v>
      </c>
      <c r="J3204" s="4">
        <v>30821</v>
      </c>
    </row>
    <row r="3205" spans="2:10" x14ac:dyDescent="0.3">
      <c r="B3205" s="7">
        <v>44501</v>
      </c>
      <c r="C3205" s="3">
        <f t="shared" si="100"/>
        <v>2021</v>
      </c>
      <c r="D3205" s="3">
        <f t="shared" si="101"/>
        <v>202111</v>
      </c>
      <c r="E3205" s="5" t="s">
        <v>5</v>
      </c>
      <c r="F3205" s="5" t="s">
        <v>9</v>
      </c>
      <c r="G3205" s="5" t="s">
        <v>21</v>
      </c>
      <c r="H3205">
        <v>12</v>
      </c>
      <c r="I3205" s="4">
        <v>59292</v>
      </c>
      <c r="J3205" s="4">
        <v>21756</v>
      </c>
    </row>
    <row r="3206" spans="2:10" x14ac:dyDescent="0.3">
      <c r="B3206" s="7">
        <v>44531</v>
      </c>
      <c r="C3206" s="3">
        <f t="shared" si="100"/>
        <v>2021</v>
      </c>
      <c r="D3206" s="3">
        <f t="shared" si="101"/>
        <v>202112</v>
      </c>
      <c r="E3206" s="5" t="s">
        <v>5</v>
      </c>
      <c r="F3206" s="5" t="s">
        <v>9</v>
      </c>
      <c r="G3206" s="5" t="s">
        <v>21</v>
      </c>
      <c r="H3206">
        <v>14</v>
      </c>
      <c r="I3206" s="4">
        <v>70882</v>
      </c>
      <c r="J3206" s="4">
        <v>25382</v>
      </c>
    </row>
    <row r="3207" spans="2:10" x14ac:dyDescent="0.3">
      <c r="B3207" s="7">
        <v>44562</v>
      </c>
      <c r="C3207" s="3">
        <f t="shared" si="100"/>
        <v>2022</v>
      </c>
      <c r="D3207" s="3">
        <f t="shared" si="101"/>
        <v>202201</v>
      </c>
      <c r="E3207" s="5" t="s">
        <v>5</v>
      </c>
      <c r="F3207" s="5" t="s">
        <v>9</v>
      </c>
      <c r="G3207" s="5" t="s">
        <v>21</v>
      </c>
      <c r="H3207">
        <v>21</v>
      </c>
      <c r="I3207" s="4">
        <v>104391</v>
      </c>
      <c r="J3207" s="4">
        <v>38073</v>
      </c>
    </row>
    <row r="3208" spans="2:10" x14ac:dyDescent="0.3">
      <c r="B3208" s="7">
        <v>44593</v>
      </c>
      <c r="C3208" s="3">
        <f t="shared" si="100"/>
        <v>2022</v>
      </c>
      <c r="D3208" s="3">
        <f t="shared" si="101"/>
        <v>202202</v>
      </c>
      <c r="E3208" s="5" t="s">
        <v>5</v>
      </c>
      <c r="F3208" s="5" t="s">
        <v>9</v>
      </c>
      <c r="G3208" s="5" t="s">
        <v>21</v>
      </c>
      <c r="H3208">
        <v>13</v>
      </c>
      <c r="I3208" s="4">
        <v>60905</v>
      </c>
      <c r="J3208" s="4">
        <v>23569</v>
      </c>
    </row>
    <row r="3209" spans="2:10" x14ac:dyDescent="0.3">
      <c r="B3209" s="7">
        <v>44621</v>
      </c>
      <c r="C3209" s="3">
        <f t="shared" si="100"/>
        <v>2022</v>
      </c>
      <c r="D3209" s="3">
        <f t="shared" si="101"/>
        <v>202203</v>
      </c>
      <c r="E3209" s="5" t="s">
        <v>5</v>
      </c>
      <c r="F3209" s="5" t="s">
        <v>9</v>
      </c>
      <c r="G3209" s="5" t="s">
        <v>21</v>
      </c>
      <c r="H3209">
        <v>11</v>
      </c>
      <c r="I3209" s="4">
        <v>52030</v>
      </c>
      <c r="J3209" s="4">
        <v>19943</v>
      </c>
    </row>
    <row r="3210" spans="2:10" x14ac:dyDescent="0.3">
      <c r="B3210" s="7">
        <v>44652</v>
      </c>
      <c r="C3210" s="3">
        <f t="shared" si="100"/>
        <v>2022</v>
      </c>
      <c r="D3210" s="3">
        <f t="shared" si="101"/>
        <v>202204</v>
      </c>
      <c r="E3210" s="5" t="s">
        <v>5</v>
      </c>
      <c r="F3210" s="5" t="s">
        <v>9</v>
      </c>
      <c r="G3210" s="5" t="s">
        <v>21</v>
      </c>
      <c r="H3210">
        <v>19</v>
      </c>
      <c r="I3210" s="4">
        <v>101840</v>
      </c>
      <c r="J3210" s="4">
        <v>34447</v>
      </c>
    </row>
    <row r="3211" spans="2:10" x14ac:dyDescent="0.3">
      <c r="B3211" s="7">
        <v>44682</v>
      </c>
      <c r="C3211" s="3">
        <f t="shared" si="100"/>
        <v>2022</v>
      </c>
      <c r="D3211" s="3">
        <f t="shared" si="101"/>
        <v>202205</v>
      </c>
      <c r="E3211" s="5" t="s">
        <v>5</v>
      </c>
      <c r="F3211" s="5" t="s">
        <v>9</v>
      </c>
      <c r="G3211" s="5" t="s">
        <v>21</v>
      </c>
      <c r="H3211">
        <v>25</v>
      </c>
      <c r="I3211" s="4">
        <v>140450</v>
      </c>
      <c r="J3211" s="4">
        <v>45325</v>
      </c>
    </row>
    <row r="3212" spans="2:10" x14ac:dyDescent="0.3">
      <c r="B3212" s="7">
        <v>44713</v>
      </c>
      <c r="C3212" s="3">
        <f t="shared" si="100"/>
        <v>2022</v>
      </c>
      <c r="D3212" s="3">
        <f t="shared" si="101"/>
        <v>202206</v>
      </c>
      <c r="E3212" s="5" t="s">
        <v>5</v>
      </c>
      <c r="F3212" s="5" t="s">
        <v>9</v>
      </c>
      <c r="G3212" s="5" t="s">
        <v>21</v>
      </c>
      <c r="H3212">
        <v>23</v>
      </c>
      <c r="I3212" s="4">
        <v>123648</v>
      </c>
      <c r="J3212" s="4">
        <v>41699</v>
      </c>
    </row>
    <row r="3213" spans="2:10" x14ac:dyDescent="0.3">
      <c r="B3213" s="7">
        <v>44743</v>
      </c>
      <c r="C3213" s="3">
        <f t="shared" si="100"/>
        <v>2022</v>
      </c>
      <c r="D3213" s="3">
        <f t="shared" si="101"/>
        <v>202207</v>
      </c>
      <c r="E3213" s="5" t="s">
        <v>5</v>
      </c>
      <c r="F3213" s="5" t="s">
        <v>9</v>
      </c>
      <c r="G3213" s="5" t="s">
        <v>21</v>
      </c>
      <c r="H3213">
        <v>25</v>
      </c>
      <c r="I3213" s="4">
        <v>74000</v>
      </c>
      <c r="J3213" s="4">
        <v>45325</v>
      </c>
    </row>
    <row r="3214" spans="2:10" x14ac:dyDescent="0.3">
      <c r="B3214" s="7">
        <v>44774</v>
      </c>
      <c r="C3214" s="3">
        <f t="shared" si="100"/>
        <v>2022</v>
      </c>
      <c r="D3214" s="3">
        <f t="shared" si="101"/>
        <v>202208</v>
      </c>
      <c r="E3214" s="5" t="s">
        <v>5</v>
      </c>
      <c r="F3214" s="5" t="s">
        <v>9</v>
      </c>
      <c r="G3214" s="5" t="s">
        <v>21</v>
      </c>
      <c r="H3214">
        <v>21</v>
      </c>
      <c r="I3214" s="4">
        <v>84588</v>
      </c>
      <c r="J3214" s="4">
        <v>38073</v>
      </c>
    </row>
    <row r="3215" spans="2:10" x14ac:dyDescent="0.3">
      <c r="B3215" s="7">
        <v>44805</v>
      </c>
      <c r="C3215" s="3">
        <f t="shared" si="100"/>
        <v>2022</v>
      </c>
      <c r="D3215" s="3">
        <f t="shared" si="101"/>
        <v>202209</v>
      </c>
      <c r="E3215" s="5" t="s">
        <v>5</v>
      </c>
      <c r="F3215" s="5" t="s">
        <v>9</v>
      </c>
      <c r="G3215" s="5" t="s">
        <v>21</v>
      </c>
      <c r="H3215">
        <v>22</v>
      </c>
      <c r="I3215" s="4">
        <v>97328</v>
      </c>
      <c r="J3215" s="4">
        <v>39886</v>
      </c>
    </row>
    <row r="3216" spans="2:10" x14ac:dyDescent="0.3">
      <c r="B3216" s="7">
        <v>44835</v>
      </c>
      <c r="C3216" s="3">
        <f t="shared" si="100"/>
        <v>2022</v>
      </c>
      <c r="D3216" s="3">
        <f t="shared" si="101"/>
        <v>202210</v>
      </c>
      <c r="E3216" s="5" t="s">
        <v>5</v>
      </c>
      <c r="F3216" s="5" t="s">
        <v>9</v>
      </c>
      <c r="G3216" s="5" t="s">
        <v>21</v>
      </c>
      <c r="H3216">
        <v>18</v>
      </c>
      <c r="I3216" s="4">
        <v>89658</v>
      </c>
      <c r="J3216" s="4">
        <v>32634</v>
      </c>
    </row>
    <row r="3217" spans="2:10" x14ac:dyDescent="0.3">
      <c r="B3217" s="7">
        <v>44866</v>
      </c>
      <c r="C3217" s="3">
        <f t="shared" si="100"/>
        <v>2022</v>
      </c>
      <c r="D3217" s="3">
        <f t="shared" si="101"/>
        <v>202211</v>
      </c>
      <c r="E3217" s="5" t="s">
        <v>5</v>
      </c>
      <c r="F3217" s="5" t="s">
        <v>9</v>
      </c>
      <c r="G3217" s="5" t="s">
        <v>21</v>
      </c>
      <c r="H3217">
        <v>13</v>
      </c>
      <c r="I3217" s="4">
        <v>68835</v>
      </c>
      <c r="J3217" s="4">
        <v>23569</v>
      </c>
    </row>
    <row r="3218" spans="2:10" x14ac:dyDescent="0.3">
      <c r="B3218" s="7">
        <v>44896</v>
      </c>
      <c r="C3218" s="3">
        <f t="shared" si="100"/>
        <v>2022</v>
      </c>
      <c r="D3218" s="3">
        <f t="shared" si="101"/>
        <v>202212</v>
      </c>
      <c r="E3218" s="5" t="s">
        <v>5</v>
      </c>
      <c r="F3218" s="5" t="s">
        <v>9</v>
      </c>
      <c r="G3218" s="5" t="s">
        <v>21</v>
      </c>
      <c r="H3218">
        <v>16</v>
      </c>
      <c r="I3218" s="4">
        <v>66336</v>
      </c>
      <c r="J3218" s="4">
        <v>29008</v>
      </c>
    </row>
    <row r="3219" spans="2:10" x14ac:dyDescent="0.3">
      <c r="B3219" s="7">
        <v>44197</v>
      </c>
      <c r="C3219" s="3">
        <f t="shared" si="100"/>
        <v>2021</v>
      </c>
      <c r="D3219" s="3">
        <f t="shared" si="101"/>
        <v>202101</v>
      </c>
      <c r="E3219" s="5" t="s">
        <v>5</v>
      </c>
      <c r="F3219" s="5" t="s">
        <v>9</v>
      </c>
      <c r="G3219" s="5" t="s">
        <v>22</v>
      </c>
      <c r="H3219">
        <v>15</v>
      </c>
      <c r="I3219" s="4">
        <v>58650</v>
      </c>
      <c r="J3219" s="4">
        <v>17250</v>
      </c>
    </row>
    <row r="3220" spans="2:10" x14ac:dyDescent="0.3">
      <c r="B3220" s="7">
        <v>44228</v>
      </c>
      <c r="C3220" s="3">
        <f t="shared" si="100"/>
        <v>2021</v>
      </c>
      <c r="D3220" s="3">
        <f t="shared" si="101"/>
        <v>202102</v>
      </c>
      <c r="E3220" s="5" t="s">
        <v>5</v>
      </c>
      <c r="F3220" s="5" t="s">
        <v>9</v>
      </c>
      <c r="G3220" s="5" t="s">
        <v>22</v>
      </c>
      <c r="H3220">
        <v>9</v>
      </c>
      <c r="I3220" s="4">
        <v>34875</v>
      </c>
      <c r="J3220" s="4">
        <v>10350</v>
      </c>
    </row>
    <row r="3221" spans="2:10" x14ac:dyDescent="0.3">
      <c r="B3221" s="7">
        <v>44256</v>
      </c>
      <c r="C3221" s="3">
        <f t="shared" si="100"/>
        <v>2021</v>
      </c>
      <c r="D3221" s="3">
        <f t="shared" si="101"/>
        <v>202103</v>
      </c>
      <c r="E3221" s="5" t="s">
        <v>5</v>
      </c>
      <c r="F3221" s="5" t="s">
        <v>9</v>
      </c>
      <c r="G3221" s="5" t="s">
        <v>22</v>
      </c>
      <c r="H3221">
        <v>8</v>
      </c>
      <c r="I3221" s="4">
        <v>26480</v>
      </c>
      <c r="J3221" s="4">
        <v>9200</v>
      </c>
    </row>
    <row r="3222" spans="2:10" x14ac:dyDescent="0.3">
      <c r="B3222" s="7">
        <v>44287</v>
      </c>
      <c r="C3222" s="3">
        <f t="shared" si="100"/>
        <v>2021</v>
      </c>
      <c r="D3222" s="3">
        <f t="shared" si="101"/>
        <v>202104</v>
      </c>
      <c r="E3222" s="5" t="s">
        <v>5</v>
      </c>
      <c r="F3222" s="5" t="s">
        <v>9</v>
      </c>
      <c r="G3222" s="5" t="s">
        <v>22</v>
      </c>
      <c r="H3222">
        <v>14</v>
      </c>
      <c r="I3222" s="4">
        <v>62230</v>
      </c>
      <c r="J3222" s="4">
        <v>16100</v>
      </c>
    </row>
    <row r="3223" spans="2:10" x14ac:dyDescent="0.3">
      <c r="B3223" s="7">
        <v>44317</v>
      </c>
      <c r="C3223" s="3">
        <f t="shared" si="100"/>
        <v>2021</v>
      </c>
      <c r="D3223" s="3">
        <f t="shared" si="101"/>
        <v>202105</v>
      </c>
      <c r="E3223" s="5" t="s">
        <v>5</v>
      </c>
      <c r="F3223" s="5" t="s">
        <v>9</v>
      </c>
      <c r="G3223" s="5" t="s">
        <v>22</v>
      </c>
      <c r="H3223">
        <v>18</v>
      </c>
      <c r="I3223" s="4">
        <v>87696</v>
      </c>
      <c r="J3223" s="4">
        <v>20700</v>
      </c>
    </row>
    <row r="3224" spans="2:10" x14ac:dyDescent="0.3">
      <c r="B3224" s="7">
        <v>44348</v>
      </c>
      <c r="C3224" s="3">
        <f t="shared" si="100"/>
        <v>2021</v>
      </c>
      <c r="D3224" s="3">
        <f t="shared" si="101"/>
        <v>202106</v>
      </c>
      <c r="E3224" s="5" t="s">
        <v>5</v>
      </c>
      <c r="F3224" s="5" t="s">
        <v>9</v>
      </c>
      <c r="G3224" s="5" t="s">
        <v>22</v>
      </c>
      <c r="H3224">
        <v>17</v>
      </c>
      <c r="I3224" s="4">
        <v>61098</v>
      </c>
      <c r="J3224" s="4">
        <v>19550</v>
      </c>
    </row>
    <row r="3225" spans="2:10" x14ac:dyDescent="0.3">
      <c r="B3225" s="7">
        <v>44378</v>
      </c>
      <c r="C3225" s="3">
        <f t="shared" si="100"/>
        <v>2021</v>
      </c>
      <c r="D3225" s="3">
        <f t="shared" si="101"/>
        <v>202107</v>
      </c>
      <c r="E3225" s="5" t="s">
        <v>5</v>
      </c>
      <c r="F3225" s="5" t="s">
        <v>9</v>
      </c>
      <c r="G3225" s="5" t="s">
        <v>22</v>
      </c>
      <c r="H3225">
        <v>18</v>
      </c>
      <c r="I3225" s="4">
        <v>39456</v>
      </c>
      <c r="J3225" s="4">
        <v>20700</v>
      </c>
    </row>
    <row r="3226" spans="2:10" x14ac:dyDescent="0.3">
      <c r="B3226" s="7">
        <v>44409</v>
      </c>
      <c r="C3226" s="3">
        <f t="shared" si="100"/>
        <v>2021</v>
      </c>
      <c r="D3226" s="3">
        <f t="shared" si="101"/>
        <v>202108</v>
      </c>
      <c r="E3226" s="5" t="s">
        <v>5</v>
      </c>
      <c r="F3226" s="5" t="s">
        <v>9</v>
      </c>
      <c r="G3226" s="5" t="s">
        <v>22</v>
      </c>
      <c r="H3226">
        <v>15</v>
      </c>
      <c r="I3226" s="4">
        <v>56220</v>
      </c>
      <c r="J3226" s="4">
        <v>17250</v>
      </c>
    </row>
    <row r="3227" spans="2:10" x14ac:dyDescent="0.3">
      <c r="B3227" s="7">
        <v>44440</v>
      </c>
      <c r="C3227" s="3">
        <f t="shared" si="100"/>
        <v>2021</v>
      </c>
      <c r="D3227" s="3">
        <f t="shared" si="101"/>
        <v>202109</v>
      </c>
      <c r="E3227" s="5" t="s">
        <v>5</v>
      </c>
      <c r="F3227" s="5" t="s">
        <v>9</v>
      </c>
      <c r="G3227" s="5" t="s">
        <v>22</v>
      </c>
      <c r="H3227">
        <v>16</v>
      </c>
      <c r="I3227" s="4">
        <v>63360</v>
      </c>
      <c r="J3227" s="4">
        <v>18400</v>
      </c>
    </row>
    <row r="3228" spans="2:10" x14ac:dyDescent="0.3">
      <c r="B3228" s="7">
        <v>44470</v>
      </c>
      <c r="C3228" s="3">
        <f t="shared" si="100"/>
        <v>2021</v>
      </c>
      <c r="D3228" s="3">
        <f t="shared" si="101"/>
        <v>202110</v>
      </c>
      <c r="E3228" s="5" t="s">
        <v>5</v>
      </c>
      <c r="F3228" s="5" t="s">
        <v>9</v>
      </c>
      <c r="G3228" s="5" t="s">
        <v>22</v>
      </c>
      <c r="H3228">
        <v>13</v>
      </c>
      <c r="I3228" s="4">
        <v>48152</v>
      </c>
      <c r="J3228" s="4">
        <v>14950</v>
      </c>
    </row>
    <row r="3229" spans="2:10" x14ac:dyDescent="0.3">
      <c r="B3229" s="7">
        <v>44501</v>
      </c>
      <c r="C3229" s="3">
        <f t="shared" si="100"/>
        <v>2021</v>
      </c>
      <c r="D3229" s="3">
        <f t="shared" si="101"/>
        <v>202111</v>
      </c>
      <c r="E3229" s="5" t="s">
        <v>5</v>
      </c>
      <c r="F3229" s="5" t="s">
        <v>9</v>
      </c>
      <c r="G3229" s="5" t="s">
        <v>22</v>
      </c>
      <c r="H3229">
        <v>9</v>
      </c>
      <c r="I3229" s="4">
        <v>34875</v>
      </c>
      <c r="J3229" s="4">
        <v>10350</v>
      </c>
    </row>
    <row r="3230" spans="2:10" x14ac:dyDescent="0.3">
      <c r="B3230" s="7">
        <v>44531</v>
      </c>
      <c r="C3230" s="3">
        <f t="shared" si="100"/>
        <v>2021</v>
      </c>
      <c r="D3230" s="3">
        <f t="shared" si="101"/>
        <v>202112</v>
      </c>
      <c r="E3230" s="5" t="s">
        <v>5</v>
      </c>
      <c r="F3230" s="5" t="s">
        <v>9</v>
      </c>
      <c r="G3230" s="5" t="s">
        <v>22</v>
      </c>
      <c r="H3230">
        <v>11</v>
      </c>
      <c r="I3230" s="4">
        <v>35618</v>
      </c>
      <c r="J3230" s="4">
        <v>12650</v>
      </c>
    </row>
    <row r="3231" spans="2:10" x14ac:dyDescent="0.3">
      <c r="B3231" s="7">
        <v>44562</v>
      </c>
      <c r="C3231" s="3">
        <f t="shared" si="100"/>
        <v>2022</v>
      </c>
      <c r="D3231" s="3">
        <f t="shared" si="101"/>
        <v>202201</v>
      </c>
      <c r="E3231" s="5" t="s">
        <v>5</v>
      </c>
      <c r="F3231" s="5" t="s">
        <v>9</v>
      </c>
      <c r="G3231" s="5" t="s">
        <v>22</v>
      </c>
      <c r="H3231">
        <v>16</v>
      </c>
      <c r="I3231" s="4">
        <v>59328</v>
      </c>
      <c r="J3231" s="4">
        <v>18400</v>
      </c>
    </row>
    <row r="3232" spans="2:10" x14ac:dyDescent="0.3">
      <c r="B3232" s="7">
        <v>44593</v>
      </c>
      <c r="C3232" s="3">
        <f t="shared" si="100"/>
        <v>2022</v>
      </c>
      <c r="D3232" s="3">
        <f t="shared" si="101"/>
        <v>202202</v>
      </c>
      <c r="E3232" s="5" t="s">
        <v>5</v>
      </c>
      <c r="F3232" s="5" t="s">
        <v>9</v>
      </c>
      <c r="G3232" s="5" t="s">
        <v>22</v>
      </c>
      <c r="H3232">
        <v>10</v>
      </c>
      <c r="I3232" s="4">
        <v>43540</v>
      </c>
      <c r="J3232" s="4">
        <v>11500</v>
      </c>
    </row>
    <row r="3233" spans="2:10" x14ac:dyDescent="0.3">
      <c r="B3233" s="7">
        <v>44621</v>
      </c>
      <c r="C3233" s="3">
        <f t="shared" si="100"/>
        <v>2022</v>
      </c>
      <c r="D3233" s="3">
        <f t="shared" si="101"/>
        <v>202203</v>
      </c>
      <c r="E3233" s="5" t="s">
        <v>5</v>
      </c>
      <c r="F3233" s="5" t="s">
        <v>9</v>
      </c>
      <c r="G3233" s="5" t="s">
        <v>22</v>
      </c>
      <c r="H3233">
        <v>8</v>
      </c>
      <c r="I3233" s="4">
        <v>28104</v>
      </c>
      <c r="J3233" s="4">
        <v>9200</v>
      </c>
    </row>
    <row r="3234" spans="2:10" x14ac:dyDescent="0.3">
      <c r="B3234" s="7">
        <v>44652</v>
      </c>
      <c r="C3234" s="3">
        <f t="shared" si="100"/>
        <v>2022</v>
      </c>
      <c r="D3234" s="3">
        <f t="shared" si="101"/>
        <v>202204</v>
      </c>
      <c r="E3234" s="5" t="s">
        <v>5</v>
      </c>
      <c r="F3234" s="5" t="s">
        <v>9</v>
      </c>
      <c r="G3234" s="5" t="s">
        <v>22</v>
      </c>
      <c r="H3234">
        <v>15</v>
      </c>
      <c r="I3234" s="4">
        <v>68280</v>
      </c>
      <c r="J3234" s="4">
        <v>17250</v>
      </c>
    </row>
    <row r="3235" spans="2:10" x14ac:dyDescent="0.3">
      <c r="B3235" s="7">
        <v>44682</v>
      </c>
      <c r="C3235" s="3">
        <f t="shared" si="100"/>
        <v>2022</v>
      </c>
      <c r="D3235" s="3">
        <f t="shared" si="101"/>
        <v>202205</v>
      </c>
      <c r="E3235" s="5" t="s">
        <v>5</v>
      </c>
      <c r="F3235" s="5" t="s">
        <v>9</v>
      </c>
      <c r="G3235" s="5" t="s">
        <v>22</v>
      </c>
      <c r="H3235">
        <v>19</v>
      </c>
      <c r="I3235" s="4">
        <v>92017</v>
      </c>
      <c r="J3235" s="4">
        <v>21850</v>
      </c>
    </row>
    <row r="3236" spans="2:10" x14ac:dyDescent="0.3">
      <c r="B3236" s="7">
        <v>44713</v>
      </c>
      <c r="C3236" s="3">
        <f t="shared" si="100"/>
        <v>2022</v>
      </c>
      <c r="D3236" s="3">
        <f t="shared" si="101"/>
        <v>202206</v>
      </c>
      <c r="E3236" s="5" t="s">
        <v>5</v>
      </c>
      <c r="F3236" s="5" t="s">
        <v>9</v>
      </c>
      <c r="G3236" s="5" t="s">
        <v>22</v>
      </c>
      <c r="H3236">
        <v>18</v>
      </c>
      <c r="I3236" s="4">
        <v>58698</v>
      </c>
      <c r="J3236" s="4">
        <v>20700</v>
      </c>
    </row>
    <row r="3237" spans="2:10" x14ac:dyDescent="0.3">
      <c r="B3237" s="7">
        <v>44743</v>
      </c>
      <c r="C3237" s="3">
        <f t="shared" si="100"/>
        <v>2022</v>
      </c>
      <c r="D3237" s="3">
        <f t="shared" si="101"/>
        <v>202207</v>
      </c>
      <c r="E3237" s="5" t="s">
        <v>5</v>
      </c>
      <c r="F3237" s="5" t="s">
        <v>9</v>
      </c>
      <c r="G3237" s="5" t="s">
        <v>22</v>
      </c>
      <c r="H3237">
        <v>19</v>
      </c>
      <c r="I3237" s="4">
        <v>46512</v>
      </c>
      <c r="J3237" s="4">
        <v>21850</v>
      </c>
    </row>
    <row r="3238" spans="2:10" x14ac:dyDescent="0.3">
      <c r="B3238" s="7">
        <v>44774</v>
      </c>
      <c r="C3238" s="3">
        <f t="shared" si="100"/>
        <v>2022</v>
      </c>
      <c r="D3238" s="3">
        <f t="shared" si="101"/>
        <v>202208</v>
      </c>
      <c r="E3238" s="5" t="s">
        <v>5</v>
      </c>
      <c r="F3238" s="5" t="s">
        <v>9</v>
      </c>
      <c r="G3238" s="5" t="s">
        <v>22</v>
      </c>
      <c r="H3238">
        <v>16</v>
      </c>
      <c r="I3238" s="4">
        <v>46976</v>
      </c>
      <c r="J3238" s="4">
        <v>18400</v>
      </c>
    </row>
    <row r="3239" spans="2:10" x14ac:dyDescent="0.3">
      <c r="B3239" s="7">
        <v>44805</v>
      </c>
      <c r="C3239" s="3">
        <f t="shared" si="100"/>
        <v>2022</v>
      </c>
      <c r="D3239" s="3">
        <f t="shared" si="101"/>
        <v>202209</v>
      </c>
      <c r="E3239" s="5" t="s">
        <v>5</v>
      </c>
      <c r="F3239" s="5" t="s">
        <v>9</v>
      </c>
      <c r="G3239" s="5" t="s">
        <v>22</v>
      </c>
      <c r="H3239">
        <v>17</v>
      </c>
      <c r="I3239" s="4">
        <v>63376</v>
      </c>
      <c r="J3239" s="4">
        <v>19550</v>
      </c>
    </row>
    <row r="3240" spans="2:10" x14ac:dyDescent="0.3">
      <c r="B3240" s="7">
        <v>44835</v>
      </c>
      <c r="C3240" s="3">
        <f t="shared" si="100"/>
        <v>2022</v>
      </c>
      <c r="D3240" s="3">
        <f t="shared" si="101"/>
        <v>202210</v>
      </c>
      <c r="E3240" s="5" t="s">
        <v>5</v>
      </c>
      <c r="F3240" s="5" t="s">
        <v>9</v>
      </c>
      <c r="G3240" s="5" t="s">
        <v>22</v>
      </c>
      <c r="H3240">
        <v>14</v>
      </c>
      <c r="I3240" s="4">
        <v>56140</v>
      </c>
      <c r="J3240" s="4">
        <v>16100</v>
      </c>
    </row>
    <row r="3241" spans="2:10" x14ac:dyDescent="0.3">
      <c r="B3241" s="7">
        <v>44866</v>
      </c>
      <c r="C3241" s="3">
        <f t="shared" si="100"/>
        <v>2022</v>
      </c>
      <c r="D3241" s="3">
        <f t="shared" si="101"/>
        <v>202211</v>
      </c>
      <c r="E3241" s="5" t="s">
        <v>5</v>
      </c>
      <c r="F3241" s="5" t="s">
        <v>9</v>
      </c>
      <c r="G3241" s="5" t="s">
        <v>22</v>
      </c>
      <c r="H3241">
        <v>10</v>
      </c>
      <c r="I3241" s="4">
        <v>38650</v>
      </c>
      <c r="J3241" s="4">
        <v>11500</v>
      </c>
    </row>
    <row r="3242" spans="2:10" x14ac:dyDescent="0.3">
      <c r="B3242" s="7">
        <v>44896</v>
      </c>
      <c r="C3242" s="3">
        <f t="shared" si="100"/>
        <v>2022</v>
      </c>
      <c r="D3242" s="3">
        <f t="shared" si="101"/>
        <v>202212</v>
      </c>
      <c r="E3242" s="5" t="s">
        <v>5</v>
      </c>
      <c r="F3242" s="5" t="s">
        <v>9</v>
      </c>
      <c r="G3242" s="5" t="s">
        <v>22</v>
      </c>
      <c r="H3242">
        <v>12</v>
      </c>
      <c r="I3242" s="4">
        <v>30228</v>
      </c>
      <c r="J3242" s="4">
        <v>13800</v>
      </c>
    </row>
    <row r="3243" spans="2:10" x14ac:dyDescent="0.3">
      <c r="B3243" s="7">
        <v>44197</v>
      </c>
      <c r="C3243" s="3">
        <f t="shared" si="100"/>
        <v>2021</v>
      </c>
      <c r="D3243" s="3">
        <f t="shared" si="101"/>
        <v>202101</v>
      </c>
      <c r="E3243" s="5" t="s">
        <v>5</v>
      </c>
      <c r="F3243" s="5" t="s">
        <v>9</v>
      </c>
      <c r="G3243" s="5" t="s">
        <v>23</v>
      </c>
      <c r="H3243">
        <v>19</v>
      </c>
      <c r="I3243" s="4">
        <v>84607</v>
      </c>
      <c r="J3243" s="4">
        <v>25346</v>
      </c>
    </row>
    <row r="3244" spans="2:10" x14ac:dyDescent="0.3">
      <c r="B3244" s="7">
        <v>44228</v>
      </c>
      <c r="C3244" s="3">
        <f t="shared" si="100"/>
        <v>2021</v>
      </c>
      <c r="D3244" s="3">
        <f t="shared" si="101"/>
        <v>202102</v>
      </c>
      <c r="E3244" s="5" t="s">
        <v>5</v>
      </c>
      <c r="F3244" s="5" t="s">
        <v>9</v>
      </c>
      <c r="G3244" s="5" t="s">
        <v>23</v>
      </c>
      <c r="H3244">
        <v>12</v>
      </c>
      <c r="I3244" s="4">
        <v>51660</v>
      </c>
      <c r="J3244" s="4">
        <v>16008</v>
      </c>
    </row>
    <row r="3245" spans="2:10" x14ac:dyDescent="0.3">
      <c r="B3245" s="7">
        <v>44256</v>
      </c>
      <c r="C3245" s="3">
        <f t="shared" si="100"/>
        <v>2021</v>
      </c>
      <c r="D3245" s="3">
        <f t="shared" si="101"/>
        <v>202103</v>
      </c>
      <c r="E3245" s="5" t="s">
        <v>5</v>
      </c>
      <c r="F3245" s="5" t="s">
        <v>9</v>
      </c>
      <c r="G3245" s="5" t="s">
        <v>23</v>
      </c>
      <c r="H3245">
        <v>10</v>
      </c>
      <c r="I3245" s="4">
        <v>40150</v>
      </c>
      <c r="J3245" s="4">
        <v>13340</v>
      </c>
    </row>
    <row r="3246" spans="2:10" x14ac:dyDescent="0.3">
      <c r="B3246" s="7">
        <v>44287</v>
      </c>
      <c r="C3246" s="3">
        <f t="shared" si="100"/>
        <v>2021</v>
      </c>
      <c r="D3246" s="3">
        <f t="shared" si="101"/>
        <v>202104</v>
      </c>
      <c r="E3246" s="5" t="s">
        <v>5</v>
      </c>
      <c r="F3246" s="5" t="s">
        <v>9</v>
      </c>
      <c r="G3246" s="5" t="s">
        <v>23</v>
      </c>
      <c r="H3246">
        <v>18</v>
      </c>
      <c r="I3246" s="4">
        <v>74754</v>
      </c>
      <c r="J3246" s="4">
        <v>24012</v>
      </c>
    </row>
    <row r="3247" spans="2:10" x14ac:dyDescent="0.3">
      <c r="B3247" s="7">
        <v>44317</v>
      </c>
      <c r="C3247" s="3">
        <f t="shared" si="100"/>
        <v>2021</v>
      </c>
      <c r="D3247" s="3">
        <f t="shared" si="101"/>
        <v>202105</v>
      </c>
      <c r="E3247" s="5" t="s">
        <v>5</v>
      </c>
      <c r="F3247" s="5" t="s">
        <v>9</v>
      </c>
      <c r="G3247" s="5" t="s">
        <v>23</v>
      </c>
      <c r="H3247">
        <v>23</v>
      </c>
      <c r="I3247" s="4">
        <v>121854</v>
      </c>
      <c r="J3247" s="4">
        <v>30682</v>
      </c>
    </row>
    <row r="3248" spans="2:10" x14ac:dyDescent="0.3">
      <c r="B3248" s="7">
        <v>44348</v>
      </c>
      <c r="C3248" s="3">
        <f t="shared" si="100"/>
        <v>2021</v>
      </c>
      <c r="D3248" s="3">
        <f t="shared" si="101"/>
        <v>202106</v>
      </c>
      <c r="E3248" s="5" t="s">
        <v>5</v>
      </c>
      <c r="F3248" s="5" t="s">
        <v>9</v>
      </c>
      <c r="G3248" s="5" t="s">
        <v>23</v>
      </c>
      <c r="H3248">
        <v>21</v>
      </c>
      <c r="I3248" s="4">
        <v>88200</v>
      </c>
      <c r="J3248" s="4">
        <v>28014</v>
      </c>
    </row>
    <row r="3249" spans="2:10" x14ac:dyDescent="0.3">
      <c r="B3249" s="7">
        <v>44378</v>
      </c>
      <c r="C3249" s="3">
        <f t="shared" si="100"/>
        <v>2021</v>
      </c>
      <c r="D3249" s="3">
        <f t="shared" si="101"/>
        <v>202107</v>
      </c>
      <c r="E3249" s="5" t="s">
        <v>5</v>
      </c>
      <c r="F3249" s="5" t="s">
        <v>9</v>
      </c>
      <c r="G3249" s="5" t="s">
        <v>23</v>
      </c>
      <c r="H3249">
        <v>23</v>
      </c>
      <c r="I3249" s="4">
        <v>58765</v>
      </c>
      <c r="J3249" s="4">
        <v>30682</v>
      </c>
    </row>
    <row r="3250" spans="2:10" x14ac:dyDescent="0.3">
      <c r="B3250" s="7">
        <v>44409</v>
      </c>
      <c r="C3250" s="3">
        <f t="shared" si="100"/>
        <v>2021</v>
      </c>
      <c r="D3250" s="3">
        <f t="shared" si="101"/>
        <v>202108</v>
      </c>
      <c r="E3250" s="5" t="s">
        <v>5</v>
      </c>
      <c r="F3250" s="5" t="s">
        <v>9</v>
      </c>
      <c r="G3250" s="5" t="s">
        <v>23</v>
      </c>
      <c r="H3250">
        <v>19</v>
      </c>
      <c r="I3250" s="4">
        <v>64201</v>
      </c>
      <c r="J3250" s="4">
        <v>25346</v>
      </c>
    </row>
    <row r="3251" spans="2:10" x14ac:dyDescent="0.3">
      <c r="B3251" s="7">
        <v>44440</v>
      </c>
      <c r="C3251" s="3">
        <f t="shared" si="100"/>
        <v>2021</v>
      </c>
      <c r="D3251" s="3">
        <f t="shared" si="101"/>
        <v>202109</v>
      </c>
      <c r="E3251" s="5" t="s">
        <v>5</v>
      </c>
      <c r="F3251" s="5" t="s">
        <v>9</v>
      </c>
      <c r="G3251" s="5" t="s">
        <v>23</v>
      </c>
      <c r="H3251">
        <v>20</v>
      </c>
      <c r="I3251" s="4">
        <v>70340</v>
      </c>
      <c r="J3251" s="4">
        <v>26680</v>
      </c>
    </row>
    <row r="3252" spans="2:10" x14ac:dyDescent="0.3">
      <c r="B3252" s="7">
        <v>44470</v>
      </c>
      <c r="C3252" s="3">
        <f t="shared" si="100"/>
        <v>2021</v>
      </c>
      <c r="D3252" s="3">
        <f t="shared" si="101"/>
        <v>202110</v>
      </c>
      <c r="E3252" s="5" t="s">
        <v>5</v>
      </c>
      <c r="F3252" s="5" t="s">
        <v>9</v>
      </c>
      <c r="G3252" s="5" t="s">
        <v>23</v>
      </c>
      <c r="H3252">
        <v>17</v>
      </c>
      <c r="I3252" s="4">
        <v>82280</v>
      </c>
      <c r="J3252" s="4">
        <v>22678</v>
      </c>
    </row>
    <row r="3253" spans="2:10" x14ac:dyDescent="0.3">
      <c r="B3253" s="7">
        <v>44501</v>
      </c>
      <c r="C3253" s="3">
        <f t="shared" si="100"/>
        <v>2021</v>
      </c>
      <c r="D3253" s="3">
        <f t="shared" si="101"/>
        <v>202111</v>
      </c>
      <c r="E3253" s="5" t="s">
        <v>5</v>
      </c>
      <c r="F3253" s="5" t="s">
        <v>9</v>
      </c>
      <c r="G3253" s="5" t="s">
        <v>23</v>
      </c>
      <c r="H3253">
        <v>12</v>
      </c>
      <c r="I3253" s="4">
        <v>46956</v>
      </c>
      <c r="J3253" s="4">
        <v>16008</v>
      </c>
    </row>
    <row r="3254" spans="2:10" x14ac:dyDescent="0.3">
      <c r="B3254" s="7">
        <v>44531</v>
      </c>
      <c r="C3254" s="3">
        <f t="shared" si="100"/>
        <v>2021</v>
      </c>
      <c r="D3254" s="3">
        <f t="shared" si="101"/>
        <v>202112</v>
      </c>
      <c r="E3254" s="5" t="s">
        <v>5</v>
      </c>
      <c r="F3254" s="5" t="s">
        <v>9</v>
      </c>
      <c r="G3254" s="5" t="s">
        <v>23</v>
      </c>
      <c r="H3254">
        <v>14</v>
      </c>
      <c r="I3254" s="4">
        <v>56238</v>
      </c>
      <c r="J3254" s="4">
        <v>18676</v>
      </c>
    </row>
    <row r="3255" spans="2:10" x14ac:dyDescent="0.3">
      <c r="B3255" s="7">
        <v>44562</v>
      </c>
      <c r="C3255" s="3">
        <f t="shared" si="100"/>
        <v>2022</v>
      </c>
      <c r="D3255" s="3">
        <f t="shared" si="101"/>
        <v>202201</v>
      </c>
      <c r="E3255" s="5" t="s">
        <v>5</v>
      </c>
      <c r="F3255" s="5" t="s">
        <v>9</v>
      </c>
      <c r="G3255" s="5" t="s">
        <v>23</v>
      </c>
      <c r="H3255">
        <v>21</v>
      </c>
      <c r="I3255" s="4">
        <v>89145</v>
      </c>
      <c r="J3255" s="4">
        <v>28014</v>
      </c>
    </row>
    <row r="3256" spans="2:10" x14ac:dyDescent="0.3">
      <c r="B3256" s="7">
        <v>44593</v>
      </c>
      <c r="C3256" s="3">
        <f t="shared" si="100"/>
        <v>2022</v>
      </c>
      <c r="D3256" s="3">
        <f t="shared" si="101"/>
        <v>202202</v>
      </c>
      <c r="E3256" s="5" t="s">
        <v>5</v>
      </c>
      <c r="F3256" s="5" t="s">
        <v>9</v>
      </c>
      <c r="G3256" s="5" t="s">
        <v>23</v>
      </c>
      <c r="H3256">
        <v>13</v>
      </c>
      <c r="I3256" s="4">
        <v>55471</v>
      </c>
      <c r="J3256" s="4">
        <v>17342</v>
      </c>
    </row>
    <row r="3257" spans="2:10" x14ac:dyDescent="0.3">
      <c r="B3257" s="7">
        <v>44621</v>
      </c>
      <c r="C3257" s="3">
        <f t="shared" si="100"/>
        <v>2022</v>
      </c>
      <c r="D3257" s="3">
        <f t="shared" si="101"/>
        <v>202203</v>
      </c>
      <c r="E3257" s="5" t="s">
        <v>5</v>
      </c>
      <c r="F3257" s="5" t="s">
        <v>9</v>
      </c>
      <c r="G3257" s="5" t="s">
        <v>23</v>
      </c>
      <c r="H3257">
        <v>11</v>
      </c>
      <c r="I3257" s="4">
        <v>44418</v>
      </c>
      <c r="J3257" s="4">
        <v>14674</v>
      </c>
    </row>
    <row r="3258" spans="2:10" x14ac:dyDescent="0.3">
      <c r="B3258" s="7">
        <v>44652</v>
      </c>
      <c r="C3258" s="3">
        <f t="shared" si="100"/>
        <v>2022</v>
      </c>
      <c r="D3258" s="3">
        <f t="shared" si="101"/>
        <v>202204</v>
      </c>
      <c r="E3258" s="5" t="s">
        <v>5</v>
      </c>
      <c r="F3258" s="5" t="s">
        <v>9</v>
      </c>
      <c r="G3258" s="5" t="s">
        <v>23</v>
      </c>
      <c r="H3258">
        <v>20</v>
      </c>
      <c r="I3258" s="4">
        <v>80500</v>
      </c>
      <c r="J3258" s="4">
        <v>26680</v>
      </c>
    </row>
    <row r="3259" spans="2:10" x14ac:dyDescent="0.3">
      <c r="B3259" s="7">
        <v>44682</v>
      </c>
      <c r="C3259" s="3">
        <f t="shared" si="100"/>
        <v>2022</v>
      </c>
      <c r="D3259" s="3">
        <f t="shared" si="101"/>
        <v>202205</v>
      </c>
      <c r="E3259" s="5" t="s">
        <v>5</v>
      </c>
      <c r="F3259" s="5" t="s">
        <v>9</v>
      </c>
      <c r="G3259" s="5" t="s">
        <v>23</v>
      </c>
      <c r="H3259">
        <v>25</v>
      </c>
      <c r="I3259" s="4">
        <v>127950</v>
      </c>
      <c r="J3259" s="4">
        <v>33350</v>
      </c>
    </row>
    <row r="3260" spans="2:10" x14ac:dyDescent="0.3">
      <c r="B3260" s="7">
        <v>44713</v>
      </c>
      <c r="C3260" s="3">
        <f t="shared" si="100"/>
        <v>2022</v>
      </c>
      <c r="D3260" s="3">
        <f t="shared" si="101"/>
        <v>202206</v>
      </c>
      <c r="E3260" s="5" t="s">
        <v>5</v>
      </c>
      <c r="F3260" s="5" t="s">
        <v>9</v>
      </c>
      <c r="G3260" s="5" t="s">
        <v>23</v>
      </c>
      <c r="H3260">
        <v>23</v>
      </c>
      <c r="I3260" s="4">
        <v>99475</v>
      </c>
      <c r="J3260" s="4">
        <v>30682</v>
      </c>
    </row>
    <row r="3261" spans="2:10" x14ac:dyDescent="0.3">
      <c r="B3261" s="7">
        <v>44743</v>
      </c>
      <c r="C3261" s="3">
        <f t="shared" si="100"/>
        <v>2022</v>
      </c>
      <c r="D3261" s="3">
        <f t="shared" si="101"/>
        <v>202207</v>
      </c>
      <c r="E3261" s="5" t="s">
        <v>5</v>
      </c>
      <c r="F3261" s="5" t="s">
        <v>9</v>
      </c>
      <c r="G3261" s="5" t="s">
        <v>23</v>
      </c>
      <c r="H3261">
        <v>25</v>
      </c>
      <c r="I3261" s="4">
        <v>50625</v>
      </c>
      <c r="J3261" s="4">
        <v>33350</v>
      </c>
    </row>
    <row r="3262" spans="2:10" x14ac:dyDescent="0.3">
      <c r="B3262" s="7">
        <v>44774</v>
      </c>
      <c r="C3262" s="3">
        <f t="shared" si="100"/>
        <v>2022</v>
      </c>
      <c r="D3262" s="3">
        <f t="shared" si="101"/>
        <v>202208</v>
      </c>
      <c r="E3262" s="5" t="s">
        <v>5</v>
      </c>
      <c r="F3262" s="5" t="s">
        <v>9</v>
      </c>
      <c r="G3262" s="5" t="s">
        <v>23</v>
      </c>
      <c r="H3262">
        <v>21</v>
      </c>
      <c r="I3262" s="4">
        <v>78666</v>
      </c>
      <c r="J3262" s="4">
        <v>28014</v>
      </c>
    </row>
    <row r="3263" spans="2:10" x14ac:dyDescent="0.3">
      <c r="B3263" s="7">
        <v>44805</v>
      </c>
      <c r="C3263" s="3">
        <f t="shared" si="100"/>
        <v>2022</v>
      </c>
      <c r="D3263" s="3">
        <f t="shared" si="101"/>
        <v>202209</v>
      </c>
      <c r="E3263" s="5" t="s">
        <v>5</v>
      </c>
      <c r="F3263" s="5" t="s">
        <v>9</v>
      </c>
      <c r="G3263" s="5" t="s">
        <v>23</v>
      </c>
      <c r="H3263">
        <v>22</v>
      </c>
      <c r="I3263" s="4">
        <v>76714</v>
      </c>
      <c r="J3263" s="4">
        <v>29348</v>
      </c>
    </row>
    <row r="3264" spans="2:10" x14ac:dyDescent="0.3">
      <c r="B3264" s="7">
        <v>44835</v>
      </c>
      <c r="C3264" s="3">
        <f t="shared" si="100"/>
        <v>2022</v>
      </c>
      <c r="D3264" s="3">
        <f t="shared" si="101"/>
        <v>202210</v>
      </c>
      <c r="E3264" s="5" t="s">
        <v>5</v>
      </c>
      <c r="F3264" s="5" t="s">
        <v>9</v>
      </c>
      <c r="G3264" s="5" t="s">
        <v>23</v>
      </c>
      <c r="H3264">
        <v>18</v>
      </c>
      <c r="I3264" s="4">
        <v>76068</v>
      </c>
      <c r="J3264" s="4">
        <v>24012</v>
      </c>
    </row>
    <row r="3265" spans="2:10" x14ac:dyDescent="0.3">
      <c r="B3265" s="7">
        <v>44866</v>
      </c>
      <c r="C3265" s="3">
        <f t="shared" si="100"/>
        <v>2022</v>
      </c>
      <c r="D3265" s="3">
        <f t="shared" si="101"/>
        <v>202211</v>
      </c>
      <c r="E3265" s="5" t="s">
        <v>5</v>
      </c>
      <c r="F3265" s="5" t="s">
        <v>9</v>
      </c>
      <c r="G3265" s="5" t="s">
        <v>23</v>
      </c>
      <c r="H3265">
        <v>13</v>
      </c>
      <c r="I3265" s="4">
        <v>52598</v>
      </c>
      <c r="J3265" s="4">
        <v>17342</v>
      </c>
    </row>
    <row r="3266" spans="2:10" x14ac:dyDescent="0.3">
      <c r="B3266" s="7">
        <v>44896</v>
      </c>
      <c r="C3266" s="3">
        <f t="shared" si="100"/>
        <v>2022</v>
      </c>
      <c r="D3266" s="3">
        <f t="shared" si="101"/>
        <v>202212</v>
      </c>
      <c r="E3266" s="5" t="s">
        <v>5</v>
      </c>
      <c r="F3266" s="5" t="s">
        <v>9</v>
      </c>
      <c r="G3266" s="5" t="s">
        <v>23</v>
      </c>
      <c r="H3266">
        <v>16</v>
      </c>
      <c r="I3266" s="4">
        <v>60480</v>
      </c>
      <c r="J3266" s="4">
        <v>21344</v>
      </c>
    </row>
    <row r="3267" spans="2:10" x14ac:dyDescent="0.3">
      <c r="B3267" s="7">
        <v>44197</v>
      </c>
      <c r="C3267" s="3">
        <f t="shared" ref="C3267:C3330" si="102">YEAR(B3267)</f>
        <v>2021</v>
      </c>
      <c r="D3267" s="3">
        <f t="shared" ref="D3267:D3330" si="103">VALUE(TEXT(B3267,"ГГГГММ"))</f>
        <v>202101</v>
      </c>
      <c r="E3267" s="5" t="s">
        <v>5</v>
      </c>
      <c r="F3267" s="5" t="s">
        <v>9</v>
      </c>
      <c r="G3267" s="5" t="s">
        <v>24</v>
      </c>
      <c r="H3267">
        <v>16</v>
      </c>
      <c r="I3267" s="4">
        <v>90160</v>
      </c>
      <c r="J3267" s="4">
        <v>32256</v>
      </c>
    </row>
    <row r="3268" spans="2:10" x14ac:dyDescent="0.3">
      <c r="B3268" s="7">
        <v>44228</v>
      </c>
      <c r="C3268" s="3">
        <f t="shared" si="102"/>
        <v>2021</v>
      </c>
      <c r="D3268" s="3">
        <f t="shared" si="103"/>
        <v>202102</v>
      </c>
      <c r="E3268" s="5" t="s">
        <v>5</v>
      </c>
      <c r="F3268" s="5" t="s">
        <v>9</v>
      </c>
      <c r="G3268" s="5" t="s">
        <v>24</v>
      </c>
      <c r="H3268">
        <v>10</v>
      </c>
      <c r="I3268" s="4">
        <v>53980</v>
      </c>
      <c r="J3268" s="4">
        <v>20160</v>
      </c>
    </row>
    <row r="3269" spans="2:10" x14ac:dyDescent="0.3">
      <c r="B3269" s="7">
        <v>44256</v>
      </c>
      <c r="C3269" s="3">
        <f t="shared" si="102"/>
        <v>2021</v>
      </c>
      <c r="D3269" s="3">
        <f t="shared" si="103"/>
        <v>202103</v>
      </c>
      <c r="E3269" s="5" t="s">
        <v>5</v>
      </c>
      <c r="F3269" s="5" t="s">
        <v>9</v>
      </c>
      <c r="G3269" s="5" t="s">
        <v>24</v>
      </c>
      <c r="H3269">
        <v>8</v>
      </c>
      <c r="I3269" s="4">
        <v>37560</v>
      </c>
      <c r="J3269" s="4">
        <v>16128</v>
      </c>
    </row>
    <row r="3270" spans="2:10" x14ac:dyDescent="0.3">
      <c r="B3270" s="7">
        <v>44287</v>
      </c>
      <c r="C3270" s="3">
        <f t="shared" si="102"/>
        <v>2021</v>
      </c>
      <c r="D3270" s="3">
        <f t="shared" si="103"/>
        <v>202104</v>
      </c>
      <c r="E3270" s="5" t="s">
        <v>5</v>
      </c>
      <c r="F3270" s="5" t="s">
        <v>9</v>
      </c>
      <c r="G3270" s="5" t="s">
        <v>24</v>
      </c>
      <c r="H3270">
        <v>15</v>
      </c>
      <c r="I3270" s="4">
        <v>96180</v>
      </c>
      <c r="J3270" s="4">
        <v>30240</v>
      </c>
    </row>
    <row r="3271" spans="2:10" x14ac:dyDescent="0.3">
      <c r="B3271" s="7">
        <v>44317</v>
      </c>
      <c r="C3271" s="3">
        <f t="shared" si="102"/>
        <v>2021</v>
      </c>
      <c r="D3271" s="3">
        <f t="shared" si="103"/>
        <v>202105</v>
      </c>
      <c r="E3271" s="5" t="s">
        <v>5</v>
      </c>
      <c r="F3271" s="5" t="s">
        <v>9</v>
      </c>
      <c r="G3271" s="5" t="s">
        <v>24</v>
      </c>
      <c r="H3271">
        <v>19</v>
      </c>
      <c r="I3271" s="4">
        <v>115064</v>
      </c>
      <c r="J3271" s="4">
        <v>38304</v>
      </c>
    </row>
    <row r="3272" spans="2:10" x14ac:dyDescent="0.3">
      <c r="B3272" s="7">
        <v>44348</v>
      </c>
      <c r="C3272" s="3">
        <f t="shared" si="102"/>
        <v>2021</v>
      </c>
      <c r="D3272" s="3">
        <f t="shared" si="103"/>
        <v>202106</v>
      </c>
      <c r="E3272" s="5" t="s">
        <v>5</v>
      </c>
      <c r="F3272" s="5" t="s">
        <v>9</v>
      </c>
      <c r="G3272" s="5" t="s">
        <v>24</v>
      </c>
      <c r="H3272">
        <v>18</v>
      </c>
      <c r="I3272" s="4">
        <v>107910</v>
      </c>
      <c r="J3272" s="4">
        <v>36288</v>
      </c>
    </row>
    <row r="3273" spans="2:10" x14ac:dyDescent="0.3">
      <c r="B3273" s="7">
        <v>44378</v>
      </c>
      <c r="C3273" s="3">
        <f t="shared" si="102"/>
        <v>2021</v>
      </c>
      <c r="D3273" s="3">
        <f t="shared" si="103"/>
        <v>202107</v>
      </c>
      <c r="E3273" s="5" t="s">
        <v>5</v>
      </c>
      <c r="F3273" s="5" t="s">
        <v>9</v>
      </c>
      <c r="G3273" s="5" t="s">
        <v>24</v>
      </c>
      <c r="H3273">
        <v>19</v>
      </c>
      <c r="I3273" s="4">
        <v>85975</v>
      </c>
      <c r="J3273" s="4">
        <v>38304</v>
      </c>
    </row>
    <row r="3274" spans="2:10" x14ac:dyDescent="0.3">
      <c r="B3274" s="7">
        <v>44409</v>
      </c>
      <c r="C3274" s="3">
        <f t="shared" si="102"/>
        <v>2021</v>
      </c>
      <c r="D3274" s="3">
        <f t="shared" si="103"/>
        <v>202108</v>
      </c>
      <c r="E3274" s="5" t="s">
        <v>5</v>
      </c>
      <c r="F3274" s="5" t="s">
        <v>9</v>
      </c>
      <c r="G3274" s="5" t="s">
        <v>24</v>
      </c>
      <c r="H3274">
        <v>16</v>
      </c>
      <c r="I3274" s="4">
        <v>79696</v>
      </c>
      <c r="J3274" s="4">
        <v>32256</v>
      </c>
    </row>
    <row r="3275" spans="2:10" x14ac:dyDescent="0.3">
      <c r="B3275" s="7">
        <v>44440</v>
      </c>
      <c r="C3275" s="3">
        <f t="shared" si="102"/>
        <v>2021</v>
      </c>
      <c r="D3275" s="3">
        <f t="shared" si="103"/>
        <v>202109</v>
      </c>
      <c r="E3275" s="5" t="s">
        <v>5</v>
      </c>
      <c r="F3275" s="5" t="s">
        <v>9</v>
      </c>
      <c r="G3275" s="5" t="s">
        <v>24</v>
      </c>
      <c r="H3275">
        <v>17</v>
      </c>
      <c r="I3275" s="4">
        <v>89386</v>
      </c>
      <c r="J3275" s="4">
        <v>34272</v>
      </c>
    </row>
    <row r="3276" spans="2:10" x14ac:dyDescent="0.3">
      <c r="B3276" s="7">
        <v>44470</v>
      </c>
      <c r="C3276" s="3">
        <f t="shared" si="102"/>
        <v>2021</v>
      </c>
      <c r="D3276" s="3">
        <f t="shared" si="103"/>
        <v>202110</v>
      </c>
      <c r="E3276" s="5" t="s">
        <v>5</v>
      </c>
      <c r="F3276" s="5" t="s">
        <v>9</v>
      </c>
      <c r="G3276" s="5" t="s">
        <v>24</v>
      </c>
      <c r="H3276">
        <v>14</v>
      </c>
      <c r="I3276" s="4">
        <v>81368</v>
      </c>
      <c r="J3276" s="4">
        <v>28224</v>
      </c>
    </row>
    <row r="3277" spans="2:10" x14ac:dyDescent="0.3">
      <c r="B3277" s="7">
        <v>44501</v>
      </c>
      <c r="C3277" s="3">
        <f t="shared" si="102"/>
        <v>2021</v>
      </c>
      <c r="D3277" s="3">
        <f t="shared" si="103"/>
        <v>202111</v>
      </c>
      <c r="E3277" s="5" t="s">
        <v>5</v>
      </c>
      <c r="F3277" s="5" t="s">
        <v>9</v>
      </c>
      <c r="G3277" s="5" t="s">
        <v>24</v>
      </c>
      <c r="H3277">
        <v>10</v>
      </c>
      <c r="I3277" s="4">
        <v>48520</v>
      </c>
      <c r="J3277" s="4">
        <v>20160</v>
      </c>
    </row>
    <row r="3278" spans="2:10" x14ac:dyDescent="0.3">
      <c r="B3278" s="7">
        <v>44531</v>
      </c>
      <c r="C3278" s="3">
        <f t="shared" si="102"/>
        <v>2021</v>
      </c>
      <c r="D3278" s="3">
        <f t="shared" si="103"/>
        <v>202112</v>
      </c>
      <c r="E3278" s="5" t="s">
        <v>5</v>
      </c>
      <c r="F3278" s="5" t="s">
        <v>9</v>
      </c>
      <c r="G3278" s="5" t="s">
        <v>24</v>
      </c>
      <c r="H3278">
        <v>12</v>
      </c>
      <c r="I3278" s="4">
        <v>56160</v>
      </c>
      <c r="J3278" s="4">
        <v>24192</v>
      </c>
    </row>
    <row r="3279" spans="2:10" x14ac:dyDescent="0.3">
      <c r="B3279" s="7">
        <v>44562</v>
      </c>
      <c r="C3279" s="3">
        <f t="shared" si="102"/>
        <v>2022</v>
      </c>
      <c r="D3279" s="3">
        <f t="shared" si="103"/>
        <v>202201</v>
      </c>
      <c r="E3279" s="5" t="s">
        <v>5</v>
      </c>
      <c r="F3279" s="5" t="s">
        <v>9</v>
      </c>
      <c r="G3279" s="5" t="s">
        <v>24</v>
      </c>
      <c r="H3279">
        <v>17</v>
      </c>
      <c r="I3279" s="4">
        <v>96543</v>
      </c>
      <c r="J3279" s="4">
        <v>34272</v>
      </c>
    </row>
    <row r="3280" spans="2:10" x14ac:dyDescent="0.3">
      <c r="B3280" s="7">
        <v>44593</v>
      </c>
      <c r="C3280" s="3">
        <f t="shared" si="102"/>
        <v>2022</v>
      </c>
      <c r="D3280" s="3">
        <f t="shared" si="103"/>
        <v>202202</v>
      </c>
      <c r="E3280" s="5" t="s">
        <v>5</v>
      </c>
      <c r="F3280" s="5" t="s">
        <v>9</v>
      </c>
      <c r="G3280" s="5" t="s">
        <v>24</v>
      </c>
      <c r="H3280">
        <v>11</v>
      </c>
      <c r="I3280" s="4">
        <v>63481</v>
      </c>
      <c r="J3280" s="4">
        <v>22176</v>
      </c>
    </row>
    <row r="3281" spans="2:10" x14ac:dyDescent="0.3">
      <c r="B3281" s="7">
        <v>44621</v>
      </c>
      <c r="C3281" s="3">
        <f t="shared" si="102"/>
        <v>2022</v>
      </c>
      <c r="D3281" s="3">
        <f t="shared" si="103"/>
        <v>202203</v>
      </c>
      <c r="E3281" s="5" t="s">
        <v>5</v>
      </c>
      <c r="F3281" s="5" t="s">
        <v>9</v>
      </c>
      <c r="G3281" s="5" t="s">
        <v>24</v>
      </c>
      <c r="H3281">
        <v>9</v>
      </c>
      <c r="I3281" s="4">
        <v>47133</v>
      </c>
      <c r="J3281" s="4">
        <v>18144</v>
      </c>
    </row>
    <row r="3282" spans="2:10" x14ac:dyDescent="0.3">
      <c r="B3282" s="7">
        <v>44652</v>
      </c>
      <c r="C3282" s="3">
        <f t="shared" si="102"/>
        <v>2022</v>
      </c>
      <c r="D3282" s="3">
        <f t="shared" si="103"/>
        <v>202204</v>
      </c>
      <c r="E3282" s="5" t="s">
        <v>5</v>
      </c>
      <c r="F3282" s="5" t="s">
        <v>9</v>
      </c>
      <c r="G3282" s="5" t="s">
        <v>24</v>
      </c>
      <c r="H3282">
        <v>16</v>
      </c>
      <c r="I3282" s="4">
        <v>102432</v>
      </c>
      <c r="J3282" s="4">
        <v>32256</v>
      </c>
    </row>
    <row r="3283" spans="2:10" x14ac:dyDescent="0.3">
      <c r="B3283" s="7">
        <v>44682</v>
      </c>
      <c r="C3283" s="3">
        <f t="shared" si="102"/>
        <v>2022</v>
      </c>
      <c r="D3283" s="3">
        <f t="shared" si="103"/>
        <v>202205</v>
      </c>
      <c r="E3283" s="5" t="s">
        <v>5</v>
      </c>
      <c r="F3283" s="5" t="s">
        <v>9</v>
      </c>
      <c r="G3283" s="5" t="s">
        <v>24</v>
      </c>
      <c r="H3283">
        <v>21</v>
      </c>
      <c r="I3283" s="4">
        <v>116634</v>
      </c>
      <c r="J3283" s="4">
        <v>42336</v>
      </c>
    </row>
    <row r="3284" spans="2:10" x14ac:dyDescent="0.3">
      <c r="B3284" s="7">
        <v>44713</v>
      </c>
      <c r="C3284" s="3">
        <f t="shared" si="102"/>
        <v>2022</v>
      </c>
      <c r="D3284" s="3">
        <f t="shared" si="103"/>
        <v>202206</v>
      </c>
      <c r="E3284" s="5" t="s">
        <v>5</v>
      </c>
      <c r="F3284" s="5" t="s">
        <v>9</v>
      </c>
      <c r="G3284" s="5" t="s">
        <v>24</v>
      </c>
      <c r="H3284">
        <v>20</v>
      </c>
      <c r="I3284" s="4">
        <v>106260</v>
      </c>
      <c r="J3284" s="4">
        <v>40320</v>
      </c>
    </row>
    <row r="3285" spans="2:10" x14ac:dyDescent="0.3">
      <c r="B3285" s="7">
        <v>44743</v>
      </c>
      <c r="C3285" s="3">
        <f t="shared" si="102"/>
        <v>2022</v>
      </c>
      <c r="D3285" s="3">
        <f t="shared" si="103"/>
        <v>202207</v>
      </c>
      <c r="E3285" s="5" t="s">
        <v>5</v>
      </c>
      <c r="F3285" s="5" t="s">
        <v>9</v>
      </c>
      <c r="G3285" s="5" t="s">
        <v>24</v>
      </c>
      <c r="H3285">
        <v>21</v>
      </c>
      <c r="I3285" s="4">
        <v>91791</v>
      </c>
      <c r="J3285" s="4">
        <v>42336</v>
      </c>
    </row>
    <row r="3286" spans="2:10" x14ac:dyDescent="0.3">
      <c r="B3286" s="7">
        <v>44774</v>
      </c>
      <c r="C3286" s="3">
        <f t="shared" si="102"/>
        <v>2022</v>
      </c>
      <c r="D3286" s="3">
        <f t="shared" si="103"/>
        <v>202208</v>
      </c>
      <c r="E3286" s="5" t="s">
        <v>5</v>
      </c>
      <c r="F3286" s="5" t="s">
        <v>9</v>
      </c>
      <c r="G3286" s="5" t="s">
        <v>24</v>
      </c>
      <c r="H3286">
        <v>17</v>
      </c>
      <c r="I3286" s="4">
        <v>89998</v>
      </c>
      <c r="J3286" s="4">
        <v>34272</v>
      </c>
    </row>
    <row r="3287" spans="2:10" x14ac:dyDescent="0.3">
      <c r="B3287" s="7">
        <v>44805</v>
      </c>
      <c r="C3287" s="3">
        <f t="shared" si="102"/>
        <v>2022</v>
      </c>
      <c r="D3287" s="3">
        <f t="shared" si="103"/>
        <v>202209</v>
      </c>
      <c r="E3287" s="5" t="s">
        <v>5</v>
      </c>
      <c r="F3287" s="5" t="s">
        <v>9</v>
      </c>
      <c r="G3287" s="5" t="s">
        <v>24</v>
      </c>
      <c r="H3287">
        <v>18</v>
      </c>
      <c r="I3287" s="4">
        <v>91044</v>
      </c>
      <c r="J3287" s="4">
        <v>36288</v>
      </c>
    </row>
    <row r="3288" spans="2:10" x14ac:dyDescent="0.3">
      <c r="B3288" s="7">
        <v>44835</v>
      </c>
      <c r="C3288" s="3">
        <f t="shared" si="102"/>
        <v>2022</v>
      </c>
      <c r="D3288" s="3">
        <f t="shared" si="103"/>
        <v>202210</v>
      </c>
      <c r="E3288" s="5" t="s">
        <v>5</v>
      </c>
      <c r="F3288" s="5" t="s">
        <v>9</v>
      </c>
      <c r="G3288" s="5" t="s">
        <v>24</v>
      </c>
      <c r="H3288">
        <v>15</v>
      </c>
      <c r="I3288" s="4">
        <v>81225</v>
      </c>
      <c r="J3288" s="4">
        <v>30240</v>
      </c>
    </row>
    <row r="3289" spans="2:10" x14ac:dyDescent="0.3">
      <c r="B3289" s="7">
        <v>44866</v>
      </c>
      <c r="C3289" s="3">
        <f t="shared" si="102"/>
        <v>2022</v>
      </c>
      <c r="D3289" s="3">
        <f t="shared" si="103"/>
        <v>202211</v>
      </c>
      <c r="E3289" s="5" t="s">
        <v>5</v>
      </c>
      <c r="F3289" s="5" t="s">
        <v>9</v>
      </c>
      <c r="G3289" s="5" t="s">
        <v>24</v>
      </c>
      <c r="H3289">
        <v>11</v>
      </c>
      <c r="I3289" s="4">
        <v>63305</v>
      </c>
      <c r="J3289" s="4">
        <v>22176</v>
      </c>
    </row>
    <row r="3290" spans="2:10" x14ac:dyDescent="0.3">
      <c r="B3290" s="7">
        <v>44896</v>
      </c>
      <c r="C3290" s="3">
        <f t="shared" si="102"/>
        <v>2022</v>
      </c>
      <c r="D3290" s="3">
        <f t="shared" si="103"/>
        <v>202212</v>
      </c>
      <c r="E3290" s="5" t="s">
        <v>5</v>
      </c>
      <c r="F3290" s="5" t="s">
        <v>9</v>
      </c>
      <c r="G3290" s="5" t="s">
        <v>24</v>
      </c>
      <c r="H3290">
        <v>13</v>
      </c>
      <c r="I3290" s="4">
        <v>59488</v>
      </c>
      <c r="J3290" s="4">
        <v>26208</v>
      </c>
    </row>
    <row r="3291" spans="2:10" x14ac:dyDescent="0.3">
      <c r="B3291" s="7">
        <v>44197</v>
      </c>
      <c r="C3291" s="3">
        <f t="shared" si="102"/>
        <v>2021</v>
      </c>
      <c r="D3291" s="3">
        <f t="shared" si="103"/>
        <v>202101</v>
      </c>
      <c r="E3291" s="5" t="s">
        <v>5</v>
      </c>
      <c r="F3291" s="5" t="s">
        <v>9</v>
      </c>
      <c r="G3291" s="5" t="s">
        <v>25</v>
      </c>
      <c r="H3291">
        <v>14</v>
      </c>
      <c r="I3291" s="4">
        <v>46578</v>
      </c>
      <c r="J3291" s="4">
        <v>13090.000000000002</v>
      </c>
    </row>
    <row r="3292" spans="2:10" x14ac:dyDescent="0.3">
      <c r="B3292" s="7">
        <v>44228</v>
      </c>
      <c r="C3292" s="3">
        <f t="shared" si="102"/>
        <v>2021</v>
      </c>
      <c r="D3292" s="3">
        <f t="shared" si="103"/>
        <v>202102</v>
      </c>
      <c r="E3292" s="5" t="s">
        <v>5</v>
      </c>
      <c r="F3292" s="5" t="s">
        <v>9</v>
      </c>
      <c r="G3292" s="5" t="s">
        <v>25</v>
      </c>
      <c r="H3292">
        <v>9</v>
      </c>
      <c r="I3292" s="4">
        <v>30663</v>
      </c>
      <c r="J3292" s="4">
        <v>8415.0000000000018</v>
      </c>
    </row>
    <row r="3293" spans="2:10" x14ac:dyDescent="0.3">
      <c r="B3293" s="7">
        <v>44256</v>
      </c>
      <c r="C3293" s="3">
        <f t="shared" si="102"/>
        <v>2021</v>
      </c>
      <c r="D3293" s="3">
        <f t="shared" si="103"/>
        <v>202103</v>
      </c>
      <c r="E3293" s="5" t="s">
        <v>5</v>
      </c>
      <c r="F3293" s="5" t="s">
        <v>9</v>
      </c>
      <c r="G3293" s="5" t="s">
        <v>25</v>
      </c>
      <c r="H3293">
        <v>7</v>
      </c>
      <c r="I3293" s="4">
        <v>13727</v>
      </c>
      <c r="J3293" s="4">
        <v>6545.0000000000009</v>
      </c>
    </row>
    <row r="3294" spans="2:10" x14ac:dyDescent="0.3">
      <c r="B3294" s="7">
        <v>44287</v>
      </c>
      <c r="C3294" s="3">
        <f t="shared" si="102"/>
        <v>2021</v>
      </c>
      <c r="D3294" s="3">
        <f t="shared" si="103"/>
        <v>202104</v>
      </c>
      <c r="E3294" s="5" t="s">
        <v>5</v>
      </c>
      <c r="F3294" s="5" t="s">
        <v>9</v>
      </c>
      <c r="G3294" s="5" t="s">
        <v>25</v>
      </c>
      <c r="H3294">
        <v>14</v>
      </c>
      <c r="I3294" s="4">
        <v>42924</v>
      </c>
      <c r="J3294" s="4">
        <v>13090.000000000002</v>
      </c>
    </row>
    <row r="3295" spans="2:10" x14ac:dyDescent="0.3">
      <c r="B3295" s="7">
        <v>44317</v>
      </c>
      <c r="C3295" s="3">
        <f t="shared" si="102"/>
        <v>2021</v>
      </c>
      <c r="D3295" s="3">
        <f t="shared" si="103"/>
        <v>202105</v>
      </c>
      <c r="E3295" s="5" t="s">
        <v>5</v>
      </c>
      <c r="F3295" s="5" t="s">
        <v>9</v>
      </c>
      <c r="G3295" s="5" t="s">
        <v>25</v>
      </c>
      <c r="H3295">
        <v>17</v>
      </c>
      <c r="I3295" s="4">
        <v>60537</v>
      </c>
      <c r="J3295" s="4">
        <v>15895.000000000002</v>
      </c>
    </row>
    <row r="3296" spans="2:10" x14ac:dyDescent="0.3">
      <c r="B3296" s="7">
        <v>44348</v>
      </c>
      <c r="C3296" s="3">
        <f t="shared" si="102"/>
        <v>2021</v>
      </c>
      <c r="D3296" s="3">
        <f t="shared" si="103"/>
        <v>202106</v>
      </c>
      <c r="E3296" s="5" t="s">
        <v>5</v>
      </c>
      <c r="F3296" s="5" t="s">
        <v>9</v>
      </c>
      <c r="G3296" s="5" t="s">
        <v>25</v>
      </c>
      <c r="H3296">
        <v>16</v>
      </c>
      <c r="I3296" s="4">
        <v>50592</v>
      </c>
      <c r="J3296" s="4">
        <v>14960.000000000002</v>
      </c>
    </row>
    <row r="3297" spans="2:10" x14ac:dyDescent="0.3">
      <c r="B3297" s="7">
        <v>44378</v>
      </c>
      <c r="C3297" s="3">
        <f t="shared" si="102"/>
        <v>2021</v>
      </c>
      <c r="D3297" s="3">
        <f t="shared" si="103"/>
        <v>202107</v>
      </c>
      <c r="E3297" s="5" t="s">
        <v>5</v>
      </c>
      <c r="F3297" s="5" t="s">
        <v>9</v>
      </c>
      <c r="G3297" s="5" t="s">
        <v>25</v>
      </c>
      <c r="H3297">
        <v>17</v>
      </c>
      <c r="I3297" s="4">
        <v>26554</v>
      </c>
      <c r="J3297" s="4">
        <v>15895.000000000002</v>
      </c>
    </row>
    <row r="3298" spans="2:10" x14ac:dyDescent="0.3">
      <c r="B3298" s="7">
        <v>44409</v>
      </c>
      <c r="C3298" s="3">
        <f t="shared" si="102"/>
        <v>2021</v>
      </c>
      <c r="D3298" s="3">
        <f t="shared" si="103"/>
        <v>202108</v>
      </c>
      <c r="E3298" s="5" t="s">
        <v>5</v>
      </c>
      <c r="F3298" s="5" t="s">
        <v>9</v>
      </c>
      <c r="G3298" s="5" t="s">
        <v>25</v>
      </c>
      <c r="H3298">
        <v>14</v>
      </c>
      <c r="I3298" s="4">
        <v>36050</v>
      </c>
      <c r="J3298" s="4">
        <v>13090.000000000002</v>
      </c>
    </row>
    <row r="3299" spans="2:10" x14ac:dyDescent="0.3">
      <c r="B3299" s="7">
        <v>44440</v>
      </c>
      <c r="C3299" s="3">
        <f t="shared" si="102"/>
        <v>2021</v>
      </c>
      <c r="D3299" s="3">
        <f t="shared" si="103"/>
        <v>202109</v>
      </c>
      <c r="E3299" s="5" t="s">
        <v>5</v>
      </c>
      <c r="F3299" s="5" t="s">
        <v>9</v>
      </c>
      <c r="G3299" s="5" t="s">
        <v>25</v>
      </c>
      <c r="H3299">
        <v>15</v>
      </c>
      <c r="I3299" s="4">
        <v>40590</v>
      </c>
      <c r="J3299" s="4">
        <v>14025.000000000002</v>
      </c>
    </row>
    <row r="3300" spans="2:10" x14ac:dyDescent="0.3">
      <c r="B3300" s="7">
        <v>44470</v>
      </c>
      <c r="C3300" s="3">
        <f t="shared" si="102"/>
        <v>2021</v>
      </c>
      <c r="D3300" s="3">
        <f t="shared" si="103"/>
        <v>202110</v>
      </c>
      <c r="E3300" s="5" t="s">
        <v>5</v>
      </c>
      <c r="F3300" s="5" t="s">
        <v>9</v>
      </c>
      <c r="G3300" s="5" t="s">
        <v>25</v>
      </c>
      <c r="H3300">
        <v>13</v>
      </c>
      <c r="I3300" s="4">
        <v>39104</v>
      </c>
      <c r="J3300" s="4">
        <v>12155.000000000002</v>
      </c>
    </row>
    <row r="3301" spans="2:10" x14ac:dyDescent="0.3">
      <c r="B3301" s="7">
        <v>44501</v>
      </c>
      <c r="C3301" s="3">
        <f t="shared" si="102"/>
        <v>2021</v>
      </c>
      <c r="D3301" s="3">
        <f t="shared" si="103"/>
        <v>202111</v>
      </c>
      <c r="E3301" s="5" t="s">
        <v>5</v>
      </c>
      <c r="F3301" s="5" t="s">
        <v>9</v>
      </c>
      <c r="G3301" s="5" t="s">
        <v>25</v>
      </c>
      <c r="H3301">
        <v>9</v>
      </c>
      <c r="I3301" s="4">
        <v>22419</v>
      </c>
      <c r="J3301" s="4">
        <v>8415.0000000000018</v>
      </c>
    </row>
    <row r="3302" spans="2:10" x14ac:dyDescent="0.3">
      <c r="B3302" s="7">
        <v>44531</v>
      </c>
      <c r="C3302" s="3">
        <f t="shared" si="102"/>
        <v>2021</v>
      </c>
      <c r="D3302" s="3">
        <f t="shared" si="103"/>
        <v>202112</v>
      </c>
      <c r="E3302" s="5" t="s">
        <v>5</v>
      </c>
      <c r="F3302" s="5" t="s">
        <v>9</v>
      </c>
      <c r="G3302" s="5" t="s">
        <v>25</v>
      </c>
      <c r="H3302">
        <v>11</v>
      </c>
      <c r="I3302" s="4">
        <v>27588</v>
      </c>
      <c r="J3302" s="4">
        <v>10285.000000000002</v>
      </c>
    </row>
    <row r="3303" spans="2:10" x14ac:dyDescent="0.3">
      <c r="B3303" s="7">
        <v>44562</v>
      </c>
      <c r="C3303" s="3">
        <f t="shared" si="102"/>
        <v>2022</v>
      </c>
      <c r="D3303" s="3">
        <f t="shared" si="103"/>
        <v>202201</v>
      </c>
      <c r="E3303" s="5" t="s">
        <v>5</v>
      </c>
      <c r="F3303" s="5" t="s">
        <v>9</v>
      </c>
      <c r="G3303" s="5" t="s">
        <v>25</v>
      </c>
      <c r="H3303">
        <v>16</v>
      </c>
      <c r="I3303" s="4">
        <v>44000</v>
      </c>
      <c r="J3303" s="4">
        <v>14960.000000000002</v>
      </c>
    </row>
    <row r="3304" spans="2:10" x14ac:dyDescent="0.3">
      <c r="B3304" s="7">
        <v>44593</v>
      </c>
      <c r="C3304" s="3">
        <f t="shared" si="102"/>
        <v>2022</v>
      </c>
      <c r="D3304" s="3">
        <f t="shared" si="103"/>
        <v>202202</v>
      </c>
      <c r="E3304" s="5" t="s">
        <v>5</v>
      </c>
      <c r="F3304" s="5" t="s">
        <v>9</v>
      </c>
      <c r="G3304" s="5" t="s">
        <v>25</v>
      </c>
      <c r="H3304">
        <v>10</v>
      </c>
      <c r="I3304" s="4">
        <v>31120</v>
      </c>
      <c r="J3304" s="4">
        <v>9350.0000000000018</v>
      </c>
    </row>
    <row r="3305" spans="2:10" x14ac:dyDescent="0.3">
      <c r="B3305" s="7">
        <v>44621</v>
      </c>
      <c r="C3305" s="3">
        <f t="shared" si="102"/>
        <v>2022</v>
      </c>
      <c r="D3305" s="3">
        <f t="shared" si="103"/>
        <v>202203</v>
      </c>
      <c r="E3305" s="5" t="s">
        <v>5</v>
      </c>
      <c r="F3305" s="5" t="s">
        <v>9</v>
      </c>
      <c r="G3305" s="5" t="s">
        <v>25</v>
      </c>
      <c r="H3305">
        <v>8</v>
      </c>
      <c r="I3305" s="4">
        <v>20072</v>
      </c>
      <c r="J3305" s="4">
        <v>7480.0000000000009</v>
      </c>
    </row>
    <row r="3306" spans="2:10" x14ac:dyDescent="0.3">
      <c r="B3306" s="7">
        <v>44652</v>
      </c>
      <c r="C3306" s="3">
        <f t="shared" si="102"/>
        <v>2022</v>
      </c>
      <c r="D3306" s="3">
        <f t="shared" si="103"/>
        <v>202204</v>
      </c>
      <c r="E3306" s="5" t="s">
        <v>5</v>
      </c>
      <c r="F3306" s="5" t="s">
        <v>9</v>
      </c>
      <c r="G3306" s="5" t="s">
        <v>25</v>
      </c>
      <c r="H3306">
        <v>15</v>
      </c>
      <c r="I3306" s="4">
        <v>56280</v>
      </c>
      <c r="J3306" s="4">
        <v>14025.000000000002</v>
      </c>
    </row>
    <row r="3307" spans="2:10" x14ac:dyDescent="0.3">
      <c r="B3307" s="7">
        <v>44682</v>
      </c>
      <c r="C3307" s="3">
        <f t="shared" si="102"/>
        <v>2022</v>
      </c>
      <c r="D3307" s="3">
        <f t="shared" si="103"/>
        <v>202205</v>
      </c>
      <c r="E3307" s="5" t="s">
        <v>5</v>
      </c>
      <c r="F3307" s="5" t="s">
        <v>9</v>
      </c>
      <c r="G3307" s="5" t="s">
        <v>25</v>
      </c>
      <c r="H3307">
        <v>19</v>
      </c>
      <c r="I3307" s="4">
        <v>59831</v>
      </c>
      <c r="J3307" s="4">
        <v>17765.000000000004</v>
      </c>
    </row>
    <row r="3308" spans="2:10" x14ac:dyDescent="0.3">
      <c r="B3308" s="7">
        <v>44713</v>
      </c>
      <c r="C3308" s="3">
        <f t="shared" si="102"/>
        <v>2022</v>
      </c>
      <c r="D3308" s="3">
        <f t="shared" si="103"/>
        <v>202206</v>
      </c>
      <c r="E3308" s="5" t="s">
        <v>5</v>
      </c>
      <c r="F3308" s="5" t="s">
        <v>9</v>
      </c>
      <c r="G3308" s="5" t="s">
        <v>25</v>
      </c>
      <c r="H3308">
        <v>18</v>
      </c>
      <c r="I3308" s="4">
        <v>53280</v>
      </c>
      <c r="J3308" s="4">
        <v>16830.000000000004</v>
      </c>
    </row>
    <row r="3309" spans="2:10" x14ac:dyDescent="0.3">
      <c r="B3309" s="7">
        <v>44743</v>
      </c>
      <c r="C3309" s="3">
        <f t="shared" si="102"/>
        <v>2022</v>
      </c>
      <c r="D3309" s="3">
        <f t="shared" si="103"/>
        <v>202207</v>
      </c>
      <c r="E3309" s="5" t="s">
        <v>5</v>
      </c>
      <c r="F3309" s="5" t="s">
        <v>9</v>
      </c>
      <c r="G3309" s="5" t="s">
        <v>25</v>
      </c>
      <c r="H3309">
        <v>19</v>
      </c>
      <c r="I3309" s="4">
        <v>25973</v>
      </c>
      <c r="J3309" s="4">
        <v>17765.000000000004</v>
      </c>
    </row>
    <row r="3310" spans="2:10" x14ac:dyDescent="0.3">
      <c r="B3310" s="7">
        <v>44774</v>
      </c>
      <c r="C3310" s="3">
        <f t="shared" si="102"/>
        <v>2022</v>
      </c>
      <c r="D3310" s="3">
        <f t="shared" si="103"/>
        <v>202208</v>
      </c>
      <c r="E3310" s="5" t="s">
        <v>5</v>
      </c>
      <c r="F3310" s="5" t="s">
        <v>9</v>
      </c>
      <c r="G3310" s="5" t="s">
        <v>25</v>
      </c>
      <c r="H3310">
        <v>16</v>
      </c>
      <c r="I3310" s="4">
        <v>29696</v>
      </c>
      <c r="J3310" s="4">
        <v>14960.000000000002</v>
      </c>
    </row>
    <row r="3311" spans="2:10" x14ac:dyDescent="0.3">
      <c r="B3311" s="7">
        <v>44805</v>
      </c>
      <c r="C3311" s="3">
        <f t="shared" si="102"/>
        <v>2022</v>
      </c>
      <c r="D3311" s="3">
        <f t="shared" si="103"/>
        <v>202209</v>
      </c>
      <c r="E3311" s="5" t="s">
        <v>5</v>
      </c>
      <c r="F3311" s="5" t="s">
        <v>9</v>
      </c>
      <c r="G3311" s="5" t="s">
        <v>25</v>
      </c>
      <c r="H3311">
        <v>17</v>
      </c>
      <c r="I3311" s="4">
        <v>49538</v>
      </c>
      <c r="J3311" s="4">
        <v>15895.000000000002</v>
      </c>
    </row>
    <row r="3312" spans="2:10" x14ac:dyDescent="0.3">
      <c r="B3312" s="7">
        <v>44835</v>
      </c>
      <c r="C3312" s="3">
        <f t="shared" si="102"/>
        <v>2022</v>
      </c>
      <c r="D3312" s="3">
        <f t="shared" si="103"/>
        <v>202210</v>
      </c>
      <c r="E3312" s="5" t="s">
        <v>5</v>
      </c>
      <c r="F3312" s="5" t="s">
        <v>9</v>
      </c>
      <c r="G3312" s="5" t="s">
        <v>25</v>
      </c>
      <c r="H3312">
        <v>14</v>
      </c>
      <c r="I3312" s="4">
        <v>37856</v>
      </c>
      <c r="J3312" s="4">
        <v>13090.000000000002</v>
      </c>
    </row>
    <row r="3313" spans="2:10" x14ac:dyDescent="0.3">
      <c r="B3313" s="7">
        <v>44866</v>
      </c>
      <c r="C3313" s="3">
        <f t="shared" si="102"/>
        <v>2022</v>
      </c>
      <c r="D3313" s="3">
        <f t="shared" si="103"/>
        <v>202211</v>
      </c>
      <c r="E3313" s="5" t="s">
        <v>5</v>
      </c>
      <c r="F3313" s="5" t="s">
        <v>9</v>
      </c>
      <c r="G3313" s="5" t="s">
        <v>25</v>
      </c>
      <c r="H3313">
        <v>10</v>
      </c>
      <c r="I3313" s="4">
        <v>31540</v>
      </c>
      <c r="J3313" s="4">
        <v>9350.0000000000018</v>
      </c>
    </row>
    <row r="3314" spans="2:10" x14ac:dyDescent="0.3">
      <c r="B3314" s="7">
        <v>44896</v>
      </c>
      <c r="C3314" s="3">
        <f t="shared" si="102"/>
        <v>2022</v>
      </c>
      <c r="D3314" s="3">
        <f t="shared" si="103"/>
        <v>202212</v>
      </c>
      <c r="E3314" s="5" t="s">
        <v>5</v>
      </c>
      <c r="F3314" s="5" t="s">
        <v>9</v>
      </c>
      <c r="G3314" s="5" t="s">
        <v>25</v>
      </c>
      <c r="H3314">
        <v>12</v>
      </c>
      <c r="I3314" s="4">
        <v>34596</v>
      </c>
      <c r="J3314" s="4">
        <v>11220.000000000002</v>
      </c>
    </row>
    <row r="3315" spans="2:10" x14ac:dyDescent="0.3">
      <c r="B3315" s="7">
        <v>44197</v>
      </c>
      <c r="C3315" s="3">
        <f t="shared" si="102"/>
        <v>2021</v>
      </c>
      <c r="D3315" s="3">
        <f t="shared" si="103"/>
        <v>202101</v>
      </c>
      <c r="E3315" s="5" t="s">
        <v>5</v>
      </c>
      <c r="F3315" s="5" t="s">
        <v>9</v>
      </c>
      <c r="G3315" s="5" t="s">
        <v>26</v>
      </c>
      <c r="H3315">
        <v>18</v>
      </c>
      <c r="I3315" s="4">
        <v>96390</v>
      </c>
      <c r="J3315" s="4">
        <v>35568</v>
      </c>
    </row>
    <row r="3316" spans="2:10" x14ac:dyDescent="0.3">
      <c r="B3316" s="7">
        <v>44228</v>
      </c>
      <c r="C3316" s="3">
        <f t="shared" si="102"/>
        <v>2021</v>
      </c>
      <c r="D3316" s="3">
        <f t="shared" si="103"/>
        <v>202102</v>
      </c>
      <c r="E3316" s="5" t="s">
        <v>5</v>
      </c>
      <c r="F3316" s="5" t="s">
        <v>9</v>
      </c>
      <c r="G3316" s="5" t="s">
        <v>26</v>
      </c>
      <c r="H3316">
        <v>11</v>
      </c>
      <c r="I3316" s="4">
        <v>54208</v>
      </c>
      <c r="J3316" s="4">
        <v>21736</v>
      </c>
    </row>
    <row r="3317" spans="2:10" x14ac:dyDescent="0.3">
      <c r="B3317" s="7">
        <v>44256</v>
      </c>
      <c r="C3317" s="3">
        <f t="shared" si="102"/>
        <v>2021</v>
      </c>
      <c r="D3317" s="3">
        <f t="shared" si="103"/>
        <v>202103</v>
      </c>
      <c r="E3317" s="5" t="s">
        <v>5</v>
      </c>
      <c r="F3317" s="5" t="s">
        <v>9</v>
      </c>
      <c r="G3317" s="5" t="s">
        <v>26</v>
      </c>
      <c r="H3317">
        <v>9</v>
      </c>
      <c r="I3317" s="4">
        <v>43002</v>
      </c>
      <c r="J3317" s="4">
        <v>17784</v>
      </c>
    </row>
    <row r="3318" spans="2:10" x14ac:dyDescent="0.3">
      <c r="B3318" s="7">
        <v>44287</v>
      </c>
      <c r="C3318" s="3">
        <f t="shared" si="102"/>
        <v>2021</v>
      </c>
      <c r="D3318" s="3">
        <f t="shared" si="103"/>
        <v>202104</v>
      </c>
      <c r="E3318" s="5" t="s">
        <v>5</v>
      </c>
      <c r="F3318" s="5" t="s">
        <v>9</v>
      </c>
      <c r="G3318" s="5" t="s">
        <v>26</v>
      </c>
      <c r="H3318">
        <v>17</v>
      </c>
      <c r="I3318" s="4">
        <v>94758</v>
      </c>
      <c r="J3318" s="4">
        <v>33592</v>
      </c>
    </row>
    <row r="3319" spans="2:10" x14ac:dyDescent="0.3">
      <c r="B3319" s="7">
        <v>44317</v>
      </c>
      <c r="C3319" s="3">
        <f t="shared" si="102"/>
        <v>2021</v>
      </c>
      <c r="D3319" s="3">
        <f t="shared" si="103"/>
        <v>202105</v>
      </c>
      <c r="E3319" s="5" t="s">
        <v>5</v>
      </c>
      <c r="F3319" s="5" t="s">
        <v>9</v>
      </c>
      <c r="G3319" s="5" t="s">
        <v>26</v>
      </c>
      <c r="H3319">
        <v>21</v>
      </c>
      <c r="I3319" s="4">
        <v>116676</v>
      </c>
      <c r="J3319" s="4">
        <v>41496</v>
      </c>
    </row>
    <row r="3320" spans="2:10" x14ac:dyDescent="0.3">
      <c r="B3320" s="7">
        <v>44348</v>
      </c>
      <c r="C3320" s="3">
        <f t="shared" si="102"/>
        <v>2021</v>
      </c>
      <c r="D3320" s="3">
        <f t="shared" si="103"/>
        <v>202106</v>
      </c>
      <c r="E3320" s="5" t="s">
        <v>5</v>
      </c>
      <c r="F3320" s="5" t="s">
        <v>9</v>
      </c>
      <c r="G3320" s="5" t="s">
        <v>26</v>
      </c>
      <c r="H3320">
        <v>20</v>
      </c>
      <c r="I3320" s="4">
        <v>97380</v>
      </c>
      <c r="J3320" s="4">
        <v>39520</v>
      </c>
    </row>
    <row r="3321" spans="2:10" x14ac:dyDescent="0.3">
      <c r="B3321" s="7">
        <v>44378</v>
      </c>
      <c r="C3321" s="3">
        <f t="shared" si="102"/>
        <v>2021</v>
      </c>
      <c r="D3321" s="3">
        <f t="shared" si="103"/>
        <v>202107</v>
      </c>
      <c r="E3321" s="5" t="s">
        <v>5</v>
      </c>
      <c r="F3321" s="5" t="s">
        <v>9</v>
      </c>
      <c r="G3321" s="5" t="s">
        <v>26</v>
      </c>
      <c r="H3321">
        <v>21</v>
      </c>
      <c r="I3321" s="4">
        <v>66360</v>
      </c>
      <c r="J3321" s="4">
        <v>41496</v>
      </c>
    </row>
    <row r="3322" spans="2:10" x14ac:dyDescent="0.3">
      <c r="B3322" s="7">
        <v>44409</v>
      </c>
      <c r="C3322" s="3">
        <f t="shared" si="102"/>
        <v>2021</v>
      </c>
      <c r="D3322" s="3">
        <f t="shared" si="103"/>
        <v>202108</v>
      </c>
      <c r="E3322" s="5" t="s">
        <v>5</v>
      </c>
      <c r="F3322" s="5" t="s">
        <v>9</v>
      </c>
      <c r="G3322" s="5" t="s">
        <v>26</v>
      </c>
      <c r="H3322">
        <v>18</v>
      </c>
      <c r="I3322" s="4">
        <v>90558</v>
      </c>
      <c r="J3322" s="4">
        <v>35568</v>
      </c>
    </row>
    <row r="3323" spans="2:10" x14ac:dyDescent="0.3">
      <c r="B3323" s="7">
        <v>44440</v>
      </c>
      <c r="C3323" s="3">
        <f t="shared" si="102"/>
        <v>2021</v>
      </c>
      <c r="D3323" s="3">
        <f t="shared" si="103"/>
        <v>202109</v>
      </c>
      <c r="E3323" s="5" t="s">
        <v>5</v>
      </c>
      <c r="F3323" s="5" t="s">
        <v>9</v>
      </c>
      <c r="G3323" s="5" t="s">
        <v>26</v>
      </c>
      <c r="H3323">
        <v>19</v>
      </c>
      <c r="I3323" s="4">
        <v>87286</v>
      </c>
      <c r="J3323" s="4">
        <v>37544</v>
      </c>
    </row>
    <row r="3324" spans="2:10" x14ac:dyDescent="0.3">
      <c r="B3324" s="7">
        <v>44470</v>
      </c>
      <c r="C3324" s="3">
        <f t="shared" si="102"/>
        <v>2021</v>
      </c>
      <c r="D3324" s="3">
        <f t="shared" si="103"/>
        <v>202110</v>
      </c>
      <c r="E3324" s="5" t="s">
        <v>5</v>
      </c>
      <c r="F3324" s="5" t="s">
        <v>9</v>
      </c>
      <c r="G3324" s="5" t="s">
        <v>26</v>
      </c>
      <c r="H3324">
        <v>15</v>
      </c>
      <c r="I3324" s="4">
        <v>80745</v>
      </c>
      <c r="J3324" s="4">
        <v>29640</v>
      </c>
    </row>
    <row r="3325" spans="2:10" x14ac:dyDescent="0.3">
      <c r="B3325" s="7">
        <v>44501</v>
      </c>
      <c r="C3325" s="3">
        <f t="shared" si="102"/>
        <v>2021</v>
      </c>
      <c r="D3325" s="3">
        <f t="shared" si="103"/>
        <v>202111</v>
      </c>
      <c r="E3325" s="5" t="s">
        <v>5</v>
      </c>
      <c r="F3325" s="5" t="s">
        <v>9</v>
      </c>
      <c r="G3325" s="5" t="s">
        <v>26</v>
      </c>
      <c r="H3325">
        <v>11</v>
      </c>
      <c r="I3325" s="4">
        <v>59532</v>
      </c>
      <c r="J3325" s="4">
        <v>21736</v>
      </c>
    </row>
    <row r="3326" spans="2:10" x14ac:dyDescent="0.3">
      <c r="B3326" s="7">
        <v>44531</v>
      </c>
      <c r="C3326" s="3">
        <f t="shared" si="102"/>
        <v>2021</v>
      </c>
      <c r="D3326" s="3">
        <f t="shared" si="103"/>
        <v>202112</v>
      </c>
      <c r="E3326" s="5" t="s">
        <v>5</v>
      </c>
      <c r="F3326" s="5" t="s">
        <v>9</v>
      </c>
      <c r="G3326" s="5" t="s">
        <v>26</v>
      </c>
      <c r="H3326">
        <v>13</v>
      </c>
      <c r="I3326" s="4">
        <v>58851</v>
      </c>
      <c r="J3326" s="4">
        <v>25688</v>
      </c>
    </row>
    <row r="3327" spans="2:10" x14ac:dyDescent="0.3">
      <c r="B3327" s="7">
        <v>44562</v>
      </c>
      <c r="C3327" s="3">
        <f t="shared" si="102"/>
        <v>2022</v>
      </c>
      <c r="D3327" s="3">
        <f t="shared" si="103"/>
        <v>202201</v>
      </c>
      <c r="E3327" s="5" t="s">
        <v>5</v>
      </c>
      <c r="F3327" s="5" t="s">
        <v>9</v>
      </c>
      <c r="G3327" s="5" t="s">
        <v>26</v>
      </c>
      <c r="H3327">
        <v>19</v>
      </c>
      <c r="I3327" s="4">
        <v>105564</v>
      </c>
      <c r="J3327" s="4">
        <v>37544</v>
      </c>
    </row>
    <row r="3328" spans="2:10" x14ac:dyDescent="0.3">
      <c r="B3328" s="7">
        <v>44593</v>
      </c>
      <c r="C3328" s="3">
        <f t="shared" si="102"/>
        <v>2022</v>
      </c>
      <c r="D3328" s="3">
        <f t="shared" si="103"/>
        <v>202202</v>
      </c>
      <c r="E3328" s="5" t="s">
        <v>5</v>
      </c>
      <c r="F3328" s="5" t="s">
        <v>9</v>
      </c>
      <c r="G3328" s="5" t="s">
        <v>26</v>
      </c>
      <c r="H3328">
        <v>12</v>
      </c>
      <c r="I3328" s="4">
        <v>64044</v>
      </c>
      <c r="J3328" s="4">
        <v>23712</v>
      </c>
    </row>
    <row r="3329" spans="2:10" x14ac:dyDescent="0.3">
      <c r="B3329" s="7">
        <v>44621</v>
      </c>
      <c r="C3329" s="3">
        <f t="shared" si="102"/>
        <v>2022</v>
      </c>
      <c r="D3329" s="3">
        <f t="shared" si="103"/>
        <v>202203</v>
      </c>
      <c r="E3329" s="5" t="s">
        <v>5</v>
      </c>
      <c r="F3329" s="5" t="s">
        <v>9</v>
      </c>
      <c r="G3329" s="5" t="s">
        <v>26</v>
      </c>
      <c r="H3329">
        <v>10</v>
      </c>
      <c r="I3329" s="4">
        <v>43450</v>
      </c>
      <c r="J3329" s="4">
        <v>19760</v>
      </c>
    </row>
    <row r="3330" spans="2:10" x14ac:dyDescent="0.3">
      <c r="B3330" s="7">
        <v>44652</v>
      </c>
      <c r="C3330" s="3">
        <f t="shared" si="102"/>
        <v>2022</v>
      </c>
      <c r="D3330" s="3">
        <f t="shared" si="103"/>
        <v>202204</v>
      </c>
      <c r="E3330" s="5" t="s">
        <v>5</v>
      </c>
      <c r="F3330" s="5" t="s">
        <v>9</v>
      </c>
      <c r="G3330" s="5" t="s">
        <v>26</v>
      </c>
      <c r="H3330">
        <v>18</v>
      </c>
      <c r="I3330" s="4">
        <v>94248</v>
      </c>
      <c r="J3330" s="4">
        <v>35568</v>
      </c>
    </row>
    <row r="3331" spans="2:10" x14ac:dyDescent="0.3">
      <c r="B3331" s="7">
        <v>44682</v>
      </c>
      <c r="C3331" s="3">
        <f t="shared" ref="C3331:C3394" si="104">YEAR(B3331)</f>
        <v>2022</v>
      </c>
      <c r="D3331" s="3">
        <f t="shared" ref="D3331:D3394" si="105">VALUE(TEXT(B3331,"ГГГГММ"))</f>
        <v>202205</v>
      </c>
      <c r="E3331" s="5" t="s">
        <v>5</v>
      </c>
      <c r="F3331" s="5" t="s">
        <v>9</v>
      </c>
      <c r="G3331" s="5" t="s">
        <v>26</v>
      </c>
      <c r="H3331">
        <v>23</v>
      </c>
      <c r="I3331" s="4">
        <v>134366</v>
      </c>
      <c r="J3331" s="4">
        <v>45448</v>
      </c>
    </row>
    <row r="3332" spans="2:10" x14ac:dyDescent="0.3">
      <c r="B3332" s="7">
        <v>44713</v>
      </c>
      <c r="C3332" s="3">
        <f t="shared" si="104"/>
        <v>2022</v>
      </c>
      <c r="D3332" s="3">
        <f t="shared" si="105"/>
        <v>202206</v>
      </c>
      <c r="E3332" s="5" t="s">
        <v>5</v>
      </c>
      <c r="F3332" s="5" t="s">
        <v>9</v>
      </c>
      <c r="G3332" s="5" t="s">
        <v>26</v>
      </c>
      <c r="H3332">
        <v>22</v>
      </c>
      <c r="I3332" s="4">
        <v>118140</v>
      </c>
      <c r="J3332" s="4">
        <v>43472</v>
      </c>
    </row>
    <row r="3333" spans="2:10" x14ac:dyDescent="0.3">
      <c r="B3333" s="7">
        <v>44743</v>
      </c>
      <c r="C3333" s="3">
        <f t="shared" si="104"/>
        <v>2022</v>
      </c>
      <c r="D3333" s="3">
        <f t="shared" si="105"/>
        <v>202207</v>
      </c>
      <c r="E3333" s="5" t="s">
        <v>5</v>
      </c>
      <c r="F3333" s="5" t="s">
        <v>9</v>
      </c>
      <c r="G3333" s="5" t="s">
        <v>26</v>
      </c>
      <c r="H3333">
        <v>23</v>
      </c>
      <c r="I3333" s="4">
        <v>84502</v>
      </c>
      <c r="J3333" s="4">
        <v>45448</v>
      </c>
    </row>
    <row r="3334" spans="2:10" x14ac:dyDescent="0.3">
      <c r="B3334" s="7">
        <v>44774</v>
      </c>
      <c r="C3334" s="3">
        <f t="shared" si="104"/>
        <v>2022</v>
      </c>
      <c r="D3334" s="3">
        <f t="shared" si="105"/>
        <v>202208</v>
      </c>
      <c r="E3334" s="5" t="s">
        <v>5</v>
      </c>
      <c r="F3334" s="5" t="s">
        <v>9</v>
      </c>
      <c r="G3334" s="5" t="s">
        <v>26</v>
      </c>
      <c r="H3334">
        <v>19</v>
      </c>
      <c r="I3334" s="4">
        <v>79192</v>
      </c>
      <c r="J3334" s="4">
        <v>37544</v>
      </c>
    </row>
    <row r="3335" spans="2:10" x14ac:dyDescent="0.3">
      <c r="B3335" s="7">
        <v>44805</v>
      </c>
      <c r="C3335" s="3">
        <f t="shared" si="104"/>
        <v>2022</v>
      </c>
      <c r="D3335" s="3">
        <f t="shared" si="105"/>
        <v>202209</v>
      </c>
      <c r="E3335" s="5" t="s">
        <v>5</v>
      </c>
      <c r="F3335" s="5" t="s">
        <v>9</v>
      </c>
      <c r="G3335" s="5" t="s">
        <v>26</v>
      </c>
      <c r="H3335">
        <v>21</v>
      </c>
      <c r="I3335" s="4">
        <v>93618</v>
      </c>
      <c r="J3335" s="4">
        <v>41496</v>
      </c>
    </row>
    <row r="3336" spans="2:10" x14ac:dyDescent="0.3">
      <c r="B3336" s="7">
        <v>44835</v>
      </c>
      <c r="C3336" s="3">
        <f t="shared" si="104"/>
        <v>2022</v>
      </c>
      <c r="D3336" s="3">
        <f t="shared" si="105"/>
        <v>202210</v>
      </c>
      <c r="E3336" s="5" t="s">
        <v>5</v>
      </c>
      <c r="F3336" s="5" t="s">
        <v>9</v>
      </c>
      <c r="G3336" s="5" t="s">
        <v>26</v>
      </c>
      <c r="H3336">
        <v>17</v>
      </c>
      <c r="I3336" s="4">
        <v>84405</v>
      </c>
      <c r="J3336" s="4">
        <v>33592</v>
      </c>
    </row>
    <row r="3337" spans="2:10" x14ac:dyDescent="0.3">
      <c r="B3337" s="7">
        <v>44866</v>
      </c>
      <c r="C3337" s="3">
        <f t="shared" si="104"/>
        <v>2022</v>
      </c>
      <c r="D3337" s="3">
        <f t="shared" si="105"/>
        <v>202211</v>
      </c>
      <c r="E3337" s="5" t="s">
        <v>5</v>
      </c>
      <c r="F3337" s="5" t="s">
        <v>9</v>
      </c>
      <c r="G3337" s="5" t="s">
        <v>26</v>
      </c>
      <c r="H3337">
        <v>12</v>
      </c>
      <c r="I3337" s="4">
        <v>56544</v>
      </c>
      <c r="J3337" s="4">
        <v>23712</v>
      </c>
    </row>
    <row r="3338" spans="2:10" x14ac:dyDescent="0.3">
      <c r="B3338" s="7">
        <v>44896</v>
      </c>
      <c r="C3338" s="3">
        <f t="shared" si="104"/>
        <v>2022</v>
      </c>
      <c r="D3338" s="3">
        <f t="shared" si="105"/>
        <v>202212</v>
      </c>
      <c r="E3338" s="5" t="s">
        <v>5</v>
      </c>
      <c r="F3338" s="5" t="s">
        <v>9</v>
      </c>
      <c r="G3338" s="5" t="s">
        <v>26</v>
      </c>
      <c r="H3338">
        <v>15</v>
      </c>
      <c r="I3338" s="4">
        <v>68715</v>
      </c>
      <c r="J3338" s="4">
        <v>29640</v>
      </c>
    </row>
    <row r="3339" spans="2:10" x14ac:dyDescent="0.3">
      <c r="B3339" s="7">
        <v>44197</v>
      </c>
      <c r="C3339" s="3">
        <f t="shared" si="104"/>
        <v>2021</v>
      </c>
      <c r="D3339" s="3">
        <f t="shared" si="105"/>
        <v>202101</v>
      </c>
      <c r="E3339" s="5" t="s">
        <v>5</v>
      </c>
      <c r="F3339" s="5" t="s">
        <v>9</v>
      </c>
      <c r="G3339" s="5" t="s">
        <v>27</v>
      </c>
      <c r="H3339">
        <v>16</v>
      </c>
      <c r="I3339" s="4">
        <v>93216</v>
      </c>
      <c r="J3339" s="4">
        <v>28800</v>
      </c>
    </row>
    <row r="3340" spans="2:10" x14ac:dyDescent="0.3">
      <c r="B3340" s="7">
        <v>44228</v>
      </c>
      <c r="C3340" s="3">
        <f t="shared" si="104"/>
        <v>2021</v>
      </c>
      <c r="D3340" s="3">
        <f t="shared" si="105"/>
        <v>202102</v>
      </c>
      <c r="E3340" s="5" t="s">
        <v>5</v>
      </c>
      <c r="F3340" s="5" t="s">
        <v>9</v>
      </c>
      <c r="G3340" s="5" t="s">
        <v>27</v>
      </c>
      <c r="H3340">
        <v>10</v>
      </c>
      <c r="I3340" s="4">
        <v>64860</v>
      </c>
      <c r="J3340" s="4">
        <v>18000</v>
      </c>
    </row>
    <row r="3341" spans="2:10" x14ac:dyDescent="0.3">
      <c r="B3341" s="7">
        <v>44256</v>
      </c>
      <c r="C3341" s="3">
        <f t="shared" si="104"/>
        <v>2021</v>
      </c>
      <c r="D3341" s="3">
        <f t="shared" si="105"/>
        <v>202103</v>
      </c>
      <c r="E3341" s="5" t="s">
        <v>5</v>
      </c>
      <c r="F3341" s="5" t="s">
        <v>9</v>
      </c>
      <c r="G3341" s="5" t="s">
        <v>27</v>
      </c>
      <c r="H3341">
        <v>8</v>
      </c>
      <c r="I3341" s="4">
        <v>42616</v>
      </c>
      <c r="J3341" s="4">
        <v>14400</v>
      </c>
    </row>
    <row r="3342" spans="2:10" x14ac:dyDescent="0.3">
      <c r="B3342" s="7">
        <v>44287</v>
      </c>
      <c r="C3342" s="3">
        <f t="shared" si="104"/>
        <v>2021</v>
      </c>
      <c r="D3342" s="3">
        <f t="shared" si="105"/>
        <v>202104</v>
      </c>
      <c r="E3342" s="5" t="s">
        <v>5</v>
      </c>
      <c r="F3342" s="5" t="s">
        <v>9</v>
      </c>
      <c r="G3342" s="5" t="s">
        <v>27</v>
      </c>
      <c r="H3342">
        <v>15</v>
      </c>
      <c r="I3342" s="4">
        <v>98445</v>
      </c>
      <c r="J3342" s="4">
        <v>27000</v>
      </c>
    </row>
    <row r="3343" spans="2:10" x14ac:dyDescent="0.3">
      <c r="B3343" s="7">
        <v>44317</v>
      </c>
      <c r="C3343" s="3">
        <f t="shared" si="104"/>
        <v>2021</v>
      </c>
      <c r="D3343" s="3">
        <f t="shared" si="105"/>
        <v>202105</v>
      </c>
      <c r="E3343" s="5" t="s">
        <v>5</v>
      </c>
      <c r="F3343" s="5" t="s">
        <v>9</v>
      </c>
      <c r="G3343" s="5" t="s">
        <v>27</v>
      </c>
      <c r="H3343">
        <v>19</v>
      </c>
      <c r="I3343" s="4">
        <v>133836</v>
      </c>
      <c r="J3343" s="4">
        <v>34200</v>
      </c>
    </row>
    <row r="3344" spans="2:10" x14ac:dyDescent="0.3">
      <c r="B3344" s="7">
        <v>44348</v>
      </c>
      <c r="C3344" s="3">
        <f t="shared" si="104"/>
        <v>2021</v>
      </c>
      <c r="D3344" s="3">
        <f t="shared" si="105"/>
        <v>202106</v>
      </c>
      <c r="E3344" s="5" t="s">
        <v>5</v>
      </c>
      <c r="F3344" s="5" t="s">
        <v>9</v>
      </c>
      <c r="G3344" s="5" t="s">
        <v>27</v>
      </c>
      <c r="H3344">
        <v>18</v>
      </c>
      <c r="I3344" s="4">
        <v>102636</v>
      </c>
      <c r="J3344" s="4">
        <v>32400</v>
      </c>
    </row>
    <row r="3345" spans="2:10" x14ac:dyDescent="0.3">
      <c r="B3345" s="7">
        <v>44378</v>
      </c>
      <c r="C3345" s="3">
        <f t="shared" si="104"/>
        <v>2021</v>
      </c>
      <c r="D3345" s="3">
        <f t="shared" si="105"/>
        <v>202107</v>
      </c>
      <c r="E3345" s="5" t="s">
        <v>5</v>
      </c>
      <c r="F3345" s="5" t="s">
        <v>9</v>
      </c>
      <c r="G3345" s="5" t="s">
        <v>27</v>
      </c>
      <c r="H3345">
        <v>19</v>
      </c>
      <c r="I3345" s="4">
        <v>81301</v>
      </c>
      <c r="J3345" s="4">
        <v>34200</v>
      </c>
    </row>
    <row r="3346" spans="2:10" x14ac:dyDescent="0.3">
      <c r="B3346" s="7">
        <v>44409</v>
      </c>
      <c r="C3346" s="3">
        <f t="shared" si="104"/>
        <v>2021</v>
      </c>
      <c r="D3346" s="3">
        <f t="shared" si="105"/>
        <v>202108</v>
      </c>
      <c r="E3346" s="5" t="s">
        <v>5</v>
      </c>
      <c r="F3346" s="5" t="s">
        <v>9</v>
      </c>
      <c r="G3346" s="5" t="s">
        <v>27</v>
      </c>
      <c r="H3346">
        <v>16</v>
      </c>
      <c r="I3346" s="4">
        <v>84112</v>
      </c>
      <c r="J3346" s="4">
        <v>28800</v>
      </c>
    </row>
    <row r="3347" spans="2:10" x14ac:dyDescent="0.3">
      <c r="B3347" s="7">
        <v>44440</v>
      </c>
      <c r="C3347" s="3">
        <f t="shared" si="104"/>
        <v>2021</v>
      </c>
      <c r="D3347" s="3">
        <f t="shared" si="105"/>
        <v>202109</v>
      </c>
      <c r="E3347" s="5" t="s">
        <v>5</v>
      </c>
      <c r="F3347" s="5" t="s">
        <v>9</v>
      </c>
      <c r="G3347" s="5" t="s">
        <v>27</v>
      </c>
      <c r="H3347">
        <v>17</v>
      </c>
      <c r="I3347" s="4">
        <v>95098</v>
      </c>
      <c r="J3347" s="4">
        <v>30600</v>
      </c>
    </row>
    <row r="3348" spans="2:10" x14ac:dyDescent="0.3">
      <c r="B3348" s="7">
        <v>44470</v>
      </c>
      <c r="C3348" s="3">
        <f t="shared" si="104"/>
        <v>2021</v>
      </c>
      <c r="D3348" s="3">
        <f t="shared" si="105"/>
        <v>202110</v>
      </c>
      <c r="E3348" s="5" t="s">
        <v>5</v>
      </c>
      <c r="F3348" s="5" t="s">
        <v>9</v>
      </c>
      <c r="G3348" s="5" t="s">
        <v>27</v>
      </c>
      <c r="H3348">
        <v>14</v>
      </c>
      <c r="I3348" s="4">
        <v>78694</v>
      </c>
      <c r="J3348" s="4">
        <v>25200</v>
      </c>
    </row>
    <row r="3349" spans="2:10" x14ac:dyDescent="0.3">
      <c r="B3349" s="7">
        <v>44501</v>
      </c>
      <c r="C3349" s="3">
        <f t="shared" si="104"/>
        <v>2021</v>
      </c>
      <c r="D3349" s="3">
        <f t="shared" si="105"/>
        <v>202111</v>
      </c>
      <c r="E3349" s="5" t="s">
        <v>5</v>
      </c>
      <c r="F3349" s="5" t="s">
        <v>9</v>
      </c>
      <c r="G3349" s="5" t="s">
        <v>27</v>
      </c>
      <c r="H3349">
        <v>10</v>
      </c>
      <c r="I3349" s="4">
        <v>57840</v>
      </c>
      <c r="J3349" s="4">
        <v>18000</v>
      </c>
    </row>
    <row r="3350" spans="2:10" x14ac:dyDescent="0.3">
      <c r="B3350" s="7">
        <v>44531</v>
      </c>
      <c r="C3350" s="3">
        <f t="shared" si="104"/>
        <v>2021</v>
      </c>
      <c r="D3350" s="3">
        <f t="shared" si="105"/>
        <v>202112</v>
      </c>
      <c r="E3350" s="5" t="s">
        <v>5</v>
      </c>
      <c r="F3350" s="5" t="s">
        <v>9</v>
      </c>
      <c r="G3350" s="5" t="s">
        <v>27</v>
      </c>
      <c r="H3350">
        <v>12</v>
      </c>
      <c r="I3350" s="4">
        <v>56340</v>
      </c>
      <c r="J3350" s="4">
        <v>21600</v>
      </c>
    </row>
    <row r="3351" spans="2:10" x14ac:dyDescent="0.3">
      <c r="B3351" s="7">
        <v>44562</v>
      </c>
      <c r="C3351" s="3">
        <f t="shared" si="104"/>
        <v>2022</v>
      </c>
      <c r="D3351" s="3">
        <f t="shared" si="105"/>
        <v>202201</v>
      </c>
      <c r="E3351" s="5" t="s">
        <v>5</v>
      </c>
      <c r="F3351" s="5" t="s">
        <v>9</v>
      </c>
      <c r="G3351" s="5" t="s">
        <v>27</v>
      </c>
      <c r="H3351">
        <v>17</v>
      </c>
      <c r="I3351" s="4">
        <v>96968</v>
      </c>
      <c r="J3351" s="4">
        <v>30600</v>
      </c>
    </row>
    <row r="3352" spans="2:10" x14ac:dyDescent="0.3">
      <c r="B3352" s="7">
        <v>44593</v>
      </c>
      <c r="C3352" s="3">
        <f t="shared" si="104"/>
        <v>2022</v>
      </c>
      <c r="D3352" s="3">
        <f t="shared" si="105"/>
        <v>202202</v>
      </c>
      <c r="E3352" s="5" t="s">
        <v>5</v>
      </c>
      <c r="F3352" s="5" t="s">
        <v>9</v>
      </c>
      <c r="G3352" s="5" t="s">
        <v>27</v>
      </c>
      <c r="H3352">
        <v>11</v>
      </c>
      <c r="I3352" s="4">
        <v>65362</v>
      </c>
      <c r="J3352" s="4">
        <v>19800</v>
      </c>
    </row>
    <row r="3353" spans="2:10" x14ac:dyDescent="0.3">
      <c r="B3353" s="7">
        <v>44621</v>
      </c>
      <c r="C3353" s="3">
        <f t="shared" si="104"/>
        <v>2022</v>
      </c>
      <c r="D3353" s="3">
        <f t="shared" si="105"/>
        <v>202203</v>
      </c>
      <c r="E3353" s="5" t="s">
        <v>5</v>
      </c>
      <c r="F3353" s="5" t="s">
        <v>9</v>
      </c>
      <c r="G3353" s="5" t="s">
        <v>27</v>
      </c>
      <c r="H3353">
        <v>9</v>
      </c>
      <c r="I3353" s="4">
        <v>43659</v>
      </c>
      <c r="J3353" s="4">
        <v>16200</v>
      </c>
    </row>
    <row r="3354" spans="2:10" x14ac:dyDescent="0.3">
      <c r="B3354" s="7">
        <v>44652</v>
      </c>
      <c r="C3354" s="3">
        <f t="shared" si="104"/>
        <v>2022</v>
      </c>
      <c r="D3354" s="3">
        <f t="shared" si="105"/>
        <v>202204</v>
      </c>
      <c r="E3354" s="5" t="s">
        <v>5</v>
      </c>
      <c r="F3354" s="5" t="s">
        <v>9</v>
      </c>
      <c r="G3354" s="5" t="s">
        <v>27</v>
      </c>
      <c r="H3354">
        <v>16</v>
      </c>
      <c r="I3354" s="4">
        <v>102144</v>
      </c>
      <c r="J3354" s="4">
        <v>28800</v>
      </c>
    </row>
    <row r="3355" spans="2:10" x14ac:dyDescent="0.3">
      <c r="B3355" s="7">
        <v>44682</v>
      </c>
      <c r="C3355" s="3">
        <f t="shared" si="104"/>
        <v>2022</v>
      </c>
      <c r="D3355" s="3">
        <f t="shared" si="105"/>
        <v>202205</v>
      </c>
      <c r="E3355" s="5" t="s">
        <v>5</v>
      </c>
      <c r="F3355" s="5" t="s">
        <v>9</v>
      </c>
      <c r="G3355" s="5" t="s">
        <v>27</v>
      </c>
      <c r="H3355">
        <v>21</v>
      </c>
      <c r="I3355" s="4">
        <v>125370</v>
      </c>
      <c r="J3355" s="4">
        <v>37800</v>
      </c>
    </row>
    <row r="3356" spans="2:10" x14ac:dyDescent="0.3">
      <c r="B3356" s="7">
        <v>44713</v>
      </c>
      <c r="C3356" s="3">
        <f t="shared" si="104"/>
        <v>2022</v>
      </c>
      <c r="D3356" s="3">
        <f t="shared" si="105"/>
        <v>202206</v>
      </c>
      <c r="E3356" s="5" t="s">
        <v>5</v>
      </c>
      <c r="F3356" s="5" t="s">
        <v>9</v>
      </c>
      <c r="G3356" s="5" t="s">
        <v>27</v>
      </c>
      <c r="H3356">
        <v>20</v>
      </c>
      <c r="I3356" s="4">
        <v>120980</v>
      </c>
      <c r="J3356" s="4">
        <v>36000</v>
      </c>
    </row>
    <row r="3357" spans="2:10" x14ac:dyDescent="0.3">
      <c r="B3357" s="7">
        <v>44743</v>
      </c>
      <c r="C3357" s="3">
        <f t="shared" si="104"/>
        <v>2022</v>
      </c>
      <c r="D3357" s="3">
        <f t="shared" si="105"/>
        <v>202207</v>
      </c>
      <c r="E3357" s="5" t="s">
        <v>5</v>
      </c>
      <c r="F3357" s="5" t="s">
        <v>9</v>
      </c>
      <c r="G3357" s="5" t="s">
        <v>27</v>
      </c>
      <c r="H3357">
        <v>21</v>
      </c>
      <c r="I3357" s="4">
        <v>79800</v>
      </c>
      <c r="J3357" s="4">
        <v>37800</v>
      </c>
    </row>
    <row r="3358" spans="2:10" x14ac:dyDescent="0.3">
      <c r="B3358" s="7">
        <v>44774</v>
      </c>
      <c r="C3358" s="3">
        <f t="shared" si="104"/>
        <v>2022</v>
      </c>
      <c r="D3358" s="3">
        <f t="shared" si="105"/>
        <v>202208</v>
      </c>
      <c r="E3358" s="5" t="s">
        <v>5</v>
      </c>
      <c r="F3358" s="5" t="s">
        <v>9</v>
      </c>
      <c r="G3358" s="5" t="s">
        <v>27</v>
      </c>
      <c r="H3358">
        <v>17</v>
      </c>
      <c r="I3358" s="4">
        <v>84167</v>
      </c>
      <c r="J3358" s="4">
        <v>30600</v>
      </c>
    </row>
    <row r="3359" spans="2:10" x14ac:dyDescent="0.3">
      <c r="B3359" s="7">
        <v>44805</v>
      </c>
      <c r="C3359" s="3">
        <f t="shared" si="104"/>
        <v>2022</v>
      </c>
      <c r="D3359" s="3">
        <f t="shared" si="105"/>
        <v>202209</v>
      </c>
      <c r="E3359" s="5" t="s">
        <v>5</v>
      </c>
      <c r="F3359" s="5" t="s">
        <v>9</v>
      </c>
      <c r="G3359" s="5" t="s">
        <v>27</v>
      </c>
      <c r="H3359">
        <v>18</v>
      </c>
      <c r="I3359" s="4">
        <v>85986</v>
      </c>
      <c r="J3359" s="4">
        <v>32400</v>
      </c>
    </row>
    <row r="3360" spans="2:10" x14ac:dyDescent="0.3">
      <c r="B3360" s="7">
        <v>44835</v>
      </c>
      <c r="C3360" s="3">
        <f t="shared" si="104"/>
        <v>2022</v>
      </c>
      <c r="D3360" s="3">
        <f t="shared" si="105"/>
        <v>202210</v>
      </c>
      <c r="E3360" s="5" t="s">
        <v>5</v>
      </c>
      <c r="F3360" s="5" t="s">
        <v>9</v>
      </c>
      <c r="G3360" s="5" t="s">
        <v>27</v>
      </c>
      <c r="H3360">
        <v>15</v>
      </c>
      <c r="I3360" s="4">
        <v>87375</v>
      </c>
      <c r="J3360" s="4">
        <v>27000</v>
      </c>
    </row>
    <row r="3361" spans="2:10" x14ac:dyDescent="0.3">
      <c r="B3361" s="7">
        <v>44866</v>
      </c>
      <c r="C3361" s="3">
        <f t="shared" si="104"/>
        <v>2022</v>
      </c>
      <c r="D3361" s="3">
        <f t="shared" si="105"/>
        <v>202211</v>
      </c>
      <c r="E3361" s="5" t="s">
        <v>5</v>
      </c>
      <c r="F3361" s="5" t="s">
        <v>9</v>
      </c>
      <c r="G3361" s="5" t="s">
        <v>27</v>
      </c>
      <c r="H3361">
        <v>11</v>
      </c>
      <c r="I3361" s="4">
        <v>62095</v>
      </c>
      <c r="J3361" s="4">
        <v>19800</v>
      </c>
    </row>
    <row r="3362" spans="2:10" x14ac:dyDescent="0.3">
      <c r="B3362" s="7">
        <v>44896</v>
      </c>
      <c r="C3362" s="3">
        <f t="shared" si="104"/>
        <v>2022</v>
      </c>
      <c r="D3362" s="3">
        <f t="shared" si="105"/>
        <v>202212</v>
      </c>
      <c r="E3362" s="5" t="s">
        <v>5</v>
      </c>
      <c r="F3362" s="5" t="s">
        <v>9</v>
      </c>
      <c r="G3362" s="5" t="s">
        <v>27</v>
      </c>
      <c r="H3362">
        <v>13</v>
      </c>
      <c r="I3362" s="4">
        <v>72358</v>
      </c>
      <c r="J3362" s="4">
        <v>23400</v>
      </c>
    </row>
    <row r="3363" spans="2:10" x14ac:dyDescent="0.3">
      <c r="B3363" s="7">
        <v>44197</v>
      </c>
      <c r="C3363" s="3">
        <f t="shared" si="104"/>
        <v>2021</v>
      </c>
      <c r="D3363" s="3">
        <f t="shared" si="105"/>
        <v>202101</v>
      </c>
      <c r="E3363" s="5" t="s">
        <v>5</v>
      </c>
      <c r="F3363" s="5" t="s">
        <v>10</v>
      </c>
      <c r="G3363" s="5" t="s">
        <v>28</v>
      </c>
      <c r="H3363">
        <v>11</v>
      </c>
      <c r="I3363" s="4">
        <v>396770</v>
      </c>
      <c r="J3363" s="4">
        <v>227150</v>
      </c>
    </row>
    <row r="3364" spans="2:10" x14ac:dyDescent="0.3">
      <c r="B3364" s="7">
        <v>44228</v>
      </c>
      <c r="C3364" s="3">
        <f t="shared" si="104"/>
        <v>2021</v>
      </c>
      <c r="D3364" s="3">
        <f t="shared" si="105"/>
        <v>202102</v>
      </c>
      <c r="E3364" s="5" t="s">
        <v>5</v>
      </c>
      <c r="F3364" s="5" t="s">
        <v>10</v>
      </c>
      <c r="G3364" s="5" t="s">
        <v>28</v>
      </c>
      <c r="H3364">
        <v>7</v>
      </c>
      <c r="I3364" s="4">
        <v>256319</v>
      </c>
      <c r="J3364" s="4">
        <v>144550</v>
      </c>
    </row>
    <row r="3365" spans="2:10" x14ac:dyDescent="0.3">
      <c r="B3365" s="7">
        <v>44256</v>
      </c>
      <c r="C3365" s="3">
        <f t="shared" si="104"/>
        <v>2021</v>
      </c>
      <c r="D3365" s="3">
        <f t="shared" si="105"/>
        <v>202103</v>
      </c>
      <c r="E3365" s="5" t="s">
        <v>5</v>
      </c>
      <c r="F3365" s="5" t="s">
        <v>10</v>
      </c>
      <c r="G3365" s="5" t="s">
        <v>28</v>
      </c>
      <c r="H3365">
        <v>6</v>
      </c>
      <c r="I3365" s="4">
        <v>212496</v>
      </c>
      <c r="J3365" s="4">
        <v>123900</v>
      </c>
    </row>
    <row r="3366" spans="2:10" x14ac:dyDescent="0.3">
      <c r="B3366" s="7">
        <v>44287</v>
      </c>
      <c r="C3366" s="3">
        <f t="shared" si="104"/>
        <v>2021</v>
      </c>
      <c r="D3366" s="3">
        <f t="shared" si="105"/>
        <v>202104</v>
      </c>
      <c r="E3366" s="5" t="s">
        <v>5</v>
      </c>
      <c r="F3366" s="5" t="s">
        <v>10</v>
      </c>
      <c r="G3366" s="5" t="s">
        <v>28</v>
      </c>
      <c r="H3366">
        <v>10</v>
      </c>
      <c r="I3366" s="4">
        <v>371640</v>
      </c>
      <c r="J3366" s="4">
        <v>206500</v>
      </c>
    </row>
    <row r="3367" spans="2:10" x14ac:dyDescent="0.3">
      <c r="B3367" s="7">
        <v>44317</v>
      </c>
      <c r="C3367" s="3">
        <f t="shared" si="104"/>
        <v>2021</v>
      </c>
      <c r="D3367" s="3">
        <f t="shared" si="105"/>
        <v>202105</v>
      </c>
      <c r="E3367" s="5" t="s">
        <v>5</v>
      </c>
      <c r="F3367" s="5" t="s">
        <v>10</v>
      </c>
      <c r="G3367" s="5" t="s">
        <v>28</v>
      </c>
      <c r="H3367">
        <v>13</v>
      </c>
      <c r="I3367" s="4">
        <v>478920</v>
      </c>
      <c r="J3367" s="4">
        <v>268450</v>
      </c>
    </row>
    <row r="3368" spans="2:10" x14ac:dyDescent="0.3">
      <c r="B3368" s="7">
        <v>44348</v>
      </c>
      <c r="C3368" s="3">
        <f t="shared" si="104"/>
        <v>2021</v>
      </c>
      <c r="D3368" s="3">
        <f t="shared" si="105"/>
        <v>202106</v>
      </c>
      <c r="E3368" s="5" t="s">
        <v>5</v>
      </c>
      <c r="F3368" s="5" t="s">
        <v>10</v>
      </c>
      <c r="G3368" s="5" t="s">
        <v>28</v>
      </c>
      <c r="H3368">
        <v>12</v>
      </c>
      <c r="I3368" s="4">
        <v>432012</v>
      </c>
      <c r="J3368" s="4">
        <v>247800</v>
      </c>
    </row>
    <row r="3369" spans="2:10" x14ac:dyDescent="0.3">
      <c r="B3369" s="7">
        <v>44378</v>
      </c>
      <c r="C3369" s="3">
        <f t="shared" si="104"/>
        <v>2021</v>
      </c>
      <c r="D3369" s="3">
        <f t="shared" si="105"/>
        <v>202107</v>
      </c>
      <c r="E3369" s="5" t="s">
        <v>5</v>
      </c>
      <c r="F3369" s="5" t="s">
        <v>10</v>
      </c>
      <c r="G3369" s="5" t="s">
        <v>28</v>
      </c>
      <c r="H3369">
        <v>13</v>
      </c>
      <c r="I3369" s="4">
        <v>449475</v>
      </c>
      <c r="J3369" s="4">
        <v>268450</v>
      </c>
    </row>
    <row r="3370" spans="2:10" x14ac:dyDescent="0.3">
      <c r="B3370" s="7">
        <v>44409</v>
      </c>
      <c r="C3370" s="3">
        <f t="shared" si="104"/>
        <v>2021</v>
      </c>
      <c r="D3370" s="3">
        <f t="shared" si="105"/>
        <v>202108</v>
      </c>
      <c r="E3370" s="5" t="s">
        <v>5</v>
      </c>
      <c r="F3370" s="5" t="s">
        <v>10</v>
      </c>
      <c r="G3370" s="5" t="s">
        <v>28</v>
      </c>
      <c r="H3370">
        <v>11</v>
      </c>
      <c r="I3370" s="4">
        <v>398112</v>
      </c>
      <c r="J3370" s="4">
        <v>227150</v>
      </c>
    </row>
    <row r="3371" spans="2:10" x14ac:dyDescent="0.3">
      <c r="B3371" s="7">
        <v>44440</v>
      </c>
      <c r="C3371" s="3">
        <f t="shared" si="104"/>
        <v>2021</v>
      </c>
      <c r="D3371" s="3">
        <f t="shared" si="105"/>
        <v>202109</v>
      </c>
      <c r="E3371" s="5" t="s">
        <v>5</v>
      </c>
      <c r="F3371" s="5" t="s">
        <v>10</v>
      </c>
      <c r="G3371" s="5" t="s">
        <v>28</v>
      </c>
      <c r="H3371">
        <v>11</v>
      </c>
      <c r="I3371" s="4">
        <v>395604</v>
      </c>
      <c r="J3371" s="4">
        <v>227150</v>
      </c>
    </row>
    <row r="3372" spans="2:10" x14ac:dyDescent="0.3">
      <c r="B3372" s="7">
        <v>44470</v>
      </c>
      <c r="C3372" s="3">
        <f t="shared" si="104"/>
        <v>2021</v>
      </c>
      <c r="D3372" s="3">
        <f t="shared" si="105"/>
        <v>202110</v>
      </c>
      <c r="E3372" s="5" t="s">
        <v>5</v>
      </c>
      <c r="F3372" s="5" t="s">
        <v>10</v>
      </c>
      <c r="G3372" s="5" t="s">
        <v>28</v>
      </c>
      <c r="H3372">
        <v>9</v>
      </c>
      <c r="I3372" s="4">
        <v>332307</v>
      </c>
      <c r="J3372" s="4">
        <v>185850</v>
      </c>
    </row>
    <row r="3373" spans="2:10" x14ac:dyDescent="0.3">
      <c r="B3373" s="7">
        <v>44501</v>
      </c>
      <c r="C3373" s="3">
        <f t="shared" si="104"/>
        <v>2021</v>
      </c>
      <c r="D3373" s="3">
        <f t="shared" si="105"/>
        <v>202111</v>
      </c>
      <c r="E3373" s="5" t="s">
        <v>5</v>
      </c>
      <c r="F3373" s="5" t="s">
        <v>10</v>
      </c>
      <c r="G3373" s="5" t="s">
        <v>28</v>
      </c>
      <c r="H3373">
        <v>7</v>
      </c>
      <c r="I3373" s="4">
        <v>254933</v>
      </c>
      <c r="J3373" s="4">
        <v>144550</v>
      </c>
    </row>
    <row r="3374" spans="2:10" x14ac:dyDescent="0.3">
      <c r="B3374" s="7">
        <v>44531</v>
      </c>
      <c r="C3374" s="3">
        <f t="shared" si="104"/>
        <v>2021</v>
      </c>
      <c r="D3374" s="3">
        <f t="shared" si="105"/>
        <v>202112</v>
      </c>
      <c r="E3374" s="5" t="s">
        <v>5</v>
      </c>
      <c r="F3374" s="5" t="s">
        <v>10</v>
      </c>
      <c r="G3374" s="5" t="s">
        <v>28</v>
      </c>
      <c r="H3374">
        <v>8</v>
      </c>
      <c r="I3374" s="4">
        <v>288568</v>
      </c>
      <c r="J3374" s="4">
        <v>165200</v>
      </c>
    </row>
    <row r="3375" spans="2:10" x14ac:dyDescent="0.3">
      <c r="B3375" s="7">
        <v>44562</v>
      </c>
      <c r="C3375" s="3">
        <f t="shared" si="104"/>
        <v>2022</v>
      </c>
      <c r="D3375" s="3">
        <f t="shared" si="105"/>
        <v>202201</v>
      </c>
      <c r="E3375" s="5" t="s">
        <v>5</v>
      </c>
      <c r="F3375" s="5" t="s">
        <v>10</v>
      </c>
      <c r="G3375" s="5" t="s">
        <v>28</v>
      </c>
      <c r="H3375">
        <v>12</v>
      </c>
      <c r="I3375" s="4">
        <v>436356</v>
      </c>
      <c r="J3375" s="4">
        <v>247800</v>
      </c>
    </row>
    <row r="3376" spans="2:10" x14ac:dyDescent="0.3">
      <c r="B3376" s="7">
        <v>44593</v>
      </c>
      <c r="C3376" s="3">
        <f t="shared" si="104"/>
        <v>2022</v>
      </c>
      <c r="D3376" s="3">
        <f t="shared" si="105"/>
        <v>202202</v>
      </c>
      <c r="E3376" s="5" t="s">
        <v>5</v>
      </c>
      <c r="F3376" s="5" t="s">
        <v>10</v>
      </c>
      <c r="G3376" s="5" t="s">
        <v>28</v>
      </c>
      <c r="H3376">
        <v>8</v>
      </c>
      <c r="I3376" s="4">
        <v>289720</v>
      </c>
      <c r="J3376" s="4">
        <v>165200</v>
      </c>
    </row>
    <row r="3377" spans="2:10" x14ac:dyDescent="0.3">
      <c r="B3377" s="7">
        <v>44621</v>
      </c>
      <c r="C3377" s="3">
        <f t="shared" si="104"/>
        <v>2022</v>
      </c>
      <c r="D3377" s="3">
        <f t="shared" si="105"/>
        <v>202203</v>
      </c>
      <c r="E3377" s="5" t="s">
        <v>5</v>
      </c>
      <c r="F3377" s="5" t="s">
        <v>10</v>
      </c>
      <c r="G3377" s="5" t="s">
        <v>28</v>
      </c>
      <c r="H3377">
        <v>6</v>
      </c>
      <c r="I3377" s="4">
        <v>214344</v>
      </c>
      <c r="J3377" s="4">
        <v>123900</v>
      </c>
    </row>
    <row r="3378" spans="2:10" x14ac:dyDescent="0.3">
      <c r="B3378" s="7">
        <v>44652</v>
      </c>
      <c r="C3378" s="3">
        <f t="shared" si="104"/>
        <v>2022</v>
      </c>
      <c r="D3378" s="3">
        <f t="shared" si="105"/>
        <v>202204</v>
      </c>
      <c r="E3378" s="5" t="s">
        <v>5</v>
      </c>
      <c r="F3378" s="5" t="s">
        <v>10</v>
      </c>
      <c r="G3378" s="5" t="s">
        <v>28</v>
      </c>
      <c r="H3378">
        <v>11</v>
      </c>
      <c r="I3378" s="4">
        <v>409849</v>
      </c>
      <c r="J3378" s="4">
        <v>227150</v>
      </c>
    </row>
    <row r="3379" spans="2:10" x14ac:dyDescent="0.3">
      <c r="B3379" s="7">
        <v>44682</v>
      </c>
      <c r="C3379" s="3">
        <f t="shared" si="104"/>
        <v>2022</v>
      </c>
      <c r="D3379" s="3">
        <f t="shared" si="105"/>
        <v>202205</v>
      </c>
      <c r="E3379" s="5" t="s">
        <v>5</v>
      </c>
      <c r="F3379" s="5" t="s">
        <v>10</v>
      </c>
      <c r="G3379" s="5" t="s">
        <v>28</v>
      </c>
      <c r="H3379">
        <v>14</v>
      </c>
      <c r="I3379" s="4">
        <v>513394</v>
      </c>
      <c r="J3379" s="4">
        <v>289100</v>
      </c>
    </row>
    <row r="3380" spans="2:10" x14ac:dyDescent="0.3">
      <c r="B3380" s="7">
        <v>44713</v>
      </c>
      <c r="C3380" s="3">
        <f t="shared" si="104"/>
        <v>2022</v>
      </c>
      <c r="D3380" s="3">
        <f t="shared" si="105"/>
        <v>202206</v>
      </c>
      <c r="E3380" s="5" t="s">
        <v>5</v>
      </c>
      <c r="F3380" s="5" t="s">
        <v>10</v>
      </c>
      <c r="G3380" s="5" t="s">
        <v>28</v>
      </c>
      <c r="H3380">
        <v>13</v>
      </c>
      <c r="I3380" s="4">
        <v>471263</v>
      </c>
      <c r="J3380" s="4">
        <v>268450</v>
      </c>
    </row>
    <row r="3381" spans="2:10" x14ac:dyDescent="0.3">
      <c r="B3381" s="7">
        <v>44743</v>
      </c>
      <c r="C3381" s="3">
        <f t="shared" si="104"/>
        <v>2022</v>
      </c>
      <c r="D3381" s="3">
        <f t="shared" si="105"/>
        <v>202207</v>
      </c>
      <c r="E3381" s="5" t="s">
        <v>5</v>
      </c>
      <c r="F3381" s="5" t="s">
        <v>10</v>
      </c>
      <c r="G3381" s="5" t="s">
        <v>28</v>
      </c>
      <c r="H3381">
        <v>14</v>
      </c>
      <c r="I3381" s="4">
        <v>491274</v>
      </c>
      <c r="J3381" s="4">
        <v>289100</v>
      </c>
    </row>
    <row r="3382" spans="2:10" x14ac:dyDescent="0.3">
      <c r="B3382" s="7">
        <v>44774</v>
      </c>
      <c r="C3382" s="3">
        <f t="shared" si="104"/>
        <v>2022</v>
      </c>
      <c r="D3382" s="3">
        <f t="shared" si="105"/>
        <v>202208</v>
      </c>
      <c r="E3382" s="5" t="s">
        <v>5</v>
      </c>
      <c r="F3382" s="5" t="s">
        <v>10</v>
      </c>
      <c r="G3382" s="5" t="s">
        <v>28</v>
      </c>
      <c r="H3382">
        <v>12</v>
      </c>
      <c r="I3382" s="4">
        <v>427164</v>
      </c>
      <c r="J3382" s="4">
        <v>247800</v>
      </c>
    </row>
    <row r="3383" spans="2:10" x14ac:dyDescent="0.3">
      <c r="B3383" s="7">
        <v>44805</v>
      </c>
      <c r="C3383" s="3">
        <f t="shared" si="104"/>
        <v>2022</v>
      </c>
      <c r="D3383" s="3">
        <f t="shared" si="105"/>
        <v>202209</v>
      </c>
      <c r="E3383" s="5" t="s">
        <v>5</v>
      </c>
      <c r="F3383" s="5" t="s">
        <v>10</v>
      </c>
      <c r="G3383" s="5" t="s">
        <v>28</v>
      </c>
      <c r="H3383">
        <v>13</v>
      </c>
      <c r="I3383" s="4">
        <v>460239</v>
      </c>
      <c r="J3383" s="4">
        <v>268450</v>
      </c>
    </row>
    <row r="3384" spans="2:10" x14ac:dyDescent="0.3">
      <c r="B3384" s="7">
        <v>44835</v>
      </c>
      <c r="C3384" s="3">
        <f t="shared" si="104"/>
        <v>2022</v>
      </c>
      <c r="D3384" s="3">
        <f t="shared" si="105"/>
        <v>202210</v>
      </c>
      <c r="E3384" s="5" t="s">
        <v>5</v>
      </c>
      <c r="F3384" s="5" t="s">
        <v>10</v>
      </c>
      <c r="G3384" s="5" t="s">
        <v>28</v>
      </c>
      <c r="H3384">
        <v>10</v>
      </c>
      <c r="I3384" s="4">
        <v>370930</v>
      </c>
      <c r="J3384" s="4">
        <v>206500</v>
      </c>
    </row>
    <row r="3385" spans="2:10" x14ac:dyDescent="0.3">
      <c r="B3385" s="7">
        <v>44866</v>
      </c>
      <c r="C3385" s="3">
        <f t="shared" si="104"/>
        <v>2022</v>
      </c>
      <c r="D3385" s="3">
        <f t="shared" si="105"/>
        <v>202211</v>
      </c>
      <c r="E3385" s="5" t="s">
        <v>5</v>
      </c>
      <c r="F3385" s="5" t="s">
        <v>10</v>
      </c>
      <c r="G3385" s="5" t="s">
        <v>28</v>
      </c>
      <c r="H3385">
        <v>8</v>
      </c>
      <c r="I3385" s="4">
        <v>294728</v>
      </c>
      <c r="J3385" s="4">
        <v>165200</v>
      </c>
    </row>
    <row r="3386" spans="2:10" x14ac:dyDescent="0.3">
      <c r="B3386" s="7">
        <v>44896</v>
      </c>
      <c r="C3386" s="3">
        <f t="shared" si="104"/>
        <v>2022</v>
      </c>
      <c r="D3386" s="3">
        <f t="shared" si="105"/>
        <v>202212</v>
      </c>
      <c r="E3386" s="5" t="s">
        <v>5</v>
      </c>
      <c r="F3386" s="5" t="s">
        <v>10</v>
      </c>
      <c r="G3386" s="5" t="s">
        <v>28</v>
      </c>
      <c r="H3386">
        <v>9</v>
      </c>
      <c r="I3386" s="4">
        <v>320472</v>
      </c>
      <c r="J3386" s="4">
        <v>185850</v>
      </c>
    </row>
    <row r="3387" spans="2:10" x14ac:dyDescent="0.3">
      <c r="B3387" s="7">
        <v>44197</v>
      </c>
      <c r="C3387" s="3">
        <f t="shared" si="104"/>
        <v>2021</v>
      </c>
      <c r="D3387" s="3">
        <f t="shared" si="105"/>
        <v>202101</v>
      </c>
      <c r="E3387" s="5" t="s">
        <v>5</v>
      </c>
      <c r="F3387" s="5" t="s">
        <v>10</v>
      </c>
      <c r="G3387" s="5" t="s">
        <v>29</v>
      </c>
      <c r="H3387">
        <v>9</v>
      </c>
      <c r="I3387" s="4">
        <v>297009</v>
      </c>
      <c r="J3387" s="4">
        <v>141120</v>
      </c>
    </row>
    <row r="3388" spans="2:10" x14ac:dyDescent="0.3">
      <c r="B3388" s="7">
        <v>44228</v>
      </c>
      <c r="C3388" s="3">
        <f t="shared" si="104"/>
        <v>2021</v>
      </c>
      <c r="D3388" s="3">
        <f t="shared" si="105"/>
        <v>202102</v>
      </c>
      <c r="E3388" s="5" t="s">
        <v>5</v>
      </c>
      <c r="F3388" s="5" t="s">
        <v>10</v>
      </c>
      <c r="G3388" s="5" t="s">
        <v>29</v>
      </c>
      <c r="H3388">
        <v>6</v>
      </c>
      <c r="I3388" s="4">
        <v>200988</v>
      </c>
      <c r="J3388" s="4">
        <v>94080</v>
      </c>
    </row>
    <row r="3389" spans="2:10" x14ac:dyDescent="0.3">
      <c r="B3389" s="7">
        <v>44256</v>
      </c>
      <c r="C3389" s="3">
        <f t="shared" si="104"/>
        <v>2021</v>
      </c>
      <c r="D3389" s="3">
        <f t="shared" si="105"/>
        <v>202103</v>
      </c>
      <c r="E3389" s="5" t="s">
        <v>5</v>
      </c>
      <c r="F3389" s="5" t="s">
        <v>10</v>
      </c>
      <c r="G3389" s="5" t="s">
        <v>29</v>
      </c>
      <c r="H3389">
        <v>5</v>
      </c>
      <c r="I3389" s="4">
        <v>166695</v>
      </c>
      <c r="J3389" s="4">
        <v>78400</v>
      </c>
    </row>
    <row r="3390" spans="2:10" x14ac:dyDescent="0.3">
      <c r="B3390" s="7">
        <v>44287</v>
      </c>
      <c r="C3390" s="3">
        <f t="shared" si="104"/>
        <v>2021</v>
      </c>
      <c r="D3390" s="3">
        <f t="shared" si="105"/>
        <v>202104</v>
      </c>
      <c r="E3390" s="5" t="s">
        <v>5</v>
      </c>
      <c r="F3390" s="5" t="s">
        <v>10</v>
      </c>
      <c r="G3390" s="5" t="s">
        <v>29</v>
      </c>
      <c r="H3390">
        <v>8</v>
      </c>
      <c r="I3390" s="4">
        <v>273288</v>
      </c>
      <c r="J3390" s="4">
        <v>125440</v>
      </c>
    </row>
    <row r="3391" spans="2:10" x14ac:dyDescent="0.3">
      <c r="B3391" s="7">
        <v>44317</v>
      </c>
      <c r="C3391" s="3">
        <f t="shared" si="104"/>
        <v>2021</v>
      </c>
      <c r="D3391" s="3">
        <f t="shared" si="105"/>
        <v>202105</v>
      </c>
      <c r="E3391" s="5" t="s">
        <v>5</v>
      </c>
      <c r="F3391" s="5" t="s">
        <v>10</v>
      </c>
      <c r="G3391" s="5" t="s">
        <v>29</v>
      </c>
      <c r="H3391">
        <v>10</v>
      </c>
      <c r="I3391" s="4">
        <v>340120</v>
      </c>
      <c r="J3391" s="4">
        <v>156800</v>
      </c>
    </row>
    <row r="3392" spans="2:10" x14ac:dyDescent="0.3">
      <c r="B3392" s="7">
        <v>44348</v>
      </c>
      <c r="C3392" s="3">
        <f t="shared" si="104"/>
        <v>2021</v>
      </c>
      <c r="D3392" s="3">
        <f t="shared" si="105"/>
        <v>202106</v>
      </c>
      <c r="E3392" s="5" t="s">
        <v>5</v>
      </c>
      <c r="F3392" s="5" t="s">
        <v>10</v>
      </c>
      <c r="G3392" s="5" t="s">
        <v>29</v>
      </c>
      <c r="H3392">
        <v>10</v>
      </c>
      <c r="I3392" s="4">
        <v>333270</v>
      </c>
      <c r="J3392" s="4">
        <v>156800</v>
      </c>
    </row>
    <row r="3393" spans="2:10" x14ac:dyDescent="0.3">
      <c r="B3393" s="7">
        <v>44378</v>
      </c>
      <c r="C3393" s="3">
        <f t="shared" si="104"/>
        <v>2021</v>
      </c>
      <c r="D3393" s="3">
        <f t="shared" si="105"/>
        <v>202107</v>
      </c>
      <c r="E3393" s="5" t="s">
        <v>5</v>
      </c>
      <c r="F3393" s="5" t="s">
        <v>10</v>
      </c>
      <c r="G3393" s="5" t="s">
        <v>29</v>
      </c>
      <c r="H3393">
        <v>10</v>
      </c>
      <c r="I3393" s="4">
        <v>320510</v>
      </c>
      <c r="J3393" s="4">
        <v>156800</v>
      </c>
    </row>
    <row r="3394" spans="2:10" x14ac:dyDescent="0.3">
      <c r="B3394" s="7">
        <v>44409</v>
      </c>
      <c r="C3394" s="3">
        <f t="shared" si="104"/>
        <v>2021</v>
      </c>
      <c r="D3394" s="3">
        <f t="shared" si="105"/>
        <v>202108</v>
      </c>
      <c r="E3394" s="5" t="s">
        <v>5</v>
      </c>
      <c r="F3394" s="5" t="s">
        <v>10</v>
      </c>
      <c r="G3394" s="5" t="s">
        <v>29</v>
      </c>
      <c r="H3394">
        <v>9</v>
      </c>
      <c r="I3394" s="4">
        <v>296325</v>
      </c>
      <c r="J3394" s="4">
        <v>141120</v>
      </c>
    </row>
    <row r="3395" spans="2:10" x14ac:dyDescent="0.3">
      <c r="B3395" s="7">
        <v>44440</v>
      </c>
      <c r="C3395" s="3">
        <f t="shared" ref="C3395:C3458" si="106">YEAR(B3395)</f>
        <v>2021</v>
      </c>
      <c r="D3395" s="3">
        <f t="shared" ref="D3395:D3458" si="107">VALUE(TEXT(B3395,"ГГГГММ"))</f>
        <v>202109</v>
      </c>
      <c r="E3395" s="5" t="s">
        <v>5</v>
      </c>
      <c r="F3395" s="5" t="s">
        <v>10</v>
      </c>
      <c r="G3395" s="5" t="s">
        <v>29</v>
      </c>
      <c r="H3395">
        <v>9</v>
      </c>
      <c r="I3395" s="4">
        <v>296766</v>
      </c>
      <c r="J3395" s="4">
        <v>141120</v>
      </c>
    </row>
    <row r="3396" spans="2:10" x14ac:dyDescent="0.3">
      <c r="B3396" s="7">
        <v>44470</v>
      </c>
      <c r="C3396" s="3">
        <f t="shared" si="106"/>
        <v>2021</v>
      </c>
      <c r="D3396" s="3">
        <f t="shared" si="107"/>
        <v>202110</v>
      </c>
      <c r="E3396" s="5" t="s">
        <v>5</v>
      </c>
      <c r="F3396" s="5" t="s">
        <v>10</v>
      </c>
      <c r="G3396" s="5" t="s">
        <v>29</v>
      </c>
      <c r="H3396">
        <v>8</v>
      </c>
      <c r="I3396" s="4">
        <v>265416</v>
      </c>
      <c r="J3396" s="4">
        <v>125440</v>
      </c>
    </row>
    <row r="3397" spans="2:10" x14ac:dyDescent="0.3">
      <c r="B3397" s="7">
        <v>44501</v>
      </c>
      <c r="C3397" s="3">
        <f t="shared" si="106"/>
        <v>2021</v>
      </c>
      <c r="D3397" s="3">
        <f t="shared" si="107"/>
        <v>202111</v>
      </c>
      <c r="E3397" s="5" t="s">
        <v>5</v>
      </c>
      <c r="F3397" s="5" t="s">
        <v>10</v>
      </c>
      <c r="G3397" s="5" t="s">
        <v>29</v>
      </c>
      <c r="H3397">
        <v>6</v>
      </c>
      <c r="I3397" s="4">
        <v>197886</v>
      </c>
      <c r="J3397" s="4">
        <v>94080</v>
      </c>
    </row>
    <row r="3398" spans="2:10" x14ac:dyDescent="0.3">
      <c r="B3398" s="7">
        <v>44531</v>
      </c>
      <c r="C3398" s="3">
        <f t="shared" si="106"/>
        <v>2021</v>
      </c>
      <c r="D3398" s="3">
        <f t="shared" si="107"/>
        <v>202112</v>
      </c>
      <c r="E3398" s="5" t="s">
        <v>5</v>
      </c>
      <c r="F3398" s="5" t="s">
        <v>10</v>
      </c>
      <c r="G3398" s="5" t="s">
        <v>29</v>
      </c>
      <c r="H3398">
        <v>7</v>
      </c>
      <c r="I3398" s="4">
        <v>228095</v>
      </c>
      <c r="J3398" s="4">
        <v>109760</v>
      </c>
    </row>
    <row r="3399" spans="2:10" x14ac:dyDescent="0.3">
      <c r="B3399" s="7">
        <v>44562</v>
      </c>
      <c r="C3399" s="3">
        <f t="shared" si="106"/>
        <v>2022</v>
      </c>
      <c r="D3399" s="3">
        <f t="shared" si="107"/>
        <v>202201</v>
      </c>
      <c r="E3399" s="5" t="s">
        <v>5</v>
      </c>
      <c r="F3399" s="5" t="s">
        <v>10</v>
      </c>
      <c r="G3399" s="5" t="s">
        <v>29</v>
      </c>
      <c r="H3399">
        <v>10</v>
      </c>
      <c r="I3399" s="4">
        <v>335180</v>
      </c>
      <c r="J3399" s="4">
        <v>156800</v>
      </c>
    </row>
    <row r="3400" spans="2:10" x14ac:dyDescent="0.3">
      <c r="B3400" s="7">
        <v>44593</v>
      </c>
      <c r="C3400" s="3">
        <f t="shared" si="106"/>
        <v>2022</v>
      </c>
      <c r="D3400" s="3">
        <f t="shared" si="107"/>
        <v>202202</v>
      </c>
      <c r="E3400" s="5" t="s">
        <v>5</v>
      </c>
      <c r="F3400" s="5" t="s">
        <v>10</v>
      </c>
      <c r="G3400" s="5" t="s">
        <v>29</v>
      </c>
      <c r="H3400">
        <v>6</v>
      </c>
      <c r="I3400" s="4">
        <v>203166</v>
      </c>
      <c r="J3400" s="4">
        <v>94080</v>
      </c>
    </row>
    <row r="3401" spans="2:10" x14ac:dyDescent="0.3">
      <c r="B3401" s="7">
        <v>44621</v>
      </c>
      <c r="C3401" s="3">
        <f t="shared" si="106"/>
        <v>2022</v>
      </c>
      <c r="D3401" s="3">
        <f t="shared" si="107"/>
        <v>202203</v>
      </c>
      <c r="E3401" s="5" t="s">
        <v>5</v>
      </c>
      <c r="F3401" s="5" t="s">
        <v>10</v>
      </c>
      <c r="G3401" s="5" t="s">
        <v>29</v>
      </c>
      <c r="H3401">
        <v>5</v>
      </c>
      <c r="I3401" s="4">
        <v>162645</v>
      </c>
      <c r="J3401" s="4">
        <v>78400</v>
      </c>
    </row>
    <row r="3402" spans="2:10" x14ac:dyDescent="0.3">
      <c r="B3402" s="7">
        <v>44652</v>
      </c>
      <c r="C3402" s="3">
        <f t="shared" si="106"/>
        <v>2022</v>
      </c>
      <c r="D3402" s="3">
        <f t="shared" si="107"/>
        <v>202204</v>
      </c>
      <c r="E3402" s="5" t="s">
        <v>5</v>
      </c>
      <c r="F3402" s="5" t="s">
        <v>10</v>
      </c>
      <c r="G3402" s="5" t="s">
        <v>29</v>
      </c>
      <c r="H3402">
        <v>9</v>
      </c>
      <c r="I3402" s="4">
        <v>302913</v>
      </c>
      <c r="J3402" s="4">
        <v>141120</v>
      </c>
    </row>
    <row r="3403" spans="2:10" x14ac:dyDescent="0.3">
      <c r="B3403" s="7">
        <v>44682</v>
      </c>
      <c r="C3403" s="3">
        <f t="shared" si="106"/>
        <v>2022</v>
      </c>
      <c r="D3403" s="3">
        <f t="shared" si="107"/>
        <v>202205</v>
      </c>
      <c r="E3403" s="5" t="s">
        <v>5</v>
      </c>
      <c r="F3403" s="5" t="s">
        <v>10</v>
      </c>
      <c r="G3403" s="5" t="s">
        <v>29</v>
      </c>
      <c r="H3403">
        <v>11</v>
      </c>
      <c r="I3403" s="4">
        <v>369919</v>
      </c>
      <c r="J3403" s="4">
        <v>172480</v>
      </c>
    </row>
    <row r="3404" spans="2:10" x14ac:dyDescent="0.3">
      <c r="B3404" s="7">
        <v>44713</v>
      </c>
      <c r="C3404" s="3">
        <f t="shared" si="106"/>
        <v>2022</v>
      </c>
      <c r="D3404" s="3">
        <f t="shared" si="107"/>
        <v>202206</v>
      </c>
      <c r="E3404" s="5" t="s">
        <v>5</v>
      </c>
      <c r="F3404" s="5" t="s">
        <v>10</v>
      </c>
      <c r="G3404" s="5" t="s">
        <v>29</v>
      </c>
      <c r="H3404">
        <v>11</v>
      </c>
      <c r="I3404" s="4">
        <v>369765</v>
      </c>
      <c r="J3404" s="4">
        <v>172480</v>
      </c>
    </row>
    <row r="3405" spans="2:10" x14ac:dyDescent="0.3">
      <c r="B3405" s="7">
        <v>44743</v>
      </c>
      <c r="C3405" s="3">
        <f t="shared" si="106"/>
        <v>2022</v>
      </c>
      <c r="D3405" s="3">
        <f t="shared" si="107"/>
        <v>202207</v>
      </c>
      <c r="E3405" s="5" t="s">
        <v>5</v>
      </c>
      <c r="F3405" s="5" t="s">
        <v>10</v>
      </c>
      <c r="G3405" s="5" t="s">
        <v>29</v>
      </c>
      <c r="H3405">
        <v>11</v>
      </c>
      <c r="I3405" s="4">
        <v>355410</v>
      </c>
      <c r="J3405" s="4">
        <v>172480</v>
      </c>
    </row>
    <row r="3406" spans="2:10" x14ac:dyDescent="0.3">
      <c r="B3406" s="7">
        <v>44774</v>
      </c>
      <c r="C3406" s="3">
        <f t="shared" si="106"/>
        <v>2022</v>
      </c>
      <c r="D3406" s="3">
        <f t="shared" si="107"/>
        <v>202208</v>
      </c>
      <c r="E3406" s="5" t="s">
        <v>5</v>
      </c>
      <c r="F3406" s="5" t="s">
        <v>10</v>
      </c>
      <c r="G3406" s="5" t="s">
        <v>29</v>
      </c>
      <c r="H3406">
        <v>10</v>
      </c>
      <c r="I3406" s="4">
        <v>323250</v>
      </c>
      <c r="J3406" s="4">
        <v>156800</v>
      </c>
    </row>
    <row r="3407" spans="2:10" x14ac:dyDescent="0.3">
      <c r="B3407" s="7">
        <v>44805</v>
      </c>
      <c r="C3407" s="3">
        <f t="shared" si="106"/>
        <v>2022</v>
      </c>
      <c r="D3407" s="3">
        <f t="shared" si="107"/>
        <v>202209</v>
      </c>
      <c r="E3407" s="5" t="s">
        <v>5</v>
      </c>
      <c r="F3407" s="5" t="s">
        <v>10</v>
      </c>
      <c r="G3407" s="5" t="s">
        <v>29</v>
      </c>
      <c r="H3407">
        <v>10</v>
      </c>
      <c r="I3407" s="4">
        <v>328320</v>
      </c>
      <c r="J3407" s="4">
        <v>156800</v>
      </c>
    </row>
    <row r="3408" spans="2:10" x14ac:dyDescent="0.3">
      <c r="B3408" s="7">
        <v>44835</v>
      </c>
      <c r="C3408" s="3">
        <f t="shared" si="106"/>
        <v>2022</v>
      </c>
      <c r="D3408" s="3">
        <f t="shared" si="107"/>
        <v>202210</v>
      </c>
      <c r="E3408" s="5" t="s">
        <v>5</v>
      </c>
      <c r="F3408" s="5" t="s">
        <v>10</v>
      </c>
      <c r="G3408" s="5" t="s">
        <v>29</v>
      </c>
      <c r="H3408">
        <v>8</v>
      </c>
      <c r="I3408" s="4">
        <v>270376</v>
      </c>
      <c r="J3408" s="4">
        <v>125440</v>
      </c>
    </row>
    <row r="3409" spans="2:10" x14ac:dyDescent="0.3">
      <c r="B3409" s="7">
        <v>44866</v>
      </c>
      <c r="C3409" s="3">
        <f t="shared" si="106"/>
        <v>2022</v>
      </c>
      <c r="D3409" s="3">
        <f t="shared" si="107"/>
        <v>202211</v>
      </c>
      <c r="E3409" s="5" t="s">
        <v>5</v>
      </c>
      <c r="F3409" s="5" t="s">
        <v>10</v>
      </c>
      <c r="G3409" s="5" t="s">
        <v>29</v>
      </c>
      <c r="H3409">
        <v>6</v>
      </c>
      <c r="I3409" s="4">
        <v>202656</v>
      </c>
      <c r="J3409" s="4">
        <v>94080</v>
      </c>
    </row>
    <row r="3410" spans="2:10" x14ac:dyDescent="0.3">
      <c r="B3410" s="7">
        <v>44896</v>
      </c>
      <c r="C3410" s="3">
        <f t="shared" si="106"/>
        <v>2022</v>
      </c>
      <c r="D3410" s="3">
        <f t="shared" si="107"/>
        <v>202212</v>
      </c>
      <c r="E3410" s="5" t="s">
        <v>5</v>
      </c>
      <c r="F3410" s="5" t="s">
        <v>10</v>
      </c>
      <c r="G3410" s="5" t="s">
        <v>29</v>
      </c>
      <c r="H3410">
        <v>7</v>
      </c>
      <c r="I3410" s="4">
        <v>233219</v>
      </c>
      <c r="J3410" s="4">
        <v>109760</v>
      </c>
    </row>
    <row r="3411" spans="2:10" x14ac:dyDescent="0.3">
      <c r="B3411" s="7">
        <v>44197</v>
      </c>
      <c r="C3411" s="3">
        <f t="shared" si="106"/>
        <v>2021</v>
      </c>
      <c r="D3411" s="3">
        <f t="shared" si="107"/>
        <v>202101</v>
      </c>
      <c r="E3411" s="5" t="s">
        <v>5</v>
      </c>
      <c r="F3411" s="5" t="s">
        <v>10</v>
      </c>
      <c r="G3411" s="5" t="s">
        <v>30</v>
      </c>
      <c r="H3411">
        <v>10</v>
      </c>
      <c r="I3411" s="4">
        <v>429550</v>
      </c>
      <c r="J3411" s="4">
        <v>180600</v>
      </c>
    </row>
    <row r="3412" spans="2:10" x14ac:dyDescent="0.3">
      <c r="B3412" s="7">
        <v>44228</v>
      </c>
      <c r="C3412" s="3">
        <f t="shared" si="106"/>
        <v>2021</v>
      </c>
      <c r="D3412" s="3">
        <f t="shared" si="107"/>
        <v>202102</v>
      </c>
      <c r="E3412" s="5" t="s">
        <v>5</v>
      </c>
      <c r="F3412" s="5" t="s">
        <v>10</v>
      </c>
      <c r="G3412" s="5" t="s">
        <v>30</v>
      </c>
      <c r="H3412">
        <v>6</v>
      </c>
      <c r="I3412" s="4">
        <v>262830</v>
      </c>
      <c r="J3412" s="4">
        <v>108360</v>
      </c>
    </row>
    <row r="3413" spans="2:10" x14ac:dyDescent="0.3">
      <c r="B3413" s="7">
        <v>44256</v>
      </c>
      <c r="C3413" s="3">
        <f t="shared" si="106"/>
        <v>2021</v>
      </c>
      <c r="D3413" s="3">
        <f t="shared" si="107"/>
        <v>202103</v>
      </c>
      <c r="E3413" s="5" t="s">
        <v>5</v>
      </c>
      <c r="F3413" s="5" t="s">
        <v>10</v>
      </c>
      <c r="G3413" s="5" t="s">
        <v>30</v>
      </c>
      <c r="H3413">
        <v>5</v>
      </c>
      <c r="I3413" s="4">
        <v>214880</v>
      </c>
      <c r="J3413" s="4">
        <v>90300</v>
      </c>
    </row>
    <row r="3414" spans="2:10" x14ac:dyDescent="0.3">
      <c r="B3414" s="7">
        <v>44287</v>
      </c>
      <c r="C3414" s="3">
        <f t="shared" si="106"/>
        <v>2021</v>
      </c>
      <c r="D3414" s="3">
        <f t="shared" si="107"/>
        <v>202104</v>
      </c>
      <c r="E3414" s="5" t="s">
        <v>5</v>
      </c>
      <c r="F3414" s="5" t="s">
        <v>10</v>
      </c>
      <c r="G3414" s="5" t="s">
        <v>30</v>
      </c>
      <c r="H3414">
        <v>9</v>
      </c>
      <c r="I3414" s="4">
        <v>389835</v>
      </c>
      <c r="J3414" s="4">
        <v>162540</v>
      </c>
    </row>
    <row r="3415" spans="2:10" x14ac:dyDescent="0.3">
      <c r="B3415" s="7">
        <v>44317</v>
      </c>
      <c r="C3415" s="3">
        <f t="shared" si="106"/>
        <v>2021</v>
      </c>
      <c r="D3415" s="3">
        <f t="shared" si="107"/>
        <v>202105</v>
      </c>
      <c r="E3415" s="5" t="s">
        <v>5</v>
      </c>
      <c r="F3415" s="5" t="s">
        <v>10</v>
      </c>
      <c r="G3415" s="5" t="s">
        <v>30</v>
      </c>
      <c r="H3415">
        <v>11</v>
      </c>
      <c r="I3415" s="4">
        <v>481921</v>
      </c>
      <c r="J3415" s="4">
        <v>198660</v>
      </c>
    </row>
    <row r="3416" spans="2:10" x14ac:dyDescent="0.3">
      <c r="B3416" s="7">
        <v>44348</v>
      </c>
      <c r="C3416" s="3">
        <f t="shared" si="106"/>
        <v>2021</v>
      </c>
      <c r="D3416" s="3">
        <f t="shared" si="107"/>
        <v>202106</v>
      </c>
      <c r="E3416" s="5" t="s">
        <v>5</v>
      </c>
      <c r="F3416" s="5" t="s">
        <v>10</v>
      </c>
      <c r="G3416" s="5" t="s">
        <v>30</v>
      </c>
      <c r="H3416">
        <v>11</v>
      </c>
      <c r="I3416" s="4">
        <v>479039</v>
      </c>
      <c r="J3416" s="4">
        <v>198660</v>
      </c>
    </row>
    <row r="3417" spans="2:10" x14ac:dyDescent="0.3">
      <c r="B3417" s="7">
        <v>44378</v>
      </c>
      <c r="C3417" s="3">
        <f t="shared" si="106"/>
        <v>2021</v>
      </c>
      <c r="D3417" s="3">
        <f t="shared" si="107"/>
        <v>202107</v>
      </c>
      <c r="E3417" s="5" t="s">
        <v>5</v>
      </c>
      <c r="F3417" s="5" t="s">
        <v>10</v>
      </c>
      <c r="G3417" s="5" t="s">
        <v>30</v>
      </c>
      <c r="H3417">
        <v>11</v>
      </c>
      <c r="I3417" s="4">
        <v>460031</v>
      </c>
      <c r="J3417" s="4">
        <v>198660</v>
      </c>
    </row>
    <row r="3418" spans="2:10" x14ac:dyDescent="0.3">
      <c r="B3418" s="7">
        <v>44409</v>
      </c>
      <c r="C3418" s="3">
        <f t="shared" si="106"/>
        <v>2021</v>
      </c>
      <c r="D3418" s="3">
        <f t="shared" si="107"/>
        <v>202108</v>
      </c>
      <c r="E3418" s="5" t="s">
        <v>5</v>
      </c>
      <c r="F3418" s="5" t="s">
        <v>10</v>
      </c>
      <c r="G3418" s="5" t="s">
        <v>30</v>
      </c>
      <c r="H3418">
        <v>10</v>
      </c>
      <c r="I3418" s="4">
        <v>430770</v>
      </c>
      <c r="J3418" s="4">
        <v>180600</v>
      </c>
    </row>
    <row r="3419" spans="2:10" x14ac:dyDescent="0.3">
      <c r="B3419" s="7">
        <v>44440</v>
      </c>
      <c r="C3419" s="3">
        <f t="shared" si="106"/>
        <v>2021</v>
      </c>
      <c r="D3419" s="3">
        <f t="shared" si="107"/>
        <v>202109</v>
      </c>
      <c r="E3419" s="5" t="s">
        <v>5</v>
      </c>
      <c r="F3419" s="5" t="s">
        <v>10</v>
      </c>
      <c r="G3419" s="5" t="s">
        <v>30</v>
      </c>
      <c r="H3419">
        <v>10</v>
      </c>
      <c r="I3419" s="4">
        <v>429210</v>
      </c>
      <c r="J3419" s="4">
        <v>180600</v>
      </c>
    </row>
    <row r="3420" spans="2:10" x14ac:dyDescent="0.3">
      <c r="B3420" s="7">
        <v>44470</v>
      </c>
      <c r="C3420" s="3">
        <f t="shared" si="106"/>
        <v>2021</v>
      </c>
      <c r="D3420" s="3">
        <f t="shared" si="107"/>
        <v>202110</v>
      </c>
      <c r="E3420" s="5" t="s">
        <v>5</v>
      </c>
      <c r="F3420" s="5" t="s">
        <v>10</v>
      </c>
      <c r="G3420" s="5" t="s">
        <v>30</v>
      </c>
      <c r="H3420">
        <v>9</v>
      </c>
      <c r="I3420" s="4">
        <v>389268</v>
      </c>
      <c r="J3420" s="4">
        <v>162540</v>
      </c>
    </row>
    <row r="3421" spans="2:10" x14ac:dyDescent="0.3">
      <c r="B3421" s="7">
        <v>44501</v>
      </c>
      <c r="C3421" s="3">
        <f t="shared" si="106"/>
        <v>2021</v>
      </c>
      <c r="D3421" s="3">
        <f t="shared" si="107"/>
        <v>202111</v>
      </c>
      <c r="E3421" s="5" t="s">
        <v>5</v>
      </c>
      <c r="F3421" s="5" t="s">
        <v>10</v>
      </c>
      <c r="G3421" s="5" t="s">
        <v>30</v>
      </c>
      <c r="H3421">
        <v>6</v>
      </c>
      <c r="I3421" s="4">
        <v>261432</v>
      </c>
      <c r="J3421" s="4">
        <v>108360</v>
      </c>
    </row>
    <row r="3422" spans="2:10" x14ac:dyDescent="0.3">
      <c r="B3422" s="7">
        <v>44531</v>
      </c>
      <c r="C3422" s="3">
        <f t="shared" si="106"/>
        <v>2021</v>
      </c>
      <c r="D3422" s="3">
        <f t="shared" si="107"/>
        <v>202112</v>
      </c>
      <c r="E3422" s="5" t="s">
        <v>5</v>
      </c>
      <c r="F3422" s="5" t="s">
        <v>10</v>
      </c>
      <c r="G3422" s="5" t="s">
        <v>30</v>
      </c>
      <c r="H3422">
        <v>7</v>
      </c>
      <c r="I3422" s="4">
        <v>299068</v>
      </c>
      <c r="J3422" s="4">
        <v>126420</v>
      </c>
    </row>
    <row r="3423" spans="2:10" x14ac:dyDescent="0.3">
      <c r="B3423" s="7">
        <v>44562</v>
      </c>
      <c r="C3423" s="3">
        <f t="shared" si="106"/>
        <v>2022</v>
      </c>
      <c r="D3423" s="3">
        <f t="shared" si="107"/>
        <v>202201</v>
      </c>
      <c r="E3423" s="5" t="s">
        <v>5</v>
      </c>
      <c r="F3423" s="5" t="s">
        <v>10</v>
      </c>
      <c r="G3423" s="5" t="s">
        <v>30</v>
      </c>
      <c r="H3423">
        <v>11</v>
      </c>
      <c r="I3423" s="4">
        <v>474408</v>
      </c>
      <c r="J3423" s="4">
        <v>198660</v>
      </c>
    </row>
    <row r="3424" spans="2:10" x14ac:dyDescent="0.3">
      <c r="B3424" s="7">
        <v>44593</v>
      </c>
      <c r="C3424" s="3">
        <f t="shared" si="106"/>
        <v>2022</v>
      </c>
      <c r="D3424" s="3">
        <f t="shared" si="107"/>
        <v>202202</v>
      </c>
      <c r="E3424" s="5" t="s">
        <v>5</v>
      </c>
      <c r="F3424" s="5" t="s">
        <v>10</v>
      </c>
      <c r="G3424" s="5" t="s">
        <v>30</v>
      </c>
      <c r="H3424">
        <v>7</v>
      </c>
      <c r="I3424" s="4">
        <v>306957</v>
      </c>
      <c r="J3424" s="4">
        <v>126420</v>
      </c>
    </row>
    <row r="3425" spans="2:10" x14ac:dyDescent="0.3">
      <c r="B3425" s="7">
        <v>44621</v>
      </c>
      <c r="C3425" s="3">
        <f t="shared" si="106"/>
        <v>2022</v>
      </c>
      <c r="D3425" s="3">
        <f t="shared" si="107"/>
        <v>202203</v>
      </c>
      <c r="E3425" s="5" t="s">
        <v>5</v>
      </c>
      <c r="F3425" s="5" t="s">
        <v>10</v>
      </c>
      <c r="G3425" s="5" t="s">
        <v>30</v>
      </c>
      <c r="H3425">
        <v>6</v>
      </c>
      <c r="I3425" s="4">
        <v>254430</v>
      </c>
      <c r="J3425" s="4">
        <v>108360</v>
      </c>
    </row>
    <row r="3426" spans="2:10" x14ac:dyDescent="0.3">
      <c r="B3426" s="7">
        <v>44652</v>
      </c>
      <c r="C3426" s="3">
        <f t="shared" si="106"/>
        <v>2022</v>
      </c>
      <c r="D3426" s="3">
        <f t="shared" si="107"/>
        <v>202204</v>
      </c>
      <c r="E3426" s="5" t="s">
        <v>5</v>
      </c>
      <c r="F3426" s="5" t="s">
        <v>10</v>
      </c>
      <c r="G3426" s="5" t="s">
        <v>30</v>
      </c>
      <c r="H3426">
        <v>10</v>
      </c>
      <c r="I3426" s="4">
        <v>433070</v>
      </c>
      <c r="J3426" s="4">
        <v>180600</v>
      </c>
    </row>
    <row r="3427" spans="2:10" x14ac:dyDescent="0.3">
      <c r="B3427" s="7">
        <v>44682</v>
      </c>
      <c r="C3427" s="3">
        <f t="shared" si="106"/>
        <v>2022</v>
      </c>
      <c r="D3427" s="3">
        <f t="shared" si="107"/>
        <v>202205</v>
      </c>
      <c r="E3427" s="5" t="s">
        <v>5</v>
      </c>
      <c r="F3427" s="5" t="s">
        <v>10</v>
      </c>
      <c r="G3427" s="5" t="s">
        <v>30</v>
      </c>
      <c r="H3427">
        <v>13</v>
      </c>
      <c r="I3427" s="4">
        <v>567515</v>
      </c>
      <c r="J3427" s="4">
        <v>234780</v>
      </c>
    </row>
    <row r="3428" spans="2:10" x14ac:dyDescent="0.3">
      <c r="B3428" s="7">
        <v>44713</v>
      </c>
      <c r="C3428" s="3">
        <f t="shared" si="106"/>
        <v>2022</v>
      </c>
      <c r="D3428" s="3">
        <f t="shared" si="107"/>
        <v>202206</v>
      </c>
      <c r="E3428" s="5" t="s">
        <v>5</v>
      </c>
      <c r="F3428" s="5" t="s">
        <v>10</v>
      </c>
      <c r="G3428" s="5" t="s">
        <v>30</v>
      </c>
      <c r="H3428">
        <v>12</v>
      </c>
      <c r="I3428" s="4">
        <v>521688</v>
      </c>
      <c r="J3428" s="4">
        <v>216720</v>
      </c>
    </row>
    <row r="3429" spans="2:10" x14ac:dyDescent="0.3">
      <c r="B3429" s="7">
        <v>44743</v>
      </c>
      <c r="C3429" s="3">
        <f t="shared" si="106"/>
        <v>2022</v>
      </c>
      <c r="D3429" s="3">
        <f t="shared" si="107"/>
        <v>202207</v>
      </c>
      <c r="E3429" s="5" t="s">
        <v>5</v>
      </c>
      <c r="F3429" s="5" t="s">
        <v>10</v>
      </c>
      <c r="G3429" s="5" t="s">
        <v>30</v>
      </c>
      <c r="H3429">
        <v>13</v>
      </c>
      <c r="I3429" s="4">
        <v>538603</v>
      </c>
      <c r="J3429" s="4">
        <v>234780</v>
      </c>
    </row>
    <row r="3430" spans="2:10" x14ac:dyDescent="0.3">
      <c r="B3430" s="7">
        <v>44774</v>
      </c>
      <c r="C3430" s="3">
        <f t="shared" si="106"/>
        <v>2022</v>
      </c>
      <c r="D3430" s="3">
        <f t="shared" si="107"/>
        <v>202208</v>
      </c>
      <c r="E3430" s="5" t="s">
        <v>5</v>
      </c>
      <c r="F3430" s="5" t="s">
        <v>10</v>
      </c>
      <c r="G3430" s="5" t="s">
        <v>30</v>
      </c>
      <c r="H3430">
        <v>11</v>
      </c>
      <c r="I3430" s="4">
        <v>475398</v>
      </c>
      <c r="J3430" s="4">
        <v>198660</v>
      </c>
    </row>
    <row r="3431" spans="2:10" x14ac:dyDescent="0.3">
      <c r="B3431" s="7">
        <v>44805</v>
      </c>
      <c r="C3431" s="3">
        <f t="shared" si="106"/>
        <v>2022</v>
      </c>
      <c r="D3431" s="3">
        <f t="shared" si="107"/>
        <v>202209</v>
      </c>
      <c r="E3431" s="5" t="s">
        <v>5</v>
      </c>
      <c r="F3431" s="5" t="s">
        <v>10</v>
      </c>
      <c r="G3431" s="5" t="s">
        <v>30</v>
      </c>
      <c r="H3431">
        <v>11</v>
      </c>
      <c r="I3431" s="4">
        <v>472670</v>
      </c>
      <c r="J3431" s="4">
        <v>198660</v>
      </c>
    </row>
    <row r="3432" spans="2:10" x14ac:dyDescent="0.3">
      <c r="B3432" s="7">
        <v>44835</v>
      </c>
      <c r="C3432" s="3">
        <f t="shared" si="106"/>
        <v>2022</v>
      </c>
      <c r="D3432" s="3">
        <f t="shared" si="107"/>
        <v>202210</v>
      </c>
      <c r="E3432" s="5" t="s">
        <v>5</v>
      </c>
      <c r="F3432" s="5" t="s">
        <v>10</v>
      </c>
      <c r="G3432" s="5" t="s">
        <v>30</v>
      </c>
      <c r="H3432">
        <v>9</v>
      </c>
      <c r="I3432" s="4">
        <v>391590</v>
      </c>
      <c r="J3432" s="4">
        <v>162540</v>
      </c>
    </row>
    <row r="3433" spans="2:10" x14ac:dyDescent="0.3">
      <c r="B3433" s="7">
        <v>44866</v>
      </c>
      <c r="C3433" s="3">
        <f t="shared" si="106"/>
        <v>2022</v>
      </c>
      <c r="D3433" s="3">
        <f t="shared" si="107"/>
        <v>202211</v>
      </c>
      <c r="E3433" s="5" t="s">
        <v>5</v>
      </c>
      <c r="F3433" s="5" t="s">
        <v>10</v>
      </c>
      <c r="G3433" s="5" t="s">
        <v>30</v>
      </c>
      <c r="H3433">
        <v>7</v>
      </c>
      <c r="I3433" s="4">
        <v>306033</v>
      </c>
      <c r="J3433" s="4">
        <v>126420</v>
      </c>
    </row>
    <row r="3434" spans="2:10" x14ac:dyDescent="0.3">
      <c r="B3434" s="7">
        <v>44896</v>
      </c>
      <c r="C3434" s="3">
        <f t="shared" si="106"/>
        <v>2022</v>
      </c>
      <c r="D3434" s="3">
        <f t="shared" si="107"/>
        <v>202212</v>
      </c>
      <c r="E3434" s="5" t="s">
        <v>5</v>
      </c>
      <c r="F3434" s="5" t="s">
        <v>10</v>
      </c>
      <c r="G3434" s="5" t="s">
        <v>30</v>
      </c>
      <c r="H3434">
        <v>8</v>
      </c>
      <c r="I3434" s="4">
        <v>340480</v>
      </c>
      <c r="J3434" s="4">
        <v>144480</v>
      </c>
    </row>
    <row r="3435" spans="2:10" x14ac:dyDescent="0.3">
      <c r="B3435" s="7">
        <v>44197</v>
      </c>
      <c r="C3435" s="3">
        <f t="shared" si="106"/>
        <v>2021</v>
      </c>
      <c r="D3435" s="3">
        <f t="shared" si="107"/>
        <v>202101</v>
      </c>
      <c r="E3435" s="5" t="s">
        <v>5</v>
      </c>
      <c r="F3435" s="5" t="s">
        <v>10</v>
      </c>
      <c r="G3435" s="5" t="s">
        <v>31</v>
      </c>
      <c r="H3435">
        <v>9</v>
      </c>
      <c r="I3435" s="4">
        <v>257976</v>
      </c>
      <c r="J3435" s="4">
        <v>100800</v>
      </c>
    </row>
    <row r="3436" spans="2:10" x14ac:dyDescent="0.3">
      <c r="B3436" s="7">
        <v>44228</v>
      </c>
      <c r="C3436" s="3">
        <f t="shared" si="106"/>
        <v>2021</v>
      </c>
      <c r="D3436" s="3">
        <f t="shared" si="107"/>
        <v>202102</v>
      </c>
      <c r="E3436" s="5" t="s">
        <v>5</v>
      </c>
      <c r="F3436" s="5" t="s">
        <v>10</v>
      </c>
      <c r="G3436" s="5" t="s">
        <v>31</v>
      </c>
      <c r="H3436">
        <v>6</v>
      </c>
      <c r="I3436" s="4">
        <v>172914</v>
      </c>
      <c r="J3436" s="4">
        <v>67200</v>
      </c>
    </row>
    <row r="3437" spans="2:10" x14ac:dyDescent="0.3">
      <c r="B3437" s="7">
        <v>44256</v>
      </c>
      <c r="C3437" s="3">
        <f t="shared" si="106"/>
        <v>2021</v>
      </c>
      <c r="D3437" s="3">
        <f t="shared" si="107"/>
        <v>202103</v>
      </c>
      <c r="E3437" s="5" t="s">
        <v>5</v>
      </c>
      <c r="F3437" s="5" t="s">
        <v>10</v>
      </c>
      <c r="G3437" s="5" t="s">
        <v>31</v>
      </c>
      <c r="H3437">
        <v>5</v>
      </c>
      <c r="I3437" s="4">
        <v>143465</v>
      </c>
      <c r="J3437" s="4">
        <v>56000</v>
      </c>
    </row>
    <row r="3438" spans="2:10" x14ac:dyDescent="0.3">
      <c r="B3438" s="7">
        <v>44287</v>
      </c>
      <c r="C3438" s="3">
        <f t="shared" si="106"/>
        <v>2021</v>
      </c>
      <c r="D3438" s="3">
        <f t="shared" si="107"/>
        <v>202104</v>
      </c>
      <c r="E3438" s="5" t="s">
        <v>5</v>
      </c>
      <c r="F3438" s="5" t="s">
        <v>10</v>
      </c>
      <c r="G3438" s="5" t="s">
        <v>31</v>
      </c>
      <c r="H3438">
        <v>8</v>
      </c>
      <c r="I3438" s="4">
        <v>239712</v>
      </c>
      <c r="J3438" s="4">
        <v>89600</v>
      </c>
    </row>
    <row r="3439" spans="2:10" x14ac:dyDescent="0.3">
      <c r="B3439" s="7">
        <v>44317</v>
      </c>
      <c r="C3439" s="3">
        <f t="shared" si="106"/>
        <v>2021</v>
      </c>
      <c r="D3439" s="3">
        <f t="shared" si="107"/>
        <v>202105</v>
      </c>
      <c r="E3439" s="5" t="s">
        <v>5</v>
      </c>
      <c r="F3439" s="5" t="s">
        <v>10</v>
      </c>
      <c r="G3439" s="5" t="s">
        <v>31</v>
      </c>
      <c r="H3439">
        <v>10</v>
      </c>
      <c r="I3439" s="4">
        <v>301020</v>
      </c>
      <c r="J3439" s="4">
        <v>112000</v>
      </c>
    </row>
    <row r="3440" spans="2:10" x14ac:dyDescent="0.3">
      <c r="B3440" s="7">
        <v>44348</v>
      </c>
      <c r="C3440" s="3">
        <f t="shared" si="106"/>
        <v>2021</v>
      </c>
      <c r="D3440" s="3">
        <f t="shared" si="107"/>
        <v>202106</v>
      </c>
      <c r="E3440" s="5" t="s">
        <v>5</v>
      </c>
      <c r="F3440" s="5" t="s">
        <v>10</v>
      </c>
      <c r="G3440" s="5" t="s">
        <v>31</v>
      </c>
      <c r="H3440">
        <v>10</v>
      </c>
      <c r="I3440" s="4">
        <v>298410</v>
      </c>
      <c r="J3440" s="4">
        <v>112000</v>
      </c>
    </row>
    <row r="3441" spans="2:10" x14ac:dyDescent="0.3">
      <c r="B3441" s="7">
        <v>44378</v>
      </c>
      <c r="C3441" s="3">
        <f t="shared" si="106"/>
        <v>2021</v>
      </c>
      <c r="D3441" s="3">
        <f t="shared" si="107"/>
        <v>202107</v>
      </c>
      <c r="E3441" s="5" t="s">
        <v>5</v>
      </c>
      <c r="F3441" s="5" t="s">
        <v>10</v>
      </c>
      <c r="G3441" s="5" t="s">
        <v>31</v>
      </c>
      <c r="H3441">
        <v>10</v>
      </c>
      <c r="I3441" s="4">
        <v>275940</v>
      </c>
      <c r="J3441" s="4">
        <v>112000</v>
      </c>
    </row>
    <row r="3442" spans="2:10" x14ac:dyDescent="0.3">
      <c r="B3442" s="7">
        <v>44409</v>
      </c>
      <c r="C3442" s="3">
        <f t="shared" si="106"/>
        <v>2021</v>
      </c>
      <c r="D3442" s="3">
        <f t="shared" si="107"/>
        <v>202108</v>
      </c>
      <c r="E3442" s="5" t="s">
        <v>5</v>
      </c>
      <c r="F3442" s="5" t="s">
        <v>10</v>
      </c>
      <c r="G3442" s="5" t="s">
        <v>31</v>
      </c>
      <c r="H3442">
        <v>9</v>
      </c>
      <c r="I3442" s="4">
        <v>264177</v>
      </c>
      <c r="J3442" s="4">
        <v>100800</v>
      </c>
    </row>
    <row r="3443" spans="2:10" x14ac:dyDescent="0.3">
      <c r="B3443" s="7">
        <v>44440</v>
      </c>
      <c r="C3443" s="3">
        <f t="shared" si="106"/>
        <v>2021</v>
      </c>
      <c r="D3443" s="3">
        <f t="shared" si="107"/>
        <v>202109</v>
      </c>
      <c r="E3443" s="5" t="s">
        <v>5</v>
      </c>
      <c r="F3443" s="5" t="s">
        <v>10</v>
      </c>
      <c r="G3443" s="5" t="s">
        <v>31</v>
      </c>
      <c r="H3443">
        <v>9</v>
      </c>
      <c r="I3443" s="4">
        <v>259011</v>
      </c>
      <c r="J3443" s="4">
        <v>100800</v>
      </c>
    </row>
    <row r="3444" spans="2:10" x14ac:dyDescent="0.3">
      <c r="B3444" s="7">
        <v>44470</v>
      </c>
      <c r="C3444" s="3">
        <f t="shared" si="106"/>
        <v>2021</v>
      </c>
      <c r="D3444" s="3">
        <f t="shared" si="107"/>
        <v>202110</v>
      </c>
      <c r="E3444" s="5" t="s">
        <v>5</v>
      </c>
      <c r="F3444" s="5" t="s">
        <v>10</v>
      </c>
      <c r="G3444" s="5" t="s">
        <v>31</v>
      </c>
      <c r="H3444">
        <v>8</v>
      </c>
      <c r="I3444" s="4">
        <v>237704</v>
      </c>
      <c r="J3444" s="4">
        <v>89600</v>
      </c>
    </row>
    <row r="3445" spans="2:10" x14ac:dyDescent="0.3">
      <c r="B3445" s="7">
        <v>44501</v>
      </c>
      <c r="C3445" s="3">
        <f t="shared" si="106"/>
        <v>2021</v>
      </c>
      <c r="D3445" s="3">
        <f t="shared" si="107"/>
        <v>202111</v>
      </c>
      <c r="E3445" s="5" t="s">
        <v>5</v>
      </c>
      <c r="F3445" s="5" t="s">
        <v>10</v>
      </c>
      <c r="G3445" s="5" t="s">
        <v>31</v>
      </c>
      <c r="H3445">
        <v>6</v>
      </c>
      <c r="I3445" s="4">
        <v>176598</v>
      </c>
      <c r="J3445" s="4">
        <v>67200</v>
      </c>
    </row>
    <row r="3446" spans="2:10" x14ac:dyDescent="0.3">
      <c r="B3446" s="7">
        <v>44531</v>
      </c>
      <c r="C3446" s="3">
        <f t="shared" si="106"/>
        <v>2021</v>
      </c>
      <c r="D3446" s="3">
        <f t="shared" si="107"/>
        <v>202112</v>
      </c>
      <c r="E3446" s="5" t="s">
        <v>5</v>
      </c>
      <c r="F3446" s="5" t="s">
        <v>10</v>
      </c>
      <c r="G3446" s="5" t="s">
        <v>31</v>
      </c>
      <c r="H3446">
        <v>7</v>
      </c>
      <c r="I3446" s="4">
        <v>201474</v>
      </c>
      <c r="J3446" s="4">
        <v>78400</v>
      </c>
    </row>
    <row r="3447" spans="2:10" x14ac:dyDescent="0.3">
      <c r="B3447" s="7">
        <v>44562</v>
      </c>
      <c r="C3447" s="3">
        <f t="shared" si="106"/>
        <v>2022</v>
      </c>
      <c r="D3447" s="3">
        <f t="shared" si="107"/>
        <v>202201</v>
      </c>
      <c r="E3447" s="5" t="s">
        <v>5</v>
      </c>
      <c r="F3447" s="5" t="s">
        <v>10</v>
      </c>
      <c r="G3447" s="5" t="s">
        <v>31</v>
      </c>
      <c r="H3447">
        <v>10</v>
      </c>
      <c r="I3447" s="4">
        <v>299130</v>
      </c>
      <c r="J3447" s="4">
        <v>112000</v>
      </c>
    </row>
    <row r="3448" spans="2:10" x14ac:dyDescent="0.3">
      <c r="B3448" s="7">
        <v>44593</v>
      </c>
      <c r="C3448" s="3">
        <f t="shared" si="106"/>
        <v>2022</v>
      </c>
      <c r="D3448" s="3">
        <f t="shared" si="107"/>
        <v>202202</v>
      </c>
      <c r="E3448" s="5" t="s">
        <v>5</v>
      </c>
      <c r="F3448" s="5" t="s">
        <v>10</v>
      </c>
      <c r="G3448" s="5" t="s">
        <v>31</v>
      </c>
      <c r="H3448">
        <v>6</v>
      </c>
      <c r="I3448" s="4">
        <v>174786</v>
      </c>
      <c r="J3448" s="4">
        <v>67200</v>
      </c>
    </row>
    <row r="3449" spans="2:10" x14ac:dyDescent="0.3">
      <c r="B3449" s="7">
        <v>44621</v>
      </c>
      <c r="C3449" s="3">
        <f t="shared" si="106"/>
        <v>2022</v>
      </c>
      <c r="D3449" s="3">
        <f t="shared" si="107"/>
        <v>202203</v>
      </c>
      <c r="E3449" s="5" t="s">
        <v>5</v>
      </c>
      <c r="F3449" s="5" t="s">
        <v>10</v>
      </c>
      <c r="G3449" s="5" t="s">
        <v>31</v>
      </c>
      <c r="H3449">
        <v>5</v>
      </c>
      <c r="I3449" s="4">
        <v>141350</v>
      </c>
      <c r="J3449" s="4">
        <v>56000</v>
      </c>
    </row>
    <row r="3450" spans="2:10" x14ac:dyDescent="0.3">
      <c r="B3450" s="7">
        <v>44652</v>
      </c>
      <c r="C3450" s="3">
        <f t="shared" si="106"/>
        <v>2022</v>
      </c>
      <c r="D3450" s="3">
        <f t="shared" si="107"/>
        <v>202204</v>
      </c>
      <c r="E3450" s="5" t="s">
        <v>5</v>
      </c>
      <c r="F3450" s="5" t="s">
        <v>10</v>
      </c>
      <c r="G3450" s="5" t="s">
        <v>31</v>
      </c>
      <c r="H3450">
        <v>9</v>
      </c>
      <c r="I3450" s="4">
        <v>265554</v>
      </c>
      <c r="J3450" s="4">
        <v>100800</v>
      </c>
    </row>
    <row r="3451" spans="2:10" x14ac:dyDescent="0.3">
      <c r="B3451" s="7">
        <v>44682</v>
      </c>
      <c r="C3451" s="3">
        <f t="shared" si="106"/>
        <v>2022</v>
      </c>
      <c r="D3451" s="3">
        <f t="shared" si="107"/>
        <v>202205</v>
      </c>
      <c r="E3451" s="5" t="s">
        <v>5</v>
      </c>
      <c r="F3451" s="5" t="s">
        <v>10</v>
      </c>
      <c r="G3451" s="5" t="s">
        <v>31</v>
      </c>
      <c r="H3451">
        <v>11</v>
      </c>
      <c r="I3451" s="4">
        <v>325050</v>
      </c>
      <c r="J3451" s="4">
        <v>123200</v>
      </c>
    </row>
    <row r="3452" spans="2:10" x14ac:dyDescent="0.3">
      <c r="B3452" s="7">
        <v>44713</v>
      </c>
      <c r="C3452" s="3">
        <f t="shared" si="106"/>
        <v>2022</v>
      </c>
      <c r="D3452" s="3">
        <f t="shared" si="107"/>
        <v>202206</v>
      </c>
      <c r="E3452" s="5" t="s">
        <v>5</v>
      </c>
      <c r="F3452" s="5" t="s">
        <v>10</v>
      </c>
      <c r="G3452" s="5" t="s">
        <v>31</v>
      </c>
      <c r="H3452">
        <v>11</v>
      </c>
      <c r="I3452" s="4">
        <v>320760</v>
      </c>
      <c r="J3452" s="4">
        <v>123200</v>
      </c>
    </row>
    <row r="3453" spans="2:10" x14ac:dyDescent="0.3">
      <c r="B3453" s="7">
        <v>44743</v>
      </c>
      <c r="C3453" s="3">
        <f t="shared" si="106"/>
        <v>2022</v>
      </c>
      <c r="D3453" s="3">
        <f t="shared" si="107"/>
        <v>202207</v>
      </c>
      <c r="E3453" s="5" t="s">
        <v>5</v>
      </c>
      <c r="F3453" s="5" t="s">
        <v>10</v>
      </c>
      <c r="G3453" s="5" t="s">
        <v>31</v>
      </c>
      <c r="H3453">
        <v>11</v>
      </c>
      <c r="I3453" s="4">
        <v>302148</v>
      </c>
      <c r="J3453" s="4">
        <v>123200</v>
      </c>
    </row>
    <row r="3454" spans="2:10" x14ac:dyDescent="0.3">
      <c r="B3454" s="7">
        <v>44774</v>
      </c>
      <c r="C3454" s="3">
        <f t="shared" si="106"/>
        <v>2022</v>
      </c>
      <c r="D3454" s="3">
        <f t="shared" si="107"/>
        <v>202208</v>
      </c>
      <c r="E3454" s="5" t="s">
        <v>5</v>
      </c>
      <c r="F3454" s="5" t="s">
        <v>10</v>
      </c>
      <c r="G3454" s="5" t="s">
        <v>31</v>
      </c>
      <c r="H3454">
        <v>10</v>
      </c>
      <c r="I3454" s="4">
        <v>283250</v>
      </c>
      <c r="J3454" s="4">
        <v>112000</v>
      </c>
    </row>
    <row r="3455" spans="2:10" x14ac:dyDescent="0.3">
      <c r="B3455" s="7">
        <v>44805</v>
      </c>
      <c r="C3455" s="3">
        <f t="shared" si="106"/>
        <v>2022</v>
      </c>
      <c r="D3455" s="3">
        <f t="shared" si="107"/>
        <v>202209</v>
      </c>
      <c r="E3455" s="5" t="s">
        <v>5</v>
      </c>
      <c r="F3455" s="5" t="s">
        <v>10</v>
      </c>
      <c r="G3455" s="5" t="s">
        <v>31</v>
      </c>
      <c r="H3455">
        <v>10</v>
      </c>
      <c r="I3455" s="4">
        <v>288950</v>
      </c>
      <c r="J3455" s="4">
        <v>112000</v>
      </c>
    </row>
    <row r="3456" spans="2:10" x14ac:dyDescent="0.3">
      <c r="B3456" s="7">
        <v>44835</v>
      </c>
      <c r="C3456" s="3">
        <f t="shared" si="106"/>
        <v>2022</v>
      </c>
      <c r="D3456" s="3">
        <f t="shared" si="107"/>
        <v>202210</v>
      </c>
      <c r="E3456" s="5" t="s">
        <v>5</v>
      </c>
      <c r="F3456" s="5" t="s">
        <v>10</v>
      </c>
      <c r="G3456" s="5" t="s">
        <v>31</v>
      </c>
      <c r="H3456">
        <v>9</v>
      </c>
      <c r="I3456" s="4">
        <v>264645</v>
      </c>
      <c r="J3456" s="4">
        <v>100800</v>
      </c>
    </row>
    <row r="3457" spans="2:10" x14ac:dyDescent="0.3">
      <c r="B3457" s="7">
        <v>44866</v>
      </c>
      <c r="C3457" s="3">
        <f t="shared" si="106"/>
        <v>2022</v>
      </c>
      <c r="D3457" s="3">
        <f t="shared" si="107"/>
        <v>202211</v>
      </c>
      <c r="E3457" s="5" t="s">
        <v>5</v>
      </c>
      <c r="F3457" s="5" t="s">
        <v>10</v>
      </c>
      <c r="G3457" s="5" t="s">
        <v>31</v>
      </c>
      <c r="H3457">
        <v>6</v>
      </c>
      <c r="I3457" s="4">
        <v>179256</v>
      </c>
      <c r="J3457" s="4">
        <v>67200</v>
      </c>
    </row>
    <row r="3458" spans="2:10" x14ac:dyDescent="0.3">
      <c r="B3458" s="7">
        <v>44896</v>
      </c>
      <c r="C3458" s="3">
        <f t="shared" si="106"/>
        <v>2022</v>
      </c>
      <c r="D3458" s="3">
        <f t="shared" si="107"/>
        <v>202212</v>
      </c>
      <c r="E3458" s="5" t="s">
        <v>5</v>
      </c>
      <c r="F3458" s="5" t="s">
        <v>10</v>
      </c>
      <c r="G3458" s="5" t="s">
        <v>31</v>
      </c>
      <c r="H3458">
        <v>7</v>
      </c>
      <c r="I3458" s="4">
        <v>203448</v>
      </c>
      <c r="J3458" s="4">
        <v>78400</v>
      </c>
    </row>
    <row r="3459" spans="2:10" x14ac:dyDescent="0.3">
      <c r="B3459" s="7">
        <v>44197</v>
      </c>
      <c r="C3459" s="3">
        <f t="shared" ref="C3459:C3522" si="108">YEAR(B3459)</f>
        <v>2021</v>
      </c>
      <c r="D3459" s="3">
        <f t="shared" ref="D3459:D3522" si="109">VALUE(TEXT(B3459,"ГГГГММ"))</f>
        <v>202101</v>
      </c>
      <c r="E3459" s="5" t="s">
        <v>5</v>
      </c>
      <c r="F3459" s="5" t="s">
        <v>10</v>
      </c>
      <c r="G3459" s="5" t="s">
        <v>32</v>
      </c>
      <c r="H3459">
        <v>11</v>
      </c>
      <c r="I3459" s="4">
        <v>513315</v>
      </c>
      <c r="J3459" s="4">
        <v>277200.00000000006</v>
      </c>
    </row>
    <row r="3460" spans="2:10" x14ac:dyDescent="0.3">
      <c r="B3460" s="7">
        <v>44228</v>
      </c>
      <c r="C3460" s="3">
        <f t="shared" si="108"/>
        <v>2021</v>
      </c>
      <c r="D3460" s="3">
        <f t="shared" si="109"/>
        <v>202102</v>
      </c>
      <c r="E3460" s="5" t="s">
        <v>5</v>
      </c>
      <c r="F3460" s="5" t="s">
        <v>10</v>
      </c>
      <c r="G3460" s="5" t="s">
        <v>32</v>
      </c>
      <c r="H3460">
        <v>7</v>
      </c>
      <c r="I3460" s="4">
        <v>322098</v>
      </c>
      <c r="J3460" s="4">
        <v>176400.00000000003</v>
      </c>
    </row>
    <row r="3461" spans="2:10" x14ac:dyDescent="0.3">
      <c r="B3461" s="7">
        <v>44256</v>
      </c>
      <c r="C3461" s="3">
        <f t="shared" si="108"/>
        <v>2021</v>
      </c>
      <c r="D3461" s="3">
        <f t="shared" si="109"/>
        <v>202103</v>
      </c>
      <c r="E3461" s="5" t="s">
        <v>5</v>
      </c>
      <c r="F3461" s="5" t="s">
        <v>10</v>
      </c>
      <c r="G3461" s="5" t="s">
        <v>32</v>
      </c>
      <c r="H3461">
        <v>6</v>
      </c>
      <c r="I3461" s="4">
        <v>274482</v>
      </c>
      <c r="J3461" s="4">
        <v>151200.00000000003</v>
      </c>
    </row>
    <row r="3462" spans="2:10" x14ac:dyDescent="0.3">
      <c r="B3462" s="7">
        <v>44287</v>
      </c>
      <c r="C3462" s="3">
        <f t="shared" si="108"/>
        <v>2021</v>
      </c>
      <c r="D3462" s="3">
        <f t="shared" si="109"/>
        <v>202104</v>
      </c>
      <c r="E3462" s="5" t="s">
        <v>5</v>
      </c>
      <c r="F3462" s="5" t="s">
        <v>10</v>
      </c>
      <c r="G3462" s="5" t="s">
        <v>32</v>
      </c>
      <c r="H3462">
        <v>10</v>
      </c>
      <c r="I3462" s="4">
        <v>472480</v>
      </c>
      <c r="J3462" s="4">
        <v>252000.00000000003</v>
      </c>
    </row>
    <row r="3463" spans="2:10" x14ac:dyDescent="0.3">
      <c r="B3463" s="7">
        <v>44317</v>
      </c>
      <c r="C3463" s="3">
        <f t="shared" si="108"/>
        <v>2021</v>
      </c>
      <c r="D3463" s="3">
        <f t="shared" si="109"/>
        <v>202105</v>
      </c>
      <c r="E3463" s="5" t="s">
        <v>5</v>
      </c>
      <c r="F3463" s="5" t="s">
        <v>10</v>
      </c>
      <c r="G3463" s="5" t="s">
        <v>32</v>
      </c>
      <c r="H3463">
        <v>13</v>
      </c>
      <c r="I3463" s="4">
        <v>606827</v>
      </c>
      <c r="J3463" s="4">
        <v>327600.00000000006</v>
      </c>
    </row>
    <row r="3464" spans="2:10" x14ac:dyDescent="0.3">
      <c r="B3464" s="7">
        <v>44348</v>
      </c>
      <c r="C3464" s="3">
        <f t="shared" si="108"/>
        <v>2021</v>
      </c>
      <c r="D3464" s="3">
        <f t="shared" si="109"/>
        <v>202106</v>
      </c>
      <c r="E3464" s="5" t="s">
        <v>5</v>
      </c>
      <c r="F3464" s="5" t="s">
        <v>10</v>
      </c>
      <c r="G3464" s="5" t="s">
        <v>32</v>
      </c>
      <c r="H3464">
        <v>12</v>
      </c>
      <c r="I3464" s="4">
        <v>556296</v>
      </c>
      <c r="J3464" s="4">
        <v>302400.00000000006</v>
      </c>
    </row>
    <row r="3465" spans="2:10" x14ac:dyDescent="0.3">
      <c r="B3465" s="7">
        <v>44378</v>
      </c>
      <c r="C3465" s="3">
        <f t="shared" si="108"/>
        <v>2021</v>
      </c>
      <c r="D3465" s="3">
        <f t="shared" si="109"/>
        <v>202107</v>
      </c>
      <c r="E3465" s="5" t="s">
        <v>5</v>
      </c>
      <c r="F3465" s="5" t="s">
        <v>10</v>
      </c>
      <c r="G3465" s="5" t="s">
        <v>32</v>
      </c>
      <c r="H3465">
        <v>13</v>
      </c>
      <c r="I3465" s="4">
        <v>579319</v>
      </c>
      <c r="J3465" s="4">
        <v>327600.00000000006</v>
      </c>
    </row>
    <row r="3466" spans="2:10" x14ac:dyDescent="0.3">
      <c r="B3466" s="7">
        <v>44409</v>
      </c>
      <c r="C3466" s="3">
        <f t="shared" si="108"/>
        <v>2021</v>
      </c>
      <c r="D3466" s="3">
        <f t="shared" si="109"/>
        <v>202108</v>
      </c>
      <c r="E3466" s="5" t="s">
        <v>5</v>
      </c>
      <c r="F3466" s="5" t="s">
        <v>10</v>
      </c>
      <c r="G3466" s="5" t="s">
        <v>32</v>
      </c>
      <c r="H3466">
        <v>11</v>
      </c>
      <c r="I3466" s="4">
        <v>505263</v>
      </c>
      <c r="J3466" s="4">
        <v>277200.00000000006</v>
      </c>
    </row>
    <row r="3467" spans="2:10" x14ac:dyDescent="0.3">
      <c r="B3467" s="7">
        <v>44440</v>
      </c>
      <c r="C3467" s="3">
        <f t="shared" si="108"/>
        <v>2021</v>
      </c>
      <c r="D3467" s="3">
        <f t="shared" si="109"/>
        <v>202109</v>
      </c>
      <c r="E3467" s="5" t="s">
        <v>5</v>
      </c>
      <c r="F3467" s="5" t="s">
        <v>10</v>
      </c>
      <c r="G3467" s="5" t="s">
        <v>32</v>
      </c>
      <c r="H3467">
        <v>12</v>
      </c>
      <c r="I3467" s="4">
        <v>543144</v>
      </c>
      <c r="J3467" s="4">
        <v>302400.00000000006</v>
      </c>
    </row>
    <row r="3468" spans="2:10" x14ac:dyDescent="0.3">
      <c r="B3468" s="7">
        <v>44470</v>
      </c>
      <c r="C3468" s="3">
        <f t="shared" si="108"/>
        <v>2021</v>
      </c>
      <c r="D3468" s="3">
        <f t="shared" si="109"/>
        <v>202110</v>
      </c>
      <c r="E3468" s="5" t="s">
        <v>5</v>
      </c>
      <c r="F3468" s="5" t="s">
        <v>10</v>
      </c>
      <c r="G3468" s="5" t="s">
        <v>32</v>
      </c>
      <c r="H3468">
        <v>10</v>
      </c>
      <c r="I3468" s="4">
        <v>458140</v>
      </c>
      <c r="J3468" s="4">
        <v>252000.00000000003</v>
      </c>
    </row>
    <row r="3469" spans="2:10" x14ac:dyDescent="0.3">
      <c r="B3469" s="7">
        <v>44501</v>
      </c>
      <c r="C3469" s="3">
        <f t="shared" si="108"/>
        <v>2021</v>
      </c>
      <c r="D3469" s="3">
        <f t="shared" si="109"/>
        <v>202111</v>
      </c>
      <c r="E3469" s="5" t="s">
        <v>5</v>
      </c>
      <c r="F3469" s="5" t="s">
        <v>10</v>
      </c>
      <c r="G3469" s="5" t="s">
        <v>32</v>
      </c>
      <c r="H3469">
        <v>7</v>
      </c>
      <c r="I3469" s="4">
        <v>324681</v>
      </c>
      <c r="J3469" s="4">
        <v>176400.00000000003</v>
      </c>
    </row>
    <row r="3470" spans="2:10" x14ac:dyDescent="0.3">
      <c r="B3470" s="7">
        <v>44531</v>
      </c>
      <c r="C3470" s="3">
        <f t="shared" si="108"/>
        <v>2021</v>
      </c>
      <c r="D3470" s="3">
        <f t="shared" si="109"/>
        <v>202112</v>
      </c>
      <c r="E3470" s="5" t="s">
        <v>5</v>
      </c>
      <c r="F3470" s="5" t="s">
        <v>10</v>
      </c>
      <c r="G3470" s="5" t="s">
        <v>32</v>
      </c>
      <c r="H3470">
        <v>8</v>
      </c>
      <c r="I3470" s="4">
        <v>364520</v>
      </c>
      <c r="J3470" s="4">
        <v>201600.00000000003</v>
      </c>
    </row>
    <row r="3471" spans="2:10" x14ac:dyDescent="0.3">
      <c r="B3471" s="7">
        <v>44562</v>
      </c>
      <c r="C3471" s="3">
        <f t="shared" si="108"/>
        <v>2022</v>
      </c>
      <c r="D3471" s="3">
        <f t="shared" si="109"/>
        <v>202201</v>
      </c>
      <c r="E3471" s="5" t="s">
        <v>5</v>
      </c>
      <c r="F3471" s="5" t="s">
        <v>10</v>
      </c>
      <c r="G3471" s="5" t="s">
        <v>32</v>
      </c>
      <c r="H3471">
        <v>12</v>
      </c>
      <c r="I3471" s="4">
        <v>553728</v>
      </c>
      <c r="J3471" s="4">
        <v>302400.00000000006</v>
      </c>
    </row>
    <row r="3472" spans="2:10" x14ac:dyDescent="0.3">
      <c r="B3472" s="7">
        <v>44593</v>
      </c>
      <c r="C3472" s="3">
        <f t="shared" si="108"/>
        <v>2022</v>
      </c>
      <c r="D3472" s="3">
        <f t="shared" si="109"/>
        <v>202202</v>
      </c>
      <c r="E3472" s="5" t="s">
        <v>5</v>
      </c>
      <c r="F3472" s="5" t="s">
        <v>10</v>
      </c>
      <c r="G3472" s="5" t="s">
        <v>32</v>
      </c>
      <c r="H3472">
        <v>8</v>
      </c>
      <c r="I3472" s="4">
        <v>376168</v>
      </c>
      <c r="J3472" s="4">
        <v>201600.00000000003</v>
      </c>
    </row>
    <row r="3473" spans="2:10" x14ac:dyDescent="0.3">
      <c r="B3473" s="7">
        <v>44621</v>
      </c>
      <c r="C3473" s="3">
        <f t="shared" si="108"/>
        <v>2022</v>
      </c>
      <c r="D3473" s="3">
        <f t="shared" si="109"/>
        <v>202203</v>
      </c>
      <c r="E3473" s="5" t="s">
        <v>5</v>
      </c>
      <c r="F3473" s="5" t="s">
        <v>10</v>
      </c>
      <c r="G3473" s="5" t="s">
        <v>32</v>
      </c>
      <c r="H3473">
        <v>6</v>
      </c>
      <c r="I3473" s="4">
        <v>273606</v>
      </c>
      <c r="J3473" s="4">
        <v>151200.00000000003</v>
      </c>
    </row>
    <row r="3474" spans="2:10" x14ac:dyDescent="0.3">
      <c r="B3474" s="7">
        <v>44652</v>
      </c>
      <c r="C3474" s="3">
        <f t="shared" si="108"/>
        <v>2022</v>
      </c>
      <c r="D3474" s="3">
        <f t="shared" si="109"/>
        <v>202204</v>
      </c>
      <c r="E3474" s="5" t="s">
        <v>5</v>
      </c>
      <c r="F3474" s="5" t="s">
        <v>10</v>
      </c>
      <c r="G3474" s="5" t="s">
        <v>32</v>
      </c>
      <c r="H3474">
        <v>11</v>
      </c>
      <c r="I3474" s="4">
        <v>509872</v>
      </c>
      <c r="J3474" s="4">
        <v>277200.00000000006</v>
      </c>
    </row>
    <row r="3475" spans="2:10" x14ac:dyDescent="0.3">
      <c r="B3475" s="7">
        <v>44682</v>
      </c>
      <c r="C3475" s="3">
        <f t="shared" si="108"/>
        <v>2022</v>
      </c>
      <c r="D3475" s="3">
        <f t="shared" si="109"/>
        <v>202205</v>
      </c>
      <c r="E3475" s="5" t="s">
        <v>5</v>
      </c>
      <c r="F3475" s="5" t="s">
        <v>10</v>
      </c>
      <c r="G3475" s="5" t="s">
        <v>32</v>
      </c>
      <c r="H3475">
        <v>14</v>
      </c>
      <c r="I3475" s="4">
        <v>653142</v>
      </c>
      <c r="J3475" s="4">
        <v>352800.00000000006</v>
      </c>
    </row>
    <row r="3476" spans="2:10" x14ac:dyDescent="0.3">
      <c r="B3476" s="7">
        <v>44713</v>
      </c>
      <c r="C3476" s="3">
        <f t="shared" si="108"/>
        <v>2022</v>
      </c>
      <c r="D3476" s="3">
        <f t="shared" si="109"/>
        <v>202206</v>
      </c>
      <c r="E3476" s="5" t="s">
        <v>5</v>
      </c>
      <c r="F3476" s="5" t="s">
        <v>10</v>
      </c>
      <c r="G3476" s="5" t="s">
        <v>32</v>
      </c>
      <c r="H3476">
        <v>14</v>
      </c>
      <c r="I3476" s="4">
        <v>640402</v>
      </c>
      <c r="J3476" s="4">
        <v>352800.00000000006</v>
      </c>
    </row>
    <row r="3477" spans="2:10" x14ac:dyDescent="0.3">
      <c r="B3477" s="7">
        <v>44743</v>
      </c>
      <c r="C3477" s="3">
        <f t="shared" si="108"/>
        <v>2022</v>
      </c>
      <c r="D3477" s="3">
        <f t="shared" si="109"/>
        <v>202207</v>
      </c>
      <c r="E3477" s="5" t="s">
        <v>5</v>
      </c>
      <c r="F3477" s="5" t="s">
        <v>10</v>
      </c>
      <c r="G3477" s="5" t="s">
        <v>32</v>
      </c>
      <c r="H3477">
        <v>14</v>
      </c>
      <c r="I3477" s="4">
        <v>631932</v>
      </c>
      <c r="J3477" s="4">
        <v>352800.00000000006</v>
      </c>
    </row>
    <row r="3478" spans="2:10" x14ac:dyDescent="0.3">
      <c r="B3478" s="7">
        <v>44774</v>
      </c>
      <c r="C3478" s="3">
        <f t="shared" si="108"/>
        <v>2022</v>
      </c>
      <c r="D3478" s="3">
        <f t="shared" si="109"/>
        <v>202208</v>
      </c>
      <c r="E3478" s="5" t="s">
        <v>5</v>
      </c>
      <c r="F3478" s="5" t="s">
        <v>10</v>
      </c>
      <c r="G3478" s="5" t="s">
        <v>32</v>
      </c>
      <c r="H3478">
        <v>12</v>
      </c>
      <c r="I3478" s="4">
        <v>547824</v>
      </c>
      <c r="J3478" s="4">
        <v>302400.00000000006</v>
      </c>
    </row>
    <row r="3479" spans="2:10" x14ac:dyDescent="0.3">
      <c r="B3479" s="7">
        <v>44805</v>
      </c>
      <c r="C3479" s="3">
        <f t="shared" si="108"/>
        <v>2022</v>
      </c>
      <c r="D3479" s="3">
        <f t="shared" si="109"/>
        <v>202209</v>
      </c>
      <c r="E3479" s="5" t="s">
        <v>5</v>
      </c>
      <c r="F3479" s="5" t="s">
        <v>10</v>
      </c>
      <c r="G3479" s="5" t="s">
        <v>32</v>
      </c>
      <c r="H3479">
        <v>13</v>
      </c>
      <c r="I3479" s="4">
        <v>601497</v>
      </c>
      <c r="J3479" s="4">
        <v>327600.00000000006</v>
      </c>
    </row>
    <row r="3480" spans="2:10" x14ac:dyDescent="0.3">
      <c r="B3480" s="7">
        <v>44835</v>
      </c>
      <c r="C3480" s="3">
        <f t="shared" si="108"/>
        <v>2022</v>
      </c>
      <c r="D3480" s="3">
        <f t="shared" si="109"/>
        <v>202210</v>
      </c>
      <c r="E3480" s="5" t="s">
        <v>5</v>
      </c>
      <c r="F3480" s="5" t="s">
        <v>10</v>
      </c>
      <c r="G3480" s="5" t="s">
        <v>32</v>
      </c>
      <c r="H3480">
        <v>11</v>
      </c>
      <c r="I3480" s="4">
        <v>512215</v>
      </c>
      <c r="J3480" s="4">
        <v>277200.00000000006</v>
      </c>
    </row>
    <row r="3481" spans="2:10" x14ac:dyDescent="0.3">
      <c r="B3481" s="7">
        <v>44866</v>
      </c>
      <c r="C3481" s="3">
        <f t="shared" si="108"/>
        <v>2022</v>
      </c>
      <c r="D3481" s="3">
        <f t="shared" si="109"/>
        <v>202211</v>
      </c>
      <c r="E3481" s="5" t="s">
        <v>5</v>
      </c>
      <c r="F3481" s="5" t="s">
        <v>10</v>
      </c>
      <c r="G3481" s="5" t="s">
        <v>32</v>
      </c>
      <c r="H3481">
        <v>8</v>
      </c>
      <c r="I3481" s="4">
        <v>372160</v>
      </c>
      <c r="J3481" s="4">
        <v>201600.00000000003</v>
      </c>
    </row>
    <row r="3482" spans="2:10" x14ac:dyDescent="0.3">
      <c r="B3482" s="7">
        <v>44896</v>
      </c>
      <c r="C3482" s="3">
        <f t="shared" si="108"/>
        <v>2022</v>
      </c>
      <c r="D3482" s="3">
        <f t="shared" si="109"/>
        <v>202212</v>
      </c>
      <c r="E3482" s="5" t="s">
        <v>5</v>
      </c>
      <c r="F3482" s="5" t="s">
        <v>10</v>
      </c>
      <c r="G3482" s="5" t="s">
        <v>32</v>
      </c>
      <c r="H3482">
        <v>9</v>
      </c>
      <c r="I3482" s="4">
        <v>411858</v>
      </c>
      <c r="J3482" s="4">
        <v>226800.00000000003</v>
      </c>
    </row>
    <row r="3483" spans="2:10" x14ac:dyDescent="0.3">
      <c r="B3483" s="7">
        <v>44197</v>
      </c>
      <c r="C3483" s="3">
        <f t="shared" si="108"/>
        <v>2021</v>
      </c>
      <c r="D3483" s="3">
        <f t="shared" si="109"/>
        <v>202101</v>
      </c>
      <c r="E3483" s="5" t="s">
        <v>5</v>
      </c>
      <c r="F3483" s="5" t="s">
        <v>10</v>
      </c>
      <c r="G3483" s="5" t="s">
        <v>33</v>
      </c>
      <c r="H3483">
        <v>11</v>
      </c>
      <c r="I3483" s="4">
        <v>203247</v>
      </c>
      <c r="J3483" s="4">
        <v>104720</v>
      </c>
    </row>
    <row r="3484" spans="2:10" x14ac:dyDescent="0.3">
      <c r="B3484" s="7">
        <v>44228</v>
      </c>
      <c r="C3484" s="3">
        <f t="shared" si="108"/>
        <v>2021</v>
      </c>
      <c r="D3484" s="3">
        <f t="shared" si="109"/>
        <v>202102</v>
      </c>
      <c r="E3484" s="5" t="s">
        <v>5</v>
      </c>
      <c r="F3484" s="5" t="s">
        <v>10</v>
      </c>
      <c r="G3484" s="5" t="s">
        <v>33</v>
      </c>
      <c r="H3484">
        <v>7</v>
      </c>
      <c r="I3484" s="4">
        <v>132454</v>
      </c>
      <c r="J3484" s="4">
        <v>66640</v>
      </c>
    </row>
    <row r="3485" spans="2:10" x14ac:dyDescent="0.3">
      <c r="B3485" s="7">
        <v>44256</v>
      </c>
      <c r="C3485" s="3">
        <f t="shared" si="108"/>
        <v>2021</v>
      </c>
      <c r="D3485" s="3">
        <f t="shared" si="109"/>
        <v>202103</v>
      </c>
      <c r="E3485" s="5" t="s">
        <v>5</v>
      </c>
      <c r="F3485" s="5" t="s">
        <v>10</v>
      </c>
      <c r="G3485" s="5" t="s">
        <v>33</v>
      </c>
      <c r="H3485">
        <v>6</v>
      </c>
      <c r="I3485" s="4">
        <v>106872</v>
      </c>
      <c r="J3485" s="4">
        <v>57120</v>
      </c>
    </row>
    <row r="3486" spans="2:10" x14ac:dyDescent="0.3">
      <c r="B3486" s="7">
        <v>44287</v>
      </c>
      <c r="C3486" s="3">
        <f t="shared" si="108"/>
        <v>2021</v>
      </c>
      <c r="D3486" s="3">
        <f t="shared" si="109"/>
        <v>202104</v>
      </c>
      <c r="E3486" s="5" t="s">
        <v>5</v>
      </c>
      <c r="F3486" s="5" t="s">
        <v>10</v>
      </c>
      <c r="G3486" s="5" t="s">
        <v>33</v>
      </c>
      <c r="H3486">
        <v>10</v>
      </c>
      <c r="I3486" s="4">
        <v>184540</v>
      </c>
      <c r="J3486" s="4">
        <v>95200</v>
      </c>
    </row>
    <row r="3487" spans="2:10" x14ac:dyDescent="0.3">
      <c r="B3487" s="7">
        <v>44317</v>
      </c>
      <c r="C3487" s="3">
        <f t="shared" si="108"/>
        <v>2021</v>
      </c>
      <c r="D3487" s="3">
        <f t="shared" si="109"/>
        <v>202105</v>
      </c>
      <c r="E3487" s="5" t="s">
        <v>5</v>
      </c>
      <c r="F3487" s="5" t="s">
        <v>10</v>
      </c>
      <c r="G3487" s="5" t="s">
        <v>33</v>
      </c>
      <c r="H3487">
        <v>13</v>
      </c>
      <c r="I3487" s="4">
        <v>249938</v>
      </c>
      <c r="J3487" s="4">
        <v>123760</v>
      </c>
    </row>
    <row r="3488" spans="2:10" x14ac:dyDescent="0.3">
      <c r="B3488" s="7">
        <v>44348</v>
      </c>
      <c r="C3488" s="3">
        <f t="shared" si="108"/>
        <v>2021</v>
      </c>
      <c r="D3488" s="3">
        <f t="shared" si="109"/>
        <v>202106</v>
      </c>
      <c r="E3488" s="5" t="s">
        <v>5</v>
      </c>
      <c r="F3488" s="5" t="s">
        <v>10</v>
      </c>
      <c r="G3488" s="5" t="s">
        <v>33</v>
      </c>
      <c r="H3488">
        <v>12</v>
      </c>
      <c r="I3488" s="4">
        <v>219828</v>
      </c>
      <c r="J3488" s="4">
        <v>114240</v>
      </c>
    </row>
    <row r="3489" spans="2:10" x14ac:dyDescent="0.3">
      <c r="B3489" s="7">
        <v>44378</v>
      </c>
      <c r="C3489" s="3">
        <f t="shared" si="108"/>
        <v>2021</v>
      </c>
      <c r="D3489" s="3">
        <f t="shared" si="109"/>
        <v>202107</v>
      </c>
      <c r="E3489" s="5" t="s">
        <v>5</v>
      </c>
      <c r="F3489" s="5" t="s">
        <v>10</v>
      </c>
      <c r="G3489" s="5" t="s">
        <v>33</v>
      </c>
      <c r="H3489">
        <v>13</v>
      </c>
      <c r="I3489" s="4">
        <v>220155</v>
      </c>
      <c r="J3489" s="4">
        <v>123760</v>
      </c>
    </row>
    <row r="3490" spans="2:10" x14ac:dyDescent="0.3">
      <c r="B3490" s="7">
        <v>44409</v>
      </c>
      <c r="C3490" s="3">
        <f t="shared" si="108"/>
        <v>2021</v>
      </c>
      <c r="D3490" s="3">
        <f t="shared" si="109"/>
        <v>202108</v>
      </c>
      <c r="E3490" s="5" t="s">
        <v>5</v>
      </c>
      <c r="F3490" s="5" t="s">
        <v>10</v>
      </c>
      <c r="G3490" s="5" t="s">
        <v>33</v>
      </c>
      <c r="H3490">
        <v>11</v>
      </c>
      <c r="I3490" s="4">
        <v>192313</v>
      </c>
      <c r="J3490" s="4">
        <v>104720</v>
      </c>
    </row>
    <row r="3491" spans="2:10" x14ac:dyDescent="0.3">
      <c r="B3491" s="7">
        <v>44440</v>
      </c>
      <c r="C3491" s="3">
        <f t="shared" si="108"/>
        <v>2021</v>
      </c>
      <c r="D3491" s="3">
        <f t="shared" si="109"/>
        <v>202109</v>
      </c>
      <c r="E3491" s="5" t="s">
        <v>5</v>
      </c>
      <c r="F3491" s="5" t="s">
        <v>10</v>
      </c>
      <c r="G3491" s="5" t="s">
        <v>33</v>
      </c>
      <c r="H3491">
        <v>12</v>
      </c>
      <c r="I3491" s="4">
        <v>213984</v>
      </c>
      <c r="J3491" s="4">
        <v>114240</v>
      </c>
    </row>
    <row r="3492" spans="2:10" x14ac:dyDescent="0.3">
      <c r="B3492" s="7">
        <v>44470</v>
      </c>
      <c r="C3492" s="3">
        <f t="shared" si="108"/>
        <v>2021</v>
      </c>
      <c r="D3492" s="3">
        <f t="shared" si="109"/>
        <v>202110</v>
      </c>
      <c r="E3492" s="5" t="s">
        <v>5</v>
      </c>
      <c r="F3492" s="5" t="s">
        <v>10</v>
      </c>
      <c r="G3492" s="5" t="s">
        <v>33</v>
      </c>
      <c r="H3492">
        <v>10</v>
      </c>
      <c r="I3492" s="4">
        <v>183520</v>
      </c>
      <c r="J3492" s="4">
        <v>95200</v>
      </c>
    </row>
    <row r="3493" spans="2:10" x14ac:dyDescent="0.3">
      <c r="B3493" s="7">
        <v>44501</v>
      </c>
      <c r="C3493" s="3">
        <f t="shared" si="108"/>
        <v>2021</v>
      </c>
      <c r="D3493" s="3">
        <f t="shared" si="109"/>
        <v>202111</v>
      </c>
      <c r="E3493" s="5" t="s">
        <v>5</v>
      </c>
      <c r="F3493" s="5" t="s">
        <v>10</v>
      </c>
      <c r="G3493" s="5" t="s">
        <v>33</v>
      </c>
      <c r="H3493">
        <v>7</v>
      </c>
      <c r="I3493" s="4">
        <v>125244</v>
      </c>
      <c r="J3493" s="4">
        <v>66640</v>
      </c>
    </row>
    <row r="3494" spans="2:10" x14ac:dyDescent="0.3">
      <c r="B3494" s="7">
        <v>44531</v>
      </c>
      <c r="C3494" s="3">
        <f t="shared" si="108"/>
        <v>2021</v>
      </c>
      <c r="D3494" s="3">
        <f t="shared" si="109"/>
        <v>202112</v>
      </c>
      <c r="E3494" s="5" t="s">
        <v>5</v>
      </c>
      <c r="F3494" s="5" t="s">
        <v>10</v>
      </c>
      <c r="G3494" s="5" t="s">
        <v>33</v>
      </c>
      <c r="H3494">
        <v>8</v>
      </c>
      <c r="I3494" s="4">
        <v>143696</v>
      </c>
      <c r="J3494" s="4">
        <v>76160</v>
      </c>
    </row>
    <row r="3495" spans="2:10" x14ac:dyDescent="0.3">
      <c r="B3495" s="7">
        <v>44562</v>
      </c>
      <c r="C3495" s="3">
        <f t="shared" si="108"/>
        <v>2022</v>
      </c>
      <c r="D3495" s="3">
        <f t="shared" si="109"/>
        <v>202201</v>
      </c>
      <c r="E3495" s="5" t="s">
        <v>5</v>
      </c>
      <c r="F3495" s="5" t="s">
        <v>10</v>
      </c>
      <c r="G3495" s="5" t="s">
        <v>33</v>
      </c>
      <c r="H3495">
        <v>12</v>
      </c>
      <c r="I3495" s="4">
        <v>213612</v>
      </c>
      <c r="J3495" s="4">
        <v>114240</v>
      </c>
    </row>
    <row r="3496" spans="2:10" x14ac:dyDescent="0.3">
      <c r="B3496" s="7">
        <v>44593</v>
      </c>
      <c r="C3496" s="3">
        <f t="shared" si="108"/>
        <v>2022</v>
      </c>
      <c r="D3496" s="3">
        <f t="shared" si="109"/>
        <v>202202</v>
      </c>
      <c r="E3496" s="5" t="s">
        <v>5</v>
      </c>
      <c r="F3496" s="5" t="s">
        <v>10</v>
      </c>
      <c r="G3496" s="5" t="s">
        <v>33</v>
      </c>
      <c r="H3496">
        <v>8</v>
      </c>
      <c r="I3496" s="4">
        <v>147816</v>
      </c>
      <c r="J3496" s="4">
        <v>76160</v>
      </c>
    </row>
    <row r="3497" spans="2:10" x14ac:dyDescent="0.3">
      <c r="B3497" s="7">
        <v>44621</v>
      </c>
      <c r="C3497" s="3">
        <f t="shared" si="108"/>
        <v>2022</v>
      </c>
      <c r="D3497" s="3">
        <f t="shared" si="109"/>
        <v>202203</v>
      </c>
      <c r="E3497" s="5" t="s">
        <v>5</v>
      </c>
      <c r="F3497" s="5" t="s">
        <v>10</v>
      </c>
      <c r="G3497" s="5" t="s">
        <v>33</v>
      </c>
      <c r="H3497">
        <v>6</v>
      </c>
      <c r="I3497" s="4">
        <v>105816</v>
      </c>
      <c r="J3497" s="4">
        <v>57120</v>
      </c>
    </row>
    <row r="3498" spans="2:10" x14ac:dyDescent="0.3">
      <c r="B3498" s="7">
        <v>44652</v>
      </c>
      <c r="C3498" s="3">
        <f t="shared" si="108"/>
        <v>2022</v>
      </c>
      <c r="D3498" s="3">
        <f t="shared" si="109"/>
        <v>202204</v>
      </c>
      <c r="E3498" s="5" t="s">
        <v>5</v>
      </c>
      <c r="F3498" s="5" t="s">
        <v>10</v>
      </c>
      <c r="G3498" s="5" t="s">
        <v>33</v>
      </c>
      <c r="H3498">
        <v>11</v>
      </c>
      <c r="I3498" s="4">
        <v>208406</v>
      </c>
      <c r="J3498" s="4">
        <v>104720</v>
      </c>
    </row>
    <row r="3499" spans="2:10" x14ac:dyDescent="0.3">
      <c r="B3499" s="7">
        <v>44682</v>
      </c>
      <c r="C3499" s="3">
        <f t="shared" si="108"/>
        <v>2022</v>
      </c>
      <c r="D3499" s="3">
        <f t="shared" si="109"/>
        <v>202205</v>
      </c>
      <c r="E3499" s="5" t="s">
        <v>5</v>
      </c>
      <c r="F3499" s="5" t="s">
        <v>10</v>
      </c>
      <c r="G3499" s="5" t="s">
        <v>33</v>
      </c>
      <c r="H3499">
        <v>14</v>
      </c>
      <c r="I3499" s="4">
        <v>264712</v>
      </c>
      <c r="J3499" s="4">
        <v>133280</v>
      </c>
    </row>
    <row r="3500" spans="2:10" x14ac:dyDescent="0.3">
      <c r="B3500" s="7">
        <v>44713</v>
      </c>
      <c r="C3500" s="3">
        <f t="shared" si="108"/>
        <v>2022</v>
      </c>
      <c r="D3500" s="3">
        <f t="shared" si="109"/>
        <v>202206</v>
      </c>
      <c r="E3500" s="5" t="s">
        <v>5</v>
      </c>
      <c r="F3500" s="5" t="s">
        <v>10</v>
      </c>
      <c r="G3500" s="5" t="s">
        <v>33</v>
      </c>
      <c r="H3500">
        <v>14</v>
      </c>
      <c r="I3500" s="4">
        <v>258356</v>
      </c>
      <c r="J3500" s="4">
        <v>133280</v>
      </c>
    </row>
    <row r="3501" spans="2:10" x14ac:dyDescent="0.3">
      <c r="B3501" s="7">
        <v>44743</v>
      </c>
      <c r="C3501" s="3">
        <f t="shared" si="108"/>
        <v>2022</v>
      </c>
      <c r="D3501" s="3">
        <f t="shared" si="109"/>
        <v>202207</v>
      </c>
      <c r="E3501" s="5" t="s">
        <v>5</v>
      </c>
      <c r="F3501" s="5" t="s">
        <v>10</v>
      </c>
      <c r="G3501" s="5" t="s">
        <v>33</v>
      </c>
      <c r="H3501">
        <v>14</v>
      </c>
      <c r="I3501" s="4">
        <v>241276</v>
      </c>
      <c r="J3501" s="4">
        <v>133280</v>
      </c>
    </row>
    <row r="3502" spans="2:10" x14ac:dyDescent="0.3">
      <c r="B3502" s="7">
        <v>44774</v>
      </c>
      <c r="C3502" s="3">
        <f t="shared" si="108"/>
        <v>2022</v>
      </c>
      <c r="D3502" s="3">
        <f t="shared" si="109"/>
        <v>202208</v>
      </c>
      <c r="E3502" s="5" t="s">
        <v>5</v>
      </c>
      <c r="F3502" s="5" t="s">
        <v>10</v>
      </c>
      <c r="G3502" s="5" t="s">
        <v>33</v>
      </c>
      <c r="H3502">
        <v>12</v>
      </c>
      <c r="I3502" s="4">
        <v>212220</v>
      </c>
      <c r="J3502" s="4">
        <v>114240</v>
      </c>
    </row>
    <row r="3503" spans="2:10" x14ac:dyDescent="0.3">
      <c r="B3503" s="7">
        <v>44805</v>
      </c>
      <c r="C3503" s="3">
        <f t="shared" si="108"/>
        <v>2022</v>
      </c>
      <c r="D3503" s="3">
        <f t="shared" si="109"/>
        <v>202209</v>
      </c>
      <c r="E3503" s="5" t="s">
        <v>5</v>
      </c>
      <c r="F3503" s="5" t="s">
        <v>10</v>
      </c>
      <c r="G3503" s="5" t="s">
        <v>33</v>
      </c>
      <c r="H3503">
        <v>13</v>
      </c>
      <c r="I3503" s="4">
        <v>239447</v>
      </c>
      <c r="J3503" s="4">
        <v>123760</v>
      </c>
    </row>
    <row r="3504" spans="2:10" x14ac:dyDescent="0.3">
      <c r="B3504" s="7">
        <v>44835</v>
      </c>
      <c r="C3504" s="3">
        <f t="shared" si="108"/>
        <v>2022</v>
      </c>
      <c r="D3504" s="3">
        <f t="shared" si="109"/>
        <v>202210</v>
      </c>
      <c r="E3504" s="5" t="s">
        <v>5</v>
      </c>
      <c r="F3504" s="5" t="s">
        <v>10</v>
      </c>
      <c r="G3504" s="5" t="s">
        <v>33</v>
      </c>
      <c r="H3504">
        <v>11</v>
      </c>
      <c r="I3504" s="4">
        <v>202774</v>
      </c>
      <c r="J3504" s="4">
        <v>104720</v>
      </c>
    </row>
    <row r="3505" spans="2:10" x14ac:dyDescent="0.3">
      <c r="B3505" s="7">
        <v>44866</v>
      </c>
      <c r="C3505" s="3">
        <f t="shared" si="108"/>
        <v>2022</v>
      </c>
      <c r="D3505" s="3">
        <f t="shared" si="109"/>
        <v>202211</v>
      </c>
      <c r="E3505" s="5" t="s">
        <v>5</v>
      </c>
      <c r="F3505" s="5" t="s">
        <v>10</v>
      </c>
      <c r="G3505" s="5" t="s">
        <v>33</v>
      </c>
      <c r="H3505">
        <v>8</v>
      </c>
      <c r="I3505" s="4">
        <v>145240</v>
      </c>
      <c r="J3505" s="4">
        <v>76160</v>
      </c>
    </row>
    <row r="3506" spans="2:10" x14ac:dyDescent="0.3">
      <c r="B3506" s="7">
        <v>44896</v>
      </c>
      <c r="C3506" s="3">
        <f t="shared" si="108"/>
        <v>2022</v>
      </c>
      <c r="D3506" s="3">
        <f t="shared" si="109"/>
        <v>202212</v>
      </c>
      <c r="E3506" s="5" t="s">
        <v>5</v>
      </c>
      <c r="F3506" s="5" t="s">
        <v>10</v>
      </c>
      <c r="G3506" s="5" t="s">
        <v>33</v>
      </c>
      <c r="H3506">
        <v>9</v>
      </c>
      <c r="I3506" s="4">
        <v>161100</v>
      </c>
      <c r="J3506" s="4">
        <v>85680</v>
      </c>
    </row>
    <row r="3507" spans="2:10" x14ac:dyDescent="0.3">
      <c r="B3507" s="7">
        <v>44197</v>
      </c>
      <c r="C3507" s="3">
        <f t="shared" si="108"/>
        <v>2021</v>
      </c>
      <c r="D3507" s="3">
        <f t="shared" si="109"/>
        <v>202101</v>
      </c>
      <c r="E3507" s="5" t="s">
        <v>5</v>
      </c>
      <c r="F3507" s="5" t="s">
        <v>10</v>
      </c>
      <c r="G3507" s="5" t="s">
        <v>34</v>
      </c>
      <c r="H3507">
        <v>9</v>
      </c>
      <c r="I3507" s="4">
        <v>358497</v>
      </c>
      <c r="J3507" s="4">
        <v>147420</v>
      </c>
    </row>
    <row r="3508" spans="2:10" x14ac:dyDescent="0.3">
      <c r="B3508" s="7">
        <v>44228</v>
      </c>
      <c r="C3508" s="3">
        <f t="shared" si="108"/>
        <v>2021</v>
      </c>
      <c r="D3508" s="3">
        <f t="shared" si="109"/>
        <v>202102</v>
      </c>
      <c r="E3508" s="5" t="s">
        <v>5</v>
      </c>
      <c r="F3508" s="5" t="s">
        <v>10</v>
      </c>
      <c r="G3508" s="5" t="s">
        <v>34</v>
      </c>
      <c r="H3508">
        <v>6</v>
      </c>
      <c r="I3508" s="4">
        <v>242124</v>
      </c>
      <c r="J3508" s="4">
        <v>98280</v>
      </c>
    </row>
    <row r="3509" spans="2:10" x14ac:dyDescent="0.3">
      <c r="B3509" s="7">
        <v>44256</v>
      </c>
      <c r="C3509" s="3">
        <f t="shared" si="108"/>
        <v>2021</v>
      </c>
      <c r="D3509" s="3">
        <f t="shared" si="109"/>
        <v>202103</v>
      </c>
      <c r="E3509" s="5" t="s">
        <v>5</v>
      </c>
      <c r="F3509" s="5" t="s">
        <v>10</v>
      </c>
      <c r="G3509" s="5" t="s">
        <v>34</v>
      </c>
      <c r="H3509">
        <v>5</v>
      </c>
      <c r="I3509" s="4">
        <v>197315</v>
      </c>
      <c r="J3509" s="4">
        <v>81900</v>
      </c>
    </row>
    <row r="3510" spans="2:10" x14ac:dyDescent="0.3">
      <c r="B3510" s="7">
        <v>44287</v>
      </c>
      <c r="C3510" s="3">
        <f t="shared" si="108"/>
        <v>2021</v>
      </c>
      <c r="D3510" s="3">
        <f t="shared" si="109"/>
        <v>202104</v>
      </c>
      <c r="E3510" s="5" t="s">
        <v>5</v>
      </c>
      <c r="F3510" s="5" t="s">
        <v>10</v>
      </c>
      <c r="G3510" s="5" t="s">
        <v>34</v>
      </c>
      <c r="H3510">
        <v>8</v>
      </c>
      <c r="I3510" s="4">
        <v>327904</v>
      </c>
      <c r="J3510" s="4">
        <v>131040</v>
      </c>
    </row>
    <row r="3511" spans="2:10" x14ac:dyDescent="0.3">
      <c r="B3511" s="7">
        <v>44317</v>
      </c>
      <c r="C3511" s="3">
        <f t="shared" si="108"/>
        <v>2021</v>
      </c>
      <c r="D3511" s="3">
        <f t="shared" si="109"/>
        <v>202105</v>
      </c>
      <c r="E3511" s="5" t="s">
        <v>5</v>
      </c>
      <c r="F3511" s="5" t="s">
        <v>10</v>
      </c>
      <c r="G3511" s="5" t="s">
        <v>34</v>
      </c>
      <c r="H3511">
        <v>11</v>
      </c>
      <c r="I3511" s="4">
        <v>450230</v>
      </c>
      <c r="J3511" s="4">
        <v>180180</v>
      </c>
    </row>
    <row r="3512" spans="2:10" x14ac:dyDescent="0.3">
      <c r="B3512" s="7">
        <v>44348</v>
      </c>
      <c r="C3512" s="3">
        <f t="shared" si="108"/>
        <v>2021</v>
      </c>
      <c r="D3512" s="3">
        <f t="shared" si="109"/>
        <v>202106</v>
      </c>
      <c r="E3512" s="5" t="s">
        <v>5</v>
      </c>
      <c r="F3512" s="5" t="s">
        <v>10</v>
      </c>
      <c r="G3512" s="5" t="s">
        <v>34</v>
      </c>
      <c r="H3512">
        <v>10</v>
      </c>
      <c r="I3512" s="4">
        <v>406260</v>
      </c>
      <c r="J3512" s="4">
        <v>163800</v>
      </c>
    </row>
    <row r="3513" spans="2:10" x14ac:dyDescent="0.3">
      <c r="B3513" s="7">
        <v>44378</v>
      </c>
      <c r="C3513" s="3">
        <f t="shared" si="108"/>
        <v>2021</v>
      </c>
      <c r="D3513" s="3">
        <f t="shared" si="109"/>
        <v>202107</v>
      </c>
      <c r="E3513" s="5" t="s">
        <v>5</v>
      </c>
      <c r="F3513" s="5" t="s">
        <v>10</v>
      </c>
      <c r="G3513" s="5" t="s">
        <v>34</v>
      </c>
      <c r="H3513">
        <v>11</v>
      </c>
      <c r="I3513" s="4">
        <v>428021</v>
      </c>
      <c r="J3513" s="4">
        <v>180180</v>
      </c>
    </row>
    <row r="3514" spans="2:10" x14ac:dyDescent="0.3">
      <c r="B3514" s="7">
        <v>44409</v>
      </c>
      <c r="C3514" s="3">
        <f t="shared" si="108"/>
        <v>2021</v>
      </c>
      <c r="D3514" s="3">
        <f t="shared" si="109"/>
        <v>202108</v>
      </c>
      <c r="E3514" s="5" t="s">
        <v>5</v>
      </c>
      <c r="F3514" s="5" t="s">
        <v>10</v>
      </c>
      <c r="G3514" s="5" t="s">
        <v>34</v>
      </c>
      <c r="H3514">
        <v>9</v>
      </c>
      <c r="I3514" s="4">
        <v>355545</v>
      </c>
      <c r="J3514" s="4">
        <v>147420</v>
      </c>
    </row>
    <row r="3515" spans="2:10" x14ac:dyDescent="0.3">
      <c r="B3515" s="7">
        <v>44440</v>
      </c>
      <c r="C3515" s="3">
        <f t="shared" si="108"/>
        <v>2021</v>
      </c>
      <c r="D3515" s="3">
        <f t="shared" si="109"/>
        <v>202109</v>
      </c>
      <c r="E3515" s="5" t="s">
        <v>5</v>
      </c>
      <c r="F3515" s="5" t="s">
        <v>10</v>
      </c>
      <c r="G3515" s="5" t="s">
        <v>34</v>
      </c>
      <c r="H3515">
        <v>9</v>
      </c>
      <c r="I3515" s="4">
        <v>363159</v>
      </c>
      <c r="J3515" s="4">
        <v>147420</v>
      </c>
    </row>
    <row r="3516" spans="2:10" x14ac:dyDescent="0.3">
      <c r="B3516" s="7">
        <v>44470</v>
      </c>
      <c r="C3516" s="3">
        <f t="shared" si="108"/>
        <v>2021</v>
      </c>
      <c r="D3516" s="3">
        <f t="shared" si="109"/>
        <v>202110</v>
      </c>
      <c r="E3516" s="5" t="s">
        <v>5</v>
      </c>
      <c r="F3516" s="5" t="s">
        <v>10</v>
      </c>
      <c r="G3516" s="5" t="s">
        <v>34</v>
      </c>
      <c r="H3516">
        <v>8</v>
      </c>
      <c r="I3516" s="4">
        <v>318568</v>
      </c>
      <c r="J3516" s="4">
        <v>131040</v>
      </c>
    </row>
    <row r="3517" spans="2:10" x14ac:dyDescent="0.3">
      <c r="B3517" s="7">
        <v>44501</v>
      </c>
      <c r="C3517" s="3">
        <f t="shared" si="108"/>
        <v>2021</v>
      </c>
      <c r="D3517" s="3">
        <f t="shared" si="109"/>
        <v>202111</v>
      </c>
      <c r="E3517" s="5" t="s">
        <v>5</v>
      </c>
      <c r="F3517" s="5" t="s">
        <v>10</v>
      </c>
      <c r="G3517" s="5" t="s">
        <v>34</v>
      </c>
      <c r="H3517">
        <v>6</v>
      </c>
      <c r="I3517" s="4">
        <v>244986</v>
      </c>
      <c r="J3517" s="4">
        <v>98280</v>
      </c>
    </row>
    <row r="3518" spans="2:10" x14ac:dyDescent="0.3">
      <c r="B3518" s="7">
        <v>44531</v>
      </c>
      <c r="C3518" s="3">
        <f t="shared" si="108"/>
        <v>2021</v>
      </c>
      <c r="D3518" s="3">
        <f t="shared" si="109"/>
        <v>202112</v>
      </c>
      <c r="E3518" s="5" t="s">
        <v>5</v>
      </c>
      <c r="F3518" s="5" t="s">
        <v>10</v>
      </c>
      <c r="G3518" s="5" t="s">
        <v>34</v>
      </c>
      <c r="H3518">
        <v>7</v>
      </c>
      <c r="I3518" s="4">
        <v>279328</v>
      </c>
      <c r="J3518" s="4">
        <v>114660</v>
      </c>
    </row>
    <row r="3519" spans="2:10" x14ac:dyDescent="0.3">
      <c r="B3519" s="7">
        <v>44562</v>
      </c>
      <c r="C3519" s="3">
        <f t="shared" si="108"/>
        <v>2022</v>
      </c>
      <c r="D3519" s="3">
        <f t="shared" si="109"/>
        <v>202201</v>
      </c>
      <c r="E3519" s="5" t="s">
        <v>5</v>
      </c>
      <c r="F3519" s="5" t="s">
        <v>10</v>
      </c>
      <c r="G3519" s="5" t="s">
        <v>34</v>
      </c>
      <c r="H3519">
        <v>10</v>
      </c>
      <c r="I3519" s="4">
        <v>402960</v>
      </c>
      <c r="J3519" s="4">
        <v>163800</v>
      </c>
    </row>
    <row r="3520" spans="2:10" x14ac:dyDescent="0.3">
      <c r="B3520" s="7">
        <v>44593</v>
      </c>
      <c r="C3520" s="3">
        <f t="shared" si="108"/>
        <v>2022</v>
      </c>
      <c r="D3520" s="3">
        <f t="shared" si="109"/>
        <v>202202</v>
      </c>
      <c r="E3520" s="5" t="s">
        <v>5</v>
      </c>
      <c r="F3520" s="5" t="s">
        <v>10</v>
      </c>
      <c r="G3520" s="5" t="s">
        <v>34</v>
      </c>
      <c r="H3520">
        <v>6</v>
      </c>
      <c r="I3520" s="4">
        <v>242748</v>
      </c>
      <c r="J3520" s="4">
        <v>98280</v>
      </c>
    </row>
    <row r="3521" spans="2:10" x14ac:dyDescent="0.3">
      <c r="B3521" s="7">
        <v>44621</v>
      </c>
      <c r="C3521" s="3">
        <f t="shared" si="108"/>
        <v>2022</v>
      </c>
      <c r="D3521" s="3">
        <f t="shared" si="109"/>
        <v>202203</v>
      </c>
      <c r="E3521" s="5" t="s">
        <v>5</v>
      </c>
      <c r="F3521" s="5" t="s">
        <v>10</v>
      </c>
      <c r="G3521" s="5" t="s">
        <v>34</v>
      </c>
      <c r="H3521">
        <v>5</v>
      </c>
      <c r="I3521" s="4">
        <v>200010</v>
      </c>
      <c r="J3521" s="4">
        <v>81900</v>
      </c>
    </row>
    <row r="3522" spans="2:10" x14ac:dyDescent="0.3">
      <c r="B3522" s="7">
        <v>44652</v>
      </c>
      <c r="C3522" s="3">
        <f t="shared" si="108"/>
        <v>2022</v>
      </c>
      <c r="D3522" s="3">
        <f t="shared" si="109"/>
        <v>202204</v>
      </c>
      <c r="E3522" s="5" t="s">
        <v>5</v>
      </c>
      <c r="F3522" s="5" t="s">
        <v>10</v>
      </c>
      <c r="G3522" s="5" t="s">
        <v>34</v>
      </c>
      <c r="H3522">
        <v>9</v>
      </c>
      <c r="I3522" s="4">
        <v>361899</v>
      </c>
      <c r="J3522" s="4">
        <v>147420</v>
      </c>
    </row>
    <row r="3523" spans="2:10" x14ac:dyDescent="0.3">
      <c r="B3523" s="7">
        <v>44682</v>
      </c>
      <c r="C3523" s="3">
        <f t="shared" ref="C3523:C3586" si="110">YEAR(B3523)</f>
        <v>2022</v>
      </c>
      <c r="D3523" s="3">
        <f t="shared" ref="D3523:D3586" si="111">VALUE(TEXT(B3523,"ГГГГММ"))</f>
        <v>202205</v>
      </c>
      <c r="E3523" s="5" t="s">
        <v>5</v>
      </c>
      <c r="F3523" s="5" t="s">
        <v>10</v>
      </c>
      <c r="G3523" s="5" t="s">
        <v>34</v>
      </c>
      <c r="H3523">
        <v>12</v>
      </c>
      <c r="I3523" s="4">
        <v>490680</v>
      </c>
      <c r="J3523" s="4">
        <v>196560</v>
      </c>
    </row>
    <row r="3524" spans="2:10" x14ac:dyDescent="0.3">
      <c r="B3524" s="7">
        <v>44713</v>
      </c>
      <c r="C3524" s="3">
        <f t="shared" si="110"/>
        <v>2022</v>
      </c>
      <c r="D3524" s="3">
        <f t="shared" si="111"/>
        <v>202206</v>
      </c>
      <c r="E3524" s="5" t="s">
        <v>5</v>
      </c>
      <c r="F3524" s="5" t="s">
        <v>10</v>
      </c>
      <c r="G3524" s="5" t="s">
        <v>34</v>
      </c>
      <c r="H3524">
        <v>11</v>
      </c>
      <c r="I3524" s="4">
        <v>446633</v>
      </c>
      <c r="J3524" s="4">
        <v>180180</v>
      </c>
    </row>
    <row r="3525" spans="2:10" x14ac:dyDescent="0.3">
      <c r="B3525" s="7">
        <v>44743</v>
      </c>
      <c r="C3525" s="3">
        <f t="shared" si="110"/>
        <v>2022</v>
      </c>
      <c r="D3525" s="3">
        <f t="shared" si="111"/>
        <v>202207</v>
      </c>
      <c r="E3525" s="5" t="s">
        <v>5</v>
      </c>
      <c r="F3525" s="5" t="s">
        <v>10</v>
      </c>
      <c r="G3525" s="5" t="s">
        <v>34</v>
      </c>
      <c r="H3525">
        <v>12</v>
      </c>
      <c r="I3525" s="4">
        <v>460032</v>
      </c>
      <c r="J3525" s="4">
        <v>196560</v>
      </c>
    </row>
    <row r="3526" spans="2:10" x14ac:dyDescent="0.3">
      <c r="B3526" s="7">
        <v>44774</v>
      </c>
      <c r="C3526" s="3">
        <f t="shared" si="110"/>
        <v>2022</v>
      </c>
      <c r="D3526" s="3">
        <f t="shared" si="111"/>
        <v>202208</v>
      </c>
      <c r="E3526" s="5" t="s">
        <v>5</v>
      </c>
      <c r="F3526" s="5" t="s">
        <v>10</v>
      </c>
      <c r="G3526" s="5" t="s">
        <v>34</v>
      </c>
      <c r="H3526">
        <v>10</v>
      </c>
      <c r="I3526" s="4">
        <v>397640</v>
      </c>
      <c r="J3526" s="4">
        <v>163800</v>
      </c>
    </row>
    <row r="3527" spans="2:10" x14ac:dyDescent="0.3">
      <c r="B3527" s="7">
        <v>44805</v>
      </c>
      <c r="C3527" s="3">
        <f t="shared" si="110"/>
        <v>2022</v>
      </c>
      <c r="D3527" s="3">
        <f t="shared" si="111"/>
        <v>202209</v>
      </c>
      <c r="E3527" s="5" t="s">
        <v>5</v>
      </c>
      <c r="F3527" s="5" t="s">
        <v>10</v>
      </c>
      <c r="G3527" s="5" t="s">
        <v>34</v>
      </c>
      <c r="H3527">
        <v>10</v>
      </c>
      <c r="I3527" s="4">
        <v>394460</v>
      </c>
      <c r="J3527" s="4">
        <v>163800</v>
      </c>
    </row>
    <row r="3528" spans="2:10" x14ac:dyDescent="0.3">
      <c r="B3528" s="7">
        <v>44835</v>
      </c>
      <c r="C3528" s="3">
        <f t="shared" si="110"/>
        <v>2022</v>
      </c>
      <c r="D3528" s="3">
        <f t="shared" si="111"/>
        <v>202210</v>
      </c>
      <c r="E3528" s="5" t="s">
        <v>5</v>
      </c>
      <c r="F3528" s="5" t="s">
        <v>10</v>
      </c>
      <c r="G3528" s="5" t="s">
        <v>34</v>
      </c>
      <c r="H3528">
        <v>9</v>
      </c>
      <c r="I3528" s="4">
        <v>364203</v>
      </c>
      <c r="J3528" s="4">
        <v>147420</v>
      </c>
    </row>
    <row r="3529" spans="2:10" x14ac:dyDescent="0.3">
      <c r="B3529" s="7">
        <v>44866</v>
      </c>
      <c r="C3529" s="3">
        <f t="shared" si="110"/>
        <v>2022</v>
      </c>
      <c r="D3529" s="3">
        <f t="shared" si="111"/>
        <v>202211</v>
      </c>
      <c r="E3529" s="5" t="s">
        <v>5</v>
      </c>
      <c r="F3529" s="5" t="s">
        <v>10</v>
      </c>
      <c r="G3529" s="5" t="s">
        <v>34</v>
      </c>
      <c r="H3529">
        <v>6</v>
      </c>
      <c r="I3529" s="4">
        <v>240930</v>
      </c>
      <c r="J3529" s="4">
        <v>98280</v>
      </c>
    </row>
    <row r="3530" spans="2:10" x14ac:dyDescent="0.3">
      <c r="B3530" s="7">
        <v>44896</v>
      </c>
      <c r="C3530" s="3">
        <f t="shared" si="110"/>
        <v>2022</v>
      </c>
      <c r="D3530" s="3">
        <f t="shared" si="111"/>
        <v>202212</v>
      </c>
      <c r="E3530" s="5" t="s">
        <v>5</v>
      </c>
      <c r="F3530" s="5" t="s">
        <v>10</v>
      </c>
      <c r="G3530" s="5" t="s">
        <v>34</v>
      </c>
      <c r="H3530">
        <v>7</v>
      </c>
      <c r="I3530" s="4">
        <v>280210</v>
      </c>
      <c r="J3530" s="4">
        <v>114660</v>
      </c>
    </row>
    <row r="3531" spans="2:10" x14ac:dyDescent="0.3">
      <c r="B3531" s="7">
        <v>44197</v>
      </c>
      <c r="C3531" s="3">
        <f t="shared" si="110"/>
        <v>2021</v>
      </c>
      <c r="D3531" s="3">
        <f t="shared" si="111"/>
        <v>202101</v>
      </c>
      <c r="E3531" s="5" t="s">
        <v>5</v>
      </c>
      <c r="F3531" s="5" t="s">
        <v>11</v>
      </c>
      <c r="G3531" s="5" t="s">
        <v>35</v>
      </c>
      <c r="H3531">
        <v>27</v>
      </c>
      <c r="I3531" s="4">
        <v>161541</v>
      </c>
      <c r="J3531" s="4">
        <v>62100</v>
      </c>
    </row>
    <row r="3532" spans="2:10" x14ac:dyDescent="0.3">
      <c r="B3532" s="7">
        <v>44228</v>
      </c>
      <c r="C3532" s="3">
        <f t="shared" si="110"/>
        <v>2021</v>
      </c>
      <c r="D3532" s="3">
        <f t="shared" si="111"/>
        <v>202102</v>
      </c>
      <c r="E3532" s="5" t="s">
        <v>5</v>
      </c>
      <c r="F3532" s="5" t="s">
        <v>11</v>
      </c>
      <c r="G3532" s="5" t="s">
        <v>35</v>
      </c>
      <c r="H3532">
        <v>17</v>
      </c>
      <c r="I3532" s="4">
        <v>104924</v>
      </c>
      <c r="J3532" s="4">
        <v>39100</v>
      </c>
    </row>
    <row r="3533" spans="2:10" x14ac:dyDescent="0.3">
      <c r="B3533" s="7">
        <v>44256</v>
      </c>
      <c r="C3533" s="3">
        <f t="shared" si="110"/>
        <v>2021</v>
      </c>
      <c r="D3533" s="3">
        <f t="shared" si="111"/>
        <v>202103</v>
      </c>
      <c r="E3533" s="5" t="s">
        <v>5</v>
      </c>
      <c r="F3533" s="5" t="s">
        <v>11</v>
      </c>
      <c r="G3533" s="5" t="s">
        <v>35</v>
      </c>
      <c r="H3533">
        <v>14</v>
      </c>
      <c r="I3533" s="4">
        <v>76762</v>
      </c>
      <c r="J3533" s="4">
        <v>32200</v>
      </c>
    </row>
    <row r="3534" spans="2:10" x14ac:dyDescent="0.3">
      <c r="B3534" s="7">
        <v>44287</v>
      </c>
      <c r="C3534" s="3">
        <f t="shared" si="110"/>
        <v>2021</v>
      </c>
      <c r="D3534" s="3">
        <f t="shared" si="111"/>
        <v>202104</v>
      </c>
      <c r="E3534" s="5" t="s">
        <v>5</v>
      </c>
      <c r="F3534" s="5" t="s">
        <v>11</v>
      </c>
      <c r="G3534" s="5" t="s">
        <v>35</v>
      </c>
      <c r="H3534">
        <v>25</v>
      </c>
      <c r="I3534" s="4">
        <v>162100</v>
      </c>
      <c r="J3534" s="4">
        <v>57500</v>
      </c>
    </row>
    <row r="3535" spans="2:10" x14ac:dyDescent="0.3">
      <c r="B3535" s="7">
        <v>44317</v>
      </c>
      <c r="C3535" s="3">
        <f t="shared" si="110"/>
        <v>2021</v>
      </c>
      <c r="D3535" s="3">
        <f t="shared" si="111"/>
        <v>202105</v>
      </c>
      <c r="E3535" s="5" t="s">
        <v>5</v>
      </c>
      <c r="F3535" s="5" t="s">
        <v>11</v>
      </c>
      <c r="G3535" s="5" t="s">
        <v>35</v>
      </c>
      <c r="H3535">
        <v>32</v>
      </c>
      <c r="I3535" s="4">
        <v>232832</v>
      </c>
      <c r="J3535" s="4">
        <v>73600</v>
      </c>
    </row>
    <row r="3536" spans="2:10" x14ac:dyDescent="0.3">
      <c r="B3536" s="7">
        <v>44348</v>
      </c>
      <c r="C3536" s="3">
        <f t="shared" si="110"/>
        <v>2021</v>
      </c>
      <c r="D3536" s="3">
        <f t="shared" si="111"/>
        <v>202106</v>
      </c>
      <c r="E3536" s="5" t="s">
        <v>5</v>
      </c>
      <c r="F3536" s="5" t="s">
        <v>11</v>
      </c>
      <c r="G3536" s="5" t="s">
        <v>35</v>
      </c>
      <c r="H3536">
        <v>30</v>
      </c>
      <c r="I3536" s="4">
        <v>196590</v>
      </c>
      <c r="J3536" s="4">
        <v>69000</v>
      </c>
    </row>
    <row r="3537" spans="2:10" x14ac:dyDescent="0.3">
      <c r="B3537" s="7">
        <v>44378</v>
      </c>
      <c r="C3537" s="3">
        <f t="shared" si="110"/>
        <v>2021</v>
      </c>
      <c r="D3537" s="3">
        <f t="shared" si="111"/>
        <v>202107</v>
      </c>
      <c r="E3537" s="5" t="s">
        <v>5</v>
      </c>
      <c r="F3537" s="5" t="s">
        <v>11</v>
      </c>
      <c r="G3537" s="5" t="s">
        <v>35</v>
      </c>
      <c r="H3537">
        <v>32</v>
      </c>
      <c r="I3537" s="4">
        <v>146240</v>
      </c>
      <c r="J3537" s="4">
        <v>73600</v>
      </c>
    </row>
    <row r="3538" spans="2:10" x14ac:dyDescent="0.3">
      <c r="B3538" s="7">
        <v>44409</v>
      </c>
      <c r="C3538" s="3">
        <f t="shared" si="110"/>
        <v>2021</v>
      </c>
      <c r="D3538" s="3">
        <f t="shared" si="111"/>
        <v>202108</v>
      </c>
      <c r="E3538" s="5" t="s">
        <v>5</v>
      </c>
      <c r="F3538" s="5" t="s">
        <v>11</v>
      </c>
      <c r="G3538" s="5" t="s">
        <v>35</v>
      </c>
      <c r="H3538">
        <v>27</v>
      </c>
      <c r="I3538" s="4">
        <v>160623</v>
      </c>
      <c r="J3538" s="4">
        <v>62100</v>
      </c>
    </row>
    <row r="3539" spans="2:10" x14ac:dyDescent="0.3">
      <c r="B3539" s="7">
        <v>44440</v>
      </c>
      <c r="C3539" s="3">
        <f t="shared" si="110"/>
        <v>2021</v>
      </c>
      <c r="D3539" s="3">
        <f t="shared" si="111"/>
        <v>202109</v>
      </c>
      <c r="E3539" s="5" t="s">
        <v>5</v>
      </c>
      <c r="F3539" s="5" t="s">
        <v>11</v>
      </c>
      <c r="G3539" s="5" t="s">
        <v>35</v>
      </c>
      <c r="H3539">
        <v>29</v>
      </c>
      <c r="I3539" s="4">
        <v>156339</v>
      </c>
      <c r="J3539" s="4">
        <v>66700</v>
      </c>
    </row>
    <row r="3540" spans="2:10" x14ac:dyDescent="0.3">
      <c r="B3540" s="7">
        <v>44470</v>
      </c>
      <c r="C3540" s="3">
        <f t="shared" si="110"/>
        <v>2021</v>
      </c>
      <c r="D3540" s="3">
        <f t="shared" si="111"/>
        <v>202110</v>
      </c>
      <c r="E3540" s="5" t="s">
        <v>5</v>
      </c>
      <c r="F3540" s="5" t="s">
        <v>11</v>
      </c>
      <c r="G3540" s="5" t="s">
        <v>35</v>
      </c>
      <c r="H3540">
        <v>24</v>
      </c>
      <c r="I3540" s="4">
        <v>146448</v>
      </c>
      <c r="J3540" s="4">
        <v>55200</v>
      </c>
    </row>
    <row r="3541" spans="2:10" x14ac:dyDescent="0.3">
      <c r="B3541" s="7">
        <v>44501</v>
      </c>
      <c r="C3541" s="3">
        <f t="shared" si="110"/>
        <v>2021</v>
      </c>
      <c r="D3541" s="3">
        <f t="shared" si="111"/>
        <v>202111</v>
      </c>
      <c r="E3541" s="5" t="s">
        <v>5</v>
      </c>
      <c r="F3541" s="5" t="s">
        <v>11</v>
      </c>
      <c r="G3541" s="5" t="s">
        <v>35</v>
      </c>
      <c r="H3541">
        <v>17</v>
      </c>
      <c r="I3541" s="4">
        <v>111962</v>
      </c>
      <c r="J3541" s="4">
        <v>39100</v>
      </c>
    </row>
    <row r="3542" spans="2:10" x14ac:dyDescent="0.3">
      <c r="B3542" s="7">
        <v>44531</v>
      </c>
      <c r="C3542" s="3">
        <f t="shared" si="110"/>
        <v>2021</v>
      </c>
      <c r="D3542" s="3">
        <f t="shared" si="111"/>
        <v>202112</v>
      </c>
      <c r="E3542" s="5" t="s">
        <v>5</v>
      </c>
      <c r="F3542" s="5" t="s">
        <v>11</v>
      </c>
      <c r="G3542" s="5" t="s">
        <v>35</v>
      </c>
      <c r="H3542">
        <v>20</v>
      </c>
      <c r="I3542" s="4">
        <v>110860</v>
      </c>
      <c r="J3542" s="4">
        <v>46000</v>
      </c>
    </row>
    <row r="3543" spans="2:10" x14ac:dyDescent="0.3">
      <c r="B3543" s="7">
        <v>44562</v>
      </c>
      <c r="C3543" s="3">
        <f t="shared" si="110"/>
        <v>2022</v>
      </c>
      <c r="D3543" s="3">
        <f t="shared" si="111"/>
        <v>202201</v>
      </c>
      <c r="E3543" s="5" t="s">
        <v>5</v>
      </c>
      <c r="F3543" s="5" t="s">
        <v>11</v>
      </c>
      <c r="G3543" s="5" t="s">
        <v>35</v>
      </c>
      <c r="H3543">
        <v>30</v>
      </c>
      <c r="I3543" s="4">
        <v>180030</v>
      </c>
      <c r="J3543" s="4">
        <v>69000</v>
      </c>
    </row>
    <row r="3544" spans="2:10" x14ac:dyDescent="0.3">
      <c r="B3544" s="7">
        <v>44593</v>
      </c>
      <c r="C3544" s="3">
        <f t="shared" si="110"/>
        <v>2022</v>
      </c>
      <c r="D3544" s="3">
        <f t="shared" si="111"/>
        <v>202202</v>
      </c>
      <c r="E3544" s="5" t="s">
        <v>5</v>
      </c>
      <c r="F3544" s="5" t="s">
        <v>11</v>
      </c>
      <c r="G3544" s="5" t="s">
        <v>35</v>
      </c>
      <c r="H3544">
        <v>19</v>
      </c>
      <c r="I3544" s="4">
        <v>110295</v>
      </c>
      <c r="J3544" s="4">
        <v>43700</v>
      </c>
    </row>
    <row r="3545" spans="2:10" x14ac:dyDescent="0.3">
      <c r="B3545" s="7">
        <v>44621</v>
      </c>
      <c r="C3545" s="3">
        <f t="shared" si="110"/>
        <v>2022</v>
      </c>
      <c r="D3545" s="3">
        <f t="shared" si="111"/>
        <v>202203</v>
      </c>
      <c r="E3545" s="5" t="s">
        <v>5</v>
      </c>
      <c r="F3545" s="5" t="s">
        <v>11</v>
      </c>
      <c r="G3545" s="5" t="s">
        <v>35</v>
      </c>
      <c r="H3545">
        <v>15</v>
      </c>
      <c r="I3545" s="4">
        <v>84780</v>
      </c>
      <c r="J3545" s="4">
        <v>34500</v>
      </c>
    </row>
    <row r="3546" spans="2:10" x14ac:dyDescent="0.3">
      <c r="B3546" s="7">
        <v>44652</v>
      </c>
      <c r="C3546" s="3">
        <f t="shared" si="110"/>
        <v>2022</v>
      </c>
      <c r="D3546" s="3">
        <f t="shared" si="111"/>
        <v>202204</v>
      </c>
      <c r="E3546" s="5" t="s">
        <v>5</v>
      </c>
      <c r="F3546" s="5" t="s">
        <v>11</v>
      </c>
      <c r="G3546" s="5" t="s">
        <v>35</v>
      </c>
      <c r="H3546">
        <v>28</v>
      </c>
      <c r="I3546" s="4">
        <v>173544</v>
      </c>
      <c r="J3546" s="4">
        <v>64400</v>
      </c>
    </row>
    <row r="3547" spans="2:10" x14ac:dyDescent="0.3">
      <c r="B3547" s="7">
        <v>44682</v>
      </c>
      <c r="C3547" s="3">
        <f t="shared" si="110"/>
        <v>2022</v>
      </c>
      <c r="D3547" s="3">
        <f t="shared" si="111"/>
        <v>202205</v>
      </c>
      <c r="E3547" s="5" t="s">
        <v>5</v>
      </c>
      <c r="F3547" s="5" t="s">
        <v>11</v>
      </c>
      <c r="G3547" s="5" t="s">
        <v>35</v>
      </c>
      <c r="H3547">
        <v>35</v>
      </c>
      <c r="I3547" s="4">
        <v>247135</v>
      </c>
      <c r="J3547" s="4">
        <v>80500</v>
      </c>
    </row>
    <row r="3548" spans="2:10" x14ac:dyDescent="0.3">
      <c r="B3548" s="7">
        <v>44713</v>
      </c>
      <c r="C3548" s="3">
        <f t="shared" si="110"/>
        <v>2022</v>
      </c>
      <c r="D3548" s="3">
        <f t="shared" si="111"/>
        <v>202206</v>
      </c>
      <c r="E3548" s="5" t="s">
        <v>5</v>
      </c>
      <c r="F3548" s="5" t="s">
        <v>11</v>
      </c>
      <c r="G3548" s="5" t="s">
        <v>35</v>
      </c>
      <c r="H3548">
        <v>33</v>
      </c>
      <c r="I3548" s="4">
        <v>215457</v>
      </c>
      <c r="J3548" s="4">
        <v>75900</v>
      </c>
    </row>
    <row r="3549" spans="2:10" x14ac:dyDescent="0.3">
      <c r="B3549" s="7">
        <v>44743</v>
      </c>
      <c r="C3549" s="3">
        <f t="shared" si="110"/>
        <v>2022</v>
      </c>
      <c r="D3549" s="3">
        <f t="shared" si="111"/>
        <v>202207</v>
      </c>
      <c r="E3549" s="5" t="s">
        <v>5</v>
      </c>
      <c r="F3549" s="5" t="s">
        <v>11</v>
      </c>
      <c r="G3549" s="5" t="s">
        <v>35</v>
      </c>
      <c r="H3549">
        <v>35</v>
      </c>
      <c r="I3549" s="4">
        <v>163730</v>
      </c>
      <c r="J3549" s="4">
        <v>80500</v>
      </c>
    </row>
    <row r="3550" spans="2:10" x14ac:dyDescent="0.3">
      <c r="B3550" s="7">
        <v>44774</v>
      </c>
      <c r="C3550" s="3">
        <f t="shared" si="110"/>
        <v>2022</v>
      </c>
      <c r="D3550" s="3">
        <f t="shared" si="111"/>
        <v>202208</v>
      </c>
      <c r="E3550" s="5" t="s">
        <v>5</v>
      </c>
      <c r="F3550" s="5" t="s">
        <v>11</v>
      </c>
      <c r="G3550" s="5" t="s">
        <v>35</v>
      </c>
      <c r="H3550">
        <v>30</v>
      </c>
      <c r="I3550" s="4">
        <v>175890</v>
      </c>
      <c r="J3550" s="4">
        <v>69000</v>
      </c>
    </row>
    <row r="3551" spans="2:10" x14ac:dyDescent="0.3">
      <c r="B3551" s="7">
        <v>44805</v>
      </c>
      <c r="C3551" s="3">
        <f t="shared" si="110"/>
        <v>2022</v>
      </c>
      <c r="D3551" s="3">
        <f t="shared" si="111"/>
        <v>202209</v>
      </c>
      <c r="E3551" s="5" t="s">
        <v>5</v>
      </c>
      <c r="F3551" s="5" t="s">
        <v>11</v>
      </c>
      <c r="G3551" s="5" t="s">
        <v>35</v>
      </c>
      <c r="H3551">
        <v>31</v>
      </c>
      <c r="I3551" s="4">
        <v>184481</v>
      </c>
      <c r="J3551" s="4">
        <v>71300</v>
      </c>
    </row>
    <row r="3552" spans="2:10" x14ac:dyDescent="0.3">
      <c r="B3552" s="7">
        <v>44835</v>
      </c>
      <c r="C3552" s="3">
        <f t="shared" si="110"/>
        <v>2022</v>
      </c>
      <c r="D3552" s="3">
        <f t="shared" si="111"/>
        <v>202210</v>
      </c>
      <c r="E3552" s="5" t="s">
        <v>5</v>
      </c>
      <c r="F3552" s="5" t="s">
        <v>11</v>
      </c>
      <c r="G3552" s="5" t="s">
        <v>35</v>
      </c>
      <c r="H3552">
        <v>26</v>
      </c>
      <c r="I3552" s="4">
        <v>181558</v>
      </c>
      <c r="J3552" s="4">
        <v>59800</v>
      </c>
    </row>
    <row r="3553" spans="2:10" x14ac:dyDescent="0.3">
      <c r="B3553" s="7">
        <v>44866</v>
      </c>
      <c r="C3553" s="3">
        <f t="shared" si="110"/>
        <v>2022</v>
      </c>
      <c r="D3553" s="3">
        <f t="shared" si="111"/>
        <v>202211</v>
      </c>
      <c r="E3553" s="5" t="s">
        <v>5</v>
      </c>
      <c r="F3553" s="5" t="s">
        <v>11</v>
      </c>
      <c r="G3553" s="5" t="s">
        <v>35</v>
      </c>
      <c r="H3553">
        <v>19</v>
      </c>
      <c r="I3553" s="4">
        <v>114760</v>
      </c>
      <c r="J3553" s="4">
        <v>43700</v>
      </c>
    </row>
    <row r="3554" spans="2:10" x14ac:dyDescent="0.3">
      <c r="B3554" s="7">
        <v>44896</v>
      </c>
      <c r="C3554" s="3">
        <f t="shared" si="110"/>
        <v>2022</v>
      </c>
      <c r="D3554" s="3">
        <f t="shared" si="111"/>
        <v>202212</v>
      </c>
      <c r="E3554" s="5" t="s">
        <v>5</v>
      </c>
      <c r="F3554" s="5" t="s">
        <v>11</v>
      </c>
      <c r="G3554" s="5" t="s">
        <v>35</v>
      </c>
      <c r="H3554">
        <v>22</v>
      </c>
      <c r="I3554" s="4">
        <v>120186</v>
      </c>
      <c r="J3554" s="4">
        <v>50600</v>
      </c>
    </row>
    <row r="3555" spans="2:10" x14ac:dyDescent="0.3">
      <c r="B3555" s="7">
        <v>44197</v>
      </c>
      <c r="C3555" s="3">
        <f t="shared" si="110"/>
        <v>2021</v>
      </c>
      <c r="D3555" s="3">
        <f t="shared" si="111"/>
        <v>202101</v>
      </c>
      <c r="E3555" s="5" t="s">
        <v>5</v>
      </c>
      <c r="F3555" s="5" t="s">
        <v>11</v>
      </c>
      <c r="G3555" s="5" t="s">
        <v>36</v>
      </c>
      <c r="H3555">
        <v>24</v>
      </c>
      <c r="I3555" s="4">
        <v>256632</v>
      </c>
      <c r="J3555" s="4">
        <v>97200</v>
      </c>
    </row>
    <row r="3556" spans="2:10" x14ac:dyDescent="0.3">
      <c r="B3556" s="7">
        <v>44228</v>
      </c>
      <c r="C3556" s="3">
        <f t="shared" si="110"/>
        <v>2021</v>
      </c>
      <c r="D3556" s="3">
        <f t="shared" si="111"/>
        <v>202102</v>
      </c>
      <c r="E3556" s="5" t="s">
        <v>5</v>
      </c>
      <c r="F3556" s="5" t="s">
        <v>11</v>
      </c>
      <c r="G3556" s="5" t="s">
        <v>36</v>
      </c>
      <c r="H3556">
        <v>15</v>
      </c>
      <c r="I3556" s="4">
        <v>162270</v>
      </c>
      <c r="J3556" s="4">
        <v>60750</v>
      </c>
    </row>
    <row r="3557" spans="2:10" x14ac:dyDescent="0.3">
      <c r="B3557" s="7">
        <v>44256</v>
      </c>
      <c r="C3557" s="3">
        <f t="shared" si="110"/>
        <v>2021</v>
      </c>
      <c r="D3557" s="3">
        <f t="shared" si="111"/>
        <v>202103</v>
      </c>
      <c r="E3557" s="5" t="s">
        <v>5</v>
      </c>
      <c r="F3557" s="5" t="s">
        <v>11</v>
      </c>
      <c r="G3557" s="5" t="s">
        <v>36</v>
      </c>
      <c r="H3557">
        <v>12</v>
      </c>
      <c r="I3557" s="4">
        <v>118656</v>
      </c>
      <c r="J3557" s="4">
        <v>48600</v>
      </c>
    </row>
    <row r="3558" spans="2:10" x14ac:dyDescent="0.3">
      <c r="B3558" s="7">
        <v>44287</v>
      </c>
      <c r="C3558" s="3">
        <f t="shared" si="110"/>
        <v>2021</v>
      </c>
      <c r="D3558" s="3">
        <f t="shared" si="111"/>
        <v>202104</v>
      </c>
      <c r="E3558" s="5" t="s">
        <v>5</v>
      </c>
      <c r="F3558" s="5" t="s">
        <v>11</v>
      </c>
      <c r="G3558" s="5" t="s">
        <v>36</v>
      </c>
      <c r="H3558">
        <v>22</v>
      </c>
      <c r="I3558" s="4">
        <v>232254</v>
      </c>
      <c r="J3558" s="4">
        <v>89100</v>
      </c>
    </row>
    <row r="3559" spans="2:10" x14ac:dyDescent="0.3">
      <c r="B3559" s="7">
        <v>44317</v>
      </c>
      <c r="C3559" s="3">
        <f t="shared" si="110"/>
        <v>2021</v>
      </c>
      <c r="D3559" s="3">
        <f t="shared" si="111"/>
        <v>202105</v>
      </c>
      <c r="E3559" s="5" t="s">
        <v>5</v>
      </c>
      <c r="F3559" s="5" t="s">
        <v>11</v>
      </c>
      <c r="G3559" s="5" t="s">
        <v>36</v>
      </c>
      <c r="H3559">
        <v>28</v>
      </c>
      <c r="I3559" s="4">
        <v>318528</v>
      </c>
      <c r="J3559" s="4">
        <v>113400</v>
      </c>
    </row>
    <row r="3560" spans="2:10" x14ac:dyDescent="0.3">
      <c r="B3560" s="7">
        <v>44348</v>
      </c>
      <c r="C3560" s="3">
        <f t="shared" si="110"/>
        <v>2021</v>
      </c>
      <c r="D3560" s="3">
        <f t="shared" si="111"/>
        <v>202106</v>
      </c>
      <c r="E3560" s="5" t="s">
        <v>5</v>
      </c>
      <c r="F3560" s="5" t="s">
        <v>11</v>
      </c>
      <c r="G3560" s="5" t="s">
        <v>36</v>
      </c>
      <c r="H3560">
        <v>27</v>
      </c>
      <c r="I3560" s="4">
        <v>274104</v>
      </c>
      <c r="J3560" s="4">
        <v>109350</v>
      </c>
    </row>
    <row r="3561" spans="2:10" x14ac:dyDescent="0.3">
      <c r="B3561" s="7">
        <v>44378</v>
      </c>
      <c r="C3561" s="3">
        <f t="shared" si="110"/>
        <v>2021</v>
      </c>
      <c r="D3561" s="3">
        <f t="shared" si="111"/>
        <v>202107</v>
      </c>
      <c r="E3561" s="5" t="s">
        <v>5</v>
      </c>
      <c r="F3561" s="5" t="s">
        <v>11</v>
      </c>
      <c r="G3561" s="5" t="s">
        <v>36</v>
      </c>
      <c r="H3561">
        <v>28</v>
      </c>
      <c r="I3561" s="4">
        <v>245560</v>
      </c>
      <c r="J3561" s="4">
        <v>113400</v>
      </c>
    </row>
    <row r="3562" spans="2:10" x14ac:dyDescent="0.3">
      <c r="B3562" s="7">
        <v>44409</v>
      </c>
      <c r="C3562" s="3">
        <f t="shared" si="110"/>
        <v>2021</v>
      </c>
      <c r="D3562" s="3">
        <f t="shared" si="111"/>
        <v>202108</v>
      </c>
      <c r="E3562" s="5" t="s">
        <v>5</v>
      </c>
      <c r="F3562" s="5" t="s">
        <v>11</v>
      </c>
      <c r="G3562" s="5" t="s">
        <v>36</v>
      </c>
      <c r="H3562">
        <v>24</v>
      </c>
      <c r="I3562" s="4">
        <v>245736</v>
      </c>
      <c r="J3562" s="4">
        <v>97200</v>
      </c>
    </row>
    <row r="3563" spans="2:10" x14ac:dyDescent="0.3">
      <c r="B3563" s="7">
        <v>44440</v>
      </c>
      <c r="C3563" s="3">
        <f t="shared" si="110"/>
        <v>2021</v>
      </c>
      <c r="D3563" s="3">
        <f t="shared" si="111"/>
        <v>202109</v>
      </c>
      <c r="E3563" s="5" t="s">
        <v>5</v>
      </c>
      <c r="F3563" s="5" t="s">
        <v>11</v>
      </c>
      <c r="G3563" s="5" t="s">
        <v>36</v>
      </c>
      <c r="H3563">
        <v>25</v>
      </c>
      <c r="I3563" s="4">
        <v>246600</v>
      </c>
      <c r="J3563" s="4">
        <v>101250</v>
      </c>
    </row>
    <row r="3564" spans="2:10" x14ac:dyDescent="0.3">
      <c r="B3564" s="7">
        <v>44470</v>
      </c>
      <c r="C3564" s="3">
        <f t="shared" si="110"/>
        <v>2021</v>
      </c>
      <c r="D3564" s="3">
        <f t="shared" si="111"/>
        <v>202110</v>
      </c>
      <c r="E3564" s="5" t="s">
        <v>5</v>
      </c>
      <c r="F3564" s="5" t="s">
        <v>11</v>
      </c>
      <c r="G3564" s="5" t="s">
        <v>36</v>
      </c>
      <c r="H3564">
        <v>21</v>
      </c>
      <c r="I3564" s="4">
        <v>225414</v>
      </c>
      <c r="J3564" s="4">
        <v>85050</v>
      </c>
    </row>
    <row r="3565" spans="2:10" x14ac:dyDescent="0.3">
      <c r="B3565" s="7">
        <v>44501</v>
      </c>
      <c r="C3565" s="3">
        <f t="shared" si="110"/>
        <v>2021</v>
      </c>
      <c r="D3565" s="3">
        <f t="shared" si="111"/>
        <v>202111</v>
      </c>
      <c r="E3565" s="5" t="s">
        <v>5</v>
      </c>
      <c r="F3565" s="5" t="s">
        <v>11</v>
      </c>
      <c r="G3565" s="5" t="s">
        <v>36</v>
      </c>
      <c r="H3565">
        <v>15</v>
      </c>
      <c r="I3565" s="4">
        <v>147180</v>
      </c>
      <c r="J3565" s="4">
        <v>60750</v>
      </c>
    </row>
    <row r="3566" spans="2:10" x14ac:dyDescent="0.3">
      <c r="B3566" s="7">
        <v>44531</v>
      </c>
      <c r="C3566" s="3">
        <f t="shared" si="110"/>
        <v>2021</v>
      </c>
      <c r="D3566" s="3">
        <f t="shared" si="111"/>
        <v>202112</v>
      </c>
      <c r="E3566" s="5" t="s">
        <v>5</v>
      </c>
      <c r="F3566" s="5" t="s">
        <v>11</v>
      </c>
      <c r="G3566" s="5" t="s">
        <v>36</v>
      </c>
      <c r="H3566">
        <v>18</v>
      </c>
      <c r="I3566" s="4">
        <v>164844</v>
      </c>
      <c r="J3566" s="4">
        <v>72900</v>
      </c>
    </row>
    <row r="3567" spans="2:10" x14ac:dyDescent="0.3">
      <c r="B3567" s="7">
        <v>44562</v>
      </c>
      <c r="C3567" s="3">
        <f t="shared" si="110"/>
        <v>2022</v>
      </c>
      <c r="D3567" s="3">
        <f t="shared" si="111"/>
        <v>202201</v>
      </c>
      <c r="E3567" s="5" t="s">
        <v>5</v>
      </c>
      <c r="F3567" s="5" t="s">
        <v>11</v>
      </c>
      <c r="G3567" s="5" t="s">
        <v>36</v>
      </c>
      <c r="H3567">
        <v>26</v>
      </c>
      <c r="I3567" s="4">
        <v>273312</v>
      </c>
      <c r="J3567" s="4">
        <v>105300</v>
      </c>
    </row>
    <row r="3568" spans="2:10" x14ac:dyDescent="0.3">
      <c r="B3568" s="7">
        <v>44593</v>
      </c>
      <c r="C3568" s="3">
        <f t="shared" si="110"/>
        <v>2022</v>
      </c>
      <c r="D3568" s="3">
        <f t="shared" si="111"/>
        <v>202202</v>
      </c>
      <c r="E3568" s="5" t="s">
        <v>5</v>
      </c>
      <c r="F3568" s="5" t="s">
        <v>11</v>
      </c>
      <c r="G3568" s="5" t="s">
        <v>36</v>
      </c>
      <c r="H3568">
        <v>17</v>
      </c>
      <c r="I3568" s="4">
        <v>176409</v>
      </c>
      <c r="J3568" s="4">
        <v>68850</v>
      </c>
    </row>
    <row r="3569" spans="2:10" x14ac:dyDescent="0.3">
      <c r="B3569" s="7">
        <v>44621</v>
      </c>
      <c r="C3569" s="3">
        <f t="shared" si="110"/>
        <v>2022</v>
      </c>
      <c r="D3569" s="3">
        <f t="shared" si="111"/>
        <v>202203</v>
      </c>
      <c r="E3569" s="5" t="s">
        <v>5</v>
      </c>
      <c r="F3569" s="5" t="s">
        <v>11</v>
      </c>
      <c r="G3569" s="5" t="s">
        <v>36</v>
      </c>
      <c r="H3569">
        <v>13</v>
      </c>
      <c r="I3569" s="4">
        <v>121225</v>
      </c>
      <c r="J3569" s="4">
        <v>52650</v>
      </c>
    </row>
    <row r="3570" spans="2:10" x14ac:dyDescent="0.3">
      <c r="B3570" s="7">
        <v>44652</v>
      </c>
      <c r="C3570" s="3">
        <f t="shared" si="110"/>
        <v>2022</v>
      </c>
      <c r="D3570" s="3">
        <f t="shared" si="111"/>
        <v>202204</v>
      </c>
      <c r="E3570" s="5" t="s">
        <v>5</v>
      </c>
      <c r="F3570" s="5" t="s">
        <v>11</v>
      </c>
      <c r="G3570" s="5" t="s">
        <v>36</v>
      </c>
      <c r="H3570">
        <v>25</v>
      </c>
      <c r="I3570" s="4">
        <v>257850</v>
      </c>
      <c r="J3570" s="4">
        <v>101250</v>
      </c>
    </row>
    <row r="3571" spans="2:10" x14ac:dyDescent="0.3">
      <c r="B3571" s="7">
        <v>44682</v>
      </c>
      <c r="C3571" s="3">
        <f t="shared" si="110"/>
        <v>2022</v>
      </c>
      <c r="D3571" s="3">
        <f t="shared" si="111"/>
        <v>202205</v>
      </c>
      <c r="E3571" s="5" t="s">
        <v>5</v>
      </c>
      <c r="F3571" s="5" t="s">
        <v>11</v>
      </c>
      <c r="G3571" s="5" t="s">
        <v>36</v>
      </c>
      <c r="H3571">
        <v>31</v>
      </c>
      <c r="I3571" s="4">
        <v>343666</v>
      </c>
      <c r="J3571" s="4">
        <v>125550</v>
      </c>
    </row>
    <row r="3572" spans="2:10" x14ac:dyDescent="0.3">
      <c r="B3572" s="7">
        <v>44713</v>
      </c>
      <c r="C3572" s="3">
        <f t="shared" si="110"/>
        <v>2022</v>
      </c>
      <c r="D3572" s="3">
        <f t="shared" si="111"/>
        <v>202206</v>
      </c>
      <c r="E3572" s="5" t="s">
        <v>5</v>
      </c>
      <c r="F3572" s="5" t="s">
        <v>11</v>
      </c>
      <c r="G3572" s="5" t="s">
        <v>36</v>
      </c>
      <c r="H3572">
        <v>29</v>
      </c>
      <c r="I3572" s="4">
        <v>300962</v>
      </c>
      <c r="J3572" s="4">
        <v>117450</v>
      </c>
    </row>
    <row r="3573" spans="2:10" x14ac:dyDescent="0.3">
      <c r="B3573" s="7">
        <v>44743</v>
      </c>
      <c r="C3573" s="3">
        <f t="shared" si="110"/>
        <v>2022</v>
      </c>
      <c r="D3573" s="3">
        <f t="shared" si="111"/>
        <v>202207</v>
      </c>
      <c r="E3573" s="5" t="s">
        <v>5</v>
      </c>
      <c r="F3573" s="5" t="s">
        <v>11</v>
      </c>
      <c r="G3573" s="5" t="s">
        <v>36</v>
      </c>
      <c r="H3573">
        <v>31</v>
      </c>
      <c r="I3573" s="4">
        <v>272428</v>
      </c>
      <c r="J3573" s="4">
        <v>125550</v>
      </c>
    </row>
    <row r="3574" spans="2:10" x14ac:dyDescent="0.3">
      <c r="B3574" s="7">
        <v>44774</v>
      </c>
      <c r="C3574" s="3">
        <f t="shared" si="110"/>
        <v>2022</v>
      </c>
      <c r="D3574" s="3">
        <f t="shared" si="111"/>
        <v>202208</v>
      </c>
      <c r="E3574" s="5" t="s">
        <v>5</v>
      </c>
      <c r="F3574" s="5" t="s">
        <v>11</v>
      </c>
      <c r="G3574" s="5" t="s">
        <v>36</v>
      </c>
      <c r="H3574">
        <v>26</v>
      </c>
      <c r="I3574" s="4">
        <v>250276</v>
      </c>
      <c r="J3574" s="4">
        <v>105300</v>
      </c>
    </row>
    <row r="3575" spans="2:10" x14ac:dyDescent="0.3">
      <c r="B3575" s="7">
        <v>44805</v>
      </c>
      <c r="C3575" s="3">
        <f t="shared" si="110"/>
        <v>2022</v>
      </c>
      <c r="D3575" s="3">
        <f t="shared" si="111"/>
        <v>202209</v>
      </c>
      <c r="E3575" s="5" t="s">
        <v>5</v>
      </c>
      <c r="F3575" s="5" t="s">
        <v>11</v>
      </c>
      <c r="G3575" s="5" t="s">
        <v>36</v>
      </c>
      <c r="H3575">
        <v>28</v>
      </c>
      <c r="I3575" s="4">
        <v>287168</v>
      </c>
      <c r="J3575" s="4">
        <v>113400</v>
      </c>
    </row>
    <row r="3576" spans="2:10" x14ac:dyDescent="0.3">
      <c r="B3576" s="7">
        <v>44835</v>
      </c>
      <c r="C3576" s="3">
        <f t="shared" si="110"/>
        <v>2022</v>
      </c>
      <c r="D3576" s="3">
        <f t="shared" si="111"/>
        <v>202210</v>
      </c>
      <c r="E3576" s="5" t="s">
        <v>5</v>
      </c>
      <c r="F3576" s="5" t="s">
        <v>11</v>
      </c>
      <c r="G3576" s="5" t="s">
        <v>36</v>
      </c>
      <c r="H3576">
        <v>23</v>
      </c>
      <c r="I3576" s="4">
        <v>232875</v>
      </c>
      <c r="J3576" s="4">
        <v>93150</v>
      </c>
    </row>
    <row r="3577" spans="2:10" x14ac:dyDescent="0.3">
      <c r="B3577" s="7">
        <v>44866</v>
      </c>
      <c r="C3577" s="3">
        <f t="shared" si="110"/>
        <v>2022</v>
      </c>
      <c r="D3577" s="3">
        <f t="shared" si="111"/>
        <v>202211</v>
      </c>
      <c r="E3577" s="5" t="s">
        <v>5</v>
      </c>
      <c r="F3577" s="5" t="s">
        <v>11</v>
      </c>
      <c r="G3577" s="5" t="s">
        <v>36</v>
      </c>
      <c r="H3577">
        <v>17</v>
      </c>
      <c r="I3577" s="4">
        <v>176732</v>
      </c>
      <c r="J3577" s="4">
        <v>68850</v>
      </c>
    </row>
    <row r="3578" spans="2:10" x14ac:dyDescent="0.3">
      <c r="B3578" s="7">
        <v>44896</v>
      </c>
      <c r="C3578" s="3">
        <f t="shared" si="110"/>
        <v>2022</v>
      </c>
      <c r="D3578" s="3">
        <f t="shared" si="111"/>
        <v>202212</v>
      </c>
      <c r="E3578" s="5" t="s">
        <v>5</v>
      </c>
      <c r="F3578" s="5" t="s">
        <v>11</v>
      </c>
      <c r="G3578" s="5" t="s">
        <v>36</v>
      </c>
      <c r="H3578">
        <v>20</v>
      </c>
      <c r="I3578" s="4">
        <v>188080</v>
      </c>
      <c r="J3578" s="4">
        <v>81000</v>
      </c>
    </row>
    <row r="3579" spans="2:10" x14ac:dyDescent="0.3">
      <c r="B3579" s="7">
        <v>44197</v>
      </c>
      <c r="C3579" s="3">
        <f t="shared" si="110"/>
        <v>2021</v>
      </c>
      <c r="D3579" s="3">
        <f t="shared" si="111"/>
        <v>202101</v>
      </c>
      <c r="E3579" s="5" t="s">
        <v>5</v>
      </c>
      <c r="F3579" s="5" t="s">
        <v>11</v>
      </c>
      <c r="G3579" s="5" t="s">
        <v>37</v>
      </c>
      <c r="H3579">
        <v>27</v>
      </c>
      <c r="I3579" s="4">
        <v>220752</v>
      </c>
      <c r="J3579" s="4">
        <v>107729.99999999999</v>
      </c>
    </row>
    <row r="3580" spans="2:10" x14ac:dyDescent="0.3">
      <c r="B3580" s="7">
        <v>44228</v>
      </c>
      <c r="C3580" s="3">
        <f t="shared" si="110"/>
        <v>2021</v>
      </c>
      <c r="D3580" s="3">
        <f t="shared" si="111"/>
        <v>202102</v>
      </c>
      <c r="E3580" s="5" t="s">
        <v>5</v>
      </c>
      <c r="F3580" s="5" t="s">
        <v>11</v>
      </c>
      <c r="G3580" s="5" t="s">
        <v>37</v>
      </c>
      <c r="H3580">
        <v>17</v>
      </c>
      <c r="I3580" s="4">
        <v>136442</v>
      </c>
      <c r="J3580" s="4">
        <v>67829.999999999985</v>
      </c>
    </row>
    <row r="3581" spans="2:10" x14ac:dyDescent="0.3">
      <c r="B3581" s="7">
        <v>44256</v>
      </c>
      <c r="C3581" s="3">
        <f t="shared" si="110"/>
        <v>2021</v>
      </c>
      <c r="D3581" s="3">
        <f t="shared" si="111"/>
        <v>202103</v>
      </c>
      <c r="E3581" s="5" t="s">
        <v>5</v>
      </c>
      <c r="F3581" s="5" t="s">
        <v>11</v>
      </c>
      <c r="G3581" s="5" t="s">
        <v>37</v>
      </c>
      <c r="H3581">
        <v>14</v>
      </c>
      <c r="I3581" s="4">
        <v>108416</v>
      </c>
      <c r="J3581" s="4">
        <v>55859.999999999993</v>
      </c>
    </row>
    <row r="3582" spans="2:10" x14ac:dyDescent="0.3">
      <c r="B3582" s="7">
        <v>44287</v>
      </c>
      <c r="C3582" s="3">
        <f t="shared" si="110"/>
        <v>2021</v>
      </c>
      <c r="D3582" s="3">
        <f t="shared" si="111"/>
        <v>202104</v>
      </c>
      <c r="E3582" s="5" t="s">
        <v>5</v>
      </c>
      <c r="F3582" s="5" t="s">
        <v>11</v>
      </c>
      <c r="G3582" s="5" t="s">
        <v>37</v>
      </c>
      <c r="H3582">
        <v>25</v>
      </c>
      <c r="I3582" s="4">
        <v>221300</v>
      </c>
      <c r="J3582" s="4">
        <v>99749.999999999985</v>
      </c>
    </row>
    <row r="3583" spans="2:10" x14ac:dyDescent="0.3">
      <c r="B3583" s="7">
        <v>44317</v>
      </c>
      <c r="C3583" s="3">
        <f t="shared" si="110"/>
        <v>2021</v>
      </c>
      <c r="D3583" s="3">
        <f t="shared" si="111"/>
        <v>202105</v>
      </c>
      <c r="E3583" s="5" t="s">
        <v>5</v>
      </c>
      <c r="F3583" s="5" t="s">
        <v>11</v>
      </c>
      <c r="G3583" s="5" t="s">
        <v>37</v>
      </c>
      <c r="H3583">
        <v>32</v>
      </c>
      <c r="I3583" s="4">
        <v>275104</v>
      </c>
      <c r="J3583" s="4">
        <v>127679.99999999999</v>
      </c>
    </row>
    <row r="3584" spans="2:10" x14ac:dyDescent="0.3">
      <c r="B3584" s="7">
        <v>44348</v>
      </c>
      <c r="C3584" s="3">
        <f t="shared" si="110"/>
        <v>2021</v>
      </c>
      <c r="D3584" s="3">
        <f t="shared" si="111"/>
        <v>202106</v>
      </c>
      <c r="E3584" s="5" t="s">
        <v>5</v>
      </c>
      <c r="F3584" s="5" t="s">
        <v>11</v>
      </c>
      <c r="G3584" s="5" t="s">
        <v>37</v>
      </c>
      <c r="H3584">
        <v>30</v>
      </c>
      <c r="I3584" s="4">
        <v>255480</v>
      </c>
      <c r="J3584" s="4">
        <v>119699.99999999999</v>
      </c>
    </row>
    <row r="3585" spans="2:10" x14ac:dyDescent="0.3">
      <c r="B3585" s="7">
        <v>44378</v>
      </c>
      <c r="C3585" s="3">
        <f t="shared" si="110"/>
        <v>2021</v>
      </c>
      <c r="D3585" s="3">
        <f t="shared" si="111"/>
        <v>202107</v>
      </c>
      <c r="E3585" s="5" t="s">
        <v>5</v>
      </c>
      <c r="F3585" s="5" t="s">
        <v>11</v>
      </c>
      <c r="G3585" s="5" t="s">
        <v>37</v>
      </c>
      <c r="H3585">
        <v>32</v>
      </c>
      <c r="I3585" s="4">
        <v>208096</v>
      </c>
      <c r="J3585" s="4">
        <v>127679.99999999999</v>
      </c>
    </row>
    <row r="3586" spans="2:10" x14ac:dyDescent="0.3">
      <c r="B3586" s="7">
        <v>44409</v>
      </c>
      <c r="C3586" s="3">
        <f t="shared" si="110"/>
        <v>2021</v>
      </c>
      <c r="D3586" s="3">
        <f t="shared" si="111"/>
        <v>202108</v>
      </c>
      <c r="E3586" s="5" t="s">
        <v>5</v>
      </c>
      <c r="F3586" s="5" t="s">
        <v>11</v>
      </c>
      <c r="G3586" s="5" t="s">
        <v>37</v>
      </c>
      <c r="H3586">
        <v>27</v>
      </c>
      <c r="I3586" s="4">
        <v>215433</v>
      </c>
      <c r="J3586" s="4">
        <v>107729.99999999999</v>
      </c>
    </row>
    <row r="3587" spans="2:10" x14ac:dyDescent="0.3">
      <c r="B3587" s="7">
        <v>44440</v>
      </c>
      <c r="C3587" s="3">
        <f t="shared" ref="C3587:C3650" si="112">YEAR(B3587)</f>
        <v>2021</v>
      </c>
      <c r="D3587" s="3">
        <f t="shared" ref="D3587:D3650" si="113">VALUE(TEXT(B3587,"ГГГГММ"))</f>
        <v>202109</v>
      </c>
      <c r="E3587" s="5" t="s">
        <v>5</v>
      </c>
      <c r="F3587" s="5" t="s">
        <v>11</v>
      </c>
      <c r="G3587" s="5" t="s">
        <v>37</v>
      </c>
      <c r="H3587">
        <v>29</v>
      </c>
      <c r="I3587" s="4">
        <v>234929</v>
      </c>
      <c r="J3587" s="4">
        <v>115709.99999999999</v>
      </c>
    </row>
    <row r="3588" spans="2:10" x14ac:dyDescent="0.3">
      <c r="B3588" s="7">
        <v>44470</v>
      </c>
      <c r="C3588" s="3">
        <f t="shared" si="112"/>
        <v>2021</v>
      </c>
      <c r="D3588" s="3">
        <f t="shared" si="113"/>
        <v>202110</v>
      </c>
      <c r="E3588" s="5" t="s">
        <v>5</v>
      </c>
      <c r="F3588" s="5" t="s">
        <v>11</v>
      </c>
      <c r="G3588" s="5" t="s">
        <v>37</v>
      </c>
      <c r="H3588">
        <v>24</v>
      </c>
      <c r="I3588" s="4">
        <v>204336</v>
      </c>
      <c r="J3588" s="4">
        <v>95759.999999999985</v>
      </c>
    </row>
    <row r="3589" spans="2:10" x14ac:dyDescent="0.3">
      <c r="B3589" s="7">
        <v>44501</v>
      </c>
      <c r="C3589" s="3">
        <f t="shared" si="112"/>
        <v>2021</v>
      </c>
      <c r="D3589" s="3">
        <f t="shared" si="113"/>
        <v>202111</v>
      </c>
      <c r="E3589" s="5" t="s">
        <v>5</v>
      </c>
      <c r="F3589" s="5" t="s">
        <v>11</v>
      </c>
      <c r="G3589" s="5" t="s">
        <v>37</v>
      </c>
      <c r="H3589">
        <v>17</v>
      </c>
      <c r="I3589" s="4">
        <v>143548</v>
      </c>
      <c r="J3589" s="4">
        <v>67829.999999999985</v>
      </c>
    </row>
    <row r="3590" spans="2:10" x14ac:dyDescent="0.3">
      <c r="B3590" s="7">
        <v>44531</v>
      </c>
      <c r="C3590" s="3">
        <f t="shared" si="112"/>
        <v>2021</v>
      </c>
      <c r="D3590" s="3">
        <f t="shared" si="113"/>
        <v>202112</v>
      </c>
      <c r="E3590" s="5" t="s">
        <v>5</v>
      </c>
      <c r="F3590" s="5" t="s">
        <v>11</v>
      </c>
      <c r="G3590" s="5" t="s">
        <v>37</v>
      </c>
      <c r="H3590">
        <v>20</v>
      </c>
      <c r="I3590" s="4">
        <v>153860</v>
      </c>
      <c r="J3590" s="4">
        <v>79799.999999999985</v>
      </c>
    </row>
    <row r="3591" spans="2:10" x14ac:dyDescent="0.3">
      <c r="B3591" s="7">
        <v>44562</v>
      </c>
      <c r="C3591" s="3">
        <f t="shared" si="112"/>
        <v>2022</v>
      </c>
      <c r="D3591" s="3">
        <f t="shared" si="113"/>
        <v>202201</v>
      </c>
      <c r="E3591" s="5" t="s">
        <v>5</v>
      </c>
      <c r="F3591" s="5" t="s">
        <v>11</v>
      </c>
      <c r="G3591" s="5" t="s">
        <v>37</v>
      </c>
      <c r="H3591">
        <v>30</v>
      </c>
      <c r="I3591" s="4">
        <v>266970</v>
      </c>
      <c r="J3591" s="4">
        <v>119699.99999999999</v>
      </c>
    </row>
    <row r="3592" spans="2:10" x14ac:dyDescent="0.3">
      <c r="B3592" s="7">
        <v>44593</v>
      </c>
      <c r="C3592" s="3">
        <f t="shared" si="112"/>
        <v>2022</v>
      </c>
      <c r="D3592" s="3">
        <f t="shared" si="113"/>
        <v>202202</v>
      </c>
      <c r="E3592" s="5" t="s">
        <v>5</v>
      </c>
      <c r="F3592" s="5" t="s">
        <v>11</v>
      </c>
      <c r="G3592" s="5" t="s">
        <v>37</v>
      </c>
      <c r="H3592">
        <v>19</v>
      </c>
      <c r="I3592" s="4">
        <v>165300</v>
      </c>
      <c r="J3592" s="4">
        <v>75809.999999999985</v>
      </c>
    </row>
    <row r="3593" spans="2:10" x14ac:dyDescent="0.3">
      <c r="B3593" s="7">
        <v>44621</v>
      </c>
      <c r="C3593" s="3">
        <f t="shared" si="112"/>
        <v>2022</v>
      </c>
      <c r="D3593" s="3">
        <f t="shared" si="113"/>
        <v>202203</v>
      </c>
      <c r="E3593" s="5" t="s">
        <v>5</v>
      </c>
      <c r="F3593" s="5" t="s">
        <v>11</v>
      </c>
      <c r="G3593" s="5" t="s">
        <v>37</v>
      </c>
      <c r="H3593">
        <v>15</v>
      </c>
      <c r="I3593" s="4">
        <v>114780</v>
      </c>
      <c r="J3593" s="4">
        <v>59849.999999999993</v>
      </c>
    </row>
    <row r="3594" spans="2:10" x14ac:dyDescent="0.3">
      <c r="B3594" s="7">
        <v>44652</v>
      </c>
      <c r="C3594" s="3">
        <f t="shared" si="112"/>
        <v>2022</v>
      </c>
      <c r="D3594" s="3">
        <f t="shared" si="113"/>
        <v>202204</v>
      </c>
      <c r="E3594" s="5" t="s">
        <v>5</v>
      </c>
      <c r="F3594" s="5" t="s">
        <v>11</v>
      </c>
      <c r="G3594" s="5" t="s">
        <v>37</v>
      </c>
      <c r="H3594">
        <v>28</v>
      </c>
      <c r="I3594" s="4">
        <v>237664</v>
      </c>
      <c r="J3594" s="4">
        <v>111719.99999999999</v>
      </c>
    </row>
    <row r="3595" spans="2:10" x14ac:dyDescent="0.3">
      <c r="B3595" s="7">
        <v>44682</v>
      </c>
      <c r="C3595" s="3">
        <f t="shared" si="112"/>
        <v>2022</v>
      </c>
      <c r="D3595" s="3">
        <f t="shared" si="113"/>
        <v>202205</v>
      </c>
      <c r="E3595" s="5" t="s">
        <v>5</v>
      </c>
      <c r="F3595" s="5" t="s">
        <v>11</v>
      </c>
      <c r="G3595" s="5" t="s">
        <v>37</v>
      </c>
      <c r="H3595">
        <v>35</v>
      </c>
      <c r="I3595" s="4">
        <v>311115</v>
      </c>
      <c r="J3595" s="4">
        <v>139649.99999999997</v>
      </c>
    </row>
    <row r="3596" spans="2:10" x14ac:dyDescent="0.3">
      <c r="B3596" s="7">
        <v>44713</v>
      </c>
      <c r="C3596" s="3">
        <f t="shared" si="112"/>
        <v>2022</v>
      </c>
      <c r="D3596" s="3">
        <f t="shared" si="113"/>
        <v>202206</v>
      </c>
      <c r="E3596" s="5" t="s">
        <v>5</v>
      </c>
      <c r="F3596" s="5" t="s">
        <v>11</v>
      </c>
      <c r="G3596" s="5" t="s">
        <v>37</v>
      </c>
      <c r="H3596">
        <v>33</v>
      </c>
      <c r="I3596" s="4">
        <v>283503</v>
      </c>
      <c r="J3596" s="4">
        <v>131669.99999999997</v>
      </c>
    </row>
    <row r="3597" spans="2:10" x14ac:dyDescent="0.3">
      <c r="B3597" s="7">
        <v>44743</v>
      </c>
      <c r="C3597" s="3">
        <f t="shared" si="112"/>
        <v>2022</v>
      </c>
      <c r="D3597" s="3">
        <f t="shared" si="113"/>
        <v>202207</v>
      </c>
      <c r="E3597" s="5" t="s">
        <v>5</v>
      </c>
      <c r="F3597" s="5" t="s">
        <v>11</v>
      </c>
      <c r="G3597" s="5" t="s">
        <v>37</v>
      </c>
      <c r="H3597">
        <v>35</v>
      </c>
      <c r="I3597" s="4">
        <v>233275</v>
      </c>
      <c r="J3597" s="4">
        <v>139649.99999999997</v>
      </c>
    </row>
    <row r="3598" spans="2:10" x14ac:dyDescent="0.3">
      <c r="B3598" s="7">
        <v>44774</v>
      </c>
      <c r="C3598" s="3">
        <f t="shared" si="112"/>
        <v>2022</v>
      </c>
      <c r="D3598" s="3">
        <f t="shared" si="113"/>
        <v>202208</v>
      </c>
      <c r="E3598" s="5" t="s">
        <v>5</v>
      </c>
      <c r="F3598" s="5" t="s">
        <v>11</v>
      </c>
      <c r="G3598" s="5" t="s">
        <v>37</v>
      </c>
      <c r="H3598">
        <v>30</v>
      </c>
      <c r="I3598" s="4">
        <v>225750</v>
      </c>
      <c r="J3598" s="4">
        <v>119699.99999999999</v>
      </c>
    </row>
    <row r="3599" spans="2:10" x14ac:dyDescent="0.3">
      <c r="B3599" s="7">
        <v>44805</v>
      </c>
      <c r="C3599" s="3">
        <f t="shared" si="112"/>
        <v>2022</v>
      </c>
      <c r="D3599" s="3">
        <f t="shared" si="113"/>
        <v>202209</v>
      </c>
      <c r="E3599" s="5" t="s">
        <v>5</v>
      </c>
      <c r="F3599" s="5" t="s">
        <v>11</v>
      </c>
      <c r="G3599" s="5" t="s">
        <v>37</v>
      </c>
      <c r="H3599">
        <v>31</v>
      </c>
      <c r="I3599" s="4">
        <v>243536</v>
      </c>
      <c r="J3599" s="4">
        <v>123689.99999999999</v>
      </c>
    </row>
    <row r="3600" spans="2:10" x14ac:dyDescent="0.3">
      <c r="B3600" s="7">
        <v>44835</v>
      </c>
      <c r="C3600" s="3">
        <f t="shared" si="112"/>
        <v>2022</v>
      </c>
      <c r="D3600" s="3">
        <f t="shared" si="113"/>
        <v>202210</v>
      </c>
      <c r="E3600" s="5" t="s">
        <v>5</v>
      </c>
      <c r="F3600" s="5" t="s">
        <v>11</v>
      </c>
      <c r="G3600" s="5" t="s">
        <v>37</v>
      </c>
      <c r="H3600">
        <v>26</v>
      </c>
      <c r="I3600" s="4">
        <v>220844</v>
      </c>
      <c r="J3600" s="4">
        <v>103739.99999999999</v>
      </c>
    </row>
    <row r="3601" spans="2:10" x14ac:dyDescent="0.3">
      <c r="B3601" s="7">
        <v>44866</v>
      </c>
      <c r="C3601" s="3">
        <f t="shared" si="112"/>
        <v>2022</v>
      </c>
      <c r="D3601" s="3">
        <f t="shared" si="113"/>
        <v>202211</v>
      </c>
      <c r="E3601" s="5" t="s">
        <v>5</v>
      </c>
      <c r="F3601" s="5" t="s">
        <v>11</v>
      </c>
      <c r="G3601" s="5" t="s">
        <v>37</v>
      </c>
      <c r="H3601">
        <v>19</v>
      </c>
      <c r="I3601" s="4">
        <v>155135</v>
      </c>
      <c r="J3601" s="4">
        <v>75809.999999999985</v>
      </c>
    </row>
    <row r="3602" spans="2:10" x14ac:dyDescent="0.3">
      <c r="B3602" s="7">
        <v>44896</v>
      </c>
      <c r="C3602" s="3">
        <f t="shared" si="112"/>
        <v>2022</v>
      </c>
      <c r="D3602" s="3">
        <f t="shared" si="113"/>
        <v>202212</v>
      </c>
      <c r="E3602" s="5" t="s">
        <v>5</v>
      </c>
      <c r="F3602" s="5" t="s">
        <v>11</v>
      </c>
      <c r="G3602" s="5" t="s">
        <v>37</v>
      </c>
      <c r="H3602">
        <v>22</v>
      </c>
      <c r="I3602" s="4">
        <v>169818</v>
      </c>
      <c r="J3602" s="4">
        <v>87779.999999999985</v>
      </c>
    </row>
    <row r="3603" spans="2:10" x14ac:dyDescent="0.3">
      <c r="B3603" s="7">
        <v>44197</v>
      </c>
      <c r="C3603" s="3">
        <f t="shared" si="112"/>
        <v>2021</v>
      </c>
      <c r="D3603" s="3">
        <f t="shared" si="113"/>
        <v>202101</v>
      </c>
      <c r="E3603" s="5" t="s">
        <v>5</v>
      </c>
      <c r="F3603" s="5" t="s">
        <v>11</v>
      </c>
      <c r="G3603" s="5" t="s">
        <v>38</v>
      </c>
      <c r="H3603">
        <v>24</v>
      </c>
      <c r="I3603" s="4">
        <v>234000</v>
      </c>
      <c r="J3603" s="4">
        <v>99960</v>
      </c>
    </row>
    <row r="3604" spans="2:10" x14ac:dyDescent="0.3">
      <c r="B3604" s="7">
        <v>44228</v>
      </c>
      <c r="C3604" s="3">
        <f t="shared" si="112"/>
        <v>2021</v>
      </c>
      <c r="D3604" s="3">
        <f t="shared" si="113"/>
        <v>202102</v>
      </c>
      <c r="E3604" s="5" t="s">
        <v>5</v>
      </c>
      <c r="F3604" s="5" t="s">
        <v>11</v>
      </c>
      <c r="G3604" s="5" t="s">
        <v>38</v>
      </c>
      <c r="H3604">
        <v>15</v>
      </c>
      <c r="I3604" s="4">
        <v>153480</v>
      </c>
      <c r="J3604" s="4">
        <v>62475</v>
      </c>
    </row>
    <row r="3605" spans="2:10" x14ac:dyDescent="0.3">
      <c r="B3605" s="7">
        <v>44256</v>
      </c>
      <c r="C3605" s="3">
        <f t="shared" si="112"/>
        <v>2021</v>
      </c>
      <c r="D3605" s="3">
        <f t="shared" si="113"/>
        <v>202103</v>
      </c>
      <c r="E3605" s="5" t="s">
        <v>5</v>
      </c>
      <c r="F3605" s="5" t="s">
        <v>11</v>
      </c>
      <c r="G3605" s="5" t="s">
        <v>38</v>
      </c>
      <c r="H3605">
        <v>12</v>
      </c>
      <c r="I3605" s="4">
        <v>116820</v>
      </c>
      <c r="J3605" s="4">
        <v>49980</v>
      </c>
    </row>
    <row r="3606" spans="2:10" x14ac:dyDescent="0.3">
      <c r="B3606" s="7">
        <v>44287</v>
      </c>
      <c r="C3606" s="3">
        <f t="shared" si="112"/>
        <v>2021</v>
      </c>
      <c r="D3606" s="3">
        <f t="shared" si="113"/>
        <v>202104</v>
      </c>
      <c r="E3606" s="5" t="s">
        <v>5</v>
      </c>
      <c r="F3606" s="5" t="s">
        <v>11</v>
      </c>
      <c r="G3606" s="5" t="s">
        <v>38</v>
      </c>
      <c r="H3606">
        <v>22</v>
      </c>
      <c r="I3606" s="4">
        <v>233464</v>
      </c>
      <c r="J3606" s="4">
        <v>91630</v>
      </c>
    </row>
    <row r="3607" spans="2:10" x14ac:dyDescent="0.3">
      <c r="B3607" s="7">
        <v>44317</v>
      </c>
      <c r="C3607" s="3">
        <f t="shared" si="112"/>
        <v>2021</v>
      </c>
      <c r="D3607" s="3">
        <f t="shared" si="113"/>
        <v>202105</v>
      </c>
      <c r="E3607" s="5" t="s">
        <v>5</v>
      </c>
      <c r="F3607" s="5" t="s">
        <v>11</v>
      </c>
      <c r="G3607" s="5" t="s">
        <v>38</v>
      </c>
      <c r="H3607">
        <v>28</v>
      </c>
      <c r="I3607" s="4">
        <v>299292</v>
      </c>
      <c r="J3607" s="4">
        <v>116620</v>
      </c>
    </row>
    <row r="3608" spans="2:10" x14ac:dyDescent="0.3">
      <c r="B3608" s="7">
        <v>44348</v>
      </c>
      <c r="C3608" s="3">
        <f t="shared" si="112"/>
        <v>2021</v>
      </c>
      <c r="D3608" s="3">
        <f t="shared" si="113"/>
        <v>202106</v>
      </c>
      <c r="E3608" s="5" t="s">
        <v>5</v>
      </c>
      <c r="F3608" s="5" t="s">
        <v>11</v>
      </c>
      <c r="G3608" s="5" t="s">
        <v>38</v>
      </c>
      <c r="H3608">
        <v>26</v>
      </c>
      <c r="I3608" s="4">
        <v>259844</v>
      </c>
      <c r="J3608" s="4">
        <v>108290</v>
      </c>
    </row>
    <row r="3609" spans="2:10" x14ac:dyDescent="0.3">
      <c r="B3609" s="7">
        <v>44378</v>
      </c>
      <c r="C3609" s="3">
        <f t="shared" si="112"/>
        <v>2021</v>
      </c>
      <c r="D3609" s="3">
        <f t="shared" si="113"/>
        <v>202107</v>
      </c>
      <c r="E3609" s="5" t="s">
        <v>5</v>
      </c>
      <c r="F3609" s="5" t="s">
        <v>11</v>
      </c>
      <c r="G3609" s="5" t="s">
        <v>38</v>
      </c>
      <c r="H3609">
        <v>28</v>
      </c>
      <c r="I3609" s="4">
        <v>225680</v>
      </c>
      <c r="J3609" s="4">
        <v>116620</v>
      </c>
    </row>
    <row r="3610" spans="2:10" x14ac:dyDescent="0.3">
      <c r="B3610" s="7">
        <v>44409</v>
      </c>
      <c r="C3610" s="3">
        <f t="shared" si="112"/>
        <v>2021</v>
      </c>
      <c r="D3610" s="3">
        <f t="shared" si="113"/>
        <v>202108</v>
      </c>
      <c r="E3610" s="5" t="s">
        <v>5</v>
      </c>
      <c r="F3610" s="5" t="s">
        <v>11</v>
      </c>
      <c r="G3610" s="5" t="s">
        <v>38</v>
      </c>
      <c r="H3610">
        <v>24</v>
      </c>
      <c r="I3610" s="4">
        <v>225792</v>
      </c>
      <c r="J3610" s="4">
        <v>99960</v>
      </c>
    </row>
    <row r="3611" spans="2:10" x14ac:dyDescent="0.3">
      <c r="B3611" s="7">
        <v>44440</v>
      </c>
      <c r="C3611" s="3">
        <f t="shared" si="112"/>
        <v>2021</v>
      </c>
      <c r="D3611" s="3">
        <f t="shared" si="113"/>
        <v>202109</v>
      </c>
      <c r="E3611" s="5" t="s">
        <v>5</v>
      </c>
      <c r="F3611" s="5" t="s">
        <v>11</v>
      </c>
      <c r="G3611" s="5" t="s">
        <v>38</v>
      </c>
      <c r="H3611">
        <v>25</v>
      </c>
      <c r="I3611" s="4">
        <v>230425</v>
      </c>
      <c r="J3611" s="4">
        <v>104125</v>
      </c>
    </row>
    <row r="3612" spans="2:10" x14ac:dyDescent="0.3">
      <c r="B3612" s="7">
        <v>44470</v>
      </c>
      <c r="C3612" s="3">
        <f t="shared" si="112"/>
        <v>2021</v>
      </c>
      <c r="D3612" s="3">
        <f t="shared" si="113"/>
        <v>202110</v>
      </c>
      <c r="E3612" s="5" t="s">
        <v>5</v>
      </c>
      <c r="F3612" s="5" t="s">
        <v>11</v>
      </c>
      <c r="G3612" s="5" t="s">
        <v>38</v>
      </c>
      <c r="H3612">
        <v>21</v>
      </c>
      <c r="I3612" s="4">
        <v>216090</v>
      </c>
      <c r="J3612" s="4">
        <v>87465</v>
      </c>
    </row>
    <row r="3613" spans="2:10" x14ac:dyDescent="0.3">
      <c r="B3613" s="7">
        <v>44501</v>
      </c>
      <c r="C3613" s="3">
        <f t="shared" si="112"/>
        <v>2021</v>
      </c>
      <c r="D3613" s="3">
        <f t="shared" si="113"/>
        <v>202111</v>
      </c>
      <c r="E3613" s="5" t="s">
        <v>5</v>
      </c>
      <c r="F3613" s="5" t="s">
        <v>11</v>
      </c>
      <c r="G3613" s="5" t="s">
        <v>38</v>
      </c>
      <c r="H3613">
        <v>15</v>
      </c>
      <c r="I3613" s="4">
        <v>140430</v>
      </c>
      <c r="J3613" s="4">
        <v>62475</v>
      </c>
    </row>
    <row r="3614" spans="2:10" x14ac:dyDescent="0.3">
      <c r="B3614" s="7">
        <v>44531</v>
      </c>
      <c r="C3614" s="3">
        <f t="shared" si="112"/>
        <v>2021</v>
      </c>
      <c r="D3614" s="3">
        <f t="shared" si="113"/>
        <v>202112</v>
      </c>
      <c r="E3614" s="5" t="s">
        <v>5</v>
      </c>
      <c r="F3614" s="5" t="s">
        <v>11</v>
      </c>
      <c r="G3614" s="5" t="s">
        <v>38</v>
      </c>
      <c r="H3614">
        <v>18</v>
      </c>
      <c r="I3614" s="4">
        <v>162522</v>
      </c>
      <c r="J3614" s="4">
        <v>74970</v>
      </c>
    </row>
    <row r="3615" spans="2:10" x14ac:dyDescent="0.3">
      <c r="B3615" s="7">
        <v>44562</v>
      </c>
      <c r="C3615" s="3">
        <f t="shared" si="112"/>
        <v>2022</v>
      </c>
      <c r="D3615" s="3">
        <f t="shared" si="113"/>
        <v>202201</v>
      </c>
      <c r="E3615" s="5" t="s">
        <v>5</v>
      </c>
      <c r="F3615" s="5" t="s">
        <v>11</v>
      </c>
      <c r="G3615" s="5" t="s">
        <v>38</v>
      </c>
      <c r="H3615">
        <v>26</v>
      </c>
      <c r="I3615" s="4">
        <v>247234</v>
      </c>
      <c r="J3615" s="4">
        <v>108290</v>
      </c>
    </row>
    <row r="3616" spans="2:10" x14ac:dyDescent="0.3">
      <c r="B3616" s="7">
        <v>44593</v>
      </c>
      <c r="C3616" s="3">
        <f t="shared" si="112"/>
        <v>2022</v>
      </c>
      <c r="D3616" s="3">
        <f t="shared" si="113"/>
        <v>202202</v>
      </c>
      <c r="E3616" s="5" t="s">
        <v>5</v>
      </c>
      <c r="F3616" s="5" t="s">
        <v>11</v>
      </c>
      <c r="G3616" s="5" t="s">
        <v>38</v>
      </c>
      <c r="H3616">
        <v>16</v>
      </c>
      <c r="I3616" s="4">
        <v>150448</v>
      </c>
      <c r="J3616" s="4">
        <v>66640</v>
      </c>
    </row>
    <row r="3617" spans="2:10" x14ac:dyDescent="0.3">
      <c r="B3617" s="7">
        <v>44621</v>
      </c>
      <c r="C3617" s="3">
        <f t="shared" si="112"/>
        <v>2022</v>
      </c>
      <c r="D3617" s="3">
        <f t="shared" si="113"/>
        <v>202203</v>
      </c>
      <c r="E3617" s="5" t="s">
        <v>5</v>
      </c>
      <c r="F3617" s="5" t="s">
        <v>11</v>
      </c>
      <c r="G3617" s="5" t="s">
        <v>38</v>
      </c>
      <c r="H3617">
        <v>13</v>
      </c>
      <c r="I3617" s="4">
        <v>117039</v>
      </c>
      <c r="J3617" s="4">
        <v>54145</v>
      </c>
    </row>
    <row r="3618" spans="2:10" x14ac:dyDescent="0.3">
      <c r="B3618" s="7">
        <v>44652</v>
      </c>
      <c r="C3618" s="3">
        <f t="shared" si="112"/>
        <v>2022</v>
      </c>
      <c r="D3618" s="3">
        <f t="shared" si="113"/>
        <v>202204</v>
      </c>
      <c r="E3618" s="5" t="s">
        <v>5</v>
      </c>
      <c r="F3618" s="5" t="s">
        <v>11</v>
      </c>
      <c r="G3618" s="5" t="s">
        <v>38</v>
      </c>
      <c r="H3618">
        <v>24</v>
      </c>
      <c r="I3618" s="4">
        <v>236112</v>
      </c>
      <c r="J3618" s="4">
        <v>99960</v>
      </c>
    </row>
    <row r="3619" spans="2:10" x14ac:dyDescent="0.3">
      <c r="B3619" s="7">
        <v>44682</v>
      </c>
      <c r="C3619" s="3">
        <f t="shared" si="112"/>
        <v>2022</v>
      </c>
      <c r="D3619" s="3">
        <f t="shared" si="113"/>
        <v>202205</v>
      </c>
      <c r="E3619" s="5" t="s">
        <v>5</v>
      </c>
      <c r="F3619" s="5" t="s">
        <v>11</v>
      </c>
      <c r="G3619" s="5" t="s">
        <v>38</v>
      </c>
      <c r="H3619">
        <v>31</v>
      </c>
      <c r="I3619" s="4">
        <v>317471</v>
      </c>
      <c r="J3619" s="4">
        <v>129115</v>
      </c>
    </row>
    <row r="3620" spans="2:10" x14ac:dyDescent="0.3">
      <c r="B3620" s="7">
        <v>44713</v>
      </c>
      <c r="C3620" s="3">
        <f t="shared" si="112"/>
        <v>2022</v>
      </c>
      <c r="D3620" s="3">
        <f t="shared" si="113"/>
        <v>202206</v>
      </c>
      <c r="E3620" s="5" t="s">
        <v>5</v>
      </c>
      <c r="F3620" s="5" t="s">
        <v>11</v>
      </c>
      <c r="G3620" s="5" t="s">
        <v>38</v>
      </c>
      <c r="H3620">
        <v>29</v>
      </c>
      <c r="I3620" s="4">
        <v>290725</v>
      </c>
      <c r="J3620" s="4">
        <v>120785</v>
      </c>
    </row>
    <row r="3621" spans="2:10" x14ac:dyDescent="0.3">
      <c r="B3621" s="7">
        <v>44743</v>
      </c>
      <c r="C3621" s="3">
        <f t="shared" si="112"/>
        <v>2022</v>
      </c>
      <c r="D3621" s="3">
        <f t="shared" si="113"/>
        <v>202207</v>
      </c>
      <c r="E3621" s="5" t="s">
        <v>5</v>
      </c>
      <c r="F3621" s="5" t="s">
        <v>11</v>
      </c>
      <c r="G3621" s="5" t="s">
        <v>38</v>
      </c>
      <c r="H3621">
        <v>31</v>
      </c>
      <c r="I3621" s="4">
        <v>256897</v>
      </c>
      <c r="J3621" s="4">
        <v>129115</v>
      </c>
    </row>
    <row r="3622" spans="2:10" x14ac:dyDescent="0.3">
      <c r="B3622" s="7">
        <v>44774</v>
      </c>
      <c r="C3622" s="3">
        <f t="shared" si="112"/>
        <v>2022</v>
      </c>
      <c r="D3622" s="3">
        <f t="shared" si="113"/>
        <v>202208</v>
      </c>
      <c r="E3622" s="5" t="s">
        <v>5</v>
      </c>
      <c r="F3622" s="5" t="s">
        <v>11</v>
      </c>
      <c r="G3622" s="5" t="s">
        <v>38</v>
      </c>
      <c r="H3622">
        <v>26</v>
      </c>
      <c r="I3622" s="4">
        <v>245128</v>
      </c>
      <c r="J3622" s="4">
        <v>108290</v>
      </c>
    </row>
    <row r="3623" spans="2:10" x14ac:dyDescent="0.3">
      <c r="B3623" s="7">
        <v>44805</v>
      </c>
      <c r="C3623" s="3">
        <f t="shared" si="112"/>
        <v>2022</v>
      </c>
      <c r="D3623" s="3">
        <f t="shared" si="113"/>
        <v>202209</v>
      </c>
      <c r="E3623" s="5" t="s">
        <v>5</v>
      </c>
      <c r="F3623" s="5" t="s">
        <v>11</v>
      </c>
      <c r="G3623" s="5" t="s">
        <v>38</v>
      </c>
      <c r="H3623">
        <v>27</v>
      </c>
      <c r="I3623" s="4">
        <v>265410</v>
      </c>
      <c r="J3623" s="4">
        <v>112455</v>
      </c>
    </row>
    <row r="3624" spans="2:10" x14ac:dyDescent="0.3">
      <c r="B3624" s="7">
        <v>44835</v>
      </c>
      <c r="C3624" s="3">
        <f t="shared" si="112"/>
        <v>2022</v>
      </c>
      <c r="D3624" s="3">
        <f t="shared" si="113"/>
        <v>202210</v>
      </c>
      <c r="E3624" s="5" t="s">
        <v>5</v>
      </c>
      <c r="F3624" s="5" t="s">
        <v>11</v>
      </c>
      <c r="G3624" s="5" t="s">
        <v>38</v>
      </c>
      <c r="H3624">
        <v>23</v>
      </c>
      <c r="I3624" s="4">
        <v>225906</v>
      </c>
      <c r="J3624" s="4">
        <v>95795</v>
      </c>
    </row>
    <row r="3625" spans="2:10" x14ac:dyDescent="0.3">
      <c r="B3625" s="7">
        <v>44866</v>
      </c>
      <c r="C3625" s="3">
        <f t="shared" si="112"/>
        <v>2022</v>
      </c>
      <c r="D3625" s="3">
        <f t="shared" si="113"/>
        <v>202211</v>
      </c>
      <c r="E3625" s="5" t="s">
        <v>5</v>
      </c>
      <c r="F3625" s="5" t="s">
        <v>11</v>
      </c>
      <c r="G3625" s="5" t="s">
        <v>38</v>
      </c>
      <c r="H3625">
        <v>16</v>
      </c>
      <c r="I3625" s="4">
        <v>152672</v>
      </c>
      <c r="J3625" s="4">
        <v>66640</v>
      </c>
    </row>
    <row r="3626" spans="2:10" x14ac:dyDescent="0.3">
      <c r="B3626" s="7">
        <v>44896</v>
      </c>
      <c r="C3626" s="3">
        <f t="shared" si="112"/>
        <v>2022</v>
      </c>
      <c r="D3626" s="3">
        <f t="shared" si="113"/>
        <v>202212</v>
      </c>
      <c r="E3626" s="5" t="s">
        <v>5</v>
      </c>
      <c r="F3626" s="5" t="s">
        <v>11</v>
      </c>
      <c r="G3626" s="5" t="s">
        <v>38</v>
      </c>
      <c r="H3626">
        <v>20</v>
      </c>
      <c r="I3626" s="4">
        <v>188220</v>
      </c>
      <c r="J3626" s="4">
        <v>83300</v>
      </c>
    </row>
    <row r="3627" spans="2:10" x14ac:dyDescent="0.3">
      <c r="B3627" s="7">
        <v>44197</v>
      </c>
      <c r="C3627" s="3">
        <f t="shared" si="112"/>
        <v>2021</v>
      </c>
      <c r="D3627" s="3">
        <f t="shared" si="113"/>
        <v>202101</v>
      </c>
      <c r="E3627" s="5" t="s">
        <v>5</v>
      </c>
      <c r="F3627" s="5" t="s">
        <v>11</v>
      </c>
      <c r="G3627" s="5" t="s">
        <v>39</v>
      </c>
      <c r="H3627">
        <v>24</v>
      </c>
      <c r="I3627" s="4">
        <v>186144</v>
      </c>
      <c r="J3627" s="4">
        <v>73440</v>
      </c>
    </row>
    <row r="3628" spans="2:10" x14ac:dyDescent="0.3">
      <c r="B3628" s="7">
        <v>44228</v>
      </c>
      <c r="C3628" s="3">
        <f t="shared" si="112"/>
        <v>2021</v>
      </c>
      <c r="D3628" s="3">
        <f t="shared" si="113"/>
        <v>202102</v>
      </c>
      <c r="E3628" s="5" t="s">
        <v>5</v>
      </c>
      <c r="F3628" s="5" t="s">
        <v>11</v>
      </c>
      <c r="G3628" s="5" t="s">
        <v>39</v>
      </c>
      <c r="H3628">
        <v>15</v>
      </c>
      <c r="I3628" s="4">
        <v>110520</v>
      </c>
      <c r="J3628" s="4">
        <v>45900</v>
      </c>
    </row>
    <row r="3629" spans="2:10" x14ac:dyDescent="0.3">
      <c r="B3629" s="7">
        <v>44256</v>
      </c>
      <c r="C3629" s="3">
        <f t="shared" si="112"/>
        <v>2021</v>
      </c>
      <c r="D3629" s="3">
        <f t="shared" si="113"/>
        <v>202103</v>
      </c>
      <c r="E3629" s="5" t="s">
        <v>5</v>
      </c>
      <c r="F3629" s="5" t="s">
        <v>11</v>
      </c>
      <c r="G3629" s="5" t="s">
        <v>39</v>
      </c>
      <c r="H3629">
        <v>12</v>
      </c>
      <c r="I3629" s="4">
        <v>73356</v>
      </c>
      <c r="J3629" s="4">
        <v>36720</v>
      </c>
    </row>
    <row r="3630" spans="2:10" x14ac:dyDescent="0.3">
      <c r="B3630" s="7">
        <v>44287</v>
      </c>
      <c r="C3630" s="3">
        <f t="shared" si="112"/>
        <v>2021</v>
      </c>
      <c r="D3630" s="3">
        <f t="shared" si="113"/>
        <v>202104</v>
      </c>
      <c r="E3630" s="5" t="s">
        <v>5</v>
      </c>
      <c r="F3630" s="5" t="s">
        <v>11</v>
      </c>
      <c r="G3630" s="5" t="s">
        <v>39</v>
      </c>
      <c r="H3630">
        <v>22</v>
      </c>
      <c r="I3630" s="4">
        <v>176154</v>
      </c>
      <c r="J3630" s="4">
        <v>67320</v>
      </c>
    </row>
    <row r="3631" spans="2:10" x14ac:dyDescent="0.3">
      <c r="B3631" s="7">
        <v>44317</v>
      </c>
      <c r="C3631" s="3">
        <f t="shared" si="112"/>
        <v>2021</v>
      </c>
      <c r="D3631" s="3">
        <f t="shared" si="113"/>
        <v>202105</v>
      </c>
      <c r="E3631" s="5" t="s">
        <v>5</v>
      </c>
      <c r="F3631" s="5" t="s">
        <v>11</v>
      </c>
      <c r="G3631" s="5" t="s">
        <v>39</v>
      </c>
      <c r="H3631">
        <v>28</v>
      </c>
      <c r="I3631" s="4">
        <v>230020</v>
      </c>
      <c r="J3631" s="4">
        <v>85680</v>
      </c>
    </row>
    <row r="3632" spans="2:10" x14ac:dyDescent="0.3">
      <c r="B3632" s="7">
        <v>44348</v>
      </c>
      <c r="C3632" s="3">
        <f t="shared" si="112"/>
        <v>2021</v>
      </c>
      <c r="D3632" s="3">
        <f t="shared" si="113"/>
        <v>202106</v>
      </c>
      <c r="E3632" s="5" t="s">
        <v>5</v>
      </c>
      <c r="F3632" s="5" t="s">
        <v>11</v>
      </c>
      <c r="G3632" s="5" t="s">
        <v>39</v>
      </c>
      <c r="H3632">
        <v>26</v>
      </c>
      <c r="I3632" s="4">
        <v>187044</v>
      </c>
      <c r="J3632" s="4">
        <v>79560</v>
      </c>
    </row>
    <row r="3633" spans="2:10" x14ac:dyDescent="0.3">
      <c r="B3633" s="7">
        <v>44378</v>
      </c>
      <c r="C3633" s="3">
        <f t="shared" si="112"/>
        <v>2021</v>
      </c>
      <c r="D3633" s="3">
        <f t="shared" si="113"/>
        <v>202107</v>
      </c>
      <c r="E3633" s="5" t="s">
        <v>5</v>
      </c>
      <c r="F3633" s="5" t="s">
        <v>11</v>
      </c>
      <c r="G3633" s="5" t="s">
        <v>39</v>
      </c>
      <c r="H3633">
        <v>28</v>
      </c>
      <c r="I3633" s="4">
        <v>171696</v>
      </c>
      <c r="J3633" s="4">
        <v>85680</v>
      </c>
    </row>
    <row r="3634" spans="2:10" x14ac:dyDescent="0.3">
      <c r="B3634" s="7">
        <v>44409</v>
      </c>
      <c r="C3634" s="3">
        <f t="shared" si="112"/>
        <v>2021</v>
      </c>
      <c r="D3634" s="3">
        <f t="shared" si="113"/>
        <v>202108</v>
      </c>
      <c r="E3634" s="5" t="s">
        <v>5</v>
      </c>
      <c r="F3634" s="5" t="s">
        <v>11</v>
      </c>
      <c r="G3634" s="5" t="s">
        <v>39</v>
      </c>
      <c r="H3634">
        <v>24</v>
      </c>
      <c r="I3634" s="4">
        <v>159648</v>
      </c>
      <c r="J3634" s="4">
        <v>73440</v>
      </c>
    </row>
    <row r="3635" spans="2:10" x14ac:dyDescent="0.3">
      <c r="B3635" s="7">
        <v>44440</v>
      </c>
      <c r="C3635" s="3">
        <f t="shared" si="112"/>
        <v>2021</v>
      </c>
      <c r="D3635" s="3">
        <f t="shared" si="113"/>
        <v>202109</v>
      </c>
      <c r="E3635" s="5" t="s">
        <v>5</v>
      </c>
      <c r="F3635" s="5" t="s">
        <v>11</v>
      </c>
      <c r="G3635" s="5" t="s">
        <v>39</v>
      </c>
      <c r="H3635">
        <v>25</v>
      </c>
      <c r="I3635" s="4">
        <v>159775</v>
      </c>
      <c r="J3635" s="4">
        <v>76500</v>
      </c>
    </row>
    <row r="3636" spans="2:10" x14ac:dyDescent="0.3">
      <c r="B3636" s="7">
        <v>44470</v>
      </c>
      <c r="C3636" s="3">
        <f t="shared" si="112"/>
        <v>2021</v>
      </c>
      <c r="D3636" s="3">
        <f t="shared" si="113"/>
        <v>202110</v>
      </c>
      <c r="E3636" s="5" t="s">
        <v>5</v>
      </c>
      <c r="F3636" s="5" t="s">
        <v>11</v>
      </c>
      <c r="G3636" s="5" t="s">
        <v>39</v>
      </c>
      <c r="H3636">
        <v>21</v>
      </c>
      <c r="I3636" s="4">
        <v>151032</v>
      </c>
      <c r="J3636" s="4">
        <v>64260</v>
      </c>
    </row>
    <row r="3637" spans="2:10" x14ac:dyDescent="0.3">
      <c r="B3637" s="7">
        <v>44501</v>
      </c>
      <c r="C3637" s="3">
        <f t="shared" si="112"/>
        <v>2021</v>
      </c>
      <c r="D3637" s="3">
        <f t="shared" si="113"/>
        <v>202111</v>
      </c>
      <c r="E3637" s="5" t="s">
        <v>5</v>
      </c>
      <c r="F3637" s="5" t="s">
        <v>11</v>
      </c>
      <c r="G3637" s="5" t="s">
        <v>39</v>
      </c>
      <c r="H3637">
        <v>15</v>
      </c>
      <c r="I3637" s="4">
        <v>100335</v>
      </c>
      <c r="J3637" s="4">
        <v>45900</v>
      </c>
    </row>
    <row r="3638" spans="2:10" x14ac:dyDescent="0.3">
      <c r="B3638" s="7">
        <v>44531</v>
      </c>
      <c r="C3638" s="3">
        <f t="shared" si="112"/>
        <v>2021</v>
      </c>
      <c r="D3638" s="3">
        <f t="shared" si="113"/>
        <v>202112</v>
      </c>
      <c r="E3638" s="5" t="s">
        <v>5</v>
      </c>
      <c r="F3638" s="5" t="s">
        <v>11</v>
      </c>
      <c r="G3638" s="5" t="s">
        <v>39</v>
      </c>
      <c r="H3638">
        <v>18</v>
      </c>
      <c r="I3638" s="4">
        <v>115542</v>
      </c>
      <c r="J3638" s="4">
        <v>55080</v>
      </c>
    </row>
    <row r="3639" spans="2:10" x14ac:dyDescent="0.3">
      <c r="B3639" s="7">
        <v>44562</v>
      </c>
      <c r="C3639" s="3">
        <f t="shared" si="112"/>
        <v>2022</v>
      </c>
      <c r="D3639" s="3">
        <f t="shared" si="113"/>
        <v>202201</v>
      </c>
      <c r="E3639" s="5" t="s">
        <v>5</v>
      </c>
      <c r="F3639" s="5" t="s">
        <v>11</v>
      </c>
      <c r="G3639" s="5" t="s">
        <v>39</v>
      </c>
      <c r="H3639">
        <v>26</v>
      </c>
      <c r="I3639" s="4">
        <v>191880</v>
      </c>
      <c r="J3639" s="4">
        <v>79560</v>
      </c>
    </row>
    <row r="3640" spans="2:10" x14ac:dyDescent="0.3">
      <c r="B3640" s="7">
        <v>44593</v>
      </c>
      <c r="C3640" s="3">
        <f t="shared" si="112"/>
        <v>2022</v>
      </c>
      <c r="D3640" s="3">
        <f t="shared" si="113"/>
        <v>202202</v>
      </c>
      <c r="E3640" s="5" t="s">
        <v>5</v>
      </c>
      <c r="F3640" s="5" t="s">
        <v>11</v>
      </c>
      <c r="G3640" s="5" t="s">
        <v>39</v>
      </c>
      <c r="H3640">
        <v>16</v>
      </c>
      <c r="I3640" s="4">
        <v>120400</v>
      </c>
      <c r="J3640" s="4">
        <v>48960</v>
      </c>
    </row>
    <row r="3641" spans="2:10" x14ac:dyDescent="0.3">
      <c r="B3641" s="7">
        <v>44621</v>
      </c>
      <c r="C3641" s="3">
        <f t="shared" si="112"/>
        <v>2022</v>
      </c>
      <c r="D3641" s="3">
        <f t="shared" si="113"/>
        <v>202203</v>
      </c>
      <c r="E3641" s="5" t="s">
        <v>5</v>
      </c>
      <c r="F3641" s="5" t="s">
        <v>11</v>
      </c>
      <c r="G3641" s="5" t="s">
        <v>39</v>
      </c>
      <c r="H3641">
        <v>13</v>
      </c>
      <c r="I3641" s="4">
        <v>85501</v>
      </c>
      <c r="J3641" s="4">
        <v>39780</v>
      </c>
    </row>
    <row r="3642" spans="2:10" x14ac:dyDescent="0.3">
      <c r="B3642" s="7">
        <v>44652</v>
      </c>
      <c r="C3642" s="3">
        <f t="shared" si="112"/>
        <v>2022</v>
      </c>
      <c r="D3642" s="3">
        <f t="shared" si="113"/>
        <v>202204</v>
      </c>
      <c r="E3642" s="5" t="s">
        <v>5</v>
      </c>
      <c r="F3642" s="5" t="s">
        <v>11</v>
      </c>
      <c r="G3642" s="5" t="s">
        <v>39</v>
      </c>
      <c r="H3642">
        <v>24</v>
      </c>
      <c r="I3642" s="4">
        <v>180456</v>
      </c>
      <c r="J3642" s="4">
        <v>73440</v>
      </c>
    </row>
    <row r="3643" spans="2:10" x14ac:dyDescent="0.3">
      <c r="B3643" s="7">
        <v>44682</v>
      </c>
      <c r="C3643" s="3">
        <f t="shared" si="112"/>
        <v>2022</v>
      </c>
      <c r="D3643" s="3">
        <f t="shared" si="113"/>
        <v>202205</v>
      </c>
      <c r="E3643" s="5" t="s">
        <v>5</v>
      </c>
      <c r="F3643" s="5" t="s">
        <v>11</v>
      </c>
      <c r="G3643" s="5" t="s">
        <v>39</v>
      </c>
      <c r="H3643">
        <v>31</v>
      </c>
      <c r="I3643" s="4">
        <v>239847</v>
      </c>
      <c r="J3643" s="4">
        <v>94860</v>
      </c>
    </row>
    <row r="3644" spans="2:10" x14ac:dyDescent="0.3">
      <c r="B3644" s="7">
        <v>44713</v>
      </c>
      <c r="C3644" s="3">
        <f t="shared" si="112"/>
        <v>2022</v>
      </c>
      <c r="D3644" s="3">
        <f t="shared" si="113"/>
        <v>202206</v>
      </c>
      <c r="E3644" s="5" t="s">
        <v>5</v>
      </c>
      <c r="F3644" s="5" t="s">
        <v>11</v>
      </c>
      <c r="G3644" s="5" t="s">
        <v>39</v>
      </c>
      <c r="H3644">
        <v>29</v>
      </c>
      <c r="I3644" s="4">
        <v>219066</v>
      </c>
      <c r="J3644" s="4">
        <v>88740</v>
      </c>
    </row>
    <row r="3645" spans="2:10" x14ac:dyDescent="0.3">
      <c r="B3645" s="7">
        <v>44743</v>
      </c>
      <c r="C3645" s="3">
        <f t="shared" si="112"/>
        <v>2022</v>
      </c>
      <c r="D3645" s="3">
        <f t="shared" si="113"/>
        <v>202207</v>
      </c>
      <c r="E3645" s="5" t="s">
        <v>5</v>
      </c>
      <c r="F3645" s="5" t="s">
        <v>11</v>
      </c>
      <c r="G3645" s="5" t="s">
        <v>39</v>
      </c>
      <c r="H3645">
        <v>31</v>
      </c>
      <c r="I3645" s="4">
        <v>192045</v>
      </c>
      <c r="J3645" s="4">
        <v>94860</v>
      </c>
    </row>
    <row r="3646" spans="2:10" x14ac:dyDescent="0.3">
      <c r="B3646" s="7">
        <v>44774</v>
      </c>
      <c r="C3646" s="3">
        <f t="shared" si="112"/>
        <v>2022</v>
      </c>
      <c r="D3646" s="3">
        <f t="shared" si="113"/>
        <v>202208</v>
      </c>
      <c r="E3646" s="5" t="s">
        <v>5</v>
      </c>
      <c r="F3646" s="5" t="s">
        <v>11</v>
      </c>
      <c r="G3646" s="5" t="s">
        <v>39</v>
      </c>
      <c r="H3646">
        <v>26</v>
      </c>
      <c r="I3646" s="4">
        <v>175604</v>
      </c>
      <c r="J3646" s="4">
        <v>79560</v>
      </c>
    </row>
    <row r="3647" spans="2:10" x14ac:dyDescent="0.3">
      <c r="B3647" s="7">
        <v>44805</v>
      </c>
      <c r="C3647" s="3">
        <f t="shared" si="112"/>
        <v>2022</v>
      </c>
      <c r="D3647" s="3">
        <f t="shared" si="113"/>
        <v>202209</v>
      </c>
      <c r="E3647" s="5" t="s">
        <v>5</v>
      </c>
      <c r="F3647" s="5" t="s">
        <v>11</v>
      </c>
      <c r="G3647" s="5" t="s">
        <v>39</v>
      </c>
      <c r="H3647">
        <v>27</v>
      </c>
      <c r="I3647" s="4">
        <v>193806</v>
      </c>
      <c r="J3647" s="4">
        <v>82620</v>
      </c>
    </row>
    <row r="3648" spans="2:10" x14ac:dyDescent="0.3">
      <c r="B3648" s="7">
        <v>44835</v>
      </c>
      <c r="C3648" s="3">
        <f t="shared" si="112"/>
        <v>2022</v>
      </c>
      <c r="D3648" s="3">
        <f t="shared" si="113"/>
        <v>202210</v>
      </c>
      <c r="E3648" s="5" t="s">
        <v>5</v>
      </c>
      <c r="F3648" s="5" t="s">
        <v>11</v>
      </c>
      <c r="G3648" s="5" t="s">
        <v>39</v>
      </c>
      <c r="H3648">
        <v>23</v>
      </c>
      <c r="I3648" s="4">
        <v>163599</v>
      </c>
      <c r="J3648" s="4">
        <v>70380</v>
      </c>
    </row>
    <row r="3649" spans="2:10" x14ac:dyDescent="0.3">
      <c r="B3649" s="7">
        <v>44866</v>
      </c>
      <c r="C3649" s="3">
        <f t="shared" si="112"/>
        <v>2022</v>
      </c>
      <c r="D3649" s="3">
        <f t="shared" si="113"/>
        <v>202211</v>
      </c>
      <c r="E3649" s="5" t="s">
        <v>5</v>
      </c>
      <c r="F3649" s="5" t="s">
        <v>11</v>
      </c>
      <c r="G3649" s="5" t="s">
        <v>39</v>
      </c>
      <c r="H3649">
        <v>16</v>
      </c>
      <c r="I3649" s="4">
        <v>119696</v>
      </c>
      <c r="J3649" s="4">
        <v>48960</v>
      </c>
    </row>
    <row r="3650" spans="2:10" x14ac:dyDescent="0.3">
      <c r="B3650" s="7">
        <v>44896</v>
      </c>
      <c r="C3650" s="3">
        <f t="shared" si="112"/>
        <v>2022</v>
      </c>
      <c r="D3650" s="3">
        <f t="shared" si="113"/>
        <v>202212</v>
      </c>
      <c r="E3650" s="5" t="s">
        <v>5</v>
      </c>
      <c r="F3650" s="5" t="s">
        <v>11</v>
      </c>
      <c r="G3650" s="5" t="s">
        <v>39</v>
      </c>
      <c r="H3650">
        <v>20</v>
      </c>
      <c r="I3650" s="4">
        <v>129900</v>
      </c>
      <c r="J3650" s="4">
        <v>61200</v>
      </c>
    </row>
    <row r="3651" spans="2:10" x14ac:dyDescent="0.3">
      <c r="B3651" s="7">
        <v>44197</v>
      </c>
      <c r="C3651" s="3">
        <f t="shared" ref="C3651:C3714" si="114">YEAR(B3651)</f>
        <v>2021</v>
      </c>
      <c r="D3651" s="3">
        <f t="shared" ref="D3651:D3714" si="115">VALUE(TEXT(B3651,"ГГГГММ"))</f>
        <v>202101</v>
      </c>
      <c r="E3651" s="5" t="s">
        <v>5</v>
      </c>
      <c r="F3651" s="5" t="s">
        <v>11</v>
      </c>
      <c r="G3651" s="5" t="s">
        <v>40</v>
      </c>
      <c r="H3651">
        <v>25</v>
      </c>
      <c r="I3651" s="4">
        <v>222650</v>
      </c>
      <c r="J3651" s="4">
        <v>86400</v>
      </c>
    </row>
    <row r="3652" spans="2:10" x14ac:dyDescent="0.3">
      <c r="B3652" s="7">
        <v>44228</v>
      </c>
      <c r="C3652" s="3">
        <f t="shared" si="114"/>
        <v>2021</v>
      </c>
      <c r="D3652" s="3">
        <f t="shared" si="115"/>
        <v>202102</v>
      </c>
      <c r="E3652" s="5" t="s">
        <v>5</v>
      </c>
      <c r="F3652" s="5" t="s">
        <v>11</v>
      </c>
      <c r="G3652" s="5" t="s">
        <v>40</v>
      </c>
      <c r="H3652">
        <v>16</v>
      </c>
      <c r="I3652" s="4">
        <v>142736</v>
      </c>
      <c r="J3652" s="4">
        <v>55296</v>
      </c>
    </row>
    <row r="3653" spans="2:10" x14ac:dyDescent="0.3">
      <c r="B3653" s="7">
        <v>44256</v>
      </c>
      <c r="C3653" s="3">
        <f t="shared" si="114"/>
        <v>2021</v>
      </c>
      <c r="D3653" s="3">
        <f t="shared" si="115"/>
        <v>202103</v>
      </c>
      <c r="E3653" s="5" t="s">
        <v>5</v>
      </c>
      <c r="F3653" s="5" t="s">
        <v>11</v>
      </c>
      <c r="G3653" s="5" t="s">
        <v>40</v>
      </c>
      <c r="H3653">
        <v>13</v>
      </c>
      <c r="I3653" s="4">
        <v>109395</v>
      </c>
      <c r="J3653" s="4">
        <v>44928</v>
      </c>
    </row>
    <row r="3654" spans="2:10" x14ac:dyDescent="0.3">
      <c r="B3654" s="7">
        <v>44287</v>
      </c>
      <c r="C3654" s="3">
        <f t="shared" si="114"/>
        <v>2021</v>
      </c>
      <c r="D3654" s="3">
        <f t="shared" si="115"/>
        <v>202104</v>
      </c>
      <c r="E3654" s="5" t="s">
        <v>5</v>
      </c>
      <c r="F3654" s="5" t="s">
        <v>11</v>
      </c>
      <c r="G3654" s="5" t="s">
        <v>40</v>
      </c>
      <c r="H3654">
        <v>23</v>
      </c>
      <c r="I3654" s="4">
        <v>195891</v>
      </c>
      <c r="J3654" s="4">
        <v>79488</v>
      </c>
    </row>
    <row r="3655" spans="2:10" x14ac:dyDescent="0.3">
      <c r="B3655" s="7">
        <v>44317</v>
      </c>
      <c r="C3655" s="3">
        <f t="shared" si="114"/>
        <v>2021</v>
      </c>
      <c r="D3655" s="3">
        <f t="shared" si="115"/>
        <v>202105</v>
      </c>
      <c r="E3655" s="5" t="s">
        <v>5</v>
      </c>
      <c r="F3655" s="5" t="s">
        <v>11</v>
      </c>
      <c r="G3655" s="5" t="s">
        <v>40</v>
      </c>
      <c r="H3655">
        <v>29</v>
      </c>
      <c r="I3655" s="4">
        <v>266394</v>
      </c>
      <c r="J3655" s="4">
        <v>100224</v>
      </c>
    </row>
    <row r="3656" spans="2:10" x14ac:dyDescent="0.3">
      <c r="B3656" s="7">
        <v>44348</v>
      </c>
      <c r="C3656" s="3">
        <f t="shared" si="114"/>
        <v>2021</v>
      </c>
      <c r="D3656" s="3">
        <f t="shared" si="115"/>
        <v>202106</v>
      </c>
      <c r="E3656" s="5" t="s">
        <v>5</v>
      </c>
      <c r="F3656" s="5" t="s">
        <v>11</v>
      </c>
      <c r="G3656" s="5" t="s">
        <v>40</v>
      </c>
      <c r="H3656">
        <v>28</v>
      </c>
      <c r="I3656" s="4">
        <v>247464</v>
      </c>
      <c r="J3656" s="4">
        <v>96768</v>
      </c>
    </row>
    <row r="3657" spans="2:10" x14ac:dyDescent="0.3">
      <c r="B3657" s="7">
        <v>44378</v>
      </c>
      <c r="C3657" s="3">
        <f t="shared" si="114"/>
        <v>2021</v>
      </c>
      <c r="D3657" s="3">
        <f t="shared" si="115"/>
        <v>202107</v>
      </c>
      <c r="E3657" s="5" t="s">
        <v>5</v>
      </c>
      <c r="F3657" s="5" t="s">
        <v>11</v>
      </c>
      <c r="G3657" s="5" t="s">
        <v>40</v>
      </c>
      <c r="H3657">
        <v>29</v>
      </c>
      <c r="I3657" s="4">
        <v>199607</v>
      </c>
      <c r="J3657" s="4">
        <v>100224</v>
      </c>
    </row>
    <row r="3658" spans="2:10" x14ac:dyDescent="0.3">
      <c r="B3658" s="7">
        <v>44409</v>
      </c>
      <c r="C3658" s="3">
        <f t="shared" si="114"/>
        <v>2021</v>
      </c>
      <c r="D3658" s="3">
        <f t="shared" si="115"/>
        <v>202108</v>
      </c>
      <c r="E3658" s="5" t="s">
        <v>5</v>
      </c>
      <c r="F3658" s="5" t="s">
        <v>11</v>
      </c>
      <c r="G3658" s="5" t="s">
        <v>40</v>
      </c>
      <c r="H3658">
        <v>25</v>
      </c>
      <c r="I3658" s="4">
        <v>185725</v>
      </c>
      <c r="J3658" s="4">
        <v>86400</v>
      </c>
    </row>
    <row r="3659" spans="2:10" x14ac:dyDescent="0.3">
      <c r="B3659" s="7">
        <v>44440</v>
      </c>
      <c r="C3659" s="3">
        <f t="shared" si="114"/>
        <v>2021</v>
      </c>
      <c r="D3659" s="3">
        <f t="shared" si="115"/>
        <v>202109</v>
      </c>
      <c r="E3659" s="5" t="s">
        <v>5</v>
      </c>
      <c r="F3659" s="5" t="s">
        <v>11</v>
      </c>
      <c r="G3659" s="5" t="s">
        <v>40</v>
      </c>
      <c r="H3659">
        <v>26</v>
      </c>
      <c r="I3659" s="4">
        <v>207272</v>
      </c>
      <c r="J3659" s="4">
        <v>89856</v>
      </c>
    </row>
    <row r="3660" spans="2:10" x14ac:dyDescent="0.3">
      <c r="B3660" s="7">
        <v>44470</v>
      </c>
      <c r="C3660" s="3">
        <f t="shared" si="114"/>
        <v>2021</v>
      </c>
      <c r="D3660" s="3">
        <f t="shared" si="115"/>
        <v>202110</v>
      </c>
      <c r="E3660" s="5" t="s">
        <v>5</v>
      </c>
      <c r="F3660" s="5" t="s">
        <v>11</v>
      </c>
      <c r="G3660" s="5" t="s">
        <v>40</v>
      </c>
      <c r="H3660">
        <v>22</v>
      </c>
      <c r="I3660" s="4">
        <v>186648</v>
      </c>
      <c r="J3660" s="4">
        <v>76032</v>
      </c>
    </row>
    <row r="3661" spans="2:10" x14ac:dyDescent="0.3">
      <c r="B3661" s="7">
        <v>44501</v>
      </c>
      <c r="C3661" s="3">
        <f t="shared" si="114"/>
        <v>2021</v>
      </c>
      <c r="D3661" s="3">
        <f t="shared" si="115"/>
        <v>202111</v>
      </c>
      <c r="E3661" s="5" t="s">
        <v>5</v>
      </c>
      <c r="F3661" s="5" t="s">
        <v>11</v>
      </c>
      <c r="G3661" s="5" t="s">
        <v>40</v>
      </c>
      <c r="H3661">
        <v>16</v>
      </c>
      <c r="I3661" s="4">
        <v>130656</v>
      </c>
      <c r="J3661" s="4">
        <v>55296</v>
      </c>
    </row>
    <row r="3662" spans="2:10" x14ac:dyDescent="0.3">
      <c r="B3662" s="7">
        <v>44531</v>
      </c>
      <c r="C3662" s="3">
        <f t="shared" si="114"/>
        <v>2021</v>
      </c>
      <c r="D3662" s="3">
        <f t="shared" si="115"/>
        <v>202112</v>
      </c>
      <c r="E3662" s="5" t="s">
        <v>5</v>
      </c>
      <c r="F3662" s="5" t="s">
        <v>11</v>
      </c>
      <c r="G3662" s="5" t="s">
        <v>40</v>
      </c>
      <c r="H3662">
        <v>19</v>
      </c>
      <c r="I3662" s="4">
        <v>150043</v>
      </c>
      <c r="J3662" s="4">
        <v>65664</v>
      </c>
    </row>
    <row r="3663" spans="2:10" x14ac:dyDescent="0.3">
      <c r="B3663" s="7">
        <v>44562</v>
      </c>
      <c r="C3663" s="3">
        <f t="shared" si="114"/>
        <v>2022</v>
      </c>
      <c r="D3663" s="3">
        <f t="shared" si="115"/>
        <v>202201</v>
      </c>
      <c r="E3663" s="5" t="s">
        <v>5</v>
      </c>
      <c r="F3663" s="5" t="s">
        <v>11</v>
      </c>
      <c r="G3663" s="5" t="s">
        <v>40</v>
      </c>
      <c r="H3663">
        <v>27</v>
      </c>
      <c r="I3663" s="4">
        <v>240327</v>
      </c>
      <c r="J3663" s="4">
        <v>93312</v>
      </c>
    </row>
    <row r="3664" spans="2:10" x14ac:dyDescent="0.3">
      <c r="B3664" s="7">
        <v>44593</v>
      </c>
      <c r="C3664" s="3">
        <f t="shared" si="114"/>
        <v>2022</v>
      </c>
      <c r="D3664" s="3">
        <f t="shared" si="115"/>
        <v>202202</v>
      </c>
      <c r="E3664" s="5" t="s">
        <v>5</v>
      </c>
      <c r="F3664" s="5" t="s">
        <v>11</v>
      </c>
      <c r="G3664" s="5" t="s">
        <v>40</v>
      </c>
      <c r="H3664">
        <v>17</v>
      </c>
      <c r="I3664" s="4">
        <v>146013</v>
      </c>
      <c r="J3664" s="4">
        <v>58752</v>
      </c>
    </row>
    <row r="3665" spans="2:10" x14ac:dyDescent="0.3">
      <c r="B3665" s="7">
        <v>44621</v>
      </c>
      <c r="C3665" s="3">
        <f t="shared" si="114"/>
        <v>2022</v>
      </c>
      <c r="D3665" s="3">
        <f t="shared" si="115"/>
        <v>202203</v>
      </c>
      <c r="E3665" s="5" t="s">
        <v>5</v>
      </c>
      <c r="F3665" s="5" t="s">
        <v>11</v>
      </c>
      <c r="G3665" s="5" t="s">
        <v>40</v>
      </c>
      <c r="H3665">
        <v>14</v>
      </c>
      <c r="I3665" s="4">
        <v>109508</v>
      </c>
      <c r="J3665" s="4">
        <v>48384</v>
      </c>
    </row>
    <row r="3666" spans="2:10" x14ac:dyDescent="0.3">
      <c r="B3666" s="7">
        <v>44652</v>
      </c>
      <c r="C3666" s="3">
        <f t="shared" si="114"/>
        <v>2022</v>
      </c>
      <c r="D3666" s="3">
        <f t="shared" si="115"/>
        <v>202204</v>
      </c>
      <c r="E3666" s="5" t="s">
        <v>5</v>
      </c>
      <c r="F3666" s="5" t="s">
        <v>11</v>
      </c>
      <c r="G3666" s="5" t="s">
        <v>40</v>
      </c>
      <c r="H3666">
        <v>25</v>
      </c>
      <c r="I3666" s="4">
        <v>221250</v>
      </c>
      <c r="J3666" s="4">
        <v>86400</v>
      </c>
    </row>
    <row r="3667" spans="2:10" x14ac:dyDescent="0.3">
      <c r="B3667" s="7">
        <v>44682</v>
      </c>
      <c r="C3667" s="3">
        <f t="shared" si="114"/>
        <v>2022</v>
      </c>
      <c r="D3667" s="3">
        <f t="shared" si="115"/>
        <v>202205</v>
      </c>
      <c r="E3667" s="5" t="s">
        <v>5</v>
      </c>
      <c r="F3667" s="5" t="s">
        <v>11</v>
      </c>
      <c r="G3667" s="5" t="s">
        <v>40</v>
      </c>
      <c r="H3667">
        <v>32</v>
      </c>
      <c r="I3667" s="4">
        <v>301408</v>
      </c>
      <c r="J3667" s="4">
        <v>110592</v>
      </c>
    </row>
    <row r="3668" spans="2:10" x14ac:dyDescent="0.3">
      <c r="B3668" s="7">
        <v>44713</v>
      </c>
      <c r="C3668" s="3">
        <f t="shared" si="114"/>
        <v>2022</v>
      </c>
      <c r="D3668" s="3">
        <f t="shared" si="115"/>
        <v>202206</v>
      </c>
      <c r="E3668" s="5" t="s">
        <v>5</v>
      </c>
      <c r="F3668" s="5" t="s">
        <v>11</v>
      </c>
      <c r="G3668" s="5" t="s">
        <v>40</v>
      </c>
      <c r="H3668">
        <v>30</v>
      </c>
      <c r="I3668" s="4">
        <v>265500</v>
      </c>
      <c r="J3668" s="4">
        <v>103680</v>
      </c>
    </row>
    <row r="3669" spans="2:10" x14ac:dyDescent="0.3">
      <c r="B3669" s="7">
        <v>44743</v>
      </c>
      <c r="C3669" s="3">
        <f t="shared" si="114"/>
        <v>2022</v>
      </c>
      <c r="D3669" s="3">
        <f t="shared" si="115"/>
        <v>202207</v>
      </c>
      <c r="E3669" s="5" t="s">
        <v>5</v>
      </c>
      <c r="F3669" s="5" t="s">
        <v>11</v>
      </c>
      <c r="G3669" s="5" t="s">
        <v>40</v>
      </c>
      <c r="H3669">
        <v>32</v>
      </c>
      <c r="I3669" s="4">
        <v>206336</v>
      </c>
      <c r="J3669" s="4">
        <v>110592</v>
      </c>
    </row>
    <row r="3670" spans="2:10" x14ac:dyDescent="0.3">
      <c r="B3670" s="7">
        <v>44774</v>
      </c>
      <c r="C3670" s="3">
        <f t="shared" si="114"/>
        <v>2022</v>
      </c>
      <c r="D3670" s="3">
        <f t="shared" si="115"/>
        <v>202208</v>
      </c>
      <c r="E3670" s="5" t="s">
        <v>5</v>
      </c>
      <c r="F3670" s="5" t="s">
        <v>11</v>
      </c>
      <c r="G3670" s="5" t="s">
        <v>40</v>
      </c>
      <c r="H3670">
        <v>27</v>
      </c>
      <c r="I3670" s="4">
        <v>221184</v>
      </c>
      <c r="J3670" s="4">
        <v>93312</v>
      </c>
    </row>
    <row r="3671" spans="2:10" x14ac:dyDescent="0.3">
      <c r="B3671" s="7">
        <v>44805</v>
      </c>
      <c r="C3671" s="3">
        <f t="shared" si="114"/>
        <v>2022</v>
      </c>
      <c r="D3671" s="3">
        <f t="shared" si="115"/>
        <v>202209</v>
      </c>
      <c r="E3671" s="5" t="s">
        <v>5</v>
      </c>
      <c r="F3671" s="5" t="s">
        <v>11</v>
      </c>
      <c r="G3671" s="5" t="s">
        <v>40</v>
      </c>
      <c r="H3671">
        <v>29</v>
      </c>
      <c r="I3671" s="4">
        <v>229216</v>
      </c>
      <c r="J3671" s="4">
        <v>100224</v>
      </c>
    </row>
    <row r="3672" spans="2:10" x14ac:dyDescent="0.3">
      <c r="B3672" s="7">
        <v>44835</v>
      </c>
      <c r="C3672" s="3">
        <f t="shared" si="114"/>
        <v>2022</v>
      </c>
      <c r="D3672" s="3">
        <f t="shared" si="115"/>
        <v>202210</v>
      </c>
      <c r="E3672" s="5" t="s">
        <v>5</v>
      </c>
      <c r="F3672" s="5" t="s">
        <v>11</v>
      </c>
      <c r="G3672" s="5" t="s">
        <v>40</v>
      </c>
      <c r="H3672">
        <v>24</v>
      </c>
      <c r="I3672" s="4">
        <v>197616</v>
      </c>
      <c r="J3672" s="4">
        <v>82944</v>
      </c>
    </row>
    <row r="3673" spans="2:10" x14ac:dyDescent="0.3">
      <c r="B3673" s="7">
        <v>44866</v>
      </c>
      <c r="C3673" s="3">
        <f t="shared" si="114"/>
        <v>2022</v>
      </c>
      <c r="D3673" s="3">
        <f t="shared" si="115"/>
        <v>202211</v>
      </c>
      <c r="E3673" s="5" t="s">
        <v>5</v>
      </c>
      <c r="F3673" s="5" t="s">
        <v>11</v>
      </c>
      <c r="G3673" s="5" t="s">
        <v>40</v>
      </c>
      <c r="H3673">
        <v>17</v>
      </c>
      <c r="I3673" s="4">
        <v>141950</v>
      </c>
      <c r="J3673" s="4">
        <v>58752</v>
      </c>
    </row>
    <row r="3674" spans="2:10" x14ac:dyDescent="0.3">
      <c r="B3674" s="7">
        <v>44896</v>
      </c>
      <c r="C3674" s="3">
        <f t="shared" si="114"/>
        <v>2022</v>
      </c>
      <c r="D3674" s="3">
        <f t="shared" si="115"/>
        <v>202212</v>
      </c>
      <c r="E3674" s="5" t="s">
        <v>5</v>
      </c>
      <c r="F3674" s="5" t="s">
        <v>11</v>
      </c>
      <c r="G3674" s="5" t="s">
        <v>40</v>
      </c>
      <c r="H3674">
        <v>20</v>
      </c>
      <c r="I3674" s="4">
        <v>160400</v>
      </c>
      <c r="J3674" s="4">
        <v>69120</v>
      </c>
    </row>
    <row r="3675" spans="2:10" x14ac:dyDescent="0.3">
      <c r="B3675" s="7">
        <v>44197</v>
      </c>
      <c r="C3675" s="3">
        <f t="shared" si="114"/>
        <v>2021</v>
      </c>
      <c r="D3675" s="3">
        <f t="shared" si="115"/>
        <v>202101</v>
      </c>
      <c r="E3675" s="5" t="s">
        <v>5</v>
      </c>
      <c r="F3675" s="5" t="s">
        <v>11</v>
      </c>
      <c r="G3675" s="5" t="s">
        <v>41</v>
      </c>
      <c r="H3675">
        <v>25</v>
      </c>
      <c r="I3675" s="4">
        <v>264525</v>
      </c>
      <c r="J3675" s="4">
        <v>129675</v>
      </c>
    </row>
    <row r="3676" spans="2:10" x14ac:dyDescent="0.3">
      <c r="B3676" s="7">
        <v>44228</v>
      </c>
      <c r="C3676" s="3">
        <f t="shared" si="114"/>
        <v>2021</v>
      </c>
      <c r="D3676" s="3">
        <f t="shared" si="115"/>
        <v>202102</v>
      </c>
      <c r="E3676" s="5" t="s">
        <v>5</v>
      </c>
      <c r="F3676" s="5" t="s">
        <v>11</v>
      </c>
      <c r="G3676" s="5" t="s">
        <v>41</v>
      </c>
      <c r="H3676">
        <v>16</v>
      </c>
      <c r="I3676" s="4">
        <v>172176</v>
      </c>
      <c r="J3676" s="4">
        <v>82992</v>
      </c>
    </row>
    <row r="3677" spans="2:10" x14ac:dyDescent="0.3">
      <c r="B3677" s="7">
        <v>44256</v>
      </c>
      <c r="C3677" s="3">
        <f t="shared" si="114"/>
        <v>2021</v>
      </c>
      <c r="D3677" s="3">
        <f t="shared" si="115"/>
        <v>202103</v>
      </c>
      <c r="E3677" s="5" t="s">
        <v>5</v>
      </c>
      <c r="F3677" s="5" t="s">
        <v>11</v>
      </c>
      <c r="G3677" s="5" t="s">
        <v>41</v>
      </c>
      <c r="H3677">
        <v>13</v>
      </c>
      <c r="I3677" s="4">
        <v>123474</v>
      </c>
      <c r="J3677" s="4">
        <v>67431</v>
      </c>
    </row>
    <row r="3678" spans="2:10" x14ac:dyDescent="0.3">
      <c r="B3678" s="7">
        <v>44287</v>
      </c>
      <c r="C3678" s="3">
        <f t="shared" si="114"/>
        <v>2021</v>
      </c>
      <c r="D3678" s="3">
        <f t="shared" si="115"/>
        <v>202104</v>
      </c>
      <c r="E3678" s="5" t="s">
        <v>5</v>
      </c>
      <c r="F3678" s="5" t="s">
        <v>11</v>
      </c>
      <c r="G3678" s="5" t="s">
        <v>41</v>
      </c>
      <c r="H3678">
        <v>24</v>
      </c>
      <c r="I3678" s="4">
        <v>272400</v>
      </c>
      <c r="J3678" s="4">
        <v>124488</v>
      </c>
    </row>
    <row r="3679" spans="2:10" x14ac:dyDescent="0.3">
      <c r="B3679" s="7">
        <v>44317</v>
      </c>
      <c r="C3679" s="3">
        <f t="shared" si="114"/>
        <v>2021</v>
      </c>
      <c r="D3679" s="3">
        <f t="shared" si="115"/>
        <v>202105</v>
      </c>
      <c r="E3679" s="5" t="s">
        <v>5</v>
      </c>
      <c r="F3679" s="5" t="s">
        <v>11</v>
      </c>
      <c r="G3679" s="5" t="s">
        <v>41</v>
      </c>
      <c r="H3679">
        <v>30</v>
      </c>
      <c r="I3679" s="4">
        <v>341280</v>
      </c>
      <c r="J3679" s="4">
        <v>155610</v>
      </c>
    </row>
    <row r="3680" spans="2:10" x14ac:dyDescent="0.3">
      <c r="B3680" s="7">
        <v>44348</v>
      </c>
      <c r="C3680" s="3">
        <f t="shared" si="114"/>
        <v>2021</v>
      </c>
      <c r="D3680" s="3">
        <f t="shared" si="115"/>
        <v>202106</v>
      </c>
      <c r="E3680" s="5" t="s">
        <v>5</v>
      </c>
      <c r="F3680" s="5" t="s">
        <v>11</v>
      </c>
      <c r="G3680" s="5" t="s">
        <v>41</v>
      </c>
      <c r="H3680">
        <v>28</v>
      </c>
      <c r="I3680" s="4">
        <v>303044</v>
      </c>
      <c r="J3680" s="4">
        <v>145236</v>
      </c>
    </row>
    <row r="3681" spans="2:10" x14ac:dyDescent="0.3">
      <c r="B3681" s="7">
        <v>44378</v>
      </c>
      <c r="C3681" s="3">
        <f t="shared" si="114"/>
        <v>2021</v>
      </c>
      <c r="D3681" s="3">
        <f t="shared" si="115"/>
        <v>202107</v>
      </c>
      <c r="E3681" s="5" t="s">
        <v>5</v>
      </c>
      <c r="F3681" s="5" t="s">
        <v>11</v>
      </c>
      <c r="G3681" s="5" t="s">
        <v>41</v>
      </c>
      <c r="H3681">
        <v>30</v>
      </c>
      <c r="I3681" s="4">
        <v>258540</v>
      </c>
      <c r="J3681" s="4">
        <v>155610</v>
      </c>
    </row>
    <row r="3682" spans="2:10" x14ac:dyDescent="0.3">
      <c r="B3682" s="7">
        <v>44409</v>
      </c>
      <c r="C3682" s="3">
        <f t="shared" si="114"/>
        <v>2021</v>
      </c>
      <c r="D3682" s="3">
        <f t="shared" si="115"/>
        <v>202108</v>
      </c>
      <c r="E3682" s="5" t="s">
        <v>5</v>
      </c>
      <c r="F3682" s="5" t="s">
        <v>11</v>
      </c>
      <c r="G3682" s="5" t="s">
        <v>41</v>
      </c>
      <c r="H3682">
        <v>25</v>
      </c>
      <c r="I3682" s="4">
        <v>253025</v>
      </c>
      <c r="J3682" s="4">
        <v>129675</v>
      </c>
    </row>
    <row r="3683" spans="2:10" x14ac:dyDescent="0.3">
      <c r="B3683" s="7">
        <v>44440</v>
      </c>
      <c r="C3683" s="3">
        <f t="shared" si="114"/>
        <v>2021</v>
      </c>
      <c r="D3683" s="3">
        <f t="shared" si="115"/>
        <v>202109</v>
      </c>
      <c r="E3683" s="5" t="s">
        <v>5</v>
      </c>
      <c r="F3683" s="5" t="s">
        <v>11</v>
      </c>
      <c r="G3683" s="5" t="s">
        <v>41</v>
      </c>
      <c r="H3683">
        <v>27</v>
      </c>
      <c r="I3683" s="4">
        <v>271728</v>
      </c>
      <c r="J3683" s="4">
        <v>140049</v>
      </c>
    </row>
    <row r="3684" spans="2:10" x14ac:dyDescent="0.3">
      <c r="B3684" s="7">
        <v>44470</v>
      </c>
      <c r="C3684" s="3">
        <f t="shared" si="114"/>
        <v>2021</v>
      </c>
      <c r="D3684" s="3">
        <f t="shared" si="115"/>
        <v>202110</v>
      </c>
      <c r="E3684" s="5" t="s">
        <v>5</v>
      </c>
      <c r="F3684" s="5" t="s">
        <v>11</v>
      </c>
      <c r="G3684" s="5" t="s">
        <v>41</v>
      </c>
      <c r="H3684">
        <v>22</v>
      </c>
      <c r="I3684" s="4">
        <v>224026</v>
      </c>
      <c r="J3684" s="4">
        <v>114114</v>
      </c>
    </row>
    <row r="3685" spans="2:10" x14ac:dyDescent="0.3">
      <c r="B3685" s="7">
        <v>44501</v>
      </c>
      <c r="C3685" s="3">
        <f t="shared" si="114"/>
        <v>2021</v>
      </c>
      <c r="D3685" s="3">
        <f t="shared" si="115"/>
        <v>202111</v>
      </c>
      <c r="E3685" s="5" t="s">
        <v>5</v>
      </c>
      <c r="F3685" s="5" t="s">
        <v>11</v>
      </c>
      <c r="G3685" s="5" t="s">
        <v>41</v>
      </c>
      <c r="H3685">
        <v>16</v>
      </c>
      <c r="I3685" s="4">
        <v>171440</v>
      </c>
      <c r="J3685" s="4">
        <v>82992</v>
      </c>
    </row>
    <row r="3686" spans="2:10" x14ac:dyDescent="0.3">
      <c r="B3686" s="7">
        <v>44531</v>
      </c>
      <c r="C3686" s="3">
        <f t="shared" si="114"/>
        <v>2021</v>
      </c>
      <c r="D3686" s="3">
        <f t="shared" si="115"/>
        <v>202112</v>
      </c>
      <c r="E3686" s="5" t="s">
        <v>5</v>
      </c>
      <c r="F3686" s="5" t="s">
        <v>11</v>
      </c>
      <c r="G3686" s="5" t="s">
        <v>41</v>
      </c>
      <c r="H3686">
        <v>19</v>
      </c>
      <c r="I3686" s="4">
        <v>189335</v>
      </c>
      <c r="J3686" s="4">
        <v>98553</v>
      </c>
    </row>
    <row r="3687" spans="2:10" x14ac:dyDescent="0.3">
      <c r="B3687" s="7">
        <v>44562</v>
      </c>
      <c r="C3687" s="3">
        <f t="shared" si="114"/>
        <v>2022</v>
      </c>
      <c r="D3687" s="3">
        <f t="shared" si="115"/>
        <v>202201</v>
      </c>
      <c r="E3687" s="5" t="s">
        <v>5</v>
      </c>
      <c r="F3687" s="5" t="s">
        <v>11</v>
      </c>
      <c r="G3687" s="5" t="s">
        <v>41</v>
      </c>
      <c r="H3687">
        <v>28</v>
      </c>
      <c r="I3687" s="4">
        <v>302624</v>
      </c>
      <c r="J3687" s="4">
        <v>145236</v>
      </c>
    </row>
    <row r="3688" spans="2:10" x14ac:dyDescent="0.3">
      <c r="B3688" s="7">
        <v>44593</v>
      </c>
      <c r="C3688" s="3">
        <f t="shared" si="114"/>
        <v>2022</v>
      </c>
      <c r="D3688" s="3">
        <f t="shared" si="115"/>
        <v>202202</v>
      </c>
      <c r="E3688" s="5" t="s">
        <v>5</v>
      </c>
      <c r="F3688" s="5" t="s">
        <v>11</v>
      </c>
      <c r="G3688" s="5" t="s">
        <v>41</v>
      </c>
      <c r="H3688">
        <v>18</v>
      </c>
      <c r="I3688" s="4">
        <v>178884</v>
      </c>
      <c r="J3688" s="4">
        <v>93366</v>
      </c>
    </row>
    <row r="3689" spans="2:10" x14ac:dyDescent="0.3">
      <c r="B3689" s="7">
        <v>44621</v>
      </c>
      <c r="C3689" s="3">
        <f t="shared" si="114"/>
        <v>2022</v>
      </c>
      <c r="D3689" s="3">
        <f t="shared" si="115"/>
        <v>202203</v>
      </c>
      <c r="E3689" s="5" t="s">
        <v>5</v>
      </c>
      <c r="F3689" s="5" t="s">
        <v>11</v>
      </c>
      <c r="G3689" s="5" t="s">
        <v>41</v>
      </c>
      <c r="H3689">
        <v>14</v>
      </c>
      <c r="I3689" s="4">
        <v>138614</v>
      </c>
      <c r="J3689" s="4">
        <v>72618</v>
      </c>
    </row>
    <row r="3690" spans="2:10" x14ac:dyDescent="0.3">
      <c r="B3690" s="7">
        <v>44652</v>
      </c>
      <c r="C3690" s="3">
        <f t="shared" si="114"/>
        <v>2022</v>
      </c>
      <c r="D3690" s="3">
        <f t="shared" si="115"/>
        <v>202204</v>
      </c>
      <c r="E3690" s="5" t="s">
        <v>5</v>
      </c>
      <c r="F3690" s="5" t="s">
        <v>11</v>
      </c>
      <c r="G3690" s="5" t="s">
        <v>41</v>
      </c>
      <c r="H3690">
        <v>26</v>
      </c>
      <c r="I3690" s="4">
        <v>275132</v>
      </c>
      <c r="J3690" s="4">
        <v>134862</v>
      </c>
    </row>
    <row r="3691" spans="2:10" x14ac:dyDescent="0.3">
      <c r="B3691" s="7">
        <v>44682</v>
      </c>
      <c r="C3691" s="3">
        <f t="shared" si="114"/>
        <v>2022</v>
      </c>
      <c r="D3691" s="3">
        <f t="shared" si="115"/>
        <v>202205</v>
      </c>
      <c r="E3691" s="5" t="s">
        <v>5</v>
      </c>
      <c r="F3691" s="5" t="s">
        <v>11</v>
      </c>
      <c r="G3691" s="5" t="s">
        <v>41</v>
      </c>
      <c r="H3691">
        <v>33</v>
      </c>
      <c r="I3691" s="4">
        <v>375870</v>
      </c>
      <c r="J3691" s="4">
        <v>171171</v>
      </c>
    </row>
    <row r="3692" spans="2:10" x14ac:dyDescent="0.3">
      <c r="B3692" s="7">
        <v>44713</v>
      </c>
      <c r="C3692" s="3">
        <f t="shared" si="114"/>
        <v>2022</v>
      </c>
      <c r="D3692" s="3">
        <f t="shared" si="115"/>
        <v>202206</v>
      </c>
      <c r="E3692" s="5" t="s">
        <v>5</v>
      </c>
      <c r="F3692" s="5" t="s">
        <v>11</v>
      </c>
      <c r="G3692" s="5" t="s">
        <v>41</v>
      </c>
      <c r="H3692">
        <v>31</v>
      </c>
      <c r="I3692" s="4">
        <v>334397</v>
      </c>
      <c r="J3692" s="4">
        <v>160797</v>
      </c>
    </row>
    <row r="3693" spans="2:10" x14ac:dyDescent="0.3">
      <c r="B3693" s="7">
        <v>44743</v>
      </c>
      <c r="C3693" s="3">
        <f t="shared" si="114"/>
        <v>2022</v>
      </c>
      <c r="D3693" s="3">
        <f t="shared" si="115"/>
        <v>202207</v>
      </c>
      <c r="E3693" s="5" t="s">
        <v>5</v>
      </c>
      <c r="F3693" s="5" t="s">
        <v>11</v>
      </c>
      <c r="G3693" s="5" t="s">
        <v>41</v>
      </c>
      <c r="H3693">
        <v>33</v>
      </c>
      <c r="I3693" s="4">
        <v>308550</v>
      </c>
      <c r="J3693" s="4">
        <v>171171</v>
      </c>
    </row>
    <row r="3694" spans="2:10" x14ac:dyDescent="0.3">
      <c r="B3694" s="7">
        <v>44774</v>
      </c>
      <c r="C3694" s="3">
        <f t="shared" si="114"/>
        <v>2022</v>
      </c>
      <c r="D3694" s="3">
        <f t="shared" si="115"/>
        <v>202208</v>
      </c>
      <c r="E3694" s="5" t="s">
        <v>5</v>
      </c>
      <c r="F3694" s="5" t="s">
        <v>11</v>
      </c>
      <c r="G3694" s="5" t="s">
        <v>41</v>
      </c>
      <c r="H3694">
        <v>28</v>
      </c>
      <c r="I3694" s="4">
        <v>277536</v>
      </c>
      <c r="J3694" s="4">
        <v>145236</v>
      </c>
    </row>
    <row r="3695" spans="2:10" x14ac:dyDescent="0.3">
      <c r="B3695" s="7">
        <v>44805</v>
      </c>
      <c r="C3695" s="3">
        <f t="shared" si="114"/>
        <v>2022</v>
      </c>
      <c r="D3695" s="3">
        <f t="shared" si="115"/>
        <v>202209</v>
      </c>
      <c r="E3695" s="5" t="s">
        <v>5</v>
      </c>
      <c r="F3695" s="5" t="s">
        <v>11</v>
      </c>
      <c r="G3695" s="5" t="s">
        <v>41</v>
      </c>
      <c r="H3695">
        <v>30</v>
      </c>
      <c r="I3695" s="4">
        <v>289590</v>
      </c>
      <c r="J3695" s="4">
        <v>155610</v>
      </c>
    </row>
    <row r="3696" spans="2:10" x14ac:dyDescent="0.3">
      <c r="B3696" s="7">
        <v>44835</v>
      </c>
      <c r="C3696" s="3">
        <f t="shared" si="114"/>
        <v>2022</v>
      </c>
      <c r="D3696" s="3">
        <f t="shared" si="115"/>
        <v>202210</v>
      </c>
      <c r="E3696" s="5" t="s">
        <v>5</v>
      </c>
      <c r="F3696" s="5" t="s">
        <v>11</v>
      </c>
      <c r="G3696" s="5" t="s">
        <v>41</v>
      </c>
      <c r="H3696">
        <v>24</v>
      </c>
      <c r="I3696" s="4">
        <v>257928</v>
      </c>
      <c r="J3696" s="4">
        <v>124488</v>
      </c>
    </row>
    <row r="3697" spans="2:10" x14ac:dyDescent="0.3">
      <c r="B3697" s="7">
        <v>44866</v>
      </c>
      <c r="C3697" s="3">
        <f t="shared" si="114"/>
        <v>2022</v>
      </c>
      <c r="D3697" s="3">
        <f t="shared" si="115"/>
        <v>202211</v>
      </c>
      <c r="E3697" s="5" t="s">
        <v>5</v>
      </c>
      <c r="F3697" s="5" t="s">
        <v>11</v>
      </c>
      <c r="G3697" s="5" t="s">
        <v>41</v>
      </c>
      <c r="H3697">
        <v>18</v>
      </c>
      <c r="I3697" s="4">
        <v>178290</v>
      </c>
      <c r="J3697" s="4">
        <v>93366</v>
      </c>
    </row>
    <row r="3698" spans="2:10" x14ac:dyDescent="0.3">
      <c r="B3698" s="7">
        <v>44896</v>
      </c>
      <c r="C3698" s="3">
        <f t="shared" si="114"/>
        <v>2022</v>
      </c>
      <c r="D3698" s="3">
        <f t="shared" si="115"/>
        <v>202212</v>
      </c>
      <c r="E3698" s="5" t="s">
        <v>5</v>
      </c>
      <c r="F3698" s="5" t="s">
        <v>11</v>
      </c>
      <c r="G3698" s="5" t="s">
        <v>41</v>
      </c>
      <c r="H3698">
        <v>21</v>
      </c>
      <c r="I3698" s="4">
        <v>211008</v>
      </c>
      <c r="J3698" s="4">
        <v>108927</v>
      </c>
    </row>
    <row r="3699" spans="2:10" x14ac:dyDescent="0.3">
      <c r="B3699" s="7">
        <v>44197</v>
      </c>
      <c r="C3699" s="3">
        <f t="shared" si="114"/>
        <v>2021</v>
      </c>
      <c r="D3699" s="3">
        <f t="shared" si="115"/>
        <v>202101</v>
      </c>
      <c r="E3699" s="5" t="s">
        <v>5</v>
      </c>
      <c r="F3699" s="5" t="s">
        <v>12</v>
      </c>
      <c r="G3699" s="5" t="s">
        <v>42</v>
      </c>
      <c r="H3699">
        <v>27</v>
      </c>
      <c r="I3699" s="4">
        <v>369252</v>
      </c>
      <c r="J3699" s="4">
        <v>162000</v>
      </c>
    </row>
    <row r="3700" spans="2:10" x14ac:dyDescent="0.3">
      <c r="B3700" s="7">
        <v>44228</v>
      </c>
      <c r="C3700" s="3">
        <f t="shared" si="114"/>
        <v>2021</v>
      </c>
      <c r="D3700" s="3">
        <f t="shared" si="115"/>
        <v>202102</v>
      </c>
      <c r="E3700" s="5" t="s">
        <v>5</v>
      </c>
      <c r="F3700" s="5" t="s">
        <v>12</v>
      </c>
      <c r="G3700" s="5" t="s">
        <v>42</v>
      </c>
      <c r="H3700">
        <v>17</v>
      </c>
      <c r="I3700" s="4">
        <v>219096</v>
      </c>
      <c r="J3700" s="4">
        <v>102000</v>
      </c>
    </row>
    <row r="3701" spans="2:10" x14ac:dyDescent="0.3">
      <c r="B3701" s="7">
        <v>44256</v>
      </c>
      <c r="C3701" s="3">
        <f t="shared" si="114"/>
        <v>2021</v>
      </c>
      <c r="D3701" s="3">
        <f t="shared" si="115"/>
        <v>202103</v>
      </c>
      <c r="E3701" s="5" t="s">
        <v>5</v>
      </c>
      <c r="F3701" s="5" t="s">
        <v>12</v>
      </c>
      <c r="G3701" s="5" t="s">
        <v>42</v>
      </c>
      <c r="H3701">
        <v>14</v>
      </c>
      <c r="I3701" s="4">
        <v>174720</v>
      </c>
      <c r="J3701" s="4">
        <v>84000</v>
      </c>
    </row>
    <row r="3702" spans="2:10" x14ac:dyDescent="0.3">
      <c r="B3702" s="7">
        <v>44287</v>
      </c>
      <c r="C3702" s="3">
        <f t="shared" si="114"/>
        <v>2021</v>
      </c>
      <c r="D3702" s="3">
        <f t="shared" si="115"/>
        <v>202104</v>
      </c>
      <c r="E3702" s="5" t="s">
        <v>5</v>
      </c>
      <c r="F3702" s="5" t="s">
        <v>12</v>
      </c>
      <c r="G3702" s="5" t="s">
        <v>42</v>
      </c>
      <c r="H3702">
        <v>25</v>
      </c>
      <c r="I3702" s="4">
        <v>341850</v>
      </c>
      <c r="J3702" s="4">
        <v>150000</v>
      </c>
    </row>
    <row r="3703" spans="2:10" x14ac:dyDescent="0.3">
      <c r="B3703" s="7">
        <v>44317</v>
      </c>
      <c r="C3703" s="3">
        <f t="shared" si="114"/>
        <v>2021</v>
      </c>
      <c r="D3703" s="3">
        <f t="shared" si="115"/>
        <v>202105</v>
      </c>
      <c r="E3703" s="5" t="s">
        <v>5</v>
      </c>
      <c r="F3703" s="5" t="s">
        <v>12</v>
      </c>
      <c r="G3703" s="5" t="s">
        <v>42</v>
      </c>
      <c r="H3703">
        <v>32</v>
      </c>
      <c r="I3703" s="4">
        <v>456096</v>
      </c>
      <c r="J3703" s="4">
        <v>192000</v>
      </c>
    </row>
    <row r="3704" spans="2:10" x14ac:dyDescent="0.3">
      <c r="B3704" s="7">
        <v>44348</v>
      </c>
      <c r="C3704" s="3">
        <f t="shared" si="114"/>
        <v>2021</v>
      </c>
      <c r="D3704" s="3">
        <f t="shared" si="115"/>
        <v>202106</v>
      </c>
      <c r="E3704" s="5" t="s">
        <v>5</v>
      </c>
      <c r="F3704" s="5" t="s">
        <v>12</v>
      </c>
      <c r="G3704" s="5" t="s">
        <v>42</v>
      </c>
      <c r="H3704">
        <v>30</v>
      </c>
      <c r="I3704" s="4">
        <v>408690</v>
      </c>
      <c r="J3704" s="4">
        <v>180000</v>
      </c>
    </row>
    <row r="3705" spans="2:10" x14ac:dyDescent="0.3">
      <c r="B3705" s="7">
        <v>44378</v>
      </c>
      <c r="C3705" s="3">
        <f t="shared" si="114"/>
        <v>2021</v>
      </c>
      <c r="D3705" s="3">
        <f t="shared" si="115"/>
        <v>202107</v>
      </c>
      <c r="E3705" s="5" t="s">
        <v>5</v>
      </c>
      <c r="F3705" s="5" t="s">
        <v>12</v>
      </c>
      <c r="G3705" s="5" t="s">
        <v>42</v>
      </c>
      <c r="H3705">
        <v>32</v>
      </c>
      <c r="I3705" s="4">
        <v>384032</v>
      </c>
      <c r="J3705" s="4">
        <v>192000</v>
      </c>
    </row>
    <row r="3706" spans="2:10" x14ac:dyDescent="0.3">
      <c r="B3706" s="7">
        <v>44409</v>
      </c>
      <c r="C3706" s="3">
        <f t="shared" si="114"/>
        <v>2021</v>
      </c>
      <c r="D3706" s="3">
        <f t="shared" si="115"/>
        <v>202108</v>
      </c>
      <c r="E3706" s="5" t="s">
        <v>5</v>
      </c>
      <c r="F3706" s="5" t="s">
        <v>12</v>
      </c>
      <c r="G3706" s="5" t="s">
        <v>42</v>
      </c>
      <c r="H3706">
        <v>27</v>
      </c>
      <c r="I3706" s="4">
        <v>359181</v>
      </c>
      <c r="J3706" s="4">
        <v>162000</v>
      </c>
    </row>
    <row r="3707" spans="2:10" x14ac:dyDescent="0.3">
      <c r="B3707" s="7">
        <v>44440</v>
      </c>
      <c r="C3707" s="3">
        <f t="shared" si="114"/>
        <v>2021</v>
      </c>
      <c r="D3707" s="3">
        <f t="shared" si="115"/>
        <v>202109</v>
      </c>
      <c r="E3707" s="5" t="s">
        <v>5</v>
      </c>
      <c r="F3707" s="5" t="s">
        <v>12</v>
      </c>
      <c r="G3707" s="5" t="s">
        <v>42</v>
      </c>
      <c r="H3707">
        <v>29</v>
      </c>
      <c r="I3707" s="4">
        <v>381727</v>
      </c>
      <c r="J3707" s="4">
        <v>174000</v>
      </c>
    </row>
    <row r="3708" spans="2:10" x14ac:dyDescent="0.3">
      <c r="B3708" s="7">
        <v>44470</v>
      </c>
      <c r="C3708" s="3">
        <f t="shared" si="114"/>
        <v>2021</v>
      </c>
      <c r="D3708" s="3">
        <f t="shared" si="115"/>
        <v>202110</v>
      </c>
      <c r="E3708" s="5" t="s">
        <v>5</v>
      </c>
      <c r="F3708" s="5" t="s">
        <v>12</v>
      </c>
      <c r="G3708" s="5" t="s">
        <v>42</v>
      </c>
      <c r="H3708">
        <v>24</v>
      </c>
      <c r="I3708" s="4">
        <v>318624</v>
      </c>
      <c r="J3708" s="4">
        <v>144000</v>
      </c>
    </row>
    <row r="3709" spans="2:10" x14ac:dyDescent="0.3">
      <c r="B3709" s="7">
        <v>44501</v>
      </c>
      <c r="C3709" s="3">
        <f t="shared" si="114"/>
        <v>2021</v>
      </c>
      <c r="D3709" s="3">
        <f t="shared" si="115"/>
        <v>202111</v>
      </c>
      <c r="E3709" s="5" t="s">
        <v>5</v>
      </c>
      <c r="F3709" s="5" t="s">
        <v>12</v>
      </c>
      <c r="G3709" s="5" t="s">
        <v>42</v>
      </c>
      <c r="H3709">
        <v>17</v>
      </c>
      <c r="I3709" s="4">
        <v>227239</v>
      </c>
      <c r="J3709" s="4">
        <v>102000</v>
      </c>
    </row>
    <row r="3710" spans="2:10" x14ac:dyDescent="0.3">
      <c r="B3710" s="7">
        <v>44531</v>
      </c>
      <c r="C3710" s="3">
        <f t="shared" si="114"/>
        <v>2021</v>
      </c>
      <c r="D3710" s="3">
        <f t="shared" si="115"/>
        <v>202112</v>
      </c>
      <c r="E3710" s="5" t="s">
        <v>5</v>
      </c>
      <c r="F3710" s="5" t="s">
        <v>12</v>
      </c>
      <c r="G3710" s="5" t="s">
        <v>42</v>
      </c>
      <c r="H3710">
        <v>20</v>
      </c>
      <c r="I3710" s="4">
        <v>254040</v>
      </c>
      <c r="J3710" s="4">
        <v>120000</v>
      </c>
    </row>
    <row r="3711" spans="2:10" x14ac:dyDescent="0.3">
      <c r="B3711" s="7">
        <v>44562</v>
      </c>
      <c r="C3711" s="3">
        <f t="shared" si="114"/>
        <v>2022</v>
      </c>
      <c r="D3711" s="3">
        <f t="shared" si="115"/>
        <v>202201</v>
      </c>
      <c r="E3711" s="5" t="s">
        <v>5</v>
      </c>
      <c r="F3711" s="5" t="s">
        <v>12</v>
      </c>
      <c r="G3711" s="5" t="s">
        <v>42</v>
      </c>
      <c r="H3711">
        <v>30</v>
      </c>
      <c r="I3711" s="4">
        <v>381720</v>
      </c>
      <c r="J3711" s="4">
        <v>180000</v>
      </c>
    </row>
    <row r="3712" spans="2:10" x14ac:dyDescent="0.3">
      <c r="B3712" s="7">
        <v>44593</v>
      </c>
      <c r="C3712" s="3">
        <f t="shared" si="114"/>
        <v>2022</v>
      </c>
      <c r="D3712" s="3">
        <f t="shared" si="115"/>
        <v>202202</v>
      </c>
      <c r="E3712" s="5" t="s">
        <v>5</v>
      </c>
      <c r="F3712" s="5" t="s">
        <v>12</v>
      </c>
      <c r="G3712" s="5" t="s">
        <v>42</v>
      </c>
      <c r="H3712">
        <v>19</v>
      </c>
      <c r="I3712" s="4">
        <v>248254</v>
      </c>
      <c r="J3712" s="4">
        <v>114000</v>
      </c>
    </row>
    <row r="3713" spans="2:10" x14ac:dyDescent="0.3">
      <c r="B3713" s="7">
        <v>44621</v>
      </c>
      <c r="C3713" s="3">
        <f t="shared" si="114"/>
        <v>2022</v>
      </c>
      <c r="D3713" s="3">
        <f t="shared" si="115"/>
        <v>202203</v>
      </c>
      <c r="E3713" s="5" t="s">
        <v>5</v>
      </c>
      <c r="F3713" s="5" t="s">
        <v>12</v>
      </c>
      <c r="G3713" s="5" t="s">
        <v>42</v>
      </c>
      <c r="H3713">
        <v>15</v>
      </c>
      <c r="I3713" s="4">
        <v>187005</v>
      </c>
      <c r="J3713" s="4">
        <v>90000</v>
      </c>
    </row>
    <row r="3714" spans="2:10" x14ac:dyDescent="0.3">
      <c r="B3714" s="7">
        <v>44652</v>
      </c>
      <c r="C3714" s="3">
        <f t="shared" si="114"/>
        <v>2022</v>
      </c>
      <c r="D3714" s="3">
        <f t="shared" si="115"/>
        <v>202204</v>
      </c>
      <c r="E3714" s="5" t="s">
        <v>5</v>
      </c>
      <c r="F3714" s="5" t="s">
        <v>12</v>
      </c>
      <c r="G3714" s="5" t="s">
        <v>42</v>
      </c>
      <c r="H3714">
        <v>28</v>
      </c>
      <c r="I3714" s="4">
        <v>376908</v>
      </c>
      <c r="J3714" s="4">
        <v>168000</v>
      </c>
    </row>
    <row r="3715" spans="2:10" x14ac:dyDescent="0.3">
      <c r="B3715" s="7">
        <v>44682</v>
      </c>
      <c r="C3715" s="3">
        <f t="shared" ref="C3715:C3778" si="116">YEAR(B3715)</f>
        <v>2022</v>
      </c>
      <c r="D3715" s="3">
        <f t="shared" ref="D3715:D3778" si="117">VALUE(TEXT(B3715,"ГГГГММ"))</f>
        <v>202205</v>
      </c>
      <c r="E3715" s="5" t="s">
        <v>5</v>
      </c>
      <c r="F3715" s="5" t="s">
        <v>12</v>
      </c>
      <c r="G3715" s="5" t="s">
        <v>42</v>
      </c>
      <c r="H3715">
        <v>35</v>
      </c>
      <c r="I3715" s="4">
        <v>484750</v>
      </c>
      <c r="J3715" s="4">
        <v>210000</v>
      </c>
    </row>
    <row r="3716" spans="2:10" x14ac:dyDescent="0.3">
      <c r="B3716" s="7">
        <v>44713</v>
      </c>
      <c r="C3716" s="3">
        <f t="shared" si="116"/>
        <v>2022</v>
      </c>
      <c r="D3716" s="3">
        <f t="shared" si="117"/>
        <v>202206</v>
      </c>
      <c r="E3716" s="5" t="s">
        <v>5</v>
      </c>
      <c r="F3716" s="5" t="s">
        <v>12</v>
      </c>
      <c r="G3716" s="5" t="s">
        <v>42</v>
      </c>
      <c r="H3716">
        <v>33</v>
      </c>
      <c r="I3716" s="4">
        <v>446556</v>
      </c>
      <c r="J3716" s="4">
        <v>198000</v>
      </c>
    </row>
    <row r="3717" spans="2:10" x14ac:dyDescent="0.3">
      <c r="B3717" s="7">
        <v>44743</v>
      </c>
      <c r="C3717" s="3">
        <f t="shared" si="116"/>
        <v>2022</v>
      </c>
      <c r="D3717" s="3">
        <f t="shared" si="117"/>
        <v>202207</v>
      </c>
      <c r="E3717" s="5" t="s">
        <v>5</v>
      </c>
      <c r="F3717" s="5" t="s">
        <v>12</v>
      </c>
      <c r="G3717" s="5" t="s">
        <v>42</v>
      </c>
      <c r="H3717">
        <v>35</v>
      </c>
      <c r="I3717" s="4">
        <v>404810</v>
      </c>
      <c r="J3717" s="4">
        <v>210000</v>
      </c>
    </row>
    <row r="3718" spans="2:10" x14ac:dyDescent="0.3">
      <c r="B3718" s="7">
        <v>44774</v>
      </c>
      <c r="C3718" s="3">
        <f t="shared" si="116"/>
        <v>2022</v>
      </c>
      <c r="D3718" s="3">
        <f t="shared" si="117"/>
        <v>202208</v>
      </c>
      <c r="E3718" s="5" t="s">
        <v>5</v>
      </c>
      <c r="F3718" s="5" t="s">
        <v>12</v>
      </c>
      <c r="G3718" s="5" t="s">
        <v>42</v>
      </c>
      <c r="H3718">
        <v>30</v>
      </c>
      <c r="I3718" s="4">
        <v>390240</v>
      </c>
      <c r="J3718" s="4">
        <v>180000</v>
      </c>
    </row>
    <row r="3719" spans="2:10" x14ac:dyDescent="0.3">
      <c r="B3719" s="7">
        <v>44805</v>
      </c>
      <c r="C3719" s="3">
        <f t="shared" si="116"/>
        <v>2022</v>
      </c>
      <c r="D3719" s="3">
        <f t="shared" si="117"/>
        <v>202209</v>
      </c>
      <c r="E3719" s="5" t="s">
        <v>5</v>
      </c>
      <c r="F3719" s="5" t="s">
        <v>12</v>
      </c>
      <c r="G3719" s="5" t="s">
        <v>42</v>
      </c>
      <c r="H3719">
        <v>32</v>
      </c>
      <c r="I3719" s="4">
        <v>402496</v>
      </c>
      <c r="J3719" s="4">
        <v>192000</v>
      </c>
    </row>
    <row r="3720" spans="2:10" x14ac:dyDescent="0.3">
      <c r="B3720" s="7">
        <v>44835</v>
      </c>
      <c r="C3720" s="3">
        <f t="shared" si="116"/>
        <v>2022</v>
      </c>
      <c r="D3720" s="3">
        <f t="shared" si="117"/>
        <v>202210</v>
      </c>
      <c r="E3720" s="5" t="s">
        <v>5</v>
      </c>
      <c r="F3720" s="5" t="s">
        <v>12</v>
      </c>
      <c r="G3720" s="5" t="s">
        <v>42</v>
      </c>
      <c r="H3720">
        <v>26</v>
      </c>
      <c r="I3720" s="4">
        <v>343824</v>
      </c>
      <c r="J3720" s="4">
        <v>156000</v>
      </c>
    </row>
    <row r="3721" spans="2:10" x14ac:dyDescent="0.3">
      <c r="B3721" s="7">
        <v>44866</v>
      </c>
      <c r="C3721" s="3">
        <f t="shared" si="116"/>
        <v>2022</v>
      </c>
      <c r="D3721" s="3">
        <f t="shared" si="117"/>
        <v>202211</v>
      </c>
      <c r="E3721" s="5" t="s">
        <v>5</v>
      </c>
      <c r="F3721" s="5" t="s">
        <v>12</v>
      </c>
      <c r="G3721" s="5" t="s">
        <v>42</v>
      </c>
      <c r="H3721">
        <v>19</v>
      </c>
      <c r="I3721" s="4">
        <v>247190</v>
      </c>
      <c r="J3721" s="4">
        <v>114000</v>
      </c>
    </row>
    <row r="3722" spans="2:10" x14ac:dyDescent="0.3">
      <c r="B3722" s="7">
        <v>44896</v>
      </c>
      <c r="C3722" s="3">
        <f t="shared" si="116"/>
        <v>2022</v>
      </c>
      <c r="D3722" s="3">
        <f t="shared" si="117"/>
        <v>202212</v>
      </c>
      <c r="E3722" s="5" t="s">
        <v>5</v>
      </c>
      <c r="F3722" s="5" t="s">
        <v>12</v>
      </c>
      <c r="G3722" s="5" t="s">
        <v>42</v>
      </c>
      <c r="H3722">
        <v>22</v>
      </c>
      <c r="I3722" s="4">
        <v>286462</v>
      </c>
      <c r="J3722" s="4">
        <v>132000</v>
      </c>
    </row>
    <row r="3723" spans="2:10" x14ac:dyDescent="0.3">
      <c r="B3723" s="7">
        <v>44197</v>
      </c>
      <c r="C3723" s="3">
        <f t="shared" si="116"/>
        <v>2021</v>
      </c>
      <c r="D3723" s="3">
        <f t="shared" si="117"/>
        <v>202101</v>
      </c>
      <c r="E3723" s="5" t="s">
        <v>5</v>
      </c>
      <c r="F3723" s="5" t="s">
        <v>12</v>
      </c>
      <c r="G3723" s="5" t="s">
        <v>43</v>
      </c>
      <c r="H3723">
        <v>20</v>
      </c>
      <c r="I3723" s="4">
        <v>213200</v>
      </c>
      <c r="J3723" s="4">
        <v>106200</v>
      </c>
    </row>
    <row r="3724" spans="2:10" x14ac:dyDescent="0.3">
      <c r="B3724" s="7">
        <v>44228</v>
      </c>
      <c r="C3724" s="3">
        <f t="shared" si="116"/>
        <v>2021</v>
      </c>
      <c r="D3724" s="3">
        <f t="shared" si="117"/>
        <v>202102</v>
      </c>
      <c r="E3724" s="5" t="s">
        <v>5</v>
      </c>
      <c r="F3724" s="5" t="s">
        <v>12</v>
      </c>
      <c r="G3724" s="5" t="s">
        <v>43</v>
      </c>
      <c r="H3724">
        <v>13</v>
      </c>
      <c r="I3724" s="4">
        <v>132262</v>
      </c>
      <c r="J3724" s="4">
        <v>69030</v>
      </c>
    </row>
    <row r="3725" spans="2:10" x14ac:dyDescent="0.3">
      <c r="B3725" s="7">
        <v>44256</v>
      </c>
      <c r="C3725" s="3">
        <f t="shared" si="116"/>
        <v>2021</v>
      </c>
      <c r="D3725" s="3">
        <f t="shared" si="117"/>
        <v>202103</v>
      </c>
      <c r="E3725" s="5" t="s">
        <v>5</v>
      </c>
      <c r="F3725" s="5" t="s">
        <v>12</v>
      </c>
      <c r="G3725" s="5" t="s">
        <v>43</v>
      </c>
      <c r="H3725">
        <v>10</v>
      </c>
      <c r="I3725" s="4">
        <v>102200</v>
      </c>
      <c r="J3725" s="4">
        <v>53100</v>
      </c>
    </row>
    <row r="3726" spans="2:10" x14ac:dyDescent="0.3">
      <c r="B3726" s="7">
        <v>44287</v>
      </c>
      <c r="C3726" s="3">
        <f t="shared" si="116"/>
        <v>2021</v>
      </c>
      <c r="D3726" s="3">
        <f t="shared" si="117"/>
        <v>202104</v>
      </c>
      <c r="E3726" s="5" t="s">
        <v>5</v>
      </c>
      <c r="F3726" s="5" t="s">
        <v>12</v>
      </c>
      <c r="G3726" s="5" t="s">
        <v>43</v>
      </c>
      <c r="H3726">
        <v>19</v>
      </c>
      <c r="I3726" s="4">
        <v>207689</v>
      </c>
      <c r="J3726" s="4">
        <v>100890</v>
      </c>
    </row>
    <row r="3727" spans="2:10" x14ac:dyDescent="0.3">
      <c r="B3727" s="7">
        <v>44317</v>
      </c>
      <c r="C3727" s="3">
        <f t="shared" si="116"/>
        <v>2021</v>
      </c>
      <c r="D3727" s="3">
        <f t="shared" si="117"/>
        <v>202105</v>
      </c>
      <c r="E3727" s="5" t="s">
        <v>5</v>
      </c>
      <c r="F3727" s="5" t="s">
        <v>12</v>
      </c>
      <c r="G3727" s="5" t="s">
        <v>43</v>
      </c>
      <c r="H3727">
        <v>23</v>
      </c>
      <c r="I3727" s="4">
        <v>248975</v>
      </c>
      <c r="J3727" s="4">
        <v>122130</v>
      </c>
    </row>
    <row r="3728" spans="2:10" x14ac:dyDescent="0.3">
      <c r="B3728" s="7">
        <v>44348</v>
      </c>
      <c r="C3728" s="3">
        <f t="shared" si="116"/>
        <v>2021</v>
      </c>
      <c r="D3728" s="3">
        <f t="shared" si="117"/>
        <v>202106</v>
      </c>
      <c r="E3728" s="5" t="s">
        <v>5</v>
      </c>
      <c r="F3728" s="5" t="s">
        <v>12</v>
      </c>
      <c r="G3728" s="5" t="s">
        <v>43</v>
      </c>
      <c r="H3728">
        <v>22</v>
      </c>
      <c r="I3728" s="4">
        <v>222068</v>
      </c>
      <c r="J3728" s="4">
        <v>116820</v>
      </c>
    </row>
    <row r="3729" spans="2:10" x14ac:dyDescent="0.3">
      <c r="B3729" s="7">
        <v>44378</v>
      </c>
      <c r="C3729" s="3">
        <f t="shared" si="116"/>
        <v>2021</v>
      </c>
      <c r="D3729" s="3">
        <f t="shared" si="117"/>
        <v>202107</v>
      </c>
      <c r="E3729" s="5" t="s">
        <v>5</v>
      </c>
      <c r="F3729" s="5" t="s">
        <v>12</v>
      </c>
      <c r="G3729" s="5" t="s">
        <v>43</v>
      </c>
      <c r="H3729">
        <v>23</v>
      </c>
      <c r="I3729" s="4">
        <v>189290</v>
      </c>
      <c r="J3729" s="4">
        <v>122130</v>
      </c>
    </row>
    <row r="3730" spans="2:10" x14ac:dyDescent="0.3">
      <c r="B3730" s="7">
        <v>44409</v>
      </c>
      <c r="C3730" s="3">
        <f t="shared" si="116"/>
        <v>2021</v>
      </c>
      <c r="D3730" s="3">
        <f t="shared" si="117"/>
        <v>202108</v>
      </c>
      <c r="E3730" s="5" t="s">
        <v>5</v>
      </c>
      <c r="F3730" s="5" t="s">
        <v>12</v>
      </c>
      <c r="G3730" s="5" t="s">
        <v>43</v>
      </c>
      <c r="H3730">
        <v>20</v>
      </c>
      <c r="I3730" s="4">
        <v>191280</v>
      </c>
      <c r="J3730" s="4">
        <v>106200</v>
      </c>
    </row>
    <row r="3731" spans="2:10" x14ac:dyDescent="0.3">
      <c r="B3731" s="7">
        <v>44440</v>
      </c>
      <c r="C3731" s="3">
        <f t="shared" si="116"/>
        <v>2021</v>
      </c>
      <c r="D3731" s="3">
        <f t="shared" si="117"/>
        <v>202109</v>
      </c>
      <c r="E3731" s="5" t="s">
        <v>5</v>
      </c>
      <c r="F3731" s="5" t="s">
        <v>12</v>
      </c>
      <c r="G3731" s="5" t="s">
        <v>43</v>
      </c>
      <c r="H3731">
        <v>21</v>
      </c>
      <c r="I3731" s="4">
        <v>203028</v>
      </c>
      <c r="J3731" s="4">
        <v>111510</v>
      </c>
    </row>
    <row r="3732" spans="2:10" x14ac:dyDescent="0.3">
      <c r="B3732" s="7">
        <v>44470</v>
      </c>
      <c r="C3732" s="3">
        <f t="shared" si="116"/>
        <v>2021</v>
      </c>
      <c r="D3732" s="3">
        <f t="shared" si="117"/>
        <v>202110</v>
      </c>
      <c r="E3732" s="5" t="s">
        <v>5</v>
      </c>
      <c r="F3732" s="5" t="s">
        <v>12</v>
      </c>
      <c r="G3732" s="5" t="s">
        <v>43</v>
      </c>
      <c r="H3732">
        <v>17</v>
      </c>
      <c r="I3732" s="4">
        <v>182988</v>
      </c>
      <c r="J3732" s="4">
        <v>90270</v>
      </c>
    </row>
    <row r="3733" spans="2:10" x14ac:dyDescent="0.3">
      <c r="B3733" s="7">
        <v>44501</v>
      </c>
      <c r="C3733" s="3">
        <f t="shared" si="116"/>
        <v>2021</v>
      </c>
      <c r="D3733" s="3">
        <f t="shared" si="117"/>
        <v>202111</v>
      </c>
      <c r="E3733" s="5" t="s">
        <v>5</v>
      </c>
      <c r="F3733" s="5" t="s">
        <v>12</v>
      </c>
      <c r="G3733" s="5" t="s">
        <v>43</v>
      </c>
      <c r="H3733">
        <v>13</v>
      </c>
      <c r="I3733" s="4">
        <v>136357</v>
      </c>
      <c r="J3733" s="4">
        <v>69030</v>
      </c>
    </row>
    <row r="3734" spans="2:10" x14ac:dyDescent="0.3">
      <c r="B3734" s="7">
        <v>44531</v>
      </c>
      <c r="C3734" s="3">
        <f t="shared" si="116"/>
        <v>2021</v>
      </c>
      <c r="D3734" s="3">
        <f t="shared" si="117"/>
        <v>202112</v>
      </c>
      <c r="E3734" s="5" t="s">
        <v>5</v>
      </c>
      <c r="F3734" s="5" t="s">
        <v>12</v>
      </c>
      <c r="G3734" s="5" t="s">
        <v>43</v>
      </c>
      <c r="H3734">
        <v>15</v>
      </c>
      <c r="I3734" s="4">
        <v>146850</v>
      </c>
      <c r="J3734" s="4">
        <v>79650</v>
      </c>
    </row>
    <row r="3735" spans="2:10" x14ac:dyDescent="0.3">
      <c r="B3735" s="7">
        <v>44562</v>
      </c>
      <c r="C3735" s="3">
        <f t="shared" si="116"/>
        <v>2022</v>
      </c>
      <c r="D3735" s="3">
        <f t="shared" si="117"/>
        <v>202201</v>
      </c>
      <c r="E3735" s="5" t="s">
        <v>5</v>
      </c>
      <c r="F3735" s="5" t="s">
        <v>12</v>
      </c>
      <c r="G3735" s="5" t="s">
        <v>43</v>
      </c>
      <c r="H3735">
        <v>22</v>
      </c>
      <c r="I3735" s="4">
        <v>232100</v>
      </c>
      <c r="J3735" s="4">
        <v>116820</v>
      </c>
    </row>
    <row r="3736" spans="2:10" x14ac:dyDescent="0.3">
      <c r="B3736" s="7">
        <v>44593</v>
      </c>
      <c r="C3736" s="3">
        <f t="shared" si="116"/>
        <v>2022</v>
      </c>
      <c r="D3736" s="3">
        <f t="shared" si="117"/>
        <v>202202</v>
      </c>
      <c r="E3736" s="5" t="s">
        <v>5</v>
      </c>
      <c r="F3736" s="5" t="s">
        <v>12</v>
      </c>
      <c r="G3736" s="5" t="s">
        <v>43</v>
      </c>
      <c r="H3736">
        <v>14</v>
      </c>
      <c r="I3736" s="4">
        <v>150626</v>
      </c>
      <c r="J3736" s="4">
        <v>74340</v>
      </c>
    </row>
    <row r="3737" spans="2:10" x14ac:dyDescent="0.3">
      <c r="B3737" s="7">
        <v>44621</v>
      </c>
      <c r="C3737" s="3">
        <f t="shared" si="116"/>
        <v>2022</v>
      </c>
      <c r="D3737" s="3">
        <f t="shared" si="117"/>
        <v>202203</v>
      </c>
      <c r="E3737" s="5" t="s">
        <v>5</v>
      </c>
      <c r="F3737" s="5" t="s">
        <v>12</v>
      </c>
      <c r="G3737" s="5" t="s">
        <v>43</v>
      </c>
      <c r="H3737">
        <v>11</v>
      </c>
      <c r="I3737" s="4">
        <v>113531</v>
      </c>
      <c r="J3737" s="4">
        <v>58410</v>
      </c>
    </row>
    <row r="3738" spans="2:10" x14ac:dyDescent="0.3">
      <c r="B3738" s="7">
        <v>44652</v>
      </c>
      <c r="C3738" s="3">
        <f t="shared" si="116"/>
        <v>2022</v>
      </c>
      <c r="D3738" s="3">
        <f t="shared" si="117"/>
        <v>202204</v>
      </c>
      <c r="E3738" s="5" t="s">
        <v>5</v>
      </c>
      <c r="F3738" s="5" t="s">
        <v>12</v>
      </c>
      <c r="G3738" s="5" t="s">
        <v>43</v>
      </c>
      <c r="H3738">
        <v>20</v>
      </c>
      <c r="I3738" s="4">
        <v>221960</v>
      </c>
      <c r="J3738" s="4">
        <v>106200</v>
      </c>
    </row>
    <row r="3739" spans="2:10" x14ac:dyDescent="0.3">
      <c r="B3739" s="7">
        <v>44682</v>
      </c>
      <c r="C3739" s="3">
        <f t="shared" si="116"/>
        <v>2022</v>
      </c>
      <c r="D3739" s="3">
        <f t="shared" si="117"/>
        <v>202205</v>
      </c>
      <c r="E3739" s="5" t="s">
        <v>5</v>
      </c>
      <c r="F3739" s="5" t="s">
        <v>12</v>
      </c>
      <c r="G3739" s="5" t="s">
        <v>43</v>
      </c>
      <c r="H3739">
        <v>26</v>
      </c>
      <c r="I3739" s="4">
        <v>289926</v>
      </c>
      <c r="J3739" s="4">
        <v>138060</v>
      </c>
    </row>
    <row r="3740" spans="2:10" x14ac:dyDescent="0.3">
      <c r="B3740" s="7">
        <v>44713</v>
      </c>
      <c r="C3740" s="3">
        <f t="shared" si="116"/>
        <v>2022</v>
      </c>
      <c r="D3740" s="3">
        <f t="shared" si="117"/>
        <v>202206</v>
      </c>
      <c r="E3740" s="5" t="s">
        <v>5</v>
      </c>
      <c r="F3740" s="5" t="s">
        <v>12</v>
      </c>
      <c r="G3740" s="5" t="s">
        <v>43</v>
      </c>
      <c r="H3740">
        <v>24</v>
      </c>
      <c r="I3740" s="4">
        <v>235728</v>
      </c>
      <c r="J3740" s="4">
        <v>127440</v>
      </c>
    </row>
    <row r="3741" spans="2:10" x14ac:dyDescent="0.3">
      <c r="B3741" s="7">
        <v>44743</v>
      </c>
      <c r="C3741" s="3">
        <f t="shared" si="116"/>
        <v>2022</v>
      </c>
      <c r="D3741" s="3">
        <f t="shared" si="117"/>
        <v>202207</v>
      </c>
      <c r="E3741" s="5" t="s">
        <v>5</v>
      </c>
      <c r="F3741" s="5" t="s">
        <v>12</v>
      </c>
      <c r="G3741" s="5" t="s">
        <v>43</v>
      </c>
      <c r="H3741">
        <v>26</v>
      </c>
      <c r="I3741" s="4">
        <v>221052</v>
      </c>
      <c r="J3741" s="4">
        <v>138060</v>
      </c>
    </row>
    <row r="3742" spans="2:10" x14ac:dyDescent="0.3">
      <c r="B3742" s="7">
        <v>44774</v>
      </c>
      <c r="C3742" s="3">
        <f t="shared" si="116"/>
        <v>2022</v>
      </c>
      <c r="D3742" s="3">
        <f t="shared" si="117"/>
        <v>202208</v>
      </c>
      <c r="E3742" s="5" t="s">
        <v>5</v>
      </c>
      <c r="F3742" s="5" t="s">
        <v>12</v>
      </c>
      <c r="G3742" s="5" t="s">
        <v>43</v>
      </c>
      <c r="H3742">
        <v>22</v>
      </c>
      <c r="I3742" s="4">
        <v>207174</v>
      </c>
      <c r="J3742" s="4">
        <v>116820</v>
      </c>
    </row>
    <row r="3743" spans="2:10" x14ac:dyDescent="0.3">
      <c r="B3743" s="7">
        <v>44805</v>
      </c>
      <c r="C3743" s="3">
        <f t="shared" si="116"/>
        <v>2022</v>
      </c>
      <c r="D3743" s="3">
        <f t="shared" si="117"/>
        <v>202209</v>
      </c>
      <c r="E3743" s="5" t="s">
        <v>5</v>
      </c>
      <c r="F3743" s="5" t="s">
        <v>12</v>
      </c>
      <c r="G3743" s="5" t="s">
        <v>43</v>
      </c>
      <c r="H3743">
        <v>23</v>
      </c>
      <c r="I3743" s="4">
        <v>223928</v>
      </c>
      <c r="J3743" s="4">
        <v>122130</v>
      </c>
    </row>
    <row r="3744" spans="2:10" x14ac:dyDescent="0.3">
      <c r="B3744" s="7">
        <v>44835</v>
      </c>
      <c r="C3744" s="3">
        <f t="shared" si="116"/>
        <v>2022</v>
      </c>
      <c r="D3744" s="3">
        <f t="shared" si="117"/>
        <v>202210</v>
      </c>
      <c r="E3744" s="5" t="s">
        <v>5</v>
      </c>
      <c r="F3744" s="5" t="s">
        <v>12</v>
      </c>
      <c r="G3744" s="5" t="s">
        <v>43</v>
      </c>
      <c r="H3744">
        <v>19</v>
      </c>
      <c r="I3744" s="4">
        <v>196669</v>
      </c>
      <c r="J3744" s="4">
        <v>100890</v>
      </c>
    </row>
    <row r="3745" spans="2:10" x14ac:dyDescent="0.3">
      <c r="B3745" s="7">
        <v>44866</v>
      </c>
      <c r="C3745" s="3">
        <f t="shared" si="116"/>
        <v>2022</v>
      </c>
      <c r="D3745" s="3">
        <f t="shared" si="117"/>
        <v>202211</v>
      </c>
      <c r="E3745" s="5" t="s">
        <v>5</v>
      </c>
      <c r="F3745" s="5" t="s">
        <v>12</v>
      </c>
      <c r="G3745" s="5" t="s">
        <v>43</v>
      </c>
      <c r="H3745">
        <v>14</v>
      </c>
      <c r="I3745" s="4">
        <v>140742</v>
      </c>
      <c r="J3745" s="4">
        <v>74340</v>
      </c>
    </row>
    <row r="3746" spans="2:10" x14ac:dyDescent="0.3">
      <c r="B3746" s="7">
        <v>44896</v>
      </c>
      <c r="C3746" s="3">
        <f t="shared" si="116"/>
        <v>2022</v>
      </c>
      <c r="D3746" s="3">
        <f t="shared" si="117"/>
        <v>202212</v>
      </c>
      <c r="E3746" s="5" t="s">
        <v>5</v>
      </c>
      <c r="F3746" s="5" t="s">
        <v>12</v>
      </c>
      <c r="G3746" s="5" t="s">
        <v>43</v>
      </c>
      <c r="H3746">
        <v>16</v>
      </c>
      <c r="I3746" s="4">
        <v>163008</v>
      </c>
      <c r="J3746" s="4">
        <v>84960</v>
      </c>
    </row>
    <row r="3747" spans="2:10" x14ac:dyDescent="0.3">
      <c r="B3747" s="7">
        <v>44197</v>
      </c>
      <c r="C3747" s="3">
        <f t="shared" si="116"/>
        <v>2021</v>
      </c>
      <c r="D3747" s="3">
        <f t="shared" si="117"/>
        <v>202101</v>
      </c>
      <c r="E3747" s="5" t="s">
        <v>5</v>
      </c>
      <c r="F3747" s="5" t="s">
        <v>12</v>
      </c>
      <c r="G3747" s="5" t="s">
        <v>44</v>
      </c>
      <c r="H3747">
        <v>19</v>
      </c>
      <c r="I3747" s="4">
        <v>160436</v>
      </c>
      <c r="J3747" s="4">
        <v>61180</v>
      </c>
    </row>
    <row r="3748" spans="2:10" x14ac:dyDescent="0.3">
      <c r="B3748" s="7">
        <v>44228</v>
      </c>
      <c r="C3748" s="3">
        <f t="shared" si="116"/>
        <v>2021</v>
      </c>
      <c r="D3748" s="3">
        <f t="shared" si="117"/>
        <v>202102</v>
      </c>
      <c r="E3748" s="5" t="s">
        <v>5</v>
      </c>
      <c r="F3748" s="5" t="s">
        <v>12</v>
      </c>
      <c r="G3748" s="5" t="s">
        <v>44</v>
      </c>
      <c r="H3748">
        <v>12</v>
      </c>
      <c r="I3748" s="4">
        <v>102732</v>
      </c>
      <c r="J3748" s="4">
        <v>38640</v>
      </c>
    </row>
    <row r="3749" spans="2:10" x14ac:dyDescent="0.3">
      <c r="B3749" s="7">
        <v>44256</v>
      </c>
      <c r="C3749" s="3">
        <f t="shared" si="116"/>
        <v>2021</v>
      </c>
      <c r="D3749" s="3">
        <f t="shared" si="117"/>
        <v>202103</v>
      </c>
      <c r="E3749" s="5" t="s">
        <v>5</v>
      </c>
      <c r="F3749" s="5" t="s">
        <v>12</v>
      </c>
      <c r="G3749" s="5" t="s">
        <v>44</v>
      </c>
      <c r="H3749">
        <v>10</v>
      </c>
      <c r="I3749" s="4">
        <v>77370</v>
      </c>
      <c r="J3749" s="4">
        <v>32200</v>
      </c>
    </row>
    <row r="3750" spans="2:10" x14ac:dyDescent="0.3">
      <c r="B3750" s="7">
        <v>44287</v>
      </c>
      <c r="C3750" s="3">
        <f t="shared" si="116"/>
        <v>2021</v>
      </c>
      <c r="D3750" s="3">
        <f t="shared" si="117"/>
        <v>202104</v>
      </c>
      <c r="E3750" s="5" t="s">
        <v>5</v>
      </c>
      <c r="F3750" s="5" t="s">
        <v>12</v>
      </c>
      <c r="G3750" s="5" t="s">
        <v>44</v>
      </c>
      <c r="H3750">
        <v>18</v>
      </c>
      <c r="I3750" s="4">
        <v>153558</v>
      </c>
      <c r="J3750" s="4">
        <v>57960</v>
      </c>
    </row>
    <row r="3751" spans="2:10" x14ac:dyDescent="0.3">
      <c r="B3751" s="7">
        <v>44317</v>
      </c>
      <c r="C3751" s="3">
        <f t="shared" si="116"/>
        <v>2021</v>
      </c>
      <c r="D3751" s="3">
        <f t="shared" si="117"/>
        <v>202105</v>
      </c>
      <c r="E3751" s="5" t="s">
        <v>5</v>
      </c>
      <c r="F3751" s="5" t="s">
        <v>12</v>
      </c>
      <c r="G3751" s="5" t="s">
        <v>44</v>
      </c>
      <c r="H3751">
        <v>22</v>
      </c>
      <c r="I3751" s="4">
        <v>199056</v>
      </c>
      <c r="J3751" s="4">
        <v>70840</v>
      </c>
    </row>
    <row r="3752" spans="2:10" x14ac:dyDescent="0.3">
      <c r="B3752" s="7">
        <v>44348</v>
      </c>
      <c r="C3752" s="3">
        <f t="shared" si="116"/>
        <v>2021</v>
      </c>
      <c r="D3752" s="3">
        <f t="shared" si="117"/>
        <v>202106</v>
      </c>
      <c r="E3752" s="5" t="s">
        <v>5</v>
      </c>
      <c r="F3752" s="5" t="s">
        <v>12</v>
      </c>
      <c r="G3752" s="5" t="s">
        <v>44</v>
      </c>
      <c r="H3752">
        <v>21</v>
      </c>
      <c r="I3752" s="4">
        <v>166572</v>
      </c>
      <c r="J3752" s="4">
        <v>67620</v>
      </c>
    </row>
    <row r="3753" spans="2:10" x14ac:dyDescent="0.3">
      <c r="B3753" s="7">
        <v>44378</v>
      </c>
      <c r="C3753" s="3">
        <f t="shared" si="116"/>
        <v>2021</v>
      </c>
      <c r="D3753" s="3">
        <f t="shared" si="117"/>
        <v>202107</v>
      </c>
      <c r="E3753" s="5" t="s">
        <v>5</v>
      </c>
      <c r="F3753" s="5" t="s">
        <v>12</v>
      </c>
      <c r="G3753" s="5" t="s">
        <v>44</v>
      </c>
      <c r="H3753">
        <v>22</v>
      </c>
      <c r="I3753" s="4">
        <v>157102</v>
      </c>
      <c r="J3753" s="4">
        <v>70840</v>
      </c>
    </row>
    <row r="3754" spans="2:10" x14ac:dyDescent="0.3">
      <c r="B3754" s="7">
        <v>44409</v>
      </c>
      <c r="C3754" s="3">
        <f t="shared" si="116"/>
        <v>2021</v>
      </c>
      <c r="D3754" s="3">
        <f t="shared" si="117"/>
        <v>202108</v>
      </c>
      <c r="E3754" s="5" t="s">
        <v>5</v>
      </c>
      <c r="F3754" s="5" t="s">
        <v>12</v>
      </c>
      <c r="G3754" s="5" t="s">
        <v>44</v>
      </c>
      <c r="H3754">
        <v>19</v>
      </c>
      <c r="I3754" s="4">
        <v>159068</v>
      </c>
      <c r="J3754" s="4">
        <v>61180</v>
      </c>
    </row>
    <row r="3755" spans="2:10" x14ac:dyDescent="0.3">
      <c r="B3755" s="7">
        <v>44440</v>
      </c>
      <c r="C3755" s="3">
        <f t="shared" si="116"/>
        <v>2021</v>
      </c>
      <c r="D3755" s="3">
        <f t="shared" si="117"/>
        <v>202109</v>
      </c>
      <c r="E3755" s="5" t="s">
        <v>5</v>
      </c>
      <c r="F3755" s="5" t="s">
        <v>12</v>
      </c>
      <c r="G3755" s="5" t="s">
        <v>44</v>
      </c>
      <c r="H3755">
        <v>20</v>
      </c>
      <c r="I3755" s="4">
        <v>164060</v>
      </c>
      <c r="J3755" s="4">
        <v>64400</v>
      </c>
    </row>
    <row r="3756" spans="2:10" x14ac:dyDescent="0.3">
      <c r="B3756" s="7">
        <v>44470</v>
      </c>
      <c r="C3756" s="3">
        <f t="shared" si="116"/>
        <v>2021</v>
      </c>
      <c r="D3756" s="3">
        <f t="shared" si="117"/>
        <v>202110</v>
      </c>
      <c r="E3756" s="5" t="s">
        <v>5</v>
      </c>
      <c r="F3756" s="5" t="s">
        <v>12</v>
      </c>
      <c r="G3756" s="5" t="s">
        <v>44</v>
      </c>
      <c r="H3756">
        <v>17</v>
      </c>
      <c r="I3756" s="4">
        <v>142885</v>
      </c>
      <c r="J3756" s="4">
        <v>54740</v>
      </c>
    </row>
    <row r="3757" spans="2:10" x14ac:dyDescent="0.3">
      <c r="B3757" s="7">
        <v>44501</v>
      </c>
      <c r="C3757" s="3">
        <f t="shared" si="116"/>
        <v>2021</v>
      </c>
      <c r="D3757" s="3">
        <f t="shared" si="117"/>
        <v>202111</v>
      </c>
      <c r="E3757" s="5" t="s">
        <v>5</v>
      </c>
      <c r="F3757" s="5" t="s">
        <v>12</v>
      </c>
      <c r="G3757" s="5" t="s">
        <v>44</v>
      </c>
      <c r="H3757">
        <v>12</v>
      </c>
      <c r="I3757" s="4">
        <v>93816</v>
      </c>
      <c r="J3757" s="4">
        <v>38640</v>
      </c>
    </row>
    <row r="3758" spans="2:10" x14ac:dyDescent="0.3">
      <c r="B3758" s="7">
        <v>44531</v>
      </c>
      <c r="C3758" s="3">
        <f t="shared" si="116"/>
        <v>2021</v>
      </c>
      <c r="D3758" s="3">
        <f t="shared" si="117"/>
        <v>202112</v>
      </c>
      <c r="E3758" s="5" t="s">
        <v>5</v>
      </c>
      <c r="F3758" s="5" t="s">
        <v>12</v>
      </c>
      <c r="G3758" s="5" t="s">
        <v>44</v>
      </c>
      <c r="H3758">
        <v>14</v>
      </c>
      <c r="I3758" s="4">
        <v>107324</v>
      </c>
      <c r="J3758" s="4">
        <v>45080</v>
      </c>
    </row>
    <row r="3759" spans="2:10" x14ac:dyDescent="0.3">
      <c r="B3759" s="7">
        <v>44562</v>
      </c>
      <c r="C3759" s="3">
        <f t="shared" si="116"/>
        <v>2022</v>
      </c>
      <c r="D3759" s="3">
        <f t="shared" si="117"/>
        <v>202201</v>
      </c>
      <c r="E3759" s="5" t="s">
        <v>5</v>
      </c>
      <c r="F3759" s="5" t="s">
        <v>12</v>
      </c>
      <c r="G3759" s="5" t="s">
        <v>44</v>
      </c>
      <c r="H3759">
        <v>21</v>
      </c>
      <c r="I3759" s="4">
        <v>162876</v>
      </c>
      <c r="J3759" s="4">
        <v>67620</v>
      </c>
    </row>
    <row r="3760" spans="2:10" x14ac:dyDescent="0.3">
      <c r="B3760" s="7">
        <v>44593</v>
      </c>
      <c r="C3760" s="3">
        <f t="shared" si="116"/>
        <v>2022</v>
      </c>
      <c r="D3760" s="3">
        <f t="shared" si="117"/>
        <v>202202</v>
      </c>
      <c r="E3760" s="5" t="s">
        <v>5</v>
      </c>
      <c r="F3760" s="5" t="s">
        <v>12</v>
      </c>
      <c r="G3760" s="5" t="s">
        <v>44</v>
      </c>
      <c r="H3760">
        <v>13</v>
      </c>
      <c r="I3760" s="4">
        <v>102739</v>
      </c>
      <c r="J3760" s="4">
        <v>41860</v>
      </c>
    </row>
    <row r="3761" spans="2:10" x14ac:dyDescent="0.3">
      <c r="B3761" s="7">
        <v>44621</v>
      </c>
      <c r="C3761" s="3">
        <f t="shared" si="116"/>
        <v>2022</v>
      </c>
      <c r="D3761" s="3">
        <f t="shared" si="117"/>
        <v>202203</v>
      </c>
      <c r="E3761" s="5" t="s">
        <v>5</v>
      </c>
      <c r="F3761" s="5" t="s">
        <v>12</v>
      </c>
      <c r="G3761" s="5" t="s">
        <v>44</v>
      </c>
      <c r="H3761">
        <v>11</v>
      </c>
      <c r="I3761" s="4">
        <v>88506</v>
      </c>
      <c r="J3761" s="4">
        <v>35420</v>
      </c>
    </row>
    <row r="3762" spans="2:10" x14ac:dyDescent="0.3">
      <c r="B3762" s="7">
        <v>44652</v>
      </c>
      <c r="C3762" s="3">
        <f t="shared" si="116"/>
        <v>2022</v>
      </c>
      <c r="D3762" s="3">
        <f t="shared" si="117"/>
        <v>202204</v>
      </c>
      <c r="E3762" s="5" t="s">
        <v>5</v>
      </c>
      <c r="F3762" s="5" t="s">
        <v>12</v>
      </c>
      <c r="G3762" s="5" t="s">
        <v>44</v>
      </c>
      <c r="H3762">
        <v>19</v>
      </c>
      <c r="I3762" s="4">
        <v>175351</v>
      </c>
      <c r="J3762" s="4">
        <v>61180</v>
      </c>
    </row>
    <row r="3763" spans="2:10" x14ac:dyDescent="0.3">
      <c r="B3763" s="7">
        <v>44682</v>
      </c>
      <c r="C3763" s="3">
        <f t="shared" si="116"/>
        <v>2022</v>
      </c>
      <c r="D3763" s="3">
        <f t="shared" si="117"/>
        <v>202205</v>
      </c>
      <c r="E3763" s="5" t="s">
        <v>5</v>
      </c>
      <c r="F3763" s="5" t="s">
        <v>12</v>
      </c>
      <c r="G3763" s="5" t="s">
        <v>44</v>
      </c>
      <c r="H3763">
        <v>24</v>
      </c>
      <c r="I3763" s="4">
        <v>206448</v>
      </c>
      <c r="J3763" s="4">
        <v>77280</v>
      </c>
    </row>
    <row r="3764" spans="2:10" x14ac:dyDescent="0.3">
      <c r="B3764" s="7">
        <v>44713</v>
      </c>
      <c r="C3764" s="3">
        <f t="shared" si="116"/>
        <v>2022</v>
      </c>
      <c r="D3764" s="3">
        <f t="shared" si="117"/>
        <v>202206</v>
      </c>
      <c r="E3764" s="5" t="s">
        <v>5</v>
      </c>
      <c r="F3764" s="5" t="s">
        <v>12</v>
      </c>
      <c r="G3764" s="5" t="s">
        <v>44</v>
      </c>
      <c r="H3764">
        <v>23</v>
      </c>
      <c r="I3764" s="4">
        <v>188439</v>
      </c>
      <c r="J3764" s="4">
        <v>74060</v>
      </c>
    </row>
    <row r="3765" spans="2:10" x14ac:dyDescent="0.3">
      <c r="B3765" s="7">
        <v>44743</v>
      </c>
      <c r="C3765" s="3">
        <f t="shared" si="116"/>
        <v>2022</v>
      </c>
      <c r="D3765" s="3">
        <f t="shared" si="117"/>
        <v>202207</v>
      </c>
      <c r="E3765" s="5" t="s">
        <v>5</v>
      </c>
      <c r="F3765" s="5" t="s">
        <v>12</v>
      </c>
      <c r="G3765" s="5" t="s">
        <v>44</v>
      </c>
      <c r="H3765">
        <v>24</v>
      </c>
      <c r="I3765" s="4">
        <v>170424</v>
      </c>
      <c r="J3765" s="4">
        <v>77280</v>
      </c>
    </row>
    <row r="3766" spans="2:10" x14ac:dyDescent="0.3">
      <c r="B3766" s="7">
        <v>44774</v>
      </c>
      <c r="C3766" s="3">
        <f t="shared" si="116"/>
        <v>2022</v>
      </c>
      <c r="D3766" s="3">
        <f t="shared" si="117"/>
        <v>202208</v>
      </c>
      <c r="E3766" s="5" t="s">
        <v>5</v>
      </c>
      <c r="F3766" s="5" t="s">
        <v>12</v>
      </c>
      <c r="G3766" s="5" t="s">
        <v>44</v>
      </c>
      <c r="H3766">
        <v>21</v>
      </c>
      <c r="I3766" s="4">
        <v>158445</v>
      </c>
      <c r="J3766" s="4">
        <v>67620</v>
      </c>
    </row>
    <row r="3767" spans="2:10" x14ac:dyDescent="0.3">
      <c r="B3767" s="7">
        <v>44805</v>
      </c>
      <c r="C3767" s="3">
        <f t="shared" si="116"/>
        <v>2022</v>
      </c>
      <c r="D3767" s="3">
        <f t="shared" si="117"/>
        <v>202209</v>
      </c>
      <c r="E3767" s="5" t="s">
        <v>5</v>
      </c>
      <c r="F3767" s="5" t="s">
        <v>12</v>
      </c>
      <c r="G3767" s="5" t="s">
        <v>44</v>
      </c>
      <c r="H3767">
        <v>22</v>
      </c>
      <c r="I3767" s="4">
        <v>180884</v>
      </c>
      <c r="J3767" s="4">
        <v>70840</v>
      </c>
    </row>
    <row r="3768" spans="2:10" x14ac:dyDescent="0.3">
      <c r="B3768" s="7">
        <v>44835</v>
      </c>
      <c r="C3768" s="3">
        <f t="shared" si="116"/>
        <v>2022</v>
      </c>
      <c r="D3768" s="3">
        <f t="shared" si="117"/>
        <v>202210</v>
      </c>
      <c r="E3768" s="5" t="s">
        <v>5</v>
      </c>
      <c r="F3768" s="5" t="s">
        <v>12</v>
      </c>
      <c r="G3768" s="5" t="s">
        <v>44</v>
      </c>
      <c r="H3768">
        <v>18</v>
      </c>
      <c r="I3768" s="4">
        <v>159894</v>
      </c>
      <c r="J3768" s="4">
        <v>57960</v>
      </c>
    </row>
    <row r="3769" spans="2:10" x14ac:dyDescent="0.3">
      <c r="B3769" s="7">
        <v>44866</v>
      </c>
      <c r="C3769" s="3">
        <f t="shared" si="116"/>
        <v>2022</v>
      </c>
      <c r="D3769" s="3">
        <f t="shared" si="117"/>
        <v>202211</v>
      </c>
      <c r="E3769" s="5" t="s">
        <v>5</v>
      </c>
      <c r="F3769" s="5" t="s">
        <v>12</v>
      </c>
      <c r="G3769" s="5" t="s">
        <v>44</v>
      </c>
      <c r="H3769">
        <v>13</v>
      </c>
      <c r="I3769" s="4">
        <v>113334</v>
      </c>
      <c r="J3769" s="4">
        <v>41860</v>
      </c>
    </row>
    <row r="3770" spans="2:10" x14ac:dyDescent="0.3">
      <c r="B3770" s="7">
        <v>44896</v>
      </c>
      <c r="C3770" s="3">
        <f t="shared" si="116"/>
        <v>2022</v>
      </c>
      <c r="D3770" s="3">
        <f t="shared" si="117"/>
        <v>202212</v>
      </c>
      <c r="E3770" s="5" t="s">
        <v>5</v>
      </c>
      <c r="F3770" s="5" t="s">
        <v>12</v>
      </c>
      <c r="G3770" s="5" t="s">
        <v>44</v>
      </c>
      <c r="H3770">
        <v>16</v>
      </c>
      <c r="I3770" s="4">
        <v>124336</v>
      </c>
      <c r="J3770" s="4">
        <v>51520</v>
      </c>
    </row>
    <row r="3771" spans="2:10" x14ac:dyDescent="0.3">
      <c r="B3771" s="7">
        <v>44197</v>
      </c>
      <c r="C3771" s="3">
        <f t="shared" si="116"/>
        <v>2021</v>
      </c>
      <c r="D3771" s="3">
        <f t="shared" si="117"/>
        <v>202101</v>
      </c>
      <c r="E3771" s="5" t="s">
        <v>5</v>
      </c>
      <c r="F3771" s="5" t="s">
        <v>12</v>
      </c>
      <c r="G3771" s="5" t="s">
        <v>45</v>
      </c>
      <c r="H3771">
        <v>23</v>
      </c>
      <c r="I3771" s="4">
        <v>170867</v>
      </c>
      <c r="J3771" s="4">
        <v>76245</v>
      </c>
    </row>
    <row r="3772" spans="2:10" x14ac:dyDescent="0.3">
      <c r="B3772" s="7">
        <v>44228</v>
      </c>
      <c r="C3772" s="3">
        <f t="shared" si="116"/>
        <v>2021</v>
      </c>
      <c r="D3772" s="3">
        <f t="shared" si="117"/>
        <v>202102</v>
      </c>
      <c r="E3772" s="5" t="s">
        <v>5</v>
      </c>
      <c r="F3772" s="5" t="s">
        <v>12</v>
      </c>
      <c r="G3772" s="5" t="s">
        <v>45</v>
      </c>
      <c r="H3772">
        <v>15</v>
      </c>
      <c r="I3772" s="4">
        <v>115380</v>
      </c>
      <c r="J3772" s="4">
        <v>49725</v>
      </c>
    </row>
    <row r="3773" spans="2:10" x14ac:dyDescent="0.3">
      <c r="B3773" s="7">
        <v>44256</v>
      </c>
      <c r="C3773" s="3">
        <f t="shared" si="116"/>
        <v>2021</v>
      </c>
      <c r="D3773" s="3">
        <f t="shared" si="117"/>
        <v>202103</v>
      </c>
      <c r="E3773" s="5" t="s">
        <v>5</v>
      </c>
      <c r="F3773" s="5" t="s">
        <v>12</v>
      </c>
      <c r="G3773" s="5" t="s">
        <v>45</v>
      </c>
      <c r="H3773">
        <v>12</v>
      </c>
      <c r="I3773" s="4">
        <v>91596</v>
      </c>
      <c r="J3773" s="4">
        <v>39780</v>
      </c>
    </row>
    <row r="3774" spans="2:10" x14ac:dyDescent="0.3">
      <c r="B3774" s="7">
        <v>44287</v>
      </c>
      <c r="C3774" s="3">
        <f t="shared" si="116"/>
        <v>2021</v>
      </c>
      <c r="D3774" s="3">
        <f t="shared" si="117"/>
        <v>202104</v>
      </c>
      <c r="E3774" s="5" t="s">
        <v>5</v>
      </c>
      <c r="F3774" s="5" t="s">
        <v>12</v>
      </c>
      <c r="G3774" s="5" t="s">
        <v>45</v>
      </c>
      <c r="H3774">
        <v>22</v>
      </c>
      <c r="I3774" s="4">
        <v>185526</v>
      </c>
      <c r="J3774" s="4">
        <v>72930</v>
      </c>
    </row>
    <row r="3775" spans="2:10" x14ac:dyDescent="0.3">
      <c r="B3775" s="7">
        <v>44317</v>
      </c>
      <c r="C3775" s="3">
        <f t="shared" si="116"/>
        <v>2021</v>
      </c>
      <c r="D3775" s="3">
        <f t="shared" si="117"/>
        <v>202105</v>
      </c>
      <c r="E3775" s="5" t="s">
        <v>5</v>
      </c>
      <c r="F3775" s="5" t="s">
        <v>12</v>
      </c>
      <c r="G3775" s="5" t="s">
        <v>45</v>
      </c>
      <c r="H3775">
        <v>28</v>
      </c>
      <c r="I3775" s="4">
        <v>219688</v>
      </c>
      <c r="J3775" s="4">
        <v>92820</v>
      </c>
    </row>
    <row r="3776" spans="2:10" x14ac:dyDescent="0.3">
      <c r="B3776" s="7">
        <v>44348</v>
      </c>
      <c r="C3776" s="3">
        <f t="shared" si="116"/>
        <v>2021</v>
      </c>
      <c r="D3776" s="3">
        <f t="shared" si="117"/>
        <v>202106</v>
      </c>
      <c r="E3776" s="5" t="s">
        <v>5</v>
      </c>
      <c r="F3776" s="5" t="s">
        <v>12</v>
      </c>
      <c r="G3776" s="5" t="s">
        <v>45</v>
      </c>
      <c r="H3776">
        <v>26</v>
      </c>
      <c r="I3776" s="4">
        <v>200304</v>
      </c>
      <c r="J3776" s="4">
        <v>86190</v>
      </c>
    </row>
    <row r="3777" spans="2:10" x14ac:dyDescent="0.3">
      <c r="B3777" s="7">
        <v>44378</v>
      </c>
      <c r="C3777" s="3">
        <f t="shared" si="116"/>
        <v>2021</v>
      </c>
      <c r="D3777" s="3">
        <f t="shared" si="117"/>
        <v>202107</v>
      </c>
      <c r="E3777" s="5" t="s">
        <v>5</v>
      </c>
      <c r="F3777" s="5" t="s">
        <v>12</v>
      </c>
      <c r="G3777" s="5" t="s">
        <v>45</v>
      </c>
      <c r="H3777">
        <v>28</v>
      </c>
      <c r="I3777" s="4">
        <v>181804</v>
      </c>
      <c r="J3777" s="4">
        <v>92820</v>
      </c>
    </row>
    <row r="3778" spans="2:10" x14ac:dyDescent="0.3">
      <c r="B3778" s="7">
        <v>44409</v>
      </c>
      <c r="C3778" s="3">
        <f t="shared" si="116"/>
        <v>2021</v>
      </c>
      <c r="D3778" s="3">
        <f t="shared" si="117"/>
        <v>202108</v>
      </c>
      <c r="E3778" s="5" t="s">
        <v>5</v>
      </c>
      <c r="F3778" s="5" t="s">
        <v>12</v>
      </c>
      <c r="G3778" s="5" t="s">
        <v>45</v>
      </c>
      <c r="H3778">
        <v>23</v>
      </c>
      <c r="I3778" s="4">
        <v>178296</v>
      </c>
      <c r="J3778" s="4">
        <v>76245</v>
      </c>
    </row>
    <row r="3779" spans="2:10" x14ac:dyDescent="0.3">
      <c r="B3779" s="7">
        <v>44440</v>
      </c>
      <c r="C3779" s="3">
        <f t="shared" ref="C3779:C3842" si="118">YEAR(B3779)</f>
        <v>2021</v>
      </c>
      <c r="D3779" s="3">
        <f t="shared" ref="D3779:D3842" si="119">VALUE(TEXT(B3779,"ГГГГММ"))</f>
        <v>202109</v>
      </c>
      <c r="E3779" s="5" t="s">
        <v>5</v>
      </c>
      <c r="F3779" s="5" t="s">
        <v>12</v>
      </c>
      <c r="G3779" s="5" t="s">
        <v>45</v>
      </c>
      <c r="H3779">
        <v>25</v>
      </c>
      <c r="I3779" s="4">
        <v>172175</v>
      </c>
      <c r="J3779" s="4">
        <v>82875</v>
      </c>
    </row>
    <row r="3780" spans="2:10" x14ac:dyDescent="0.3">
      <c r="B3780" s="7">
        <v>44470</v>
      </c>
      <c r="C3780" s="3">
        <f t="shared" si="118"/>
        <v>2021</v>
      </c>
      <c r="D3780" s="3">
        <f t="shared" si="119"/>
        <v>202110</v>
      </c>
      <c r="E3780" s="5" t="s">
        <v>5</v>
      </c>
      <c r="F3780" s="5" t="s">
        <v>12</v>
      </c>
      <c r="G3780" s="5" t="s">
        <v>45</v>
      </c>
      <c r="H3780">
        <v>20</v>
      </c>
      <c r="I3780" s="4">
        <v>152820</v>
      </c>
      <c r="J3780" s="4">
        <v>66300</v>
      </c>
    </row>
    <row r="3781" spans="2:10" x14ac:dyDescent="0.3">
      <c r="B3781" s="7">
        <v>44501</v>
      </c>
      <c r="C3781" s="3">
        <f t="shared" si="118"/>
        <v>2021</v>
      </c>
      <c r="D3781" s="3">
        <f t="shared" si="119"/>
        <v>202111</v>
      </c>
      <c r="E3781" s="5" t="s">
        <v>5</v>
      </c>
      <c r="F3781" s="5" t="s">
        <v>12</v>
      </c>
      <c r="G3781" s="5" t="s">
        <v>45</v>
      </c>
      <c r="H3781">
        <v>15</v>
      </c>
      <c r="I3781" s="4">
        <v>110055</v>
      </c>
      <c r="J3781" s="4">
        <v>49725</v>
      </c>
    </row>
    <row r="3782" spans="2:10" x14ac:dyDescent="0.3">
      <c r="B3782" s="7">
        <v>44531</v>
      </c>
      <c r="C3782" s="3">
        <f t="shared" si="118"/>
        <v>2021</v>
      </c>
      <c r="D3782" s="3">
        <f t="shared" si="119"/>
        <v>202112</v>
      </c>
      <c r="E3782" s="5" t="s">
        <v>5</v>
      </c>
      <c r="F3782" s="5" t="s">
        <v>12</v>
      </c>
      <c r="G3782" s="5" t="s">
        <v>45</v>
      </c>
      <c r="H3782">
        <v>18</v>
      </c>
      <c r="I3782" s="4">
        <v>137988</v>
      </c>
      <c r="J3782" s="4">
        <v>59670</v>
      </c>
    </row>
    <row r="3783" spans="2:10" x14ac:dyDescent="0.3">
      <c r="B3783" s="7">
        <v>44562</v>
      </c>
      <c r="C3783" s="3">
        <f t="shared" si="118"/>
        <v>2022</v>
      </c>
      <c r="D3783" s="3">
        <f t="shared" si="119"/>
        <v>202201</v>
      </c>
      <c r="E3783" s="5" t="s">
        <v>5</v>
      </c>
      <c r="F3783" s="5" t="s">
        <v>12</v>
      </c>
      <c r="G3783" s="5" t="s">
        <v>45</v>
      </c>
      <c r="H3783">
        <v>26</v>
      </c>
      <c r="I3783" s="4">
        <v>206232</v>
      </c>
      <c r="J3783" s="4">
        <v>86190</v>
      </c>
    </row>
    <row r="3784" spans="2:10" x14ac:dyDescent="0.3">
      <c r="B3784" s="7">
        <v>44593</v>
      </c>
      <c r="C3784" s="3">
        <f t="shared" si="118"/>
        <v>2022</v>
      </c>
      <c r="D3784" s="3">
        <f t="shared" si="119"/>
        <v>202202</v>
      </c>
      <c r="E3784" s="5" t="s">
        <v>5</v>
      </c>
      <c r="F3784" s="5" t="s">
        <v>12</v>
      </c>
      <c r="G3784" s="5" t="s">
        <v>45</v>
      </c>
      <c r="H3784">
        <v>16</v>
      </c>
      <c r="I3784" s="4">
        <v>131552</v>
      </c>
      <c r="J3784" s="4">
        <v>53040</v>
      </c>
    </row>
    <row r="3785" spans="2:10" x14ac:dyDescent="0.3">
      <c r="B3785" s="7">
        <v>44621</v>
      </c>
      <c r="C3785" s="3">
        <f t="shared" si="118"/>
        <v>2022</v>
      </c>
      <c r="D3785" s="3">
        <f t="shared" si="119"/>
        <v>202203</v>
      </c>
      <c r="E3785" s="5" t="s">
        <v>5</v>
      </c>
      <c r="F3785" s="5" t="s">
        <v>12</v>
      </c>
      <c r="G3785" s="5" t="s">
        <v>45</v>
      </c>
      <c r="H3785">
        <v>13</v>
      </c>
      <c r="I3785" s="4">
        <v>96330</v>
      </c>
      <c r="J3785" s="4">
        <v>43095</v>
      </c>
    </row>
    <row r="3786" spans="2:10" x14ac:dyDescent="0.3">
      <c r="B3786" s="7">
        <v>44652</v>
      </c>
      <c r="C3786" s="3">
        <f t="shared" si="118"/>
        <v>2022</v>
      </c>
      <c r="D3786" s="3">
        <f t="shared" si="119"/>
        <v>202204</v>
      </c>
      <c r="E3786" s="5" t="s">
        <v>5</v>
      </c>
      <c r="F3786" s="5" t="s">
        <v>12</v>
      </c>
      <c r="G3786" s="5" t="s">
        <v>45</v>
      </c>
      <c r="H3786">
        <v>24</v>
      </c>
      <c r="I3786" s="4">
        <v>205248</v>
      </c>
      <c r="J3786" s="4">
        <v>79560</v>
      </c>
    </row>
    <row r="3787" spans="2:10" x14ac:dyDescent="0.3">
      <c r="B3787" s="7">
        <v>44682</v>
      </c>
      <c r="C3787" s="3">
        <f t="shared" si="118"/>
        <v>2022</v>
      </c>
      <c r="D3787" s="3">
        <f t="shared" si="119"/>
        <v>202205</v>
      </c>
      <c r="E3787" s="5" t="s">
        <v>5</v>
      </c>
      <c r="F3787" s="5" t="s">
        <v>12</v>
      </c>
      <c r="G3787" s="5" t="s">
        <v>45</v>
      </c>
      <c r="H3787">
        <v>30</v>
      </c>
      <c r="I3787" s="4">
        <v>261120</v>
      </c>
      <c r="J3787" s="4">
        <v>99450</v>
      </c>
    </row>
    <row r="3788" spans="2:10" x14ac:dyDescent="0.3">
      <c r="B3788" s="7">
        <v>44713</v>
      </c>
      <c r="C3788" s="3">
        <f t="shared" si="118"/>
        <v>2022</v>
      </c>
      <c r="D3788" s="3">
        <f t="shared" si="119"/>
        <v>202206</v>
      </c>
      <c r="E3788" s="5" t="s">
        <v>5</v>
      </c>
      <c r="F3788" s="5" t="s">
        <v>12</v>
      </c>
      <c r="G3788" s="5" t="s">
        <v>45</v>
      </c>
      <c r="H3788">
        <v>29</v>
      </c>
      <c r="I3788" s="4">
        <v>218341</v>
      </c>
      <c r="J3788" s="4">
        <v>96135</v>
      </c>
    </row>
    <row r="3789" spans="2:10" x14ac:dyDescent="0.3">
      <c r="B3789" s="7">
        <v>44743</v>
      </c>
      <c r="C3789" s="3">
        <f t="shared" si="118"/>
        <v>2022</v>
      </c>
      <c r="D3789" s="3">
        <f t="shared" si="119"/>
        <v>202207</v>
      </c>
      <c r="E3789" s="5" t="s">
        <v>5</v>
      </c>
      <c r="F3789" s="5" t="s">
        <v>12</v>
      </c>
      <c r="G3789" s="5" t="s">
        <v>45</v>
      </c>
      <c r="H3789">
        <v>30</v>
      </c>
      <c r="I3789" s="4">
        <v>190350</v>
      </c>
      <c r="J3789" s="4">
        <v>99450</v>
      </c>
    </row>
    <row r="3790" spans="2:10" x14ac:dyDescent="0.3">
      <c r="B3790" s="7">
        <v>44774</v>
      </c>
      <c r="C3790" s="3">
        <f t="shared" si="118"/>
        <v>2022</v>
      </c>
      <c r="D3790" s="3">
        <f t="shared" si="119"/>
        <v>202208</v>
      </c>
      <c r="E3790" s="5" t="s">
        <v>5</v>
      </c>
      <c r="F3790" s="5" t="s">
        <v>12</v>
      </c>
      <c r="G3790" s="5" t="s">
        <v>45</v>
      </c>
      <c r="H3790">
        <v>26</v>
      </c>
      <c r="I3790" s="4">
        <v>170248</v>
      </c>
      <c r="J3790" s="4">
        <v>86190</v>
      </c>
    </row>
    <row r="3791" spans="2:10" x14ac:dyDescent="0.3">
      <c r="B3791" s="7">
        <v>44805</v>
      </c>
      <c r="C3791" s="3">
        <f t="shared" si="118"/>
        <v>2022</v>
      </c>
      <c r="D3791" s="3">
        <f t="shared" si="119"/>
        <v>202209</v>
      </c>
      <c r="E3791" s="5" t="s">
        <v>5</v>
      </c>
      <c r="F3791" s="5" t="s">
        <v>12</v>
      </c>
      <c r="G3791" s="5" t="s">
        <v>45</v>
      </c>
      <c r="H3791">
        <v>27</v>
      </c>
      <c r="I3791" s="4">
        <v>202743</v>
      </c>
      <c r="J3791" s="4">
        <v>89505</v>
      </c>
    </row>
    <row r="3792" spans="2:10" x14ac:dyDescent="0.3">
      <c r="B3792" s="7">
        <v>44835</v>
      </c>
      <c r="C3792" s="3">
        <f t="shared" si="118"/>
        <v>2022</v>
      </c>
      <c r="D3792" s="3">
        <f t="shared" si="119"/>
        <v>202210</v>
      </c>
      <c r="E3792" s="5" t="s">
        <v>5</v>
      </c>
      <c r="F3792" s="5" t="s">
        <v>12</v>
      </c>
      <c r="G3792" s="5" t="s">
        <v>45</v>
      </c>
      <c r="H3792">
        <v>22</v>
      </c>
      <c r="I3792" s="4">
        <v>176022</v>
      </c>
      <c r="J3792" s="4">
        <v>72930</v>
      </c>
    </row>
    <row r="3793" spans="2:10" x14ac:dyDescent="0.3">
      <c r="B3793" s="7">
        <v>44866</v>
      </c>
      <c r="C3793" s="3">
        <f t="shared" si="118"/>
        <v>2022</v>
      </c>
      <c r="D3793" s="3">
        <f t="shared" si="119"/>
        <v>202211</v>
      </c>
      <c r="E3793" s="5" t="s">
        <v>5</v>
      </c>
      <c r="F3793" s="5" t="s">
        <v>12</v>
      </c>
      <c r="G3793" s="5" t="s">
        <v>45</v>
      </c>
      <c r="H3793">
        <v>16</v>
      </c>
      <c r="I3793" s="4">
        <v>116288</v>
      </c>
      <c r="J3793" s="4">
        <v>53040</v>
      </c>
    </row>
    <row r="3794" spans="2:10" x14ac:dyDescent="0.3">
      <c r="B3794" s="7">
        <v>44896</v>
      </c>
      <c r="C3794" s="3">
        <f t="shared" si="118"/>
        <v>2022</v>
      </c>
      <c r="D3794" s="3">
        <f t="shared" si="119"/>
        <v>202212</v>
      </c>
      <c r="E3794" s="5" t="s">
        <v>5</v>
      </c>
      <c r="F3794" s="5" t="s">
        <v>12</v>
      </c>
      <c r="G3794" s="5" t="s">
        <v>45</v>
      </c>
      <c r="H3794">
        <v>19</v>
      </c>
      <c r="I3794" s="4">
        <v>137921</v>
      </c>
      <c r="J3794" s="4">
        <v>62985</v>
      </c>
    </row>
    <row r="3795" spans="2:10" x14ac:dyDescent="0.3">
      <c r="B3795" s="7">
        <v>44197</v>
      </c>
      <c r="C3795" s="3">
        <f t="shared" si="118"/>
        <v>2021</v>
      </c>
      <c r="D3795" s="3">
        <f t="shared" si="119"/>
        <v>202101</v>
      </c>
      <c r="E3795" s="5" t="s">
        <v>5</v>
      </c>
      <c r="F3795" s="5" t="s">
        <v>12</v>
      </c>
      <c r="G3795" s="5" t="s">
        <v>46</v>
      </c>
      <c r="H3795">
        <v>26</v>
      </c>
      <c r="I3795" s="4">
        <v>283296</v>
      </c>
      <c r="J3795" s="4">
        <v>122200</v>
      </c>
    </row>
    <row r="3796" spans="2:10" x14ac:dyDescent="0.3">
      <c r="B3796" s="7">
        <v>44228</v>
      </c>
      <c r="C3796" s="3">
        <f t="shared" si="118"/>
        <v>2021</v>
      </c>
      <c r="D3796" s="3">
        <f t="shared" si="119"/>
        <v>202102</v>
      </c>
      <c r="E3796" s="5" t="s">
        <v>5</v>
      </c>
      <c r="F3796" s="5" t="s">
        <v>12</v>
      </c>
      <c r="G3796" s="5" t="s">
        <v>46</v>
      </c>
      <c r="H3796">
        <v>16</v>
      </c>
      <c r="I3796" s="4">
        <v>185360</v>
      </c>
      <c r="J3796" s="4">
        <v>75200</v>
      </c>
    </row>
    <row r="3797" spans="2:10" x14ac:dyDescent="0.3">
      <c r="B3797" s="7">
        <v>44256</v>
      </c>
      <c r="C3797" s="3">
        <f t="shared" si="118"/>
        <v>2021</v>
      </c>
      <c r="D3797" s="3">
        <f t="shared" si="119"/>
        <v>202103</v>
      </c>
      <c r="E3797" s="5" t="s">
        <v>5</v>
      </c>
      <c r="F3797" s="5" t="s">
        <v>12</v>
      </c>
      <c r="G3797" s="5" t="s">
        <v>46</v>
      </c>
      <c r="H3797">
        <v>13</v>
      </c>
      <c r="I3797" s="4">
        <v>143806</v>
      </c>
      <c r="J3797" s="4">
        <v>61100</v>
      </c>
    </row>
    <row r="3798" spans="2:10" x14ac:dyDescent="0.3">
      <c r="B3798" s="7">
        <v>44287</v>
      </c>
      <c r="C3798" s="3">
        <f t="shared" si="118"/>
        <v>2021</v>
      </c>
      <c r="D3798" s="3">
        <f t="shared" si="119"/>
        <v>202104</v>
      </c>
      <c r="E3798" s="5" t="s">
        <v>5</v>
      </c>
      <c r="F3798" s="5" t="s">
        <v>12</v>
      </c>
      <c r="G3798" s="5" t="s">
        <v>46</v>
      </c>
      <c r="H3798">
        <v>24</v>
      </c>
      <c r="I3798" s="4">
        <v>272184</v>
      </c>
      <c r="J3798" s="4">
        <v>112800</v>
      </c>
    </row>
    <row r="3799" spans="2:10" x14ac:dyDescent="0.3">
      <c r="B3799" s="7">
        <v>44317</v>
      </c>
      <c r="C3799" s="3">
        <f t="shared" si="118"/>
        <v>2021</v>
      </c>
      <c r="D3799" s="3">
        <f t="shared" si="119"/>
        <v>202105</v>
      </c>
      <c r="E3799" s="5" t="s">
        <v>5</v>
      </c>
      <c r="F3799" s="5" t="s">
        <v>12</v>
      </c>
      <c r="G3799" s="5" t="s">
        <v>46</v>
      </c>
      <c r="H3799">
        <v>30</v>
      </c>
      <c r="I3799" s="4">
        <v>352920</v>
      </c>
      <c r="J3799" s="4">
        <v>141000</v>
      </c>
    </row>
    <row r="3800" spans="2:10" x14ac:dyDescent="0.3">
      <c r="B3800" s="7">
        <v>44348</v>
      </c>
      <c r="C3800" s="3">
        <f t="shared" si="118"/>
        <v>2021</v>
      </c>
      <c r="D3800" s="3">
        <f t="shared" si="119"/>
        <v>202106</v>
      </c>
      <c r="E3800" s="5" t="s">
        <v>5</v>
      </c>
      <c r="F3800" s="5" t="s">
        <v>12</v>
      </c>
      <c r="G3800" s="5" t="s">
        <v>46</v>
      </c>
      <c r="H3800">
        <v>29</v>
      </c>
      <c r="I3800" s="4">
        <v>322364</v>
      </c>
      <c r="J3800" s="4">
        <v>136300</v>
      </c>
    </row>
    <row r="3801" spans="2:10" x14ac:dyDescent="0.3">
      <c r="B3801" s="7">
        <v>44378</v>
      </c>
      <c r="C3801" s="3">
        <f t="shared" si="118"/>
        <v>2021</v>
      </c>
      <c r="D3801" s="3">
        <f t="shared" si="119"/>
        <v>202107</v>
      </c>
      <c r="E3801" s="5" t="s">
        <v>5</v>
      </c>
      <c r="F3801" s="5" t="s">
        <v>12</v>
      </c>
      <c r="G3801" s="5" t="s">
        <v>46</v>
      </c>
      <c r="H3801">
        <v>30</v>
      </c>
      <c r="I3801" s="4">
        <v>310740</v>
      </c>
      <c r="J3801" s="4">
        <v>141000</v>
      </c>
    </row>
    <row r="3802" spans="2:10" x14ac:dyDescent="0.3">
      <c r="B3802" s="7">
        <v>44409</v>
      </c>
      <c r="C3802" s="3">
        <f t="shared" si="118"/>
        <v>2021</v>
      </c>
      <c r="D3802" s="3">
        <f t="shared" si="119"/>
        <v>202108</v>
      </c>
      <c r="E3802" s="5" t="s">
        <v>5</v>
      </c>
      <c r="F3802" s="5" t="s">
        <v>12</v>
      </c>
      <c r="G3802" s="5" t="s">
        <v>46</v>
      </c>
      <c r="H3802">
        <v>26</v>
      </c>
      <c r="I3802" s="4">
        <v>273676</v>
      </c>
      <c r="J3802" s="4">
        <v>122200</v>
      </c>
    </row>
    <row r="3803" spans="2:10" x14ac:dyDescent="0.3">
      <c r="B3803" s="7">
        <v>44440</v>
      </c>
      <c r="C3803" s="3">
        <f t="shared" si="118"/>
        <v>2021</v>
      </c>
      <c r="D3803" s="3">
        <f t="shared" si="119"/>
        <v>202109</v>
      </c>
      <c r="E3803" s="5" t="s">
        <v>5</v>
      </c>
      <c r="F3803" s="5" t="s">
        <v>12</v>
      </c>
      <c r="G3803" s="5" t="s">
        <v>46</v>
      </c>
      <c r="H3803">
        <v>27</v>
      </c>
      <c r="I3803" s="4">
        <v>298107</v>
      </c>
      <c r="J3803" s="4">
        <v>126900</v>
      </c>
    </row>
    <row r="3804" spans="2:10" x14ac:dyDescent="0.3">
      <c r="B3804" s="7">
        <v>44470</v>
      </c>
      <c r="C3804" s="3">
        <f t="shared" si="118"/>
        <v>2021</v>
      </c>
      <c r="D3804" s="3">
        <f t="shared" si="119"/>
        <v>202110</v>
      </c>
      <c r="E3804" s="5" t="s">
        <v>5</v>
      </c>
      <c r="F3804" s="5" t="s">
        <v>12</v>
      </c>
      <c r="G3804" s="5" t="s">
        <v>46</v>
      </c>
      <c r="H3804">
        <v>22</v>
      </c>
      <c r="I3804" s="4">
        <v>250382</v>
      </c>
      <c r="J3804" s="4">
        <v>103400</v>
      </c>
    </row>
    <row r="3805" spans="2:10" x14ac:dyDescent="0.3">
      <c r="B3805" s="7">
        <v>44501</v>
      </c>
      <c r="C3805" s="3">
        <f t="shared" si="118"/>
        <v>2021</v>
      </c>
      <c r="D3805" s="3">
        <f t="shared" si="119"/>
        <v>202111</v>
      </c>
      <c r="E3805" s="5" t="s">
        <v>5</v>
      </c>
      <c r="F3805" s="5" t="s">
        <v>12</v>
      </c>
      <c r="G3805" s="5" t="s">
        <v>46</v>
      </c>
      <c r="H3805">
        <v>16</v>
      </c>
      <c r="I3805" s="4">
        <v>185680</v>
      </c>
      <c r="J3805" s="4">
        <v>75200</v>
      </c>
    </row>
    <row r="3806" spans="2:10" x14ac:dyDescent="0.3">
      <c r="B3806" s="7">
        <v>44531</v>
      </c>
      <c r="C3806" s="3">
        <f t="shared" si="118"/>
        <v>2021</v>
      </c>
      <c r="D3806" s="3">
        <f t="shared" si="119"/>
        <v>202112</v>
      </c>
      <c r="E3806" s="5" t="s">
        <v>5</v>
      </c>
      <c r="F3806" s="5" t="s">
        <v>12</v>
      </c>
      <c r="G3806" s="5" t="s">
        <v>46</v>
      </c>
      <c r="H3806">
        <v>19</v>
      </c>
      <c r="I3806" s="4">
        <v>193211</v>
      </c>
      <c r="J3806" s="4">
        <v>89300</v>
      </c>
    </row>
    <row r="3807" spans="2:10" x14ac:dyDescent="0.3">
      <c r="B3807" s="7">
        <v>44562</v>
      </c>
      <c r="C3807" s="3">
        <f t="shared" si="118"/>
        <v>2022</v>
      </c>
      <c r="D3807" s="3">
        <f t="shared" si="119"/>
        <v>202201</v>
      </c>
      <c r="E3807" s="5" t="s">
        <v>5</v>
      </c>
      <c r="F3807" s="5" t="s">
        <v>12</v>
      </c>
      <c r="G3807" s="5" t="s">
        <v>46</v>
      </c>
      <c r="H3807">
        <v>28</v>
      </c>
      <c r="I3807" s="4">
        <v>333144</v>
      </c>
      <c r="J3807" s="4">
        <v>131600</v>
      </c>
    </row>
    <row r="3808" spans="2:10" x14ac:dyDescent="0.3">
      <c r="B3808" s="7">
        <v>44593</v>
      </c>
      <c r="C3808" s="3">
        <f t="shared" si="118"/>
        <v>2022</v>
      </c>
      <c r="D3808" s="3">
        <f t="shared" si="119"/>
        <v>202202</v>
      </c>
      <c r="E3808" s="5" t="s">
        <v>5</v>
      </c>
      <c r="F3808" s="5" t="s">
        <v>12</v>
      </c>
      <c r="G3808" s="5" t="s">
        <v>46</v>
      </c>
      <c r="H3808">
        <v>18</v>
      </c>
      <c r="I3808" s="4">
        <v>202572</v>
      </c>
      <c r="J3808" s="4">
        <v>84600</v>
      </c>
    </row>
    <row r="3809" spans="2:10" x14ac:dyDescent="0.3">
      <c r="B3809" s="7">
        <v>44621</v>
      </c>
      <c r="C3809" s="3">
        <f t="shared" si="118"/>
        <v>2022</v>
      </c>
      <c r="D3809" s="3">
        <f t="shared" si="119"/>
        <v>202203</v>
      </c>
      <c r="E3809" s="5" t="s">
        <v>5</v>
      </c>
      <c r="F3809" s="5" t="s">
        <v>12</v>
      </c>
      <c r="G3809" s="5" t="s">
        <v>46</v>
      </c>
      <c r="H3809">
        <v>14</v>
      </c>
      <c r="I3809" s="4">
        <v>148722</v>
      </c>
      <c r="J3809" s="4">
        <v>65800</v>
      </c>
    </row>
    <row r="3810" spans="2:10" x14ac:dyDescent="0.3">
      <c r="B3810" s="7">
        <v>44652</v>
      </c>
      <c r="C3810" s="3">
        <f t="shared" si="118"/>
        <v>2022</v>
      </c>
      <c r="D3810" s="3">
        <f t="shared" si="119"/>
        <v>202204</v>
      </c>
      <c r="E3810" s="5" t="s">
        <v>5</v>
      </c>
      <c r="F3810" s="5" t="s">
        <v>12</v>
      </c>
      <c r="G3810" s="5" t="s">
        <v>46</v>
      </c>
      <c r="H3810">
        <v>26</v>
      </c>
      <c r="I3810" s="4">
        <v>294684</v>
      </c>
      <c r="J3810" s="4">
        <v>122200</v>
      </c>
    </row>
    <row r="3811" spans="2:10" x14ac:dyDescent="0.3">
      <c r="B3811" s="7">
        <v>44682</v>
      </c>
      <c r="C3811" s="3">
        <f t="shared" si="118"/>
        <v>2022</v>
      </c>
      <c r="D3811" s="3">
        <f t="shared" si="119"/>
        <v>202205</v>
      </c>
      <c r="E3811" s="5" t="s">
        <v>5</v>
      </c>
      <c r="F3811" s="5" t="s">
        <v>12</v>
      </c>
      <c r="G3811" s="5" t="s">
        <v>46</v>
      </c>
      <c r="H3811">
        <v>33</v>
      </c>
      <c r="I3811" s="4">
        <v>408342</v>
      </c>
      <c r="J3811" s="4">
        <v>155100</v>
      </c>
    </row>
    <row r="3812" spans="2:10" x14ac:dyDescent="0.3">
      <c r="B3812" s="7">
        <v>44713</v>
      </c>
      <c r="C3812" s="3">
        <f t="shared" si="118"/>
        <v>2022</v>
      </c>
      <c r="D3812" s="3">
        <f t="shared" si="119"/>
        <v>202206</v>
      </c>
      <c r="E3812" s="5" t="s">
        <v>5</v>
      </c>
      <c r="F3812" s="5" t="s">
        <v>12</v>
      </c>
      <c r="G3812" s="5" t="s">
        <v>46</v>
      </c>
      <c r="H3812">
        <v>32</v>
      </c>
      <c r="I3812" s="4">
        <v>380576</v>
      </c>
      <c r="J3812" s="4">
        <v>150400</v>
      </c>
    </row>
    <row r="3813" spans="2:10" x14ac:dyDescent="0.3">
      <c r="B3813" s="7">
        <v>44743</v>
      </c>
      <c r="C3813" s="3">
        <f t="shared" si="118"/>
        <v>2022</v>
      </c>
      <c r="D3813" s="3">
        <f t="shared" si="119"/>
        <v>202207</v>
      </c>
      <c r="E3813" s="5" t="s">
        <v>5</v>
      </c>
      <c r="F3813" s="5" t="s">
        <v>12</v>
      </c>
      <c r="G3813" s="5" t="s">
        <v>46</v>
      </c>
      <c r="H3813">
        <v>33</v>
      </c>
      <c r="I3813" s="4">
        <v>324060</v>
      </c>
      <c r="J3813" s="4">
        <v>155100</v>
      </c>
    </row>
    <row r="3814" spans="2:10" x14ac:dyDescent="0.3">
      <c r="B3814" s="7">
        <v>44774</v>
      </c>
      <c r="C3814" s="3">
        <f t="shared" si="118"/>
        <v>2022</v>
      </c>
      <c r="D3814" s="3">
        <f t="shared" si="119"/>
        <v>202208</v>
      </c>
      <c r="E3814" s="5" t="s">
        <v>5</v>
      </c>
      <c r="F3814" s="5" t="s">
        <v>12</v>
      </c>
      <c r="G3814" s="5" t="s">
        <v>46</v>
      </c>
      <c r="H3814">
        <v>28</v>
      </c>
      <c r="I3814" s="4">
        <v>311332</v>
      </c>
      <c r="J3814" s="4">
        <v>131600</v>
      </c>
    </row>
    <row r="3815" spans="2:10" x14ac:dyDescent="0.3">
      <c r="B3815" s="7">
        <v>44805</v>
      </c>
      <c r="C3815" s="3">
        <f t="shared" si="118"/>
        <v>2022</v>
      </c>
      <c r="D3815" s="3">
        <f t="shared" si="119"/>
        <v>202209</v>
      </c>
      <c r="E3815" s="5" t="s">
        <v>5</v>
      </c>
      <c r="F3815" s="5" t="s">
        <v>12</v>
      </c>
      <c r="G3815" s="5" t="s">
        <v>46</v>
      </c>
      <c r="H3815">
        <v>30</v>
      </c>
      <c r="I3815" s="4">
        <v>310740</v>
      </c>
      <c r="J3815" s="4">
        <v>141000</v>
      </c>
    </row>
    <row r="3816" spans="2:10" x14ac:dyDescent="0.3">
      <c r="B3816" s="7">
        <v>44835</v>
      </c>
      <c r="C3816" s="3">
        <f t="shared" si="118"/>
        <v>2022</v>
      </c>
      <c r="D3816" s="3">
        <f t="shared" si="119"/>
        <v>202210</v>
      </c>
      <c r="E3816" s="5" t="s">
        <v>5</v>
      </c>
      <c r="F3816" s="5" t="s">
        <v>12</v>
      </c>
      <c r="G3816" s="5" t="s">
        <v>46</v>
      </c>
      <c r="H3816">
        <v>25</v>
      </c>
      <c r="I3816" s="4">
        <v>285450</v>
      </c>
      <c r="J3816" s="4">
        <v>117500</v>
      </c>
    </row>
    <row r="3817" spans="2:10" x14ac:dyDescent="0.3">
      <c r="B3817" s="7">
        <v>44866</v>
      </c>
      <c r="C3817" s="3">
        <f t="shared" si="118"/>
        <v>2022</v>
      </c>
      <c r="D3817" s="3">
        <f t="shared" si="119"/>
        <v>202211</v>
      </c>
      <c r="E3817" s="5" t="s">
        <v>5</v>
      </c>
      <c r="F3817" s="5" t="s">
        <v>12</v>
      </c>
      <c r="G3817" s="5" t="s">
        <v>46</v>
      </c>
      <c r="H3817">
        <v>18</v>
      </c>
      <c r="I3817" s="4">
        <v>211302</v>
      </c>
      <c r="J3817" s="4">
        <v>84600</v>
      </c>
    </row>
    <row r="3818" spans="2:10" x14ac:dyDescent="0.3">
      <c r="B3818" s="7">
        <v>44896</v>
      </c>
      <c r="C3818" s="3">
        <f t="shared" si="118"/>
        <v>2022</v>
      </c>
      <c r="D3818" s="3">
        <f t="shared" si="119"/>
        <v>202212</v>
      </c>
      <c r="E3818" s="5" t="s">
        <v>5</v>
      </c>
      <c r="F3818" s="5" t="s">
        <v>12</v>
      </c>
      <c r="G3818" s="5" t="s">
        <v>46</v>
      </c>
      <c r="H3818">
        <v>21</v>
      </c>
      <c r="I3818" s="4">
        <v>215061</v>
      </c>
      <c r="J3818" s="4">
        <v>98700</v>
      </c>
    </row>
    <row r="3819" spans="2:10" x14ac:dyDescent="0.3">
      <c r="B3819" s="7">
        <v>44197</v>
      </c>
      <c r="C3819" s="3">
        <f t="shared" si="118"/>
        <v>2021</v>
      </c>
      <c r="D3819" s="3">
        <f t="shared" si="119"/>
        <v>202101</v>
      </c>
      <c r="E3819" s="5" t="s">
        <v>5</v>
      </c>
      <c r="F3819" s="5" t="s">
        <v>12</v>
      </c>
      <c r="G3819" s="5" t="s">
        <v>47</v>
      </c>
      <c r="H3819">
        <v>27</v>
      </c>
      <c r="I3819" s="4">
        <v>277695</v>
      </c>
      <c r="J3819" s="4">
        <v>144963</v>
      </c>
    </row>
    <row r="3820" spans="2:10" x14ac:dyDescent="0.3">
      <c r="B3820" s="7">
        <v>44228</v>
      </c>
      <c r="C3820" s="3">
        <f t="shared" si="118"/>
        <v>2021</v>
      </c>
      <c r="D3820" s="3">
        <f t="shared" si="119"/>
        <v>202102</v>
      </c>
      <c r="E3820" s="5" t="s">
        <v>5</v>
      </c>
      <c r="F3820" s="5" t="s">
        <v>12</v>
      </c>
      <c r="G3820" s="5" t="s">
        <v>47</v>
      </c>
      <c r="H3820">
        <v>17</v>
      </c>
      <c r="I3820" s="4">
        <v>185589</v>
      </c>
      <c r="J3820" s="4">
        <v>91273</v>
      </c>
    </row>
    <row r="3821" spans="2:10" x14ac:dyDescent="0.3">
      <c r="B3821" s="7">
        <v>44256</v>
      </c>
      <c r="C3821" s="3">
        <f t="shared" si="118"/>
        <v>2021</v>
      </c>
      <c r="D3821" s="3">
        <f t="shared" si="119"/>
        <v>202103</v>
      </c>
      <c r="E3821" s="5" t="s">
        <v>5</v>
      </c>
      <c r="F3821" s="5" t="s">
        <v>12</v>
      </c>
      <c r="G3821" s="5" t="s">
        <v>47</v>
      </c>
      <c r="H3821">
        <v>14</v>
      </c>
      <c r="I3821" s="4">
        <v>141932</v>
      </c>
      <c r="J3821" s="4">
        <v>75166</v>
      </c>
    </row>
    <row r="3822" spans="2:10" x14ac:dyDescent="0.3">
      <c r="B3822" s="7">
        <v>44287</v>
      </c>
      <c r="C3822" s="3">
        <f t="shared" si="118"/>
        <v>2021</v>
      </c>
      <c r="D3822" s="3">
        <f t="shared" si="119"/>
        <v>202104</v>
      </c>
      <c r="E3822" s="5" t="s">
        <v>5</v>
      </c>
      <c r="F3822" s="5" t="s">
        <v>12</v>
      </c>
      <c r="G3822" s="5" t="s">
        <v>47</v>
      </c>
      <c r="H3822">
        <v>25</v>
      </c>
      <c r="I3822" s="4">
        <v>274300</v>
      </c>
      <c r="J3822" s="4">
        <v>134225</v>
      </c>
    </row>
    <row r="3823" spans="2:10" x14ac:dyDescent="0.3">
      <c r="B3823" s="7">
        <v>44317</v>
      </c>
      <c r="C3823" s="3">
        <f t="shared" si="118"/>
        <v>2021</v>
      </c>
      <c r="D3823" s="3">
        <f t="shared" si="119"/>
        <v>202105</v>
      </c>
      <c r="E3823" s="5" t="s">
        <v>5</v>
      </c>
      <c r="F3823" s="5" t="s">
        <v>12</v>
      </c>
      <c r="G3823" s="5" t="s">
        <v>47</v>
      </c>
      <c r="H3823">
        <v>32</v>
      </c>
      <c r="I3823" s="4">
        <v>334272</v>
      </c>
      <c r="J3823" s="4">
        <v>171808</v>
      </c>
    </row>
    <row r="3824" spans="2:10" x14ac:dyDescent="0.3">
      <c r="B3824" s="7">
        <v>44348</v>
      </c>
      <c r="C3824" s="3">
        <f t="shared" si="118"/>
        <v>2021</v>
      </c>
      <c r="D3824" s="3">
        <f t="shared" si="119"/>
        <v>202106</v>
      </c>
      <c r="E3824" s="5" t="s">
        <v>5</v>
      </c>
      <c r="F3824" s="5" t="s">
        <v>12</v>
      </c>
      <c r="G3824" s="5" t="s">
        <v>47</v>
      </c>
      <c r="H3824">
        <v>30</v>
      </c>
      <c r="I3824" s="4">
        <v>315810</v>
      </c>
      <c r="J3824" s="4">
        <v>161070</v>
      </c>
    </row>
    <row r="3825" spans="2:10" x14ac:dyDescent="0.3">
      <c r="B3825" s="7">
        <v>44378</v>
      </c>
      <c r="C3825" s="3">
        <f t="shared" si="118"/>
        <v>2021</v>
      </c>
      <c r="D3825" s="3">
        <f t="shared" si="119"/>
        <v>202107</v>
      </c>
      <c r="E3825" s="5" t="s">
        <v>5</v>
      </c>
      <c r="F3825" s="5" t="s">
        <v>12</v>
      </c>
      <c r="G3825" s="5" t="s">
        <v>47</v>
      </c>
      <c r="H3825">
        <v>32</v>
      </c>
      <c r="I3825" s="4">
        <v>270496</v>
      </c>
      <c r="J3825" s="4">
        <v>171808</v>
      </c>
    </row>
    <row r="3826" spans="2:10" x14ac:dyDescent="0.3">
      <c r="B3826" s="7">
        <v>44409</v>
      </c>
      <c r="C3826" s="3">
        <f t="shared" si="118"/>
        <v>2021</v>
      </c>
      <c r="D3826" s="3">
        <f t="shared" si="119"/>
        <v>202108</v>
      </c>
      <c r="E3826" s="5" t="s">
        <v>5</v>
      </c>
      <c r="F3826" s="5" t="s">
        <v>12</v>
      </c>
      <c r="G3826" s="5" t="s">
        <v>47</v>
      </c>
      <c r="H3826">
        <v>27</v>
      </c>
      <c r="I3826" s="4">
        <v>274671</v>
      </c>
      <c r="J3826" s="4">
        <v>144963</v>
      </c>
    </row>
    <row r="3827" spans="2:10" x14ac:dyDescent="0.3">
      <c r="B3827" s="7">
        <v>44440</v>
      </c>
      <c r="C3827" s="3">
        <f t="shared" si="118"/>
        <v>2021</v>
      </c>
      <c r="D3827" s="3">
        <f t="shared" si="119"/>
        <v>202109</v>
      </c>
      <c r="E3827" s="5" t="s">
        <v>5</v>
      </c>
      <c r="F3827" s="5" t="s">
        <v>12</v>
      </c>
      <c r="G3827" s="5" t="s">
        <v>47</v>
      </c>
      <c r="H3827">
        <v>29</v>
      </c>
      <c r="I3827" s="4">
        <v>282692</v>
      </c>
      <c r="J3827" s="4">
        <v>155701</v>
      </c>
    </row>
    <row r="3828" spans="2:10" x14ac:dyDescent="0.3">
      <c r="B3828" s="7">
        <v>44470</v>
      </c>
      <c r="C3828" s="3">
        <f t="shared" si="118"/>
        <v>2021</v>
      </c>
      <c r="D3828" s="3">
        <f t="shared" si="119"/>
        <v>202110</v>
      </c>
      <c r="E3828" s="5" t="s">
        <v>5</v>
      </c>
      <c r="F3828" s="5" t="s">
        <v>12</v>
      </c>
      <c r="G3828" s="5" t="s">
        <v>47</v>
      </c>
      <c r="H3828">
        <v>24</v>
      </c>
      <c r="I3828" s="4">
        <v>245616</v>
      </c>
      <c r="J3828" s="4">
        <v>128856</v>
      </c>
    </row>
    <row r="3829" spans="2:10" x14ac:dyDescent="0.3">
      <c r="B3829" s="7">
        <v>44501</v>
      </c>
      <c r="C3829" s="3">
        <f t="shared" si="118"/>
        <v>2021</v>
      </c>
      <c r="D3829" s="3">
        <f t="shared" si="119"/>
        <v>202111</v>
      </c>
      <c r="E3829" s="5" t="s">
        <v>5</v>
      </c>
      <c r="F3829" s="5" t="s">
        <v>12</v>
      </c>
      <c r="G3829" s="5" t="s">
        <v>47</v>
      </c>
      <c r="H3829">
        <v>17</v>
      </c>
      <c r="I3829" s="4">
        <v>168113</v>
      </c>
      <c r="J3829" s="4">
        <v>91273</v>
      </c>
    </row>
    <row r="3830" spans="2:10" x14ac:dyDescent="0.3">
      <c r="B3830" s="7">
        <v>44531</v>
      </c>
      <c r="C3830" s="3">
        <f t="shared" si="118"/>
        <v>2021</v>
      </c>
      <c r="D3830" s="3">
        <f t="shared" si="119"/>
        <v>202112</v>
      </c>
      <c r="E3830" s="5" t="s">
        <v>5</v>
      </c>
      <c r="F3830" s="5" t="s">
        <v>12</v>
      </c>
      <c r="G3830" s="5" t="s">
        <v>47</v>
      </c>
      <c r="H3830">
        <v>20</v>
      </c>
      <c r="I3830" s="4">
        <v>188720</v>
      </c>
      <c r="J3830" s="4">
        <v>107380</v>
      </c>
    </row>
    <row r="3831" spans="2:10" x14ac:dyDescent="0.3">
      <c r="B3831" s="7">
        <v>44562</v>
      </c>
      <c r="C3831" s="3">
        <f t="shared" si="118"/>
        <v>2022</v>
      </c>
      <c r="D3831" s="3">
        <f t="shared" si="119"/>
        <v>202201</v>
      </c>
      <c r="E3831" s="5" t="s">
        <v>5</v>
      </c>
      <c r="F3831" s="5" t="s">
        <v>12</v>
      </c>
      <c r="G3831" s="5" t="s">
        <v>47</v>
      </c>
      <c r="H3831">
        <v>30</v>
      </c>
      <c r="I3831" s="4">
        <v>295920</v>
      </c>
      <c r="J3831" s="4">
        <v>161070</v>
      </c>
    </row>
    <row r="3832" spans="2:10" x14ac:dyDescent="0.3">
      <c r="B3832" s="7">
        <v>44593</v>
      </c>
      <c r="C3832" s="3">
        <f t="shared" si="118"/>
        <v>2022</v>
      </c>
      <c r="D3832" s="3">
        <f t="shared" si="119"/>
        <v>202202</v>
      </c>
      <c r="E3832" s="5" t="s">
        <v>5</v>
      </c>
      <c r="F3832" s="5" t="s">
        <v>12</v>
      </c>
      <c r="G3832" s="5" t="s">
        <v>47</v>
      </c>
      <c r="H3832">
        <v>19</v>
      </c>
      <c r="I3832" s="4">
        <v>202901</v>
      </c>
      <c r="J3832" s="4">
        <v>102011</v>
      </c>
    </row>
    <row r="3833" spans="2:10" x14ac:dyDescent="0.3">
      <c r="B3833" s="7">
        <v>44621</v>
      </c>
      <c r="C3833" s="3">
        <f t="shared" si="118"/>
        <v>2022</v>
      </c>
      <c r="D3833" s="3">
        <f t="shared" si="119"/>
        <v>202203</v>
      </c>
      <c r="E3833" s="5" t="s">
        <v>5</v>
      </c>
      <c r="F3833" s="5" t="s">
        <v>12</v>
      </c>
      <c r="G3833" s="5" t="s">
        <v>47</v>
      </c>
      <c r="H3833">
        <v>15</v>
      </c>
      <c r="I3833" s="4">
        <v>144900</v>
      </c>
      <c r="J3833" s="4">
        <v>80535</v>
      </c>
    </row>
    <row r="3834" spans="2:10" x14ac:dyDescent="0.3">
      <c r="B3834" s="7">
        <v>44652</v>
      </c>
      <c r="C3834" s="3">
        <f t="shared" si="118"/>
        <v>2022</v>
      </c>
      <c r="D3834" s="3">
        <f t="shared" si="119"/>
        <v>202204</v>
      </c>
      <c r="E3834" s="5" t="s">
        <v>5</v>
      </c>
      <c r="F3834" s="5" t="s">
        <v>12</v>
      </c>
      <c r="G3834" s="5" t="s">
        <v>47</v>
      </c>
      <c r="H3834">
        <v>28</v>
      </c>
      <c r="I3834" s="4">
        <v>309932</v>
      </c>
      <c r="J3834" s="4">
        <v>150332</v>
      </c>
    </row>
    <row r="3835" spans="2:10" x14ac:dyDescent="0.3">
      <c r="B3835" s="7">
        <v>44682</v>
      </c>
      <c r="C3835" s="3">
        <f t="shared" si="118"/>
        <v>2022</v>
      </c>
      <c r="D3835" s="3">
        <f t="shared" si="119"/>
        <v>202205</v>
      </c>
      <c r="E3835" s="5" t="s">
        <v>5</v>
      </c>
      <c r="F3835" s="5" t="s">
        <v>12</v>
      </c>
      <c r="G3835" s="5" t="s">
        <v>47</v>
      </c>
      <c r="H3835">
        <v>35</v>
      </c>
      <c r="I3835" s="4">
        <v>379190</v>
      </c>
      <c r="J3835" s="4">
        <v>187915</v>
      </c>
    </row>
    <row r="3836" spans="2:10" x14ac:dyDescent="0.3">
      <c r="B3836" s="7">
        <v>44713</v>
      </c>
      <c r="C3836" s="3">
        <f t="shared" si="118"/>
        <v>2022</v>
      </c>
      <c r="D3836" s="3">
        <f t="shared" si="119"/>
        <v>202206</v>
      </c>
      <c r="E3836" s="5" t="s">
        <v>5</v>
      </c>
      <c r="F3836" s="5" t="s">
        <v>12</v>
      </c>
      <c r="G3836" s="5" t="s">
        <v>47</v>
      </c>
      <c r="H3836">
        <v>33</v>
      </c>
      <c r="I3836" s="4">
        <v>326205</v>
      </c>
      <c r="J3836" s="4">
        <v>177177</v>
      </c>
    </row>
    <row r="3837" spans="2:10" x14ac:dyDescent="0.3">
      <c r="B3837" s="7">
        <v>44743</v>
      </c>
      <c r="C3837" s="3">
        <f t="shared" si="118"/>
        <v>2022</v>
      </c>
      <c r="D3837" s="3">
        <f t="shared" si="119"/>
        <v>202207</v>
      </c>
      <c r="E3837" s="5" t="s">
        <v>5</v>
      </c>
      <c r="F3837" s="5" t="s">
        <v>12</v>
      </c>
      <c r="G3837" s="5" t="s">
        <v>47</v>
      </c>
      <c r="H3837">
        <v>35</v>
      </c>
      <c r="I3837" s="4">
        <v>290185</v>
      </c>
      <c r="J3837" s="4">
        <v>187915</v>
      </c>
    </row>
    <row r="3838" spans="2:10" x14ac:dyDescent="0.3">
      <c r="B3838" s="7">
        <v>44774</v>
      </c>
      <c r="C3838" s="3">
        <f t="shared" si="118"/>
        <v>2022</v>
      </c>
      <c r="D3838" s="3">
        <f t="shared" si="119"/>
        <v>202208</v>
      </c>
      <c r="E3838" s="5" t="s">
        <v>5</v>
      </c>
      <c r="F3838" s="5" t="s">
        <v>12</v>
      </c>
      <c r="G3838" s="5" t="s">
        <v>47</v>
      </c>
      <c r="H3838">
        <v>30</v>
      </c>
      <c r="I3838" s="4">
        <v>300750</v>
      </c>
      <c r="J3838" s="4">
        <v>161070</v>
      </c>
    </row>
    <row r="3839" spans="2:10" x14ac:dyDescent="0.3">
      <c r="B3839" s="7">
        <v>44805</v>
      </c>
      <c r="C3839" s="3">
        <f t="shared" si="118"/>
        <v>2022</v>
      </c>
      <c r="D3839" s="3">
        <f t="shared" si="119"/>
        <v>202209</v>
      </c>
      <c r="E3839" s="5" t="s">
        <v>5</v>
      </c>
      <c r="F3839" s="5" t="s">
        <v>12</v>
      </c>
      <c r="G3839" s="5" t="s">
        <v>47</v>
      </c>
      <c r="H3839">
        <v>31</v>
      </c>
      <c r="I3839" s="4">
        <v>310341</v>
      </c>
      <c r="J3839" s="4">
        <v>166439</v>
      </c>
    </row>
    <row r="3840" spans="2:10" x14ac:dyDescent="0.3">
      <c r="B3840" s="7">
        <v>44835</v>
      </c>
      <c r="C3840" s="3">
        <f t="shared" si="118"/>
        <v>2022</v>
      </c>
      <c r="D3840" s="3">
        <f t="shared" si="119"/>
        <v>202210</v>
      </c>
      <c r="E3840" s="5" t="s">
        <v>5</v>
      </c>
      <c r="F3840" s="5" t="s">
        <v>12</v>
      </c>
      <c r="G3840" s="5" t="s">
        <v>47</v>
      </c>
      <c r="H3840">
        <v>26</v>
      </c>
      <c r="I3840" s="4">
        <v>272428</v>
      </c>
      <c r="J3840" s="4">
        <v>139594</v>
      </c>
    </row>
    <row r="3841" spans="2:10" x14ac:dyDescent="0.3">
      <c r="B3841" s="7">
        <v>44866</v>
      </c>
      <c r="C3841" s="3">
        <f t="shared" si="118"/>
        <v>2022</v>
      </c>
      <c r="D3841" s="3">
        <f t="shared" si="119"/>
        <v>202211</v>
      </c>
      <c r="E3841" s="5" t="s">
        <v>5</v>
      </c>
      <c r="F3841" s="5" t="s">
        <v>12</v>
      </c>
      <c r="G3841" s="5" t="s">
        <v>47</v>
      </c>
      <c r="H3841">
        <v>19</v>
      </c>
      <c r="I3841" s="4">
        <v>193895</v>
      </c>
      <c r="J3841" s="4">
        <v>102011</v>
      </c>
    </row>
    <row r="3842" spans="2:10" x14ac:dyDescent="0.3">
      <c r="B3842" s="7">
        <v>44896</v>
      </c>
      <c r="C3842" s="3">
        <f t="shared" si="118"/>
        <v>2022</v>
      </c>
      <c r="D3842" s="3">
        <f t="shared" si="119"/>
        <v>202212</v>
      </c>
      <c r="E3842" s="5" t="s">
        <v>5</v>
      </c>
      <c r="F3842" s="5" t="s">
        <v>12</v>
      </c>
      <c r="G3842" s="5" t="s">
        <v>47</v>
      </c>
      <c r="H3842">
        <v>22</v>
      </c>
      <c r="I3842" s="4">
        <v>206822</v>
      </c>
      <c r="J3842" s="4">
        <v>118118</v>
      </c>
    </row>
    <row r="3843" spans="2:10" x14ac:dyDescent="0.3">
      <c r="B3843" s="7">
        <v>44197</v>
      </c>
      <c r="C3843" s="3">
        <f t="shared" ref="C3843:C3906" si="120">YEAR(B3843)</f>
        <v>2021</v>
      </c>
      <c r="D3843" s="3">
        <f t="shared" ref="D3843:D3906" si="121">VALUE(TEXT(B3843,"ГГГГММ"))</f>
        <v>202101</v>
      </c>
      <c r="E3843" s="5" t="s">
        <v>5</v>
      </c>
      <c r="F3843" s="5" t="s">
        <v>12</v>
      </c>
      <c r="G3843" s="5" t="s">
        <v>48</v>
      </c>
      <c r="H3843">
        <v>19</v>
      </c>
      <c r="I3843" s="4">
        <v>229026</v>
      </c>
      <c r="J3843" s="4">
        <v>104500</v>
      </c>
    </row>
    <row r="3844" spans="2:10" x14ac:dyDescent="0.3">
      <c r="B3844" s="7">
        <v>44228</v>
      </c>
      <c r="C3844" s="3">
        <f t="shared" si="120"/>
        <v>2021</v>
      </c>
      <c r="D3844" s="3">
        <f t="shared" si="121"/>
        <v>202102</v>
      </c>
      <c r="E3844" s="5" t="s">
        <v>5</v>
      </c>
      <c r="F3844" s="5" t="s">
        <v>12</v>
      </c>
      <c r="G3844" s="5" t="s">
        <v>48</v>
      </c>
      <c r="H3844">
        <v>12</v>
      </c>
      <c r="I3844" s="4">
        <v>151308</v>
      </c>
      <c r="J3844" s="4">
        <v>66000</v>
      </c>
    </row>
    <row r="3845" spans="2:10" x14ac:dyDescent="0.3">
      <c r="B3845" s="7">
        <v>44256</v>
      </c>
      <c r="C3845" s="3">
        <f t="shared" si="120"/>
        <v>2021</v>
      </c>
      <c r="D3845" s="3">
        <f t="shared" si="121"/>
        <v>202103</v>
      </c>
      <c r="E3845" s="5" t="s">
        <v>5</v>
      </c>
      <c r="F3845" s="5" t="s">
        <v>12</v>
      </c>
      <c r="G3845" s="5" t="s">
        <v>48</v>
      </c>
      <c r="H3845">
        <v>10</v>
      </c>
      <c r="I3845" s="4">
        <v>120860</v>
      </c>
      <c r="J3845" s="4">
        <v>55000</v>
      </c>
    </row>
    <row r="3846" spans="2:10" x14ac:dyDescent="0.3">
      <c r="B3846" s="7">
        <v>44287</v>
      </c>
      <c r="C3846" s="3">
        <f t="shared" si="120"/>
        <v>2021</v>
      </c>
      <c r="D3846" s="3">
        <f t="shared" si="121"/>
        <v>202104</v>
      </c>
      <c r="E3846" s="5" t="s">
        <v>5</v>
      </c>
      <c r="F3846" s="5" t="s">
        <v>12</v>
      </c>
      <c r="G3846" s="5" t="s">
        <v>48</v>
      </c>
      <c r="H3846">
        <v>18</v>
      </c>
      <c r="I3846" s="4">
        <v>223812</v>
      </c>
      <c r="J3846" s="4">
        <v>99000</v>
      </c>
    </row>
    <row r="3847" spans="2:10" x14ac:dyDescent="0.3">
      <c r="B3847" s="7">
        <v>44317</v>
      </c>
      <c r="C3847" s="3">
        <f t="shared" si="120"/>
        <v>2021</v>
      </c>
      <c r="D3847" s="3">
        <f t="shared" si="121"/>
        <v>202105</v>
      </c>
      <c r="E3847" s="5" t="s">
        <v>5</v>
      </c>
      <c r="F3847" s="5" t="s">
        <v>12</v>
      </c>
      <c r="G3847" s="5" t="s">
        <v>48</v>
      </c>
      <c r="H3847">
        <v>23</v>
      </c>
      <c r="I3847" s="4">
        <v>295734</v>
      </c>
      <c r="J3847" s="4">
        <v>126500</v>
      </c>
    </row>
    <row r="3848" spans="2:10" x14ac:dyDescent="0.3">
      <c r="B3848" s="7">
        <v>44348</v>
      </c>
      <c r="C3848" s="3">
        <f t="shared" si="120"/>
        <v>2021</v>
      </c>
      <c r="D3848" s="3">
        <f t="shared" si="121"/>
        <v>202106</v>
      </c>
      <c r="E3848" s="5" t="s">
        <v>5</v>
      </c>
      <c r="F3848" s="5" t="s">
        <v>12</v>
      </c>
      <c r="G3848" s="5" t="s">
        <v>48</v>
      </c>
      <c r="H3848">
        <v>22</v>
      </c>
      <c r="I3848" s="4">
        <v>266508</v>
      </c>
      <c r="J3848" s="4">
        <v>121000</v>
      </c>
    </row>
    <row r="3849" spans="2:10" x14ac:dyDescent="0.3">
      <c r="B3849" s="7">
        <v>44378</v>
      </c>
      <c r="C3849" s="3">
        <f t="shared" si="120"/>
        <v>2021</v>
      </c>
      <c r="D3849" s="3">
        <f t="shared" si="121"/>
        <v>202107</v>
      </c>
      <c r="E3849" s="5" t="s">
        <v>5</v>
      </c>
      <c r="F3849" s="5" t="s">
        <v>12</v>
      </c>
      <c r="G3849" s="5" t="s">
        <v>48</v>
      </c>
      <c r="H3849">
        <v>23</v>
      </c>
      <c r="I3849" s="4">
        <v>244375</v>
      </c>
      <c r="J3849" s="4">
        <v>126500</v>
      </c>
    </row>
    <row r="3850" spans="2:10" x14ac:dyDescent="0.3">
      <c r="B3850" s="7">
        <v>44409</v>
      </c>
      <c r="C3850" s="3">
        <f t="shared" si="120"/>
        <v>2021</v>
      </c>
      <c r="D3850" s="3">
        <f t="shared" si="121"/>
        <v>202108</v>
      </c>
      <c r="E3850" s="5" t="s">
        <v>5</v>
      </c>
      <c r="F3850" s="5" t="s">
        <v>12</v>
      </c>
      <c r="G3850" s="5" t="s">
        <v>48</v>
      </c>
      <c r="H3850">
        <v>19</v>
      </c>
      <c r="I3850" s="4">
        <v>215593</v>
      </c>
      <c r="J3850" s="4">
        <v>104500</v>
      </c>
    </row>
    <row r="3851" spans="2:10" x14ac:dyDescent="0.3">
      <c r="B3851" s="7">
        <v>44440</v>
      </c>
      <c r="C3851" s="3">
        <f t="shared" si="120"/>
        <v>2021</v>
      </c>
      <c r="D3851" s="3">
        <f t="shared" si="121"/>
        <v>202109</v>
      </c>
      <c r="E3851" s="5" t="s">
        <v>5</v>
      </c>
      <c r="F3851" s="5" t="s">
        <v>12</v>
      </c>
      <c r="G3851" s="5" t="s">
        <v>48</v>
      </c>
      <c r="H3851">
        <v>20</v>
      </c>
      <c r="I3851" s="4">
        <v>241740</v>
      </c>
      <c r="J3851" s="4">
        <v>110000</v>
      </c>
    </row>
    <row r="3852" spans="2:10" x14ac:dyDescent="0.3">
      <c r="B3852" s="7">
        <v>44470</v>
      </c>
      <c r="C3852" s="3">
        <f t="shared" si="120"/>
        <v>2021</v>
      </c>
      <c r="D3852" s="3">
        <f t="shared" si="121"/>
        <v>202110</v>
      </c>
      <c r="E3852" s="5" t="s">
        <v>5</v>
      </c>
      <c r="F3852" s="5" t="s">
        <v>12</v>
      </c>
      <c r="G3852" s="5" t="s">
        <v>48</v>
      </c>
      <c r="H3852">
        <v>17</v>
      </c>
      <c r="I3852" s="4">
        <v>207383</v>
      </c>
      <c r="J3852" s="4">
        <v>93500</v>
      </c>
    </row>
    <row r="3853" spans="2:10" x14ac:dyDescent="0.3">
      <c r="B3853" s="7">
        <v>44501</v>
      </c>
      <c r="C3853" s="3">
        <f t="shared" si="120"/>
        <v>2021</v>
      </c>
      <c r="D3853" s="3">
        <f t="shared" si="121"/>
        <v>202111</v>
      </c>
      <c r="E3853" s="5" t="s">
        <v>5</v>
      </c>
      <c r="F3853" s="5" t="s">
        <v>12</v>
      </c>
      <c r="G3853" s="5" t="s">
        <v>48</v>
      </c>
      <c r="H3853">
        <v>12</v>
      </c>
      <c r="I3853" s="4">
        <v>152952</v>
      </c>
      <c r="J3853" s="4">
        <v>66000</v>
      </c>
    </row>
    <row r="3854" spans="2:10" x14ac:dyDescent="0.3">
      <c r="B3854" s="7">
        <v>44531</v>
      </c>
      <c r="C3854" s="3">
        <f t="shared" si="120"/>
        <v>2021</v>
      </c>
      <c r="D3854" s="3">
        <f t="shared" si="121"/>
        <v>202112</v>
      </c>
      <c r="E3854" s="5" t="s">
        <v>5</v>
      </c>
      <c r="F3854" s="5" t="s">
        <v>12</v>
      </c>
      <c r="G3854" s="5" t="s">
        <v>48</v>
      </c>
      <c r="H3854">
        <v>15</v>
      </c>
      <c r="I3854" s="4">
        <v>168045</v>
      </c>
      <c r="J3854" s="4">
        <v>82500</v>
      </c>
    </row>
    <row r="3855" spans="2:10" x14ac:dyDescent="0.3">
      <c r="B3855" s="7">
        <v>44562</v>
      </c>
      <c r="C3855" s="3">
        <f t="shared" si="120"/>
        <v>2022</v>
      </c>
      <c r="D3855" s="3">
        <f t="shared" si="121"/>
        <v>202201</v>
      </c>
      <c r="E3855" s="5" t="s">
        <v>5</v>
      </c>
      <c r="F3855" s="5" t="s">
        <v>12</v>
      </c>
      <c r="G3855" s="5" t="s">
        <v>48</v>
      </c>
      <c r="H3855">
        <v>21</v>
      </c>
      <c r="I3855" s="4">
        <v>266049</v>
      </c>
      <c r="J3855" s="4">
        <v>115500</v>
      </c>
    </row>
    <row r="3856" spans="2:10" x14ac:dyDescent="0.3">
      <c r="B3856" s="7">
        <v>44593</v>
      </c>
      <c r="C3856" s="3">
        <f t="shared" si="120"/>
        <v>2022</v>
      </c>
      <c r="D3856" s="3">
        <f t="shared" si="121"/>
        <v>202202</v>
      </c>
      <c r="E3856" s="5" t="s">
        <v>5</v>
      </c>
      <c r="F3856" s="5" t="s">
        <v>12</v>
      </c>
      <c r="G3856" s="5" t="s">
        <v>48</v>
      </c>
      <c r="H3856">
        <v>13</v>
      </c>
      <c r="I3856" s="4">
        <v>161239</v>
      </c>
      <c r="J3856" s="4">
        <v>71500</v>
      </c>
    </row>
    <row r="3857" spans="2:10" x14ac:dyDescent="0.3">
      <c r="B3857" s="7">
        <v>44621</v>
      </c>
      <c r="C3857" s="3">
        <f t="shared" si="120"/>
        <v>2022</v>
      </c>
      <c r="D3857" s="3">
        <f t="shared" si="121"/>
        <v>202203</v>
      </c>
      <c r="E3857" s="5" t="s">
        <v>5</v>
      </c>
      <c r="F3857" s="5" t="s">
        <v>12</v>
      </c>
      <c r="G3857" s="5" t="s">
        <v>48</v>
      </c>
      <c r="H3857">
        <v>11</v>
      </c>
      <c r="I3857" s="4">
        <v>126401</v>
      </c>
      <c r="J3857" s="4">
        <v>60500</v>
      </c>
    </row>
    <row r="3858" spans="2:10" x14ac:dyDescent="0.3">
      <c r="B3858" s="7">
        <v>44652</v>
      </c>
      <c r="C3858" s="3">
        <f t="shared" si="120"/>
        <v>2022</v>
      </c>
      <c r="D3858" s="3">
        <f t="shared" si="121"/>
        <v>202204</v>
      </c>
      <c r="E3858" s="5" t="s">
        <v>5</v>
      </c>
      <c r="F3858" s="5" t="s">
        <v>12</v>
      </c>
      <c r="G3858" s="5" t="s">
        <v>48</v>
      </c>
      <c r="H3858">
        <v>20</v>
      </c>
      <c r="I3858" s="4">
        <v>258540</v>
      </c>
      <c r="J3858" s="4">
        <v>110000</v>
      </c>
    </row>
    <row r="3859" spans="2:10" x14ac:dyDescent="0.3">
      <c r="B3859" s="7">
        <v>44682</v>
      </c>
      <c r="C3859" s="3">
        <f t="shared" si="120"/>
        <v>2022</v>
      </c>
      <c r="D3859" s="3">
        <f t="shared" si="121"/>
        <v>202205</v>
      </c>
      <c r="E3859" s="5" t="s">
        <v>5</v>
      </c>
      <c r="F3859" s="5" t="s">
        <v>12</v>
      </c>
      <c r="G3859" s="5" t="s">
        <v>48</v>
      </c>
      <c r="H3859">
        <v>25</v>
      </c>
      <c r="I3859" s="4">
        <v>329525</v>
      </c>
      <c r="J3859" s="4">
        <v>137500</v>
      </c>
    </row>
    <row r="3860" spans="2:10" x14ac:dyDescent="0.3">
      <c r="B3860" s="7">
        <v>44713</v>
      </c>
      <c r="C3860" s="3">
        <f t="shared" si="120"/>
        <v>2022</v>
      </c>
      <c r="D3860" s="3">
        <f t="shared" si="121"/>
        <v>202206</v>
      </c>
      <c r="E3860" s="5" t="s">
        <v>5</v>
      </c>
      <c r="F3860" s="5" t="s">
        <v>12</v>
      </c>
      <c r="G3860" s="5" t="s">
        <v>48</v>
      </c>
      <c r="H3860">
        <v>24</v>
      </c>
      <c r="I3860" s="4">
        <v>284688</v>
      </c>
      <c r="J3860" s="4">
        <v>132000</v>
      </c>
    </row>
    <row r="3861" spans="2:10" x14ac:dyDescent="0.3">
      <c r="B3861" s="7">
        <v>44743</v>
      </c>
      <c r="C3861" s="3">
        <f t="shared" si="120"/>
        <v>2022</v>
      </c>
      <c r="D3861" s="3">
        <f t="shared" si="121"/>
        <v>202207</v>
      </c>
      <c r="E3861" s="5" t="s">
        <v>5</v>
      </c>
      <c r="F3861" s="5" t="s">
        <v>12</v>
      </c>
      <c r="G3861" s="5" t="s">
        <v>48</v>
      </c>
      <c r="H3861">
        <v>25</v>
      </c>
      <c r="I3861" s="4">
        <v>257625</v>
      </c>
      <c r="J3861" s="4">
        <v>137500</v>
      </c>
    </row>
    <row r="3862" spans="2:10" x14ac:dyDescent="0.3">
      <c r="B3862" s="7">
        <v>44774</v>
      </c>
      <c r="C3862" s="3">
        <f t="shared" si="120"/>
        <v>2022</v>
      </c>
      <c r="D3862" s="3">
        <f t="shared" si="121"/>
        <v>202208</v>
      </c>
      <c r="E3862" s="5" t="s">
        <v>5</v>
      </c>
      <c r="F3862" s="5" t="s">
        <v>12</v>
      </c>
      <c r="G3862" s="5" t="s">
        <v>48</v>
      </c>
      <c r="H3862">
        <v>21</v>
      </c>
      <c r="I3862" s="4">
        <v>239064</v>
      </c>
      <c r="J3862" s="4">
        <v>115500</v>
      </c>
    </row>
    <row r="3863" spans="2:10" x14ac:dyDescent="0.3">
      <c r="B3863" s="7">
        <v>44805</v>
      </c>
      <c r="C3863" s="3">
        <f t="shared" si="120"/>
        <v>2022</v>
      </c>
      <c r="D3863" s="3">
        <f t="shared" si="121"/>
        <v>202209</v>
      </c>
      <c r="E3863" s="5" t="s">
        <v>5</v>
      </c>
      <c r="F3863" s="5" t="s">
        <v>12</v>
      </c>
      <c r="G3863" s="5" t="s">
        <v>48</v>
      </c>
      <c r="H3863">
        <v>22</v>
      </c>
      <c r="I3863" s="4">
        <v>266860</v>
      </c>
      <c r="J3863" s="4">
        <v>121000</v>
      </c>
    </row>
    <row r="3864" spans="2:10" x14ac:dyDescent="0.3">
      <c r="B3864" s="7">
        <v>44835</v>
      </c>
      <c r="C3864" s="3">
        <f t="shared" si="120"/>
        <v>2022</v>
      </c>
      <c r="D3864" s="3">
        <f t="shared" si="121"/>
        <v>202210</v>
      </c>
      <c r="E3864" s="5" t="s">
        <v>5</v>
      </c>
      <c r="F3864" s="5" t="s">
        <v>12</v>
      </c>
      <c r="G3864" s="5" t="s">
        <v>48</v>
      </c>
      <c r="H3864">
        <v>19</v>
      </c>
      <c r="I3864" s="4">
        <v>240578</v>
      </c>
      <c r="J3864" s="4">
        <v>104500</v>
      </c>
    </row>
    <row r="3865" spans="2:10" x14ac:dyDescent="0.3">
      <c r="B3865" s="7">
        <v>44866</v>
      </c>
      <c r="C3865" s="3">
        <f t="shared" si="120"/>
        <v>2022</v>
      </c>
      <c r="D3865" s="3">
        <f t="shared" si="121"/>
        <v>202211</v>
      </c>
      <c r="E3865" s="5" t="s">
        <v>5</v>
      </c>
      <c r="F3865" s="5" t="s">
        <v>12</v>
      </c>
      <c r="G3865" s="5" t="s">
        <v>48</v>
      </c>
      <c r="H3865">
        <v>13</v>
      </c>
      <c r="I3865" s="4">
        <v>159393</v>
      </c>
      <c r="J3865" s="4">
        <v>71500</v>
      </c>
    </row>
    <row r="3866" spans="2:10" x14ac:dyDescent="0.3">
      <c r="B3866" s="7">
        <v>44896</v>
      </c>
      <c r="C3866" s="3">
        <f t="shared" si="120"/>
        <v>2022</v>
      </c>
      <c r="D3866" s="3">
        <f t="shared" si="121"/>
        <v>202212</v>
      </c>
      <c r="E3866" s="5" t="s">
        <v>5</v>
      </c>
      <c r="F3866" s="5" t="s">
        <v>12</v>
      </c>
      <c r="G3866" s="5" t="s">
        <v>48</v>
      </c>
      <c r="H3866">
        <v>16</v>
      </c>
      <c r="I3866" s="4">
        <v>188704</v>
      </c>
      <c r="J3866" s="4">
        <v>88000</v>
      </c>
    </row>
    <row r="3867" spans="2:10" x14ac:dyDescent="0.3">
      <c r="B3867" s="7">
        <v>44197</v>
      </c>
      <c r="C3867" s="3">
        <f t="shared" si="120"/>
        <v>2021</v>
      </c>
      <c r="D3867" s="3">
        <f t="shared" si="121"/>
        <v>202101</v>
      </c>
      <c r="E3867" s="5" t="s">
        <v>5</v>
      </c>
      <c r="F3867" s="5" t="s">
        <v>13</v>
      </c>
      <c r="G3867" s="5" t="s">
        <v>49</v>
      </c>
      <c r="H3867">
        <v>6</v>
      </c>
      <c r="I3867" s="4">
        <v>23532</v>
      </c>
      <c r="J3867" s="4">
        <v>9072</v>
      </c>
    </row>
    <row r="3868" spans="2:10" x14ac:dyDescent="0.3">
      <c r="B3868" s="7">
        <v>44228</v>
      </c>
      <c r="C3868" s="3">
        <f t="shared" si="120"/>
        <v>2021</v>
      </c>
      <c r="D3868" s="3">
        <f t="shared" si="121"/>
        <v>202102</v>
      </c>
      <c r="E3868" s="5" t="s">
        <v>5</v>
      </c>
      <c r="F3868" s="5" t="s">
        <v>13</v>
      </c>
      <c r="G3868" s="5" t="s">
        <v>49</v>
      </c>
      <c r="H3868">
        <v>4</v>
      </c>
      <c r="I3868" s="4">
        <v>19236</v>
      </c>
      <c r="J3868" s="4">
        <v>6048</v>
      </c>
    </row>
    <row r="3869" spans="2:10" x14ac:dyDescent="0.3">
      <c r="B3869" s="7">
        <v>44256</v>
      </c>
      <c r="C3869" s="3">
        <f t="shared" si="120"/>
        <v>2021</v>
      </c>
      <c r="D3869" s="3">
        <f t="shared" si="121"/>
        <v>202103</v>
      </c>
      <c r="E3869" s="5" t="s">
        <v>5</v>
      </c>
      <c r="F3869" s="5" t="s">
        <v>13</v>
      </c>
      <c r="G3869" s="5" t="s">
        <v>49</v>
      </c>
      <c r="H3869">
        <v>3</v>
      </c>
      <c r="I3869" s="4">
        <v>11631</v>
      </c>
      <c r="J3869" s="4">
        <v>4536</v>
      </c>
    </row>
    <row r="3870" spans="2:10" x14ac:dyDescent="0.3">
      <c r="B3870" s="7">
        <v>44287</v>
      </c>
      <c r="C3870" s="3">
        <f t="shared" si="120"/>
        <v>2021</v>
      </c>
      <c r="D3870" s="3">
        <f t="shared" si="121"/>
        <v>202104</v>
      </c>
      <c r="E3870" s="5" t="s">
        <v>5</v>
      </c>
      <c r="F3870" s="5" t="s">
        <v>13</v>
      </c>
      <c r="G3870" s="5" t="s">
        <v>49</v>
      </c>
      <c r="H3870">
        <v>6</v>
      </c>
      <c r="I3870" s="4">
        <v>27570</v>
      </c>
      <c r="J3870" s="4">
        <v>9072</v>
      </c>
    </row>
    <row r="3871" spans="2:10" x14ac:dyDescent="0.3">
      <c r="B3871" s="7">
        <v>44317</v>
      </c>
      <c r="C3871" s="3">
        <f t="shared" si="120"/>
        <v>2021</v>
      </c>
      <c r="D3871" s="3">
        <f t="shared" si="121"/>
        <v>202105</v>
      </c>
      <c r="E3871" s="5" t="s">
        <v>5</v>
      </c>
      <c r="F3871" s="5" t="s">
        <v>13</v>
      </c>
      <c r="G3871" s="5" t="s">
        <v>49</v>
      </c>
      <c r="H3871">
        <v>7</v>
      </c>
      <c r="I3871" s="4">
        <v>34783</v>
      </c>
      <c r="J3871" s="4">
        <v>10584</v>
      </c>
    </row>
    <row r="3872" spans="2:10" x14ac:dyDescent="0.3">
      <c r="B3872" s="7">
        <v>44348</v>
      </c>
      <c r="C3872" s="3">
        <f t="shared" si="120"/>
        <v>2021</v>
      </c>
      <c r="D3872" s="3">
        <f t="shared" si="121"/>
        <v>202106</v>
      </c>
      <c r="E3872" s="5" t="s">
        <v>5</v>
      </c>
      <c r="F3872" s="5" t="s">
        <v>13</v>
      </c>
      <c r="G3872" s="5" t="s">
        <v>49</v>
      </c>
      <c r="H3872">
        <v>7</v>
      </c>
      <c r="I3872" s="4">
        <v>26425</v>
      </c>
      <c r="J3872" s="4">
        <v>10584</v>
      </c>
    </row>
    <row r="3873" spans="2:10" x14ac:dyDescent="0.3">
      <c r="B3873" s="7">
        <v>44378</v>
      </c>
      <c r="C3873" s="3">
        <f t="shared" si="120"/>
        <v>2021</v>
      </c>
      <c r="D3873" s="3">
        <f t="shared" si="121"/>
        <v>202107</v>
      </c>
      <c r="E3873" s="5" t="s">
        <v>5</v>
      </c>
      <c r="F3873" s="5" t="s">
        <v>13</v>
      </c>
      <c r="G3873" s="5" t="s">
        <v>49</v>
      </c>
      <c r="H3873">
        <v>7</v>
      </c>
      <c r="I3873" s="4">
        <v>18907</v>
      </c>
      <c r="J3873" s="4">
        <v>10584</v>
      </c>
    </row>
    <row r="3874" spans="2:10" x14ac:dyDescent="0.3">
      <c r="B3874" s="7">
        <v>44409</v>
      </c>
      <c r="C3874" s="3">
        <f t="shared" si="120"/>
        <v>2021</v>
      </c>
      <c r="D3874" s="3">
        <f t="shared" si="121"/>
        <v>202108</v>
      </c>
      <c r="E3874" s="5" t="s">
        <v>5</v>
      </c>
      <c r="F3874" s="5" t="s">
        <v>13</v>
      </c>
      <c r="G3874" s="5" t="s">
        <v>49</v>
      </c>
      <c r="H3874">
        <v>6</v>
      </c>
      <c r="I3874" s="4">
        <v>23052</v>
      </c>
      <c r="J3874" s="4">
        <v>9072</v>
      </c>
    </row>
    <row r="3875" spans="2:10" x14ac:dyDescent="0.3">
      <c r="B3875" s="7">
        <v>44440</v>
      </c>
      <c r="C3875" s="3">
        <f t="shared" si="120"/>
        <v>2021</v>
      </c>
      <c r="D3875" s="3">
        <f t="shared" si="121"/>
        <v>202109</v>
      </c>
      <c r="E3875" s="5" t="s">
        <v>5</v>
      </c>
      <c r="F3875" s="5" t="s">
        <v>13</v>
      </c>
      <c r="G3875" s="5" t="s">
        <v>49</v>
      </c>
      <c r="H3875">
        <v>7</v>
      </c>
      <c r="I3875" s="4">
        <v>27174</v>
      </c>
      <c r="J3875" s="4">
        <v>10584</v>
      </c>
    </row>
    <row r="3876" spans="2:10" x14ac:dyDescent="0.3">
      <c r="B3876" s="7">
        <v>44470</v>
      </c>
      <c r="C3876" s="3">
        <f t="shared" si="120"/>
        <v>2021</v>
      </c>
      <c r="D3876" s="3">
        <f t="shared" si="121"/>
        <v>202110</v>
      </c>
      <c r="E3876" s="5" t="s">
        <v>5</v>
      </c>
      <c r="F3876" s="5" t="s">
        <v>13</v>
      </c>
      <c r="G3876" s="5" t="s">
        <v>49</v>
      </c>
      <c r="H3876">
        <v>6</v>
      </c>
      <c r="I3876" s="4">
        <v>27972</v>
      </c>
      <c r="J3876" s="4">
        <v>9072</v>
      </c>
    </row>
    <row r="3877" spans="2:10" x14ac:dyDescent="0.3">
      <c r="B3877" s="7">
        <v>44501</v>
      </c>
      <c r="C3877" s="3">
        <f t="shared" si="120"/>
        <v>2021</v>
      </c>
      <c r="D3877" s="3">
        <f t="shared" si="121"/>
        <v>202111</v>
      </c>
      <c r="E3877" s="5" t="s">
        <v>5</v>
      </c>
      <c r="F3877" s="5" t="s">
        <v>13</v>
      </c>
      <c r="G3877" s="5" t="s">
        <v>49</v>
      </c>
      <c r="H3877">
        <v>4</v>
      </c>
      <c r="I3877" s="4">
        <v>17176</v>
      </c>
      <c r="J3877" s="4">
        <v>6048</v>
      </c>
    </row>
    <row r="3878" spans="2:10" x14ac:dyDescent="0.3">
      <c r="B3878" s="7">
        <v>44531</v>
      </c>
      <c r="C3878" s="3">
        <f t="shared" si="120"/>
        <v>2021</v>
      </c>
      <c r="D3878" s="3">
        <f t="shared" si="121"/>
        <v>202112</v>
      </c>
      <c r="E3878" s="5" t="s">
        <v>5</v>
      </c>
      <c r="F3878" s="5" t="s">
        <v>13</v>
      </c>
      <c r="G3878" s="5" t="s">
        <v>49</v>
      </c>
      <c r="H3878">
        <v>5</v>
      </c>
      <c r="I3878" s="4">
        <v>19225</v>
      </c>
      <c r="J3878" s="4">
        <v>7560</v>
      </c>
    </row>
    <row r="3879" spans="2:10" x14ac:dyDescent="0.3">
      <c r="B3879" s="7">
        <v>44562</v>
      </c>
      <c r="C3879" s="3">
        <f t="shared" si="120"/>
        <v>2022</v>
      </c>
      <c r="D3879" s="3">
        <f t="shared" si="121"/>
        <v>202201</v>
      </c>
      <c r="E3879" s="5" t="s">
        <v>5</v>
      </c>
      <c r="F3879" s="5" t="s">
        <v>13</v>
      </c>
      <c r="G3879" s="5" t="s">
        <v>49</v>
      </c>
      <c r="H3879">
        <v>7</v>
      </c>
      <c r="I3879" s="4">
        <v>27678</v>
      </c>
      <c r="J3879" s="4">
        <v>10584</v>
      </c>
    </row>
    <row r="3880" spans="2:10" x14ac:dyDescent="0.3">
      <c r="B3880" s="7">
        <v>44593</v>
      </c>
      <c r="C3880" s="3">
        <f t="shared" si="120"/>
        <v>2022</v>
      </c>
      <c r="D3880" s="3">
        <f t="shared" si="121"/>
        <v>202202</v>
      </c>
      <c r="E3880" s="5" t="s">
        <v>5</v>
      </c>
      <c r="F3880" s="5" t="s">
        <v>13</v>
      </c>
      <c r="G3880" s="5" t="s">
        <v>49</v>
      </c>
      <c r="H3880">
        <v>4</v>
      </c>
      <c r="I3880" s="4">
        <v>17364</v>
      </c>
      <c r="J3880" s="4">
        <v>6048</v>
      </c>
    </row>
    <row r="3881" spans="2:10" x14ac:dyDescent="0.3">
      <c r="B3881" s="7">
        <v>44621</v>
      </c>
      <c r="C3881" s="3">
        <f t="shared" si="120"/>
        <v>2022</v>
      </c>
      <c r="D3881" s="3">
        <f t="shared" si="121"/>
        <v>202203</v>
      </c>
      <c r="E3881" s="5" t="s">
        <v>5</v>
      </c>
      <c r="F3881" s="5" t="s">
        <v>13</v>
      </c>
      <c r="G3881" s="5" t="s">
        <v>49</v>
      </c>
      <c r="H3881">
        <v>4</v>
      </c>
      <c r="I3881" s="4">
        <v>15832</v>
      </c>
      <c r="J3881" s="4">
        <v>6048</v>
      </c>
    </row>
    <row r="3882" spans="2:10" x14ac:dyDescent="0.3">
      <c r="B3882" s="7">
        <v>44652</v>
      </c>
      <c r="C3882" s="3">
        <f t="shared" si="120"/>
        <v>2022</v>
      </c>
      <c r="D3882" s="3">
        <f t="shared" si="121"/>
        <v>202204</v>
      </c>
      <c r="E3882" s="5" t="s">
        <v>5</v>
      </c>
      <c r="F3882" s="5" t="s">
        <v>13</v>
      </c>
      <c r="G3882" s="5" t="s">
        <v>49</v>
      </c>
      <c r="H3882">
        <v>6</v>
      </c>
      <c r="I3882" s="4">
        <v>27270</v>
      </c>
      <c r="J3882" s="4">
        <v>9072</v>
      </c>
    </row>
    <row r="3883" spans="2:10" x14ac:dyDescent="0.3">
      <c r="B3883" s="7">
        <v>44682</v>
      </c>
      <c r="C3883" s="3">
        <f t="shared" si="120"/>
        <v>2022</v>
      </c>
      <c r="D3883" s="3">
        <f t="shared" si="121"/>
        <v>202205</v>
      </c>
      <c r="E3883" s="5" t="s">
        <v>5</v>
      </c>
      <c r="F3883" s="5" t="s">
        <v>13</v>
      </c>
      <c r="G3883" s="5" t="s">
        <v>49</v>
      </c>
      <c r="H3883">
        <v>8</v>
      </c>
      <c r="I3883" s="4">
        <v>40936</v>
      </c>
      <c r="J3883" s="4">
        <v>12096</v>
      </c>
    </row>
    <row r="3884" spans="2:10" x14ac:dyDescent="0.3">
      <c r="B3884" s="7">
        <v>44713</v>
      </c>
      <c r="C3884" s="3">
        <f t="shared" si="120"/>
        <v>2022</v>
      </c>
      <c r="D3884" s="3">
        <f t="shared" si="121"/>
        <v>202206</v>
      </c>
      <c r="E3884" s="5" t="s">
        <v>5</v>
      </c>
      <c r="F3884" s="5" t="s">
        <v>13</v>
      </c>
      <c r="G3884" s="5" t="s">
        <v>49</v>
      </c>
      <c r="H3884">
        <v>8</v>
      </c>
      <c r="I3884" s="4">
        <v>32248</v>
      </c>
      <c r="J3884" s="4">
        <v>12096</v>
      </c>
    </row>
    <row r="3885" spans="2:10" x14ac:dyDescent="0.3">
      <c r="B3885" s="7">
        <v>44743</v>
      </c>
      <c r="C3885" s="3">
        <f t="shared" si="120"/>
        <v>2022</v>
      </c>
      <c r="D3885" s="3">
        <f t="shared" si="121"/>
        <v>202207</v>
      </c>
      <c r="E3885" s="5" t="s">
        <v>5</v>
      </c>
      <c r="F3885" s="5" t="s">
        <v>13</v>
      </c>
      <c r="G3885" s="5" t="s">
        <v>49</v>
      </c>
      <c r="H3885">
        <v>8</v>
      </c>
      <c r="I3885" s="4">
        <v>18600</v>
      </c>
      <c r="J3885" s="4">
        <v>12096</v>
      </c>
    </row>
    <row r="3886" spans="2:10" x14ac:dyDescent="0.3">
      <c r="B3886" s="7">
        <v>44774</v>
      </c>
      <c r="C3886" s="3">
        <f t="shared" si="120"/>
        <v>2022</v>
      </c>
      <c r="D3886" s="3">
        <f t="shared" si="121"/>
        <v>202208</v>
      </c>
      <c r="E3886" s="5" t="s">
        <v>5</v>
      </c>
      <c r="F3886" s="5" t="s">
        <v>13</v>
      </c>
      <c r="G3886" s="5" t="s">
        <v>49</v>
      </c>
      <c r="H3886">
        <v>7</v>
      </c>
      <c r="I3886" s="4">
        <v>23709</v>
      </c>
      <c r="J3886" s="4">
        <v>10584</v>
      </c>
    </row>
    <row r="3887" spans="2:10" x14ac:dyDescent="0.3">
      <c r="B3887" s="7">
        <v>44805</v>
      </c>
      <c r="C3887" s="3">
        <f t="shared" si="120"/>
        <v>2022</v>
      </c>
      <c r="D3887" s="3">
        <f t="shared" si="121"/>
        <v>202209</v>
      </c>
      <c r="E3887" s="5" t="s">
        <v>5</v>
      </c>
      <c r="F3887" s="5" t="s">
        <v>13</v>
      </c>
      <c r="G3887" s="5" t="s">
        <v>49</v>
      </c>
      <c r="H3887">
        <v>7</v>
      </c>
      <c r="I3887" s="4">
        <v>28406</v>
      </c>
      <c r="J3887" s="4">
        <v>10584</v>
      </c>
    </row>
    <row r="3888" spans="2:10" x14ac:dyDescent="0.3">
      <c r="B3888" s="7">
        <v>44835</v>
      </c>
      <c r="C3888" s="3">
        <f t="shared" si="120"/>
        <v>2022</v>
      </c>
      <c r="D3888" s="3">
        <f t="shared" si="121"/>
        <v>202210</v>
      </c>
      <c r="E3888" s="5" t="s">
        <v>5</v>
      </c>
      <c r="F3888" s="5" t="s">
        <v>13</v>
      </c>
      <c r="G3888" s="5" t="s">
        <v>49</v>
      </c>
      <c r="H3888">
        <v>6</v>
      </c>
      <c r="I3888" s="4">
        <v>26058</v>
      </c>
      <c r="J3888" s="4">
        <v>9072</v>
      </c>
    </row>
    <row r="3889" spans="2:10" x14ac:dyDescent="0.3">
      <c r="B3889" s="7">
        <v>44866</v>
      </c>
      <c r="C3889" s="3">
        <f t="shared" si="120"/>
        <v>2022</v>
      </c>
      <c r="D3889" s="3">
        <f t="shared" si="121"/>
        <v>202211</v>
      </c>
      <c r="E3889" s="5" t="s">
        <v>5</v>
      </c>
      <c r="F3889" s="5" t="s">
        <v>13</v>
      </c>
      <c r="G3889" s="5" t="s">
        <v>49</v>
      </c>
      <c r="H3889">
        <v>4</v>
      </c>
      <c r="I3889" s="4">
        <v>15656</v>
      </c>
      <c r="J3889" s="4">
        <v>6048</v>
      </c>
    </row>
    <row r="3890" spans="2:10" x14ac:dyDescent="0.3">
      <c r="B3890" s="7">
        <v>44896</v>
      </c>
      <c r="C3890" s="3">
        <f t="shared" si="120"/>
        <v>2022</v>
      </c>
      <c r="D3890" s="3">
        <f t="shared" si="121"/>
        <v>202212</v>
      </c>
      <c r="E3890" s="5" t="s">
        <v>5</v>
      </c>
      <c r="F3890" s="5" t="s">
        <v>13</v>
      </c>
      <c r="G3890" s="5" t="s">
        <v>49</v>
      </c>
      <c r="H3890">
        <v>5</v>
      </c>
      <c r="I3890" s="4">
        <v>15585</v>
      </c>
      <c r="J3890" s="4">
        <v>7560</v>
      </c>
    </row>
    <row r="3891" spans="2:10" x14ac:dyDescent="0.3">
      <c r="B3891" s="7">
        <v>44197</v>
      </c>
      <c r="C3891" s="3">
        <f t="shared" si="120"/>
        <v>2021</v>
      </c>
      <c r="D3891" s="3">
        <f t="shared" si="121"/>
        <v>202101</v>
      </c>
      <c r="E3891" s="5" t="s">
        <v>5</v>
      </c>
      <c r="F3891" s="5" t="s">
        <v>13</v>
      </c>
      <c r="G3891" s="5" t="s">
        <v>50</v>
      </c>
      <c r="H3891">
        <v>8</v>
      </c>
      <c r="I3891" s="4">
        <v>21144</v>
      </c>
      <c r="J3891" s="4">
        <v>6256</v>
      </c>
    </row>
    <row r="3892" spans="2:10" x14ac:dyDescent="0.3">
      <c r="B3892" s="7">
        <v>44228</v>
      </c>
      <c r="C3892" s="3">
        <f t="shared" si="120"/>
        <v>2021</v>
      </c>
      <c r="D3892" s="3">
        <f t="shared" si="121"/>
        <v>202102</v>
      </c>
      <c r="E3892" s="5" t="s">
        <v>5</v>
      </c>
      <c r="F3892" s="5" t="s">
        <v>13</v>
      </c>
      <c r="G3892" s="5" t="s">
        <v>50</v>
      </c>
      <c r="H3892">
        <v>5</v>
      </c>
      <c r="I3892" s="4">
        <v>17760</v>
      </c>
      <c r="J3892" s="4">
        <v>3910</v>
      </c>
    </row>
    <row r="3893" spans="2:10" x14ac:dyDescent="0.3">
      <c r="B3893" s="7">
        <v>44256</v>
      </c>
      <c r="C3893" s="3">
        <f t="shared" si="120"/>
        <v>2021</v>
      </c>
      <c r="D3893" s="3">
        <f t="shared" si="121"/>
        <v>202103</v>
      </c>
      <c r="E3893" s="5" t="s">
        <v>5</v>
      </c>
      <c r="F3893" s="5" t="s">
        <v>13</v>
      </c>
      <c r="G3893" s="5" t="s">
        <v>50</v>
      </c>
      <c r="H3893">
        <v>4</v>
      </c>
      <c r="I3893" s="4">
        <v>8392</v>
      </c>
      <c r="J3893" s="4">
        <v>3128</v>
      </c>
    </row>
    <row r="3894" spans="2:10" x14ac:dyDescent="0.3">
      <c r="B3894" s="7">
        <v>44287</v>
      </c>
      <c r="C3894" s="3">
        <f t="shared" si="120"/>
        <v>2021</v>
      </c>
      <c r="D3894" s="3">
        <f t="shared" si="121"/>
        <v>202104</v>
      </c>
      <c r="E3894" s="5" t="s">
        <v>5</v>
      </c>
      <c r="F3894" s="5" t="s">
        <v>13</v>
      </c>
      <c r="G3894" s="5" t="s">
        <v>50</v>
      </c>
      <c r="H3894">
        <v>7</v>
      </c>
      <c r="I3894" s="4">
        <v>22722</v>
      </c>
      <c r="J3894" s="4">
        <v>5474</v>
      </c>
    </row>
    <row r="3895" spans="2:10" x14ac:dyDescent="0.3">
      <c r="B3895" s="7">
        <v>44317</v>
      </c>
      <c r="C3895" s="3">
        <f t="shared" si="120"/>
        <v>2021</v>
      </c>
      <c r="D3895" s="3">
        <f t="shared" si="121"/>
        <v>202105</v>
      </c>
      <c r="E3895" s="5" t="s">
        <v>5</v>
      </c>
      <c r="F3895" s="5" t="s">
        <v>13</v>
      </c>
      <c r="G3895" s="5" t="s">
        <v>50</v>
      </c>
      <c r="H3895">
        <v>9</v>
      </c>
      <c r="I3895" s="4">
        <v>33813</v>
      </c>
      <c r="J3895" s="4">
        <v>7038</v>
      </c>
    </row>
    <row r="3896" spans="2:10" x14ac:dyDescent="0.3">
      <c r="B3896" s="7">
        <v>44348</v>
      </c>
      <c r="C3896" s="3">
        <f t="shared" si="120"/>
        <v>2021</v>
      </c>
      <c r="D3896" s="3">
        <f t="shared" si="121"/>
        <v>202106</v>
      </c>
      <c r="E3896" s="5" t="s">
        <v>5</v>
      </c>
      <c r="F3896" s="5" t="s">
        <v>13</v>
      </c>
      <c r="G3896" s="5" t="s">
        <v>50</v>
      </c>
      <c r="H3896">
        <v>8</v>
      </c>
      <c r="I3896" s="4">
        <v>24384</v>
      </c>
      <c r="J3896" s="4">
        <v>6256</v>
      </c>
    </row>
    <row r="3897" spans="2:10" x14ac:dyDescent="0.3">
      <c r="B3897" s="7">
        <v>44378</v>
      </c>
      <c r="C3897" s="3">
        <f t="shared" si="120"/>
        <v>2021</v>
      </c>
      <c r="D3897" s="3">
        <f t="shared" si="121"/>
        <v>202107</v>
      </c>
      <c r="E3897" s="5" t="s">
        <v>5</v>
      </c>
      <c r="F3897" s="5" t="s">
        <v>13</v>
      </c>
      <c r="G3897" s="5" t="s">
        <v>50</v>
      </c>
      <c r="H3897">
        <v>9</v>
      </c>
      <c r="I3897" s="4">
        <v>13086</v>
      </c>
      <c r="J3897" s="4">
        <v>7038</v>
      </c>
    </row>
    <row r="3898" spans="2:10" x14ac:dyDescent="0.3">
      <c r="B3898" s="7">
        <v>44409</v>
      </c>
      <c r="C3898" s="3">
        <f t="shared" si="120"/>
        <v>2021</v>
      </c>
      <c r="D3898" s="3">
        <f t="shared" si="121"/>
        <v>202108</v>
      </c>
      <c r="E3898" s="5" t="s">
        <v>5</v>
      </c>
      <c r="F3898" s="5" t="s">
        <v>13</v>
      </c>
      <c r="G3898" s="5" t="s">
        <v>50</v>
      </c>
      <c r="H3898">
        <v>8</v>
      </c>
      <c r="I3898" s="4">
        <v>18440</v>
      </c>
      <c r="J3898" s="4">
        <v>6256</v>
      </c>
    </row>
    <row r="3899" spans="2:10" x14ac:dyDescent="0.3">
      <c r="B3899" s="7">
        <v>44440</v>
      </c>
      <c r="C3899" s="3">
        <f t="shared" si="120"/>
        <v>2021</v>
      </c>
      <c r="D3899" s="3">
        <f t="shared" si="121"/>
        <v>202109</v>
      </c>
      <c r="E3899" s="5" t="s">
        <v>5</v>
      </c>
      <c r="F3899" s="5" t="s">
        <v>13</v>
      </c>
      <c r="G3899" s="5" t="s">
        <v>50</v>
      </c>
      <c r="H3899">
        <v>8</v>
      </c>
      <c r="I3899" s="4">
        <v>16072</v>
      </c>
      <c r="J3899" s="4">
        <v>6256</v>
      </c>
    </row>
    <row r="3900" spans="2:10" x14ac:dyDescent="0.3">
      <c r="B3900" s="7">
        <v>44470</v>
      </c>
      <c r="C3900" s="3">
        <f t="shared" si="120"/>
        <v>2021</v>
      </c>
      <c r="D3900" s="3">
        <f t="shared" si="121"/>
        <v>202110</v>
      </c>
      <c r="E3900" s="5" t="s">
        <v>5</v>
      </c>
      <c r="F3900" s="5" t="s">
        <v>13</v>
      </c>
      <c r="G3900" s="5" t="s">
        <v>50</v>
      </c>
      <c r="H3900">
        <v>7</v>
      </c>
      <c r="I3900" s="4">
        <v>24878</v>
      </c>
      <c r="J3900" s="4">
        <v>5474</v>
      </c>
    </row>
    <row r="3901" spans="2:10" x14ac:dyDescent="0.3">
      <c r="B3901" s="7">
        <v>44501</v>
      </c>
      <c r="C3901" s="3">
        <f t="shared" si="120"/>
        <v>2021</v>
      </c>
      <c r="D3901" s="3">
        <f t="shared" si="121"/>
        <v>202111</v>
      </c>
      <c r="E3901" s="5" t="s">
        <v>5</v>
      </c>
      <c r="F3901" s="5" t="s">
        <v>13</v>
      </c>
      <c r="G3901" s="5" t="s">
        <v>50</v>
      </c>
      <c r="H3901">
        <v>5</v>
      </c>
      <c r="I3901" s="4">
        <v>14420</v>
      </c>
      <c r="J3901" s="4">
        <v>3910</v>
      </c>
    </row>
    <row r="3902" spans="2:10" x14ac:dyDescent="0.3">
      <c r="B3902" s="7">
        <v>44531</v>
      </c>
      <c r="C3902" s="3">
        <f t="shared" si="120"/>
        <v>2021</v>
      </c>
      <c r="D3902" s="3">
        <f t="shared" si="121"/>
        <v>202112</v>
      </c>
      <c r="E3902" s="5" t="s">
        <v>5</v>
      </c>
      <c r="F3902" s="5" t="s">
        <v>13</v>
      </c>
      <c r="G3902" s="5" t="s">
        <v>50</v>
      </c>
      <c r="H3902">
        <v>6</v>
      </c>
      <c r="I3902" s="4">
        <v>17616</v>
      </c>
      <c r="J3902" s="4">
        <v>4692</v>
      </c>
    </row>
    <row r="3903" spans="2:10" x14ac:dyDescent="0.3">
      <c r="B3903" s="7">
        <v>44562</v>
      </c>
      <c r="C3903" s="3">
        <f t="shared" si="120"/>
        <v>2022</v>
      </c>
      <c r="D3903" s="3">
        <f t="shared" si="121"/>
        <v>202201</v>
      </c>
      <c r="E3903" s="5" t="s">
        <v>5</v>
      </c>
      <c r="F3903" s="5" t="s">
        <v>13</v>
      </c>
      <c r="G3903" s="5" t="s">
        <v>50</v>
      </c>
      <c r="H3903">
        <v>8</v>
      </c>
      <c r="I3903" s="4">
        <v>23032</v>
      </c>
      <c r="J3903" s="4">
        <v>6256</v>
      </c>
    </row>
    <row r="3904" spans="2:10" x14ac:dyDescent="0.3">
      <c r="B3904" s="7">
        <v>44593</v>
      </c>
      <c r="C3904" s="3">
        <f t="shared" si="120"/>
        <v>2022</v>
      </c>
      <c r="D3904" s="3">
        <f t="shared" si="121"/>
        <v>202202</v>
      </c>
      <c r="E3904" s="5" t="s">
        <v>5</v>
      </c>
      <c r="F3904" s="5" t="s">
        <v>13</v>
      </c>
      <c r="G3904" s="5" t="s">
        <v>50</v>
      </c>
      <c r="H3904">
        <v>5</v>
      </c>
      <c r="I3904" s="4">
        <v>15415</v>
      </c>
      <c r="J3904" s="4">
        <v>3910</v>
      </c>
    </row>
    <row r="3905" spans="2:10" x14ac:dyDescent="0.3">
      <c r="B3905" s="7">
        <v>44621</v>
      </c>
      <c r="C3905" s="3">
        <f t="shared" si="120"/>
        <v>2022</v>
      </c>
      <c r="D3905" s="3">
        <f t="shared" si="121"/>
        <v>202203</v>
      </c>
      <c r="E3905" s="5" t="s">
        <v>5</v>
      </c>
      <c r="F3905" s="5" t="s">
        <v>13</v>
      </c>
      <c r="G3905" s="5" t="s">
        <v>50</v>
      </c>
      <c r="H3905">
        <v>4</v>
      </c>
      <c r="I3905" s="4">
        <v>7884</v>
      </c>
      <c r="J3905" s="4">
        <v>3128</v>
      </c>
    </row>
    <row r="3906" spans="2:10" x14ac:dyDescent="0.3">
      <c r="B3906" s="7">
        <v>44652</v>
      </c>
      <c r="C3906" s="3">
        <f t="shared" si="120"/>
        <v>2022</v>
      </c>
      <c r="D3906" s="3">
        <f t="shared" si="121"/>
        <v>202204</v>
      </c>
      <c r="E3906" s="5" t="s">
        <v>5</v>
      </c>
      <c r="F3906" s="5" t="s">
        <v>13</v>
      </c>
      <c r="G3906" s="5" t="s">
        <v>50</v>
      </c>
      <c r="H3906">
        <v>8</v>
      </c>
      <c r="I3906" s="4">
        <v>28240</v>
      </c>
      <c r="J3906" s="4">
        <v>6256</v>
      </c>
    </row>
    <row r="3907" spans="2:10" x14ac:dyDescent="0.3">
      <c r="B3907" s="7">
        <v>44682</v>
      </c>
      <c r="C3907" s="3">
        <f t="shared" ref="C3907:C3970" si="122">YEAR(B3907)</f>
        <v>2022</v>
      </c>
      <c r="D3907" s="3">
        <f t="shared" ref="D3907:D3970" si="123">VALUE(TEXT(B3907,"ГГГГММ"))</f>
        <v>202205</v>
      </c>
      <c r="E3907" s="5" t="s">
        <v>5</v>
      </c>
      <c r="F3907" s="5" t="s">
        <v>13</v>
      </c>
      <c r="G3907" s="5" t="s">
        <v>50</v>
      </c>
      <c r="H3907">
        <v>10</v>
      </c>
      <c r="I3907" s="4">
        <v>33830</v>
      </c>
      <c r="J3907" s="4">
        <v>7820</v>
      </c>
    </row>
    <row r="3908" spans="2:10" x14ac:dyDescent="0.3">
      <c r="B3908" s="7">
        <v>44713</v>
      </c>
      <c r="C3908" s="3">
        <f t="shared" si="122"/>
        <v>2022</v>
      </c>
      <c r="D3908" s="3">
        <f t="shared" si="123"/>
        <v>202206</v>
      </c>
      <c r="E3908" s="5" t="s">
        <v>5</v>
      </c>
      <c r="F3908" s="5" t="s">
        <v>13</v>
      </c>
      <c r="G3908" s="5" t="s">
        <v>50</v>
      </c>
      <c r="H3908">
        <v>9</v>
      </c>
      <c r="I3908" s="4">
        <v>28026</v>
      </c>
      <c r="J3908" s="4">
        <v>7038</v>
      </c>
    </row>
    <row r="3909" spans="2:10" x14ac:dyDescent="0.3">
      <c r="B3909" s="7">
        <v>44743</v>
      </c>
      <c r="C3909" s="3">
        <f t="shared" si="122"/>
        <v>2022</v>
      </c>
      <c r="D3909" s="3">
        <f t="shared" si="123"/>
        <v>202207</v>
      </c>
      <c r="E3909" s="5" t="s">
        <v>5</v>
      </c>
      <c r="F3909" s="5" t="s">
        <v>13</v>
      </c>
      <c r="G3909" s="5" t="s">
        <v>50</v>
      </c>
      <c r="H3909">
        <v>10</v>
      </c>
      <c r="I3909" s="4">
        <v>15790</v>
      </c>
      <c r="J3909" s="4">
        <v>7820</v>
      </c>
    </row>
    <row r="3910" spans="2:10" x14ac:dyDescent="0.3">
      <c r="B3910" s="7">
        <v>44774</v>
      </c>
      <c r="C3910" s="3">
        <f t="shared" si="122"/>
        <v>2022</v>
      </c>
      <c r="D3910" s="3">
        <f t="shared" si="123"/>
        <v>202208</v>
      </c>
      <c r="E3910" s="5" t="s">
        <v>5</v>
      </c>
      <c r="F3910" s="5" t="s">
        <v>13</v>
      </c>
      <c r="G3910" s="5" t="s">
        <v>50</v>
      </c>
      <c r="H3910">
        <v>8</v>
      </c>
      <c r="I3910" s="4">
        <v>21904</v>
      </c>
      <c r="J3910" s="4">
        <v>6256</v>
      </c>
    </row>
    <row r="3911" spans="2:10" x14ac:dyDescent="0.3">
      <c r="B3911" s="7">
        <v>44805</v>
      </c>
      <c r="C3911" s="3">
        <f t="shared" si="122"/>
        <v>2022</v>
      </c>
      <c r="D3911" s="3">
        <f t="shared" si="123"/>
        <v>202209</v>
      </c>
      <c r="E3911" s="5" t="s">
        <v>5</v>
      </c>
      <c r="F3911" s="5" t="s">
        <v>13</v>
      </c>
      <c r="G3911" s="5" t="s">
        <v>50</v>
      </c>
      <c r="H3911">
        <v>9</v>
      </c>
      <c r="I3911" s="4">
        <v>23805</v>
      </c>
      <c r="J3911" s="4">
        <v>7038</v>
      </c>
    </row>
    <row r="3912" spans="2:10" x14ac:dyDescent="0.3">
      <c r="B3912" s="7">
        <v>44835</v>
      </c>
      <c r="C3912" s="3">
        <f t="shared" si="122"/>
        <v>2022</v>
      </c>
      <c r="D3912" s="3">
        <f t="shared" si="123"/>
        <v>202210</v>
      </c>
      <c r="E3912" s="5" t="s">
        <v>5</v>
      </c>
      <c r="F3912" s="5" t="s">
        <v>13</v>
      </c>
      <c r="G3912" s="5" t="s">
        <v>50</v>
      </c>
      <c r="H3912">
        <v>7</v>
      </c>
      <c r="I3912" s="4">
        <v>22855</v>
      </c>
      <c r="J3912" s="4">
        <v>5474</v>
      </c>
    </row>
    <row r="3913" spans="2:10" x14ac:dyDescent="0.3">
      <c r="B3913" s="7">
        <v>44866</v>
      </c>
      <c r="C3913" s="3">
        <f t="shared" si="122"/>
        <v>2022</v>
      </c>
      <c r="D3913" s="3">
        <f t="shared" si="123"/>
        <v>202211</v>
      </c>
      <c r="E3913" s="5" t="s">
        <v>5</v>
      </c>
      <c r="F3913" s="5" t="s">
        <v>13</v>
      </c>
      <c r="G3913" s="5" t="s">
        <v>50</v>
      </c>
      <c r="H3913">
        <v>5</v>
      </c>
      <c r="I3913" s="4">
        <v>17415</v>
      </c>
      <c r="J3913" s="4">
        <v>3910</v>
      </c>
    </row>
    <row r="3914" spans="2:10" x14ac:dyDescent="0.3">
      <c r="B3914" s="7">
        <v>44896</v>
      </c>
      <c r="C3914" s="3">
        <f t="shared" si="122"/>
        <v>2022</v>
      </c>
      <c r="D3914" s="3">
        <f t="shared" si="123"/>
        <v>202212</v>
      </c>
      <c r="E3914" s="5" t="s">
        <v>5</v>
      </c>
      <c r="F3914" s="5" t="s">
        <v>13</v>
      </c>
      <c r="G3914" s="5" t="s">
        <v>50</v>
      </c>
      <c r="H3914">
        <v>6</v>
      </c>
      <c r="I3914" s="4">
        <v>13326</v>
      </c>
      <c r="J3914" s="4">
        <v>4692</v>
      </c>
    </row>
    <row r="3915" spans="2:10" x14ac:dyDescent="0.3">
      <c r="B3915" s="7">
        <v>44197</v>
      </c>
      <c r="C3915" s="3">
        <f t="shared" si="122"/>
        <v>2021</v>
      </c>
      <c r="D3915" s="3">
        <f t="shared" si="123"/>
        <v>202101</v>
      </c>
      <c r="E3915" s="5" t="s">
        <v>5</v>
      </c>
      <c r="F3915" s="5" t="s">
        <v>13</v>
      </c>
      <c r="G3915" s="5" t="s">
        <v>51</v>
      </c>
      <c r="H3915">
        <v>7</v>
      </c>
      <c r="I3915" s="4">
        <v>37478</v>
      </c>
      <c r="J3915" s="4">
        <v>12250</v>
      </c>
    </row>
    <row r="3916" spans="2:10" x14ac:dyDescent="0.3">
      <c r="B3916" s="7">
        <v>44228</v>
      </c>
      <c r="C3916" s="3">
        <f t="shared" si="122"/>
        <v>2021</v>
      </c>
      <c r="D3916" s="3">
        <f t="shared" si="123"/>
        <v>202102</v>
      </c>
      <c r="E3916" s="5" t="s">
        <v>5</v>
      </c>
      <c r="F3916" s="5" t="s">
        <v>13</v>
      </c>
      <c r="G3916" s="5" t="s">
        <v>51</v>
      </c>
      <c r="H3916">
        <v>4</v>
      </c>
      <c r="I3916" s="4">
        <v>21580</v>
      </c>
      <c r="J3916" s="4">
        <v>7000</v>
      </c>
    </row>
    <row r="3917" spans="2:10" x14ac:dyDescent="0.3">
      <c r="B3917" s="7">
        <v>44256</v>
      </c>
      <c r="C3917" s="3">
        <f t="shared" si="122"/>
        <v>2021</v>
      </c>
      <c r="D3917" s="3">
        <f t="shared" si="123"/>
        <v>202103</v>
      </c>
      <c r="E3917" s="5" t="s">
        <v>5</v>
      </c>
      <c r="F3917" s="5" t="s">
        <v>13</v>
      </c>
      <c r="G3917" s="5" t="s">
        <v>51</v>
      </c>
      <c r="H3917">
        <v>4</v>
      </c>
      <c r="I3917" s="4">
        <v>15680</v>
      </c>
      <c r="J3917" s="4">
        <v>7000</v>
      </c>
    </row>
    <row r="3918" spans="2:10" x14ac:dyDescent="0.3">
      <c r="B3918" s="7">
        <v>44287</v>
      </c>
      <c r="C3918" s="3">
        <f t="shared" si="122"/>
        <v>2021</v>
      </c>
      <c r="D3918" s="3">
        <f t="shared" si="123"/>
        <v>202104</v>
      </c>
      <c r="E3918" s="5" t="s">
        <v>5</v>
      </c>
      <c r="F3918" s="5" t="s">
        <v>13</v>
      </c>
      <c r="G3918" s="5" t="s">
        <v>51</v>
      </c>
      <c r="H3918">
        <v>6</v>
      </c>
      <c r="I3918" s="4">
        <v>28512</v>
      </c>
      <c r="J3918" s="4">
        <v>10500</v>
      </c>
    </row>
    <row r="3919" spans="2:10" x14ac:dyDescent="0.3">
      <c r="B3919" s="7">
        <v>44317</v>
      </c>
      <c r="C3919" s="3">
        <f t="shared" si="122"/>
        <v>2021</v>
      </c>
      <c r="D3919" s="3">
        <f t="shared" si="123"/>
        <v>202105</v>
      </c>
      <c r="E3919" s="5" t="s">
        <v>5</v>
      </c>
      <c r="F3919" s="5" t="s">
        <v>13</v>
      </c>
      <c r="G3919" s="5" t="s">
        <v>51</v>
      </c>
      <c r="H3919">
        <v>8</v>
      </c>
      <c r="I3919" s="4">
        <v>42512</v>
      </c>
      <c r="J3919" s="4">
        <v>14000</v>
      </c>
    </row>
    <row r="3920" spans="2:10" x14ac:dyDescent="0.3">
      <c r="B3920" s="7">
        <v>44348</v>
      </c>
      <c r="C3920" s="3">
        <f t="shared" si="122"/>
        <v>2021</v>
      </c>
      <c r="D3920" s="3">
        <f t="shared" si="123"/>
        <v>202106</v>
      </c>
      <c r="E3920" s="5" t="s">
        <v>5</v>
      </c>
      <c r="F3920" s="5" t="s">
        <v>13</v>
      </c>
      <c r="G3920" s="5" t="s">
        <v>51</v>
      </c>
      <c r="H3920">
        <v>8</v>
      </c>
      <c r="I3920" s="4">
        <v>41072</v>
      </c>
      <c r="J3920" s="4">
        <v>14000</v>
      </c>
    </row>
    <row r="3921" spans="2:10" x14ac:dyDescent="0.3">
      <c r="B3921" s="7">
        <v>44378</v>
      </c>
      <c r="C3921" s="3">
        <f t="shared" si="122"/>
        <v>2021</v>
      </c>
      <c r="D3921" s="3">
        <f t="shared" si="123"/>
        <v>202107</v>
      </c>
      <c r="E3921" s="5" t="s">
        <v>5</v>
      </c>
      <c r="F3921" s="5" t="s">
        <v>13</v>
      </c>
      <c r="G3921" s="5" t="s">
        <v>51</v>
      </c>
      <c r="H3921">
        <v>8</v>
      </c>
      <c r="I3921" s="4">
        <v>28440</v>
      </c>
      <c r="J3921" s="4">
        <v>14000</v>
      </c>
    </row>
    <row r="3922" spans="2:10" x14ac:dyDescent="0.3">
      <c r="B3922" s="7">
        <v>44409</v>
      </c>
      <c r="C3922" s="3">
        <f t="shared" si="122"/>
        <v>2021</v>
      </c>
      <c r="D3922" s="3">
        <f t="shared" si="123"/>
        <v>202108</v>
      </c>
      <c r="E3922" s="5" t="s">
        <v>5</v>
      </c>
      <c r="F3922" s="5" t="s">
        <v>13</v>
      </c>
      <c r="G3922" s="5" t="s">
        <v>51</v>
      </c>
      <c r="H3922">
        <v>7</v>
      </c>
      <c r="I3922" s="4">
        <v>29253</v>
      </c>
      <c r="J3922" s="4">
        <v>12250</v>
      </c>
    </row>
    <row r="3923" spans="2:10" x14ac:dyDescent="0.3">
      <c r="B3923" s="7">
        <v>44440</v>
      </c>
      <c r="C3923" s="3">
        <f t="shared" si="122"/>
        <v>2021</v>
      </c>
      <c r="D3923" s="3">
        <f t="shared" si="123"/>
        <v>202109</v>
      </c>
      <c r="E3923" s="5" t="s">
        <v>5</v>
      </c>
      <c r="F3923" s="5" t="s">
        <v>13</v>
      </c>
      <c r="G3923" s="5" t="s">
        <v>51</v>
      </c>
      <c r="H3923">
        <v>7</v>
      </c>
      <c r="I3923" s="4">
        <v>30016</v>
      </c>
      <c r="J3923" s="4">
        <v>12250</v>
      </c>
    </row>
    <row r="3924" spans="2:10" x14ac:dyDescent="0.3">
      <c r="B3924" s="7">
        <v>44470</v>
      </c>
      <c r="C3924" s="3">
        <f t="shared" si="122"/>
        <v>2021</v>
      </c>
      <c r="D3924" s="3">
        <f t="shared" si="123"/>
        <v>202110</v>
      </c>
      <c r="E3924" s="5" t="s">
        <v>5</v>
      </c>
      <c r="F3924" s="5" t="s">
        <v>13</v>
      </c>
      <c r="G3924" s="5" t="s">
        <v>51</v>
      </c>
      <c r="H3924">
        <v>6</v>
      </c>
      <c r="I3924" s="4">
        <v>31038</v>
      </c>
      <c r="J3924" s="4">
        <v>10500</v>
      </c>
    </row>
    <row r="3925" spans="2:10" x14ac:dyDescent="0.3">
      <c r="B3925" s="7">
        <v>44501</v>
      </c>
      <c r="C3925" s="3">
        <f t="shared" si="122"/>
        <v>2021</v>
      </c>
      <c r="D3925" s="3">
        <f t="shared" si="123"/>
        <v>202111</v>
      </c>
      <c r="E3925" s="5" t="s">
        <v>5</v>
      </c>
      <c r="F3925" s="5" t="s">
        <v>13</v>
      </c>
      <c r="G3925" s="5" t="s">
        <v>51</v>
      </c>
      <c r="H3925">
        <v>4</v>
      </c>
      <c r="I3925" s="4">
        <v>17804</v>
      </c>
      <c r="J3925" s="4">
        <v>7000</v>
      </c>
    </row>
    <row r="3926" spans="2:10" x14ac:dyDescent="0.3">
      <c r="B3926" s="7">
        <v>44531</v>
      </c>
      <c r="C3926" s="3">
        <f t="shared" si="122"/>
        <v>2021</v>
      </c>
      <c r="D3926" s="3">
        <f t="shared" si="123"/>
        <v>202112</v>
      </c>
      <c r="E3926" s="5" t="s">
        <v>5</v>
      </c>
      <c r="F3926" s="5" t="s">
        <v>13</v>
      </c>
      <c r="G3926" s="5" t="s">
        <v>51</v>
      </c>
      <c r="H3926">
        <v>5</v>
      </c>
      <c r="I3926" s="4">
        <v>21415</v>
      </c>
      <c r="J3926" s="4">
        <v>8750</v>
      </c>
    </row>
    <row r="3927" spans="2:10" x14ac:dyDescent="0.3">
      <c r="B3927" s="7">
        <v>44562</v>
      </c>
      <c r="C3927" s="3">
        <f t="shared" si="122"/>
        <v>2022</v>
      </c>
      <c r="D3927" s="3">
        <f t="shared" si="123"/>
        <v>202201</v>
      </c>
      <c r="E3927" s="5" t="s">
        <v>5</v>
      </c>
      <c r="F3927" s="5" t="s">
        <v>13</v>
      </c>
      <c r="G3927" s="5" t="s">
        <v>51</v>
      </c>
      <c r="H3927">
        <v>8</v>
      </c>
      <c r="I3927" s="4">
        <v>39944</v>
      </c>
      <c r="J3927" s="4">
        <v>14000</v>
      </c>
    </row>
    <row r="3928" spans="2:10" x14ac:dyDescent="0.3">
      <c r="B3928" s="7">
        <v>44593</v>
      </c>
      <c r="C3928" s="3">
        <f t="shared" si="122"/>
        <v>2022</v>
      </c>
      <c r="D3928" s="3">
        <f t="shared" si="123"/>
        <v>202202</v>
      </c>
      <c r="E3928" s="5" t="s">
        <v>5</v>
      </c>
      <c r="F3928" s="5" t="s">
        <v>13</v>
      </c>
      <c r="G3928" s="5" t="s">
        <v>51</v>
      </c>
      <c r="H3928">
        <v>5</v>
      </c>
      <c r="I3928" s="4">
        <v>22755</v>
      </c>
      <c r="J3928" s="4">
        <v>8750</v>
      </c>
    </row>
    <row r="3929" spans="2:10" x14ac:dyDescent="0.3">
      <c r="B3929" s="7">
        <v>44621</v>
      </c>
      <c r="C3929" s="3">
        <f t="shared" si="122"/>
        <v>2022</v>
      </c>
      <c r="D3929" s="3">
        <f t="shared" si="123"/>
        <v>202203</v>
      </c>
      <c r="E3929" s="5" t="s">
        <v>5</v>
      </c>
      <c r="F3929" s="5" t="s">
        <v>13</v>
      </c>
      <c r="G3929" s="5" t="s">
        <v>51</v>
      </c>
      <c r="H3929">
        <v>4</v>
      </c>
      <c r="I3929" s="4">
        <v>17476</v>
      </c>
      <c r="J3929" s="4">
        <v>7000</v>
      </c>
    </row>
    <row r="3930" spans="2:10" x14ac:dyDescent="0.3">
      <c r="B3930" s="7">
        <v>44652</v>
      </c>
      <c r="C3930" s="3">
        <f t="shared" si="122"/>
        <v>2022</v>
      </c>
      <c r="D3930" s="3">
        <f t="shared" si="123"/>
        <v>202204</v>
      </c>
      <c r="E3930" s="5" t="s">
        <v>5</v>
      </c>
      <c r="F3930" s="5" t="s">
        <v>13</v>
      </c>
      <c r="G3930" s="5" t="s">
        <v>51</v>
      </c>
      <c r="H3930">
        <v>7</v>
      </c>
      <c r="I3930" s="4">
        <v>35539</v>
      </c>
      <c r="J3930" s="4">
        <v>12250</v>
      </c>
    </row>
    <row r="3931" spans="2:10" x14ac:dyDescent="0.3">
      <c r="B3931" s="7">
        <v>44682</v>
      </c>
      <c r="C3931" s="3">
        <f t="shared" si="122"/>
        <v>2022</v>
      </c>
      <c r="D3931" s="3">
        <f t="shared" si="123"/>
        <v>202205</v>
      </c>
      <c r="E3931" s="5" t="s">
        <v>5</v>
      </c>
      <c r="F3931" s="5" t="s">
        <v>13</v>
      </c>
      <c r="G3931" s="5" t="s">
        <v>51</v>
      </c>
      <c r="H3931">
        <v>9</v>
      </c>
      <c r="I3931" s="4">
        <v>52065</v>
      </c>
      <c r="J3931" s="4">
        <v>15750</v>
      </c>
    </row>
    <row r="3932" spans="2:10" x14ac:dyDescent="0.3">
      <c r="B3932" s="7">
        <v>44713</v>
      </c>
      <c r="C3932" s="3">
        <f t="shared" si="122"/>
        <v>2022</v>
      </c>
      <c r="D3932" s="3">
        <f t="shared" si="123"/>
        <v>202206</v>
      </c>
      <c r="E3932" s="5" t="s">
        <v>5</v>
      </c>
      <c r="F3932" s="5" t="s">
        <v>13</v>
      </c>
      <c r="G3932" s="5" t="s">
        <v>51</v>
      </c>
      <c r="H3932">
        <v>8</v>
      </c>
      <c r="I3932" s="4">
        <v>39512</v>
      </c>
      <c r="J3932" s="4">
        <v>14000</v>
      </c>
    </row>
    <row r="3933" spans="2:10" x14ac:dyDescent="0.3">
      <c r="B3933" s="7">
        <v>44743</v>
      </c>
      <c r="C3933" s="3">
        <f t="shared" si="122"/>
        <v>2022</v>
      </c>
      <c r="D3933" s="3">
        <f t="shared" si="123"/>
        <v>202207</v>
      </c>
      <c r="E3933" s="5" t="s">
        <v>5</v>
      </c>
      <c r="F3933" s="5" t="s">
        <v>13</v>
      </c>
      <c r="G3933" s="5" t="s">
        <v>51</v>
      </c>
      <c r="H3933">
        <v>9</v>
      </c>
      <c r="I3933" s="4">
        <v>28044</v>
      </c>
      <c r="J3933" s="4">
        <v>15750</v>
      </c>
    </row>
    <row r="3934" spans="2:10" x14ac:dyDescent="0.3">
      <c r="B3934" s="7">
        <v>44774</v>
      </c>
      <c r="C3934" s="3">
        <f t="shared" si="122"/>
        <v>2022</v>
      </c>
      <c r="D3934" s="3">
        <f t="shared" si="123"/>
        <v>202208</v>
      </c>
      <c r="E3934" s="5" t="s">
        <v>5</v>
      </c>
      <c r="F3934" s="5" t="s">
        <v>13</v>
      </c>
      <c r="G3934" s="5" t="s">
        <v>51</v>
      </c>
      <c r="H3934">
        <v>8</v>
      </c>
      <c r="I3934" s="4">
        <v>36456</v>
      </c>
      <c r="J3934" s="4">
        <v>14000</v>
      </c>
    </row>
    <row r="3935" spans="2:10" x14ac:dyDescent="0.3">
      <c r="B3935" s="7">
        <v>44805</v>
      </c>
      <c r="C3935" s="3">
        <f t="shared" si="122"/>
        <v>2022</v>
      </c>
      <c r="D3935" s="3">
        <f t="shared" si="123"/>
        <v>202209</v>
      </c>
      <c r="E3935" s="5" t="s">
        <v>5</v>
      </c>
      <c r="F3935" s="5" t="s">
        <v>13</v>
      </c>
      <c r="G3935" s="5" t="s">
        <v>51</v>
      </c>
      <c r="H3935">
        <v>8</v>
      </c>
      <c r="I3935" s="4">
        <v>32008</v>
      </c>
      <c r="J3935" s="4">
        <v>14000</v>
      </c>
    </row>
    <row r="3936" spans="2:10" x14ac:dyDescent="0.3">
      <c r="B3936" s="7">
        <v>44835</v>
      </c>
      <c r="C3936" s="3">
        <f t="shared" si="122"/>
        <v>2022</v>
      </c>
      <c r="D3936" s="3">
        <f t="shared" si="123"/>
        <v>202210</v>
      </c>
      <c r="E3936" s="5" t="s">
        <v>5</v>
      </c>
      <c r="F3936" s="5" t="s">
        <v>13</v>
      </c>
      <c r="G3936" s="5" t="s">
        <v>51</v>
      </c>
      <c r="H3936">
        <v>7</v>
      </c>
      <c r="I3936" s="4">
        <v>36764</v>
      </c>
      <c r="J3936" s="4">
        <v>12250</v>
      </c>
    </row>
    <row r="3937" spans="2:10" x14ac:dyDescent="0.3">
      <c r="B3937" s="7">
        <v>44866</v>
      </c>
      <c r="C3937" s="3">
        <f t="shared" si="122"/>
        <v>2022</v>
      </c>
      <c r="D3937" s="3">
        <f t="shared" si="123"/>
        <v>202211</v>
      </c>
      <c r="E3937" s="5" t="s">
        <v>5</v>
      </c>
      <c r="F3937" s="5" t="s">
        <v>13</v>
      </c>
      <c r="G3937" s="5" t="s">
        <v>51</v>
      </c>
      <c r="H3937">
        <v>5</v>
      </c>
      <c r="I3937" s="4">
        <v>21185</v>
      </c>
      <c r="J3937" s="4">
        <v>8750</v>
      </c>
    </row>
    <row r="3938" spans="2:10" x14ac:dyDescent="0.3">
      <c r="B3938" s="7">
        <v>44896</v>
      </c>
      <c r="C3938" s="3">
        <f t="shared" si="122"/>
        <v>2022</v>
      </c>
      <c r="D3938" s="3">
        <f t="shared" si="123"/>
        <v>202212</v>
      </c>
      <c r="E3938" s="5" t="s">
        <v>5</v>
      </c>
      <c r="F3938" s="5" t="s">
        <v>13</v>
      </c>
      <c r="G3938" s="5" t="s">
        <v>51</v>
      </c>
      <c r="H3938">
        <v>6</v>
      </c>
      <c r="I3938" s="4">
        <v>23586</v>
      </c>
      <c r="J3938" s="4">
        <v>10500</v>
      </c>
    </row>
    <row r="3939" spans="2:10" x14ac:dyDescent="0.3">
      <c r="B3939" s="7">
        <v>44197</v>
      </c>
      <c r="C3939" s="3">
        <f t="shared" si="122"/>
        <v>2021</v>
      </c>
      <c r="D3939" s="3">
        <f t="shared" si="123"/>
        <v>202101</v>
      </c>
      <c r="E3939" s="5" t="s">
        <v>5</v>
      </c>
      <c r="F3939" s="5" t="s">
        <v>13</v>
      </c>
      <c r="G3939" s="5" t="s">
        <v>52</v>
      </c>
      <c r="H3939">
        <v>6</v>
      </c>
      <c r="I3939" s="4">
        <v>33978</v>
      </c>
      <c r="J3939" s="4">
        <v>15120</v>
      </c>
    </row>
    <row r="3940" spans="2:10" x14ac:dyDescent="0.3">
      <c r="B3940" s="7">
        <v>44228</v>
      </c>
      <c r="C3940" s="3">
        <f t="shared" si="122"/>
        <v>2021</v>
      </c>
      <c r="D3940" s="3">
        <f t="shared" si="123"/>
        <v>202102</v>
      </c>
      <c r="E3940" s="5" t="s">
        <v>5</v>
      </c>
      <c r="F3940" s="5" t="s">
        <v>13</v>
      </c>
      <c r="G3940" s="5" t="s">
        <v>52</v>
      </c>
      <c r="H3940">
        <v>4</v>
      </c>
      <c r="I3940" s="4">
        <v>23228</v>
      </c>
      <c r="J3940" s="4">
        <v>10080</v>
      </c>
    </row>
    <row r="3941" spans="2:10" x14ac:dyDescent="0.3">
      <c r="B3941" s="7">
        <v>44256</v>
      </c>
      <c r="C3941" s="3">
        <f t="shared" si="122"/>
        <v>2021</v>
      </c>
      <c r="D3941" s="3">
        <f t="shared" si="123"/>
        <v>202103</v>
      </c>
      <c r="E3941" s="5" t="s">
        <v>5</v>
      </c>
      <c r="F3941" s="5" t="s">
        <v>13</v>
      </c>
      <c r="G3941" s="5" t="s">
        <v>52</v>
      </c>
      <c r="H3941">
        <v>3</v>
      </c>
      <c r="I3941" s="4">
        <v>13263</v>
      </c>
      <c r="J3941" s="4">
        <v>7560</v>
      </c>
    </row>
    <row r="3942" spans="2:10" x14ac:dyDescent="0.3">
      <c r="B3942" s="7">
        <v>44287</v>
      </c>
      <c r="C3942" s="3">
        <f t="shared" si="122"/>
        <v>2021</v>
      </c>
      <c r="D3942" s="3">
        <f t="shared" si="123"/>
        <v>202104</v>
      </c>
      <c r="E3942" s="5" t="s">
        <v>5</v>
      </c>
      <c r="F3942" s="5" t="s">
        <v>13</v>
      </c>
      <c r="G3942" s="5" t="s">
        <v>52</v>
      </c>
      <c r="H3942">
        <v>6</v>
      </c>
      <c r="I3942" s="4">
        <v>33030</v>
      </c>
      <c r="J3942" s="4">
        <v>15120</v>
      </c>
    </row>
    <row r="3943" spans="2:10" x14ac:dyDescent="0.3">
      <c r="B3943" s="7">
        <v>44317</v>
      </c>
      <c r="C3943" s="3">
        <f t="shared" si="122"/>
        <v>2021</v>
      </c>
      <c r="D3943" s="3">
        <f t="shared" si="123"/>
        <v>202105</v>
      </c>
      <c r="E3943" s="5" t="s">
        <v>5</v>
      </c>
      <c r="F3943" s="5" t="s">
        <v>13</v>
      </c>
      <c r="G3943" s="5" t="s">
        <v>52</v>
      </c>
      <c r="H3943">
        <v>7</v>
      </c>
      <c r="I3943" s="4">
        <v>47516</v>
      </c>
      <c r="J3943" s="4">
        <v>17640</v>
      </c>
    </row>
    <row r="3944" spans="2:10" x14ac:dyDescent="0.3">
      <c r="B3944" s="7">
        <v>44348</v>
      </c>
      <c r="C3944" s="3">
        <f t="shared" si="122"/>
        <v>2021</v>
      </c>
      <c r="D3944" s="3">
        <f t="shared" si="123"/>
        <v>202106</v>
      </c>
      <c r="E3944" s="5" t="s">
        <v>5</v>
      </c>
      <c r="F3944" s="5" t="s">
        <v>13</v>
      </c>
      <c r="G3944" s="5" t="s">
        <v>52</v>
      </c>
      <c r="H3944">
        <v>7</v>
      </c>
      <c r="I3944" s="4">
        <v>36064</v>
      </c>
      <c r="J3944" s="4">
        <v>17640</v>
      </c>
    </row>
    <row r="3945" spans="2:10" x14ac:dyDescent="0.3">
      <c r="B3945" s="7">
        <v>44378</v>
      </c>
      <c r="C3945" s="3">
        <f t="shared" si="122"/>
        <v>2021</v>
      </c>
      <c r="D3945" s="3">
        <f t="shared" si="123"/>
        <v>202107</v>
      </c>
      <c r="E3945" s="5" t="s">
        <v>5</v>
      </c>
      <c r="F3945" s="5" t="s">
        <v>13</v>
      </c>
      <c r="G3945" s="5" t="s">
        <v>52</v>
      </c>
      <c r="H3945">
        <v>7</v>
      </c>
      <c r="I3945" s="4">
        <v>25767</v>
      </c>
      <c r="J3945" s="4">
        <v>17640</v>
      </c>
    </row>
    <row r="3946" spans="2:10" x14ac:dyDescent="0.3">
      <c r="B3946" s="7">
        <v>44409</v>
      </c>
      <c r="C3946" s="3">
        <f t="shared" si="122"/>
        <v>2021</v>
      </c>
      <c r="D3946" s="3">
        <f t="shared" si="123"/>
        <v>202108</v>
      </c>
      <c r="E3946" s="5" t="s">
        <v>5</v>
      </c>
      <c r="F3946" s="5" t="s">
        <v>13</v>
      </c>
      <c r="G3946" s="5" t="s">
        <v>52</v>
      </c>
      <c r="H3946">
        <v>6</v>
      </c>
      <c r="I3946" s="4">
        <v>31806</v>
      </c>
      <c r="J3946" s="4">
        <v>15120</v>
      </c>
    </row>
    <row r="3947" spans="2:10" x14ac:dyDescent="0.3">
      <c r="B3947" s="7">
        <v>44440</v>
      </c>
      <c r="C3947" s="3">
        <f t="shared" si="122"/>
        <v>2021</v>
      </c>
      <c r="D3947" s="3">
        <f t="shared" si="123"/>
        <v>202109</v>
      </c>
      <c r="E3947" s="5" t="s">
        <v>5</v>
      </c>
      <c r="F3947" s="5" t="s">
        <v>13</v>
      </c>
      <c r="G3947" s="5" t="s">
        <v>52</v>
      </c>
      <c r="H3947">
        <v>7</v>
      </c>
      <c r="I3947" s="4">
        <v>33852</v>
      </c>
      <c r="J3947" s="4">
        <v>17640</v>
      </c>
    </row>
    <row r="3948" spans="2:10" x14ac:dyDescent="0.3">
      <c r="B3948" s="7">
        <v>44470</v>
      </c>
      <c r="C3948" s="3">
        <f t="shared" si="122"/>
        <v>2021</v>
      </c>
      <c r="D3948" s="3">
        <f t="shared" si="123"/>
        <v>202110</v>
      </c>
      <c r="E3948" s="5" t="s">
        <v>5</v>
      </c>
      <c r="F3948" s="5" t="s">
        <v>13</v>
      </c>
      <c r="G3948" s="5" t="s">
        <v>52</v>
      </c>
      <c r="H3948">
        <v>6</v>
      </c>
      <c r="I3948" s="4">
        <v>34068</v>
      </c>
      <c r="J3948" s="4">
        <v>15120</v>
      </c>
    </row>
    <row r="3949" spans="2:10" x14ac:dyDescent="0.3">
      <c r="B3949" s="7">
        <v>44501</v>
      </c>
      <c r="C3949" s="3">
        <f t="shared" si="122"/>
        <v>2021</v>
      </c>
      <c r="D3949" s="3">
        <f t="shared" si="123"/>
        <v>202111</v>
      </c>
      <c r="E3949" s="5" t="s">
        <v>5</v>
      </c>
      <c r="F3949" s="5" t="s">
        <v>13</v>
      </c>
      <c r="G3949" s="5" t="s">
        <v>52</v>
      </c>
      <c r="H3949">
        <v>4</v>
      </c>
      <c r="I3949" s="4">
        <v>21376</v>
      </c>
      <c r="J3949" s="4">
        <v>10080</v>
      </c>
    </row>
    <row r="3950" spans="2:10" x14ac:dyDescent="0.3">
      <c r="B3950" s="7">
        <v>44531</v>
      </c>
      <c r="C3950" s="3">
        <f t="shared" si="122"/>
        <v>2021</v>
      </c>
      <c r="D3950" s="3">
        <f t="shared" si="123"/>
        <v>202112</v>
      </c>
      <c r="E3950" s="5" t="s">
        <v>5</v>
      </c>
      <c r="F3950" s="5" t="s">
        <v>13</v>
      </c>
      <c r="G3950" s="5" t="s">
        <v>52</v>
      </c>
      <c r="H3950">
        <v>5</v>
      </c>
      <c r="I3950" s="4">
        <v>23615</v>
      </c>
      <c r="J3950" s="4">
        <v>12600</v>
      </c>
    </row>
    <row r="3951" spans="2:10" x14ac:dyDescent="0.3">
      <c r="B3951" s="7">
        <v>44562</v>
      </c>
      <c r="C3951" s="3">
        <f t="shared" si="122"/>
        <v>2022</v>
      </c>
      <c r="D3951" s="3">
        <f t="shared" si="123"/>
        <v>202201</v>
      </c>
      <c r="E3951" s="5" t="s">
        <v>5</v>
      </c>
      <c r="F3951" s="5" t="s">
        <v>13</v>
      </c>
      <c r="G3951" s="5" t="s">
        <v>52</v>
      </c>
      <c r="H3951">
        <v>7</v>
      </c>
      <c r="I3951" s="4">
        <v>37695</v>
      </c>
      <c r="J3951" s="4">
        <v>17640</v>
      </c>
    </row>
    <row r="3952" spans="2:10" x14ac:dyDescent="0.3">
      <c r="B3952" s="7">
        <v>44593</v>
      </c>
      <c r="C3952" s="3">
        <f t="shared" si="122"/>
        <v>2022</v>
      </c>
      <c r="D3952" s="3">
        <f t="shared" si="123"/>
        <v>202202</v>
      </c>
      <c r="E3952" s="5" t="s">
        <v>5</v>
      </c>
      <c r="F3952" s="5" t="s">
        <v>13</v>
      </c>
      <c r="G3952" s="5" t="s">
        <v>52</v>
      </c>
      <c r="H3952">
        <v>4</v>
      </c>
      <c r="I3952" s="4">
        <v>23704</v>
      </c>
      <c r="J3952" s="4">
        <v>10080</v>
      </c>
    </row>
    <row r="3953" spans="2:10" x14ac:dyDescent="0.3">
      <c r="B3953" s="7">
        <v>44621</v>
      </c>
      <c r="C3953" s="3">
        <f t="shared" si="122"/>
        <v>2022</v>
      </c>
      <c r="D3953" s="3">
        <f t="shared" si="123"/>
        <v>202203</v>
      </c>
      <c r="E3953" s="5" t="s">
        <v>5</v>
      </c>
      <c r="F3953" s="5" t="s">
        <v>13</v>
      </c>
      <c r="G3953" s="5" t="s">
        <v>52</v>
      </c>
      <c r="H3953">
        <v>4</v>
      </c>
      <c r="I3953" s="4">
        <v>18572</v>
      </c>
      <c r="J3953" s="4">
        <v>10080</v>
      </c>
    </row>
    <row r="3954" spans="2:10" x14ac:dyDescent="0.3">
      <c r="B3954" s="7">
        <v>44652</v>
      </c>
      <c r="C3954" s="3">
        <f t="shared" si="122"/>
        <v>2022</v>
      </c>
      <c r="D3954" s="3">
        <f t="shared" si="123"/>
        <v>202204</v>
      </c>
      <c r="E3954" s="5" t="s">
        <v>5</v>
      </c>
      <c r="F3954" s="5" t="s">
        <v>13</v>
      </c>
      <c r="G3954" s="5" t="s">
        <v>52</v>
      </c>
      <c r="H3954">
        <v>6</v>
      </c>
      <c r="I3954" s="4">
        <v>33294</v>
      </c>
      <c r="J3954" s="4">
        <v>15120</v>
      </c>
    </row>
    <row r="3955" spans="2:10" x14ac:dyDescent="0.3">
      <c r="B3955" s="7">
        <v>44682</v>
      </c>
      <c r="C3955" s="3">
        <f t="shared" si="122"/>
        <v>2022</v>
      </c>
      <c r="D3955" s="3">
        <f t="shared" si="123"/>
        <v>202205</v>
      </c>
      <c r="E3955" s="5" t="s">
        <v>5</v>
      </c>
      <c r="F3955" s="5" t="s">
        <v>13</v>
      </c>
      <c r="G3955" s="5" t="s">
        <v>52</v>
      </c>
      <c r="H3955">
        <v>8</v>
      </c>
      <c r="I3955" s="4">
        <v>49416</v>
      </c>
      <c r="J3955" s="4">
        <v>20160</v>
      </c>
    </row>
    <row r="3956" spans="2:10" x14ac:dyDescent="0.3">
      <c r="B3956" s="7">
        <v>44713</v>
      </c>
      <c r="C3956" s="3">
        <f t="shared" si="122"/>
        <v>2022</v>
      </c>
      <c r="D3956" s="3">
        <f t="shared" si="123"/>
        <v>202206</v>
      </c>
      <c r="E3956" s="5" t="s">
        <v>5</v>
      </c>
      <c r="F3956" s="5" t="s">
        <v>13</v>
      </c>
      <c r="G3956" s="5" t="s">
        <v>52</v>
      </c>
      <c r="H3956">
        <v>8</v>
      </c>
      <c r="I3956" s="4">
        <v>48848</v>
      </c>
      <c r="J3956" s="4">
        <v>20160</v>
      </c>
    </row>
    <row r="3957" spans="2:10" x14ac:dyDescent="0.3">
      <c r="B3957" s="7">
        <v>44743</v>
      </c>
      <c r="C3957" s="3">
        <f t="shared" si="122"/>
        <v>2022</v>
      </c>
      <c r="D3957" s="3">
        <f t="shared" si="123"/>
        <v>202207</v>
      </c>
      <c r="E3957" s="5" t="s">
        <v>5</v>
      </c>
      <c r="F3957" s="5" t="s">
        <v>13</v>
      </c>
      <c r="G3957" s="5" t="s">
        <v>52</v>
      </c>
      <c r="H3957">
        <v>8</v>
      </c>
      <c r="I3957" s="4">
        <v>31832</v>
      </c>
      <c r="J3957" s="4">
        <v>20160</v>
      </c>
    </row>
    <row r="3958" spans="2:10" x14ac:dyDescent="0.3">
      <c r="B3958" s="7">
        <v>44774</v>
      </c>
      <c r="C3958" s="3">
        <f t="shared" si="122"/>
        <v>2022</v>
      </c>
      <c r="D3958" s="3">
        <f t="shared" si="123"/>
        <v>202208</v>
      </c>
      <c r="E3958" s="5" t="s">
        <v>5</v>
      </c>
      <c r="F3958" s="5" t="s">
        <v>13</v>
      </c>
      <c r="G3958" s="5" t="s">
        <v>52</v>
      </c>
      <c r="H3958">
        <v>7</v>
      </c>
      <c r="I3958" s="4">
        <v>33719</v>
      </c>
      <c r="J3958" s="4">
        <v>17640</v>
      </c>
    </row>
    <row r="3959" spans="2:10" x14ac:dyDescent="0.3">
      <c r="B3959" s="7">
        <v>44805</v>
      </c>
      <c r="C3959" s="3">
        <f t="shared" si="122"/>
        <v>2022</v>
      </c>
      <c r="D3959" s="3">
        <f t="shared" si="123"/>
        <v>202209</v>
      </c>
      <c r="E3959" s="5" t="s">
        <v>5</v>
      </c>
      <c r="F3959" s="5" t="s">
        <v>13</v>
      </c>
      <c r="G3959" s="5" t="s">
        <v>52</v>
      </c>
      <c r="H3959">
        <v>7</v>
      </c>
      <c r="I3959" s="4">
        <v>33369</v>
      </c>
      <c r="J3959" s="4">
        <v>17640</v>
      </c>
    </row>
    <row r="3960" spans="2:10" x14ac:dyDescent="0.3">
      <c r="B3960" s="7">
        <v>44835</v>
      </c>
      <c r="C3960" s="3">
        <f t="shared" si="122"/>
        <v>2022</v>
      </c>
      <c r="D3960" s="3">
        <f t="shared" si="123"/>
        <v>202210</v>
      </c>
      <c r="E3960" s="5" t="s">
        <v>5</v>
      </c>
      <c r="F3960" s="5" t="s">
        <v>13</v>
      </c>
      <c r="G3960" s="5" t="s">
        <v>52</v>
      </c>
      <c r="H3960">
        <v>6</v>
      </c>
      <c r="I3960" s="4">
        <v>33384</v>
      </c>
      <c r="J3960" s="4">
        <v>15120</v>
      </c>
    </row>
    <row r="3961" spans="2:10" x14ac:dyDescent="0.3">
      <c r="B3961" s="7">
        <v>44866</v>
      </c>
      <c r="C3961" s="3">
        <f t="shared" si="122"/>
        <v>2022</v>
      </c>
      <c r="D3961" s="3">
        <f t="shared" si="123"/>
        <v>202211</v>
      </c>
      <c r="E3961" s="5" t="s">
        <v>5</v>
      </c>
      <c r="F3961" s="5" t="s">
        <v>13</v>
      </c>
      <c r="G3961" s="5" t="s">
        <v>52</v>
      </c>
      <c r="H3961">
        <v>4</v>
      </c>
      <c r="I3961" s="4">
        <v>19972</v>
      </c>
      <c r="J3961" s="4">
        <v>10080</v>
      </c>
    </row>
    <row r="3962" spans="2:10" x14ac:dyDescent="0.3">
      <c r="B3962" s="7">
        <v>44896</v>
      </c>
      <c r="C3962" s="3">
        <f t="shared" si="122"/>
        <v>2022</v>
      </c>
      <c r="D3962" s="3">
        <f t="shared" si="123"/>
        <v>202212</v>
      </c>
      <c r="E3962" s="5" t="s">
        <v>5</v>
      </c>
      <c r="F3962" s="5" t="s">
        <v>13</v>
      </c>
      <c r="G3962" s="5" t="s">
        <v>52</v>
      </c>
      <c r="H3962">
        <v>5</v>
      </c>
      <c r="I3962" s="4">
        <v>23640</v>
      </c>
      <c r="J3962" s="4">
        <v>12600</v>
      </c>
    </row>
    <row r="3963" spans="2:10" x14ac:dyDescent="0.3">
      <c r="B3963" s="7">
        <v>44197</v>
      </c>
      <c r="C3963" s="3">
        <f t="shared" si="122"/>
        <v>2021</v>
      </c>
      <c r="D3963" s="3">
        <f t="shared" si="123"/>
        <v>202101</v>
      </c>
      <c r="E3963" s="5" t="s">
        <v>5</v>
      </c>
      <c r="F3963" s="5" t="s">
        <v>13</v>
      </c>
      <c r="G3963" s="5" t="s">
        <v>53</v>
      </c>
      <c r="H3963">
        <v>8</v>
      </c>
      <c r="I3963" s="4">
        <v>24432</v>
      </c>
      <c r="J3963" s="4">
        <v>7392</v>
      </c>
    </row>
    <row r="3964" spans="2:10" x14ac:dyDescent="0.3">
      <c r="B3964" s="7">
        <v>44228</v>
      </c>
      <c r="C3964" s="3">
        <f t="shared" si="122"/>
        <v>2021</v>
      </c>
      <c r="D3964" s="3">
        <f t="shared" si="123"/>
        <v>202102</v>
      </c>
      <c r="E3964" s="5" t="s">
        <v>5</v>
      </c>
      <c r="F3964" s="5" t="s">
        <v>13</v>
      </c>
      <c r="G3964" s="5" t="s">
        <v>53</v>
      </c>
      <c r="H3964">
        <v>5</v>
      </c>
      <c r="I3964" s="4">
        <v>17420</v>
      </c>
      <c r="J3964" s="4">
        <v>4620</v>
      </c>
    </row>
    <row r="3965" spans="2:10" x14ac:dyDescent="0.3">
      <c r="B3965" s="7">
        <v>44256</v>
      </c>
      <c r="C3965" s="3">
        <f t="shared" si="122"/>
        <v>2021</v>
      </c>
      <c r="D3965" s="3">
        <f t="shared" si="123"/>
        <v>202103</v>
      </c>
      <c r="E3965" s="5" t="s">
        <v>5</v>
      </c>
      <c r="F3965" s="5" t="s">
        <v>13</v>
      </c>
      <c r="G3965" s="5" t="s">
        <v>53</v>
      </c>
      <c r="H3965">
        <v>4</v>
      </c>
      <c r="I3965" s="4">
        <v>9464</v>
      </c>
      <c r="J3965" s="4">
        <v>3696</v>
      </c>
    </row>
    <row r="3966" spans="2:10" x14ac:dyDescent="0.3">
      <c r="B3966" s="7">
        <v>44287</v>
      </c>
      <c r="C3966" s="3">
        <f t="shared" si="122"/>
        <v>2021</v>
      </c>
      <c r="D3966" s="3">
        <f t="shared" si="123"/>
        <v>202104</v>
      </c>
      <c r="E3966" s="5" t="s">
        <v>5</v>
      </c>
      <c r="F3966" s="5" t="s">
        <v>13</v>
      </c>
      <c r="G3966" s="5" t="s">
        <v>53</v>
      </c>
      <c r="H3966">
        <v>7</v>
      </c>
      <c r="I3966" s="4">
        <v>24836</v>
      </c>
      <c r="J3966" s="4">
        <v>6468</v>
      </c>
    </row>
    <row r="3967" spans="2:10" x14ac:dyDescent="0.3">
      <c r="B3967" s="7">
        <v>44317</v>
      </c>
      <c r="C3967" s="3">
        <f t="shared" si="122"/>
        <v>2021</v>
      </c>
      <c r="D3967" s="3">
        <f t="shared" si="123"/>
        <v>202105</v>
      </c>
      <c r="E3967" s="5" t="s">
        <v>5</v>
      </c>
      <c r="F3967" s="5" t="s">
        <v>13</v>
      </c>
      <c r="G3967" s="5" t="s">
        <v>53</v>
      </c>
      <c r="H3967">
        <v>9</v>
      </c>
      <c r="I3967" s="4">
        <v>35874</v>
      </c>
      <c r="J3967" s="4">
        <v>8316</v>
      </c>
    </row>
    <row r="3968" spans="2:10" x14ac:dyDescent="0.3">
      <c r="B3968" s="7">
        <v>44348</v>
      </c>
      <c r="C3968" s="3">
        <f t="shared" si="122"/>
        <v>2021</v>
      </c>
      <c r="D3968" s="3">
        <f t="shared" si="123"/>
        <v>202106</v>
      </c>
      <c r="E3968" s="5" t="s">
        <v>5</v>
      </c>
      <c r="F3968" s="5" t="s">
        <v>13</v>
      </c>
      <c r="G3968" s="5" t="s">
        <v>53</v>
      </c>
      <c r="H3968">
        <v>9</v>
      </c>
      <c r="I3968" s="4">
        <v>33183</v>
      </c>
      <c r="J3968" s="4">
        <v>8316</v>
      </c>
    </row>
    <row r="3969" spans="2:10" x14ac:dyDescent="0.3">
      <c r="B3969" s="7">
        <v>44378</v>
      </c>
      <c r="C3969" s="3">
        <f t="shared" si="122"/>
        <v>2021</v>
      </c>
      <c r="D3969" s="3">
        <f t="shared" si="123"/>
        <v>202107</v>
      </c>
      <c r="E3969" s="5" t="s">
        <v>5</v>
      </c>
      <c r="F3969" s="5" t="s">
        <v>13</v>
      </c>
      <c r="G3969" s="5" t="s">
        <v>53</v>
      </c>
      <c r="H3969">
        <v>9</v>
      </c>
      <c r="I3969" s="4">
        <v>18936</v>
      </c>
      <c r="J3969" s="4">
        <v>8316</v>
      </c>
    </row>
    <row r="3970" spans="2:10" x14ac:dyDescent="0.3">
      <c r="B3970" s="7">
        <v>44409</v>
      </c>
      <c r="C3970" s="3">
        <f t="shared" si="122"/>
        <v>2021</v>
      </c>
      <c r="D3970" s="3">
        <f t="shared" si="123"/>
        <v>202108</v>
      </c>
      <c r="E3970" s="5" t="s">
        <v>5</v>
      </c>
      <c r="F3970" s="5" t="s">
        <v>13</v>
      </c>
      <c r="G3970" s="5" t="s">
        <v>53</v>
      </c>
      <c r="H3970">
        <v>8</v>
      </c>
      <c r="I3970" s="4">
        <v>24552</v>
      </c>
      <c r="J3970" s="4">
        <v>7392</v>
      </c>
    </row>
    <row r="3971" spans="2:10" x14ac:dyDescent="0.3">
      <c r="B3971" s="7">
        <v>44440</v>
      </c>
      <c r="C3971" s="3">
        <f t="shared" ref="C3971:C4034" si="124">YEAR(B3971)</f>
        <v>2021</v>
      </c>
      <c r="D3971" s="3">
        <f t="shared" ref="D3971:D4034" si="125">VALUE(TEXT(B3971,"ГГГГММ"))</f>
        <v>202109</v>
      </c>
      <c r="E3971" s="5" t="s">
        <v>5</v>
      </c>
      <c r="F3971" s="5" t="s">
        <v>13</v>
      </c>
      <c r="G3971" s="5" t="s">
        <v>53</v>
      </c>
      <c r="H3971">
        <v>8</v>
      </c>
      <c r="I3971" s="4">
        <v>26416</v>
      </c>
      <c r="J3971" s="4">
        <v>7392</v>
      </c>
    </row>
    <row r="3972" spans="2:10" x14ac:dyDescent="0.3">
      <c r="B3972" s="7">
        <v>44470</v>
      </c>
      <c r="C3972" s="3">
        <f t="shared" si="124"/>
        <v>2021</v>
      </c>
      <c r="D3972" s="3">
        <f t="shared" si="125"/>
        <v>202110</v>
      </c>
      <c r="E3972" s="5" t="s">
        <v>5</v>
      </c>
      <c r="F3972" s="5" t="s">
        <v>13</v>
      </c>
      <c r="G3972" s="5" t="s">
        <v>53</v>
      </c>
      <c r="H3972">
        <v>7</v>
      </c>
      <c r="I3972" s="4">
        <v>25669</v>
      </c>
      <c r="J3972" s="4">
        <v>6468</v>
      </c>
    </row>
    <row r="3973" spans="2:10" x14ac:dyDescent="0.3">
      <c r="B3973" s="7">
        <v>44501</v>
      </c>
      <c r="C3973" s="3">
        <f t="shared" si="124"/>
        <v>2021</v>
      </c>
      <c r="D3973" s="3">
        <f t="shared" si="125"/>
        <v>202111</v>
      </c>
      <c r="E3973" s="5" t="s">
        <v>5</v>
      </c>
      <c r="F3973" s="5" t="s">
        <v>13</v>
      </c>
      <c r="G3973" s="5" t="s">
        <v>53</v>
      </c>
      <c r="H3973">
        <v>5</v>
      </c>
      <c r="I3973" s="4">
        <v>17955</v>
      </c>
      <c r="J3973" s="4">
        <v>4620</v>
      </c>
    </row>
    <row r="3974" spans="2:10" x14ac:dyDescent="0.3">
      <c r="B3974" s="7">
        <v>44531</v>
      </c>
      <c r="C3974" s="3">
        <f t="shared" si="124"/>
        <v>2021</v>
      </c>
      <c r="D3974" s="3">
        <f t="shared" si="125"/>
        <v>202112</v>
      </c>
      <c r="E3974" s="5" t="s">
        <v>5</v>
      </c>
      <c r="F3974" s="5" t="s">
        <v>13</v>
      </c>
      <c r="G3974" s="5" t="s">
        <v>53</v>
      </c>
      <c r="H3974">
        <v>6</v>
      </c>
      <c r="I3974" s="4">
        <v>18684</v>
      </c>
      <c r="J3974" s="4">
        <v>5544</v>
      </c>
    </row>
    <row r="3975" spans="2:10" x14ac:dyDescent="0.3">
      <c r="B3975" s="7">
        <v>44562</v>
      </c>
      <c r="C3975" s="3">
        <f t="shared" si="124"/>
        <v>2022</v>
      </c>
      <c r="D3975" s="3">
        <f t="shared" si="125"/>
        <v>202201</v>
      </c>
      <c r="E3975" s="5" t="s">
        <v>5</v>
      </c>
      <c r="F3975" s="5" t="s">
        <v>13</v>
      </c>
      <c r="G3975" s="5" t="s">
        <v>53</v>
      </c>
      <c r="H3975">
        <v>9</v>
      </c>
      <c r="I3975" s="4">
        <v>28512</v>
      </c>
      <c r="J3975" s="4">
        <v>8316</v>
      </c>
    </row>
    <row r="3976" spans="2:10" x14ac:dyDescent="0.3">
      <c r="B3976" s="7">
        <v>44593</v>
      </c>
      <c r="C3976" s="3">
        <f t="shared" si="124"/>
        <v>2022</v>
      </c>
      <c r="D3976" s="3">
        <f t="shared" si="125"/>
        <v>202202</v>
      </c>
      <c r="E3976" s="5" t="s">
        <v>5</v>
      </c>
      <c r="F3976" s="5" t="s">
        <v>13</v>
      </c>
      <c r="G3976" s="5" t="s">
        <v>53</v>
      </c>
      <c r="H3976">
        <v>6</v>
      </c>
      <c r="I3976" s="4">
        <v>23784</v>
      </c>
      <c r="J3976" s="4">
        <v>5544</v>
      </c>
    </row>
    <row r="3977" spans="2:10" x14ac:dyDescent="0.3">
      <c r="B3977" s="7">
        <v>44621</v>
      </c>
      <c r="C3977" s="3">
        <f t="shared" si="124"/>
        <v>2022</v>
      </c>
      <c r="D3977" s="3">
        <f t="shared" si="125"/>
        <v>202203</v>
      </c>
      <c r="E3977" s="5" t="s">
        <v>5</v>
      </c>
      <c r="F3977" s="5" t="s">
        <v>13</v>
      </c>
      <c r="G3977" s="5" t="s">
        <v>53</v>
      </c>
      <c r="H3977">
        <v>5</v>
      </c>
      <c r="I3977" s="4">
        <v>16135</v>
      </c>
      <c r="J3977" s="4">
        <v>4620</v>
      </c>
    </row>
    <row r="3978" spans="2:10" x14ac:dyDescent="0.3">
      <c r="B3978" s="7">
        <v>44652</v>
      </c>
      <c r="C3978" s="3">
        <f t="shared" si="124"/>
        <v>2022</v>
      </c>
      <c r="D3978" s="3">
        <f t="shared" si="125"/>
        <v>202204</v>
      </c>
      <c r="E3978" s="5" t="s">
        <v>5</v>
      </c>
      <c r="F3978" s="5" t="s">
        <v>13</v>
      </c>
      <c r="G3978" s="5" t="s">
        <v>53</v>
      </c>
      <c r="H3978">
        <v>8</v>
      </c>
      <c r="I3978" s="4">
        <v>30592</v>
      </c>
      <c r="J3978" s="4">
        <v>7392</v>
      </c>
    </row>
    <row r="3979" spans="2:10" x14ac:dyDescent="0.3">
      <c r="B3979" s="7">
        <v>44682</v>
      </c>
      <c r="C3979" s="3">
        <f t="shared" si="124"/>
        <v>2022</v>
      </c>
      <c r="D3979" s="3">
        <f t="shared" si="125"/>
        <v>202205</v>
      </c>
      <c r="E3979" s="5" t="s">
        <v>5</v>
      </c>
      <c r="F3979" s="5" t="s">
        <v>13</v>
      </c>
      <c r="G3979" s="5" t="s">
        <v>53</v>
      </c>
      <c r="H3979">
        <v>10</v>
      </c>
      <c r="I3979" s="4">
        <v>46210</v>
      </c>
      <c r="J3979" s="4">
        <v>9240</v>
      </c>
    </row>
    <row r="3980" spans="2:10" x14ac:dyDescent="0.3">
      <c r="B3980" s="7">
        <v>44713</v>
      </c>
      <c r="C3980" s="3">
        <f t="shared" si="124"/>
        <v>2022</v>
      </c>
      <c r="D3980" s="3">
        <f t="shared" si="125"/>
        <v>202206</v>
      </c>
      <c r="E3980" s="5" t="s">
        <v>5</v>
      </c>
      <c r="F3980" s="5" t="s">
        <v>13</v>
      </c>
      <c r="G3980" s="5" t="s">
        <v>53</v>
      </c>
      <c r="H3980">
        <v>10</v>
      </c>
      <c r="I3980" s="4">
        <v>38770</v>
      </c>
      <c r="J3980" s="4">
        <v>9240</v>
      </c>
    </row>
    <row r="3981" spans="2:10" x14ac:dyDescent="0.3">
      <c r="B3981" s="7">
        <v>44743</v>
      </c>
      <c r="C3981" s="3">
        <f t="shared" si="124"/>
        <v>2022</v>
      </c>
      <c r="D3981" s="3">
        <f t="shared" si="125"/>
        <v>202207</v>
      </c>
      <c r="E3981" s="5" t="s">
        <v>5</v>
      </c>
      <c r="F3981" s="5" t="s">
        <v>13</v>
      </c>
      <c r="G3981" s="5" t="s">
        <v>53</v>
      </c>
      <c r="H3981">
        <v>10</v>
      </c>
      <c r="I3981" s="4">
        <v>19170</v>
      </c>
      <c r="J3981" s="4">
        <v>9240</v>
      </c>
    </row>
    <row r="3982" spans="2:10" x14ac:dyDescent="0.3">
      <c r="B3982" s="7">
        <v>44774</v>
      </c>
      <c r="C3982" s="3">
        <f t="shared" si="124"/>
        <v>2022</v>
      </c>
      <c r="D3982" s="3">
        <f t="shared" si="125"/>
        <v>202208</v>
      </c>
      <c r="E3982" s="5" t="s">
        <v>5</v>
      </c>
      <c r="F3982" s="5" t="s">
        <v>13</v>
      </c>
      <c r="G3982" s="5" t="s">
        <v>53</v>
      </c>
      <c r="H3982">
        <v>9</v>
      </c>
      <c r="I3982" s="4">
        <v>22581</v>
      </c>
      <c r="J3982" s="4">
        <v>8316</v>
      </c>
    </row>
    <row r="3983" spans="2:10" x14ac:dyDescent="0.3">
      <c r="B3983" s="7">
        <v>44805</v>
      </c>
      <c r="C3983" s="3">
        <f t="shared" si="124"/>
        <v>2022</v>
      </c>
      <c r="D3983" s="3">
        <f t="shared" si="125"/>
        <v>202209</v>
      </c>
      <c r="E3983" s="5" t="s">
        <v>5</v>
      </c>
      <c r="F3983" s="5" t="s">
        <v>13</v>
      </c>
      <c r="G3983" s="5" t="s">
        <v>53</v>
      </c>
      <c r="H3983">
        <v>9</v>
      </c>
      <c r="I3983" s="4">
        <v>32778</v>
      </c>
      <c r="J3983" s="4">
        <v>8316</v>
      </c>
    </row>
    <row r="3984" spans="2:10" x14ac:dyDescent="0.3">
      <c r="B3984" s="7">
        <v>44835</v>
      </c>
      <c r="C3984" s="3">
        <f t="shared" si="124"/>
        <v>2022</v>
      </c>
      <c r="D3984" s="3">
        <f t="shared" si="125"/>
        <v>202210</v>
      </c>
      <c r="E3984" s="5" t="s">
        <v>5</v>
      </c>
      <c r="F3984" s="5" t="s">
        <v>13</v>
      </c>
      <c r="G3984" s="5" t="s">
        <v>53</v>
      </c>
      <c r="H3984">
        <v>8</v>
      </c>
      <c r="I3984" s="4">
        <v>31760</v>
      </c>
      <c r="J3984" s="4">
        <v>7392</v>
      </c>
    </row>
    <row r="3985" spans="2:10" x14ac:dyDescent="0.3">
      <c r="B3985" s="7">
        <v>44866</v>
      </c>
      <c r="C3985" s="3">
        <f t="shared" si="124"/>
        <v>2022</v>
      </c>
      <c r="D3985" s="3">
        <f t="shared" si="125"/>
        <v>202211</v>
      </c>
      <c r="E3985" s="5" t="s">
        <v>5</v>
      </c>
      <c r="F3985" s="5" t="s">
        <v>13</v>
      </c>
      <c r="G3985" s="5" t="s">
        <v>53</v>
      </c>
      <c r="H3985">
        <v>6</v>
      </c>
      <c r="I3985" s="4">
        <v>23370</v>
      </c>
      <c r="J3985" s="4">
        <v>5544</v>
      </c>
    </row>
    <row r="3986" spans="2:10" x14ac:dyDescent="0.3">
      <c r="B3986" s="7">
        <v>44896</v>
      </c>
      <c r="C3986" s="3">
        <f t="shared" si="124"/>
        <v>2022</v>
      </c>
      <c r="D3986" s="3">
        <f t="shared" si="125"/>
        <v>202212</v>
      </c>
      <c r="E3986" s="5" t="s">
        <v>5</v>
      </c>
      <c r="F3986" s="5" t="s">
        <v>13</v>
      </c>
      <c r="G3986" s="5" t="s">
        <v>53</v>
      </c>
      <c r="H3986">
        <v>7</v>
      </c>
      <c r="I3986" s="4">
        <v>24304</v>
      </c>
      <c r="J3986" s="4">
        <v>6468</v>
      </c>
    </row>
    <row r="3987" spans="2:10" x14ac:dyDescent="0.3">
      <c r="B3987" s="7">
        <v>44197</v>
      </c>
      <c r="C3987" s="3">
        <f t="shared" si="124"/>
        <v>2021</v>
      </c>
      <c r="D3987" s="3">
        <f t="shared" si="125"/>
        <v>202101</v>
      </c>
      <c r="E3987" s="5" t="s">
        <v>5</v>
      </c>
      <c r="F3987" s="5" t="s">
        <v>13</v>
      </c>
      <c r="G3987" s="5" t="s">
        <v>54</v>
      </c>
      <c r="H3987">
        <v>6</v>
      </c>
      <c r="I3987" s="4">
        <v>21588</v>
      </c>
      <c r="J3987" s="4">
        <v>6552</v>
      </c>
    </row>
    <row r="3988" spans="2:10" x14ac:dyDescent="0.3">
      <c r="B3988" s="7">
        <v>44228</v>
      </c>
      <c r="C3988" s="3">
        <f t="shared" si="124"/>
        <v>2021</v>
      </c>
      <c r="D3988" s="3">
        <f t="shared" si="125"/>
        <v>202102</v>
      </c>
      <c r="E3988" s="5" t="s">
        <v>5</v>
      </c>
      <c r="F3988" s="5" t="s">
        <v>13</v>
      </c>
      <c r="G3988" s="5" t="s">
        <v>54</v>
      </c>
      <c r="H3988">
        <v>4</v>
      </c>
      <c r="I3988" s="4">
        <v>15980</v>
      </c>
      <c r="J3988" s="4">
        <v>4368</v>
      </c>
    </row>
    <row r="3989" spans="2:10" x14ac:dyDescent="0.3">
      <c r="B3989" s="7">
        <v>44256</v>
      </c>
      <c r="C3989" s="3">
        <f t="shared" si="124"/>
        <v>2021</v>
      </c>
      <c r="D3989" s="3">
        <f t="shared" si="125"/>
        <v>202103</v>
      </c>
      <c r="E3989" s="5" t="s">
        <v>5</v>
      </c>
      <c r="F3989" s="5" t="s">
        <v>13</v>
      </c>
      <c r="G3989" s="5" t="s">
        <v>54</v>
      </c>
      <c r="H3989">
        <v>3</v>
      </c>
      <c r="I3989" s="4">
        <v>11154</v>
      </c>
      <c r="J3989" s="4">
        <v>3276</v>
      </c>
    </row>
    <row r="3990" spans="2:10" x14ac:dyDescent="0.3">
      <c r="B3990" s="7">
        <v>44287</v>
      </c>
      <c r="C3990" s="3">
        <f t="shared" si="124"/>
        <v>2021</v>
      </c>
      <c r="D3990" s="3">
        <f t="shared" si="125"/>
        <v>202104</v>
      </c>
      <c r="E3990" s="5" t="s">
        <v>5</v>
      </c>
      <c r="F3990" s="5" t="s">
        <v>13</v>
      </c>
      <c r="G3990" s="5" t="s">
        <v>54</v>
      </c>
      <c r="H3990">
        <v>6</v>
      </c>
      <c r="I3990" s="4">
        <v>24738</v>
      </c>
      <c r="J3990" s="4">
        <v>6552</v>
      </c>
    </row>
    <row r="3991" spans="2:10" x14ac:dyDescent="0.3">
      <c r="B3991" s="7">
        <v>44317</v>
      </c>
      <c r="C3991" s="3">
        <f t="shared" si="124"/>
        <v>2021</v>
      </c>
      <c r="D3991" s="3">
        <f t="shared" si="125"/>
        <v>202105</v>
      </c>
      <c r="E3991" s="5" t="s">
        <v>5</v>
      </c>
      <c r="F3991" s="5" t="s">
        <v>13</v>
      </c>
      <c r="G3991" s="5" t="s">
        <v>54</v>
      </c>
      <c r="H3991">
        <v>7</v>
      </c>
      <c r="I3991" s="4">
        <v>28812</v>
      </c>
      <c r="J3991" s="4">
        <v>7644</v>
      </c>
    </row>
    <row r="3992" spans="2:10" x14ac:dyDescent="0.3">
      <c r="B3992" s="7">
        <v>44348</v>
      </c>
      <c r="C3992" s="3">
        <f t="shared" si="124"/>
        <v>2021</v>
      </c>
      <c r="D3992" s="3">
        <f t="shared" si="125"/>
        <v>202106</v>
      </c>
      <c r="E3992" s="5" t="s">
        <v>5</v>
      </c>
      <c r="F3992" s="5" t="s">
        <v>13</v>
      </c>
      <c r="G3992" s="5" t="s">
        <v>54</v>
      </c>
      <c r="H3992">
        <v>7</v>
      </c>
      <c r="I3992" s="4">
        <v>27874</v>
      </c>
      <c r="J3992" s="4">
        <v>7644</v>
      </c>
    </row>
    <row r="3993" spans="2:10" x14ac:dyDescent="0.3">
      <c r="B3993" s="7">
        <v>44378</v>
      </c>
      <c r="C3993" s="3">
        <f t="shared" si="124"/>
        <v>2021</v>
      </c>
      <c r="D3993" s="3">
        <f t="shared" si="125"/>
        <v>202107</v>
      </c>
      <c r="E3993" s="5" t="s">
        <v>5</v>
      </c>
      <c r="F3993" s="5" t="s">
        <v>13</v>
      </c>
      <c r="G3993" s="5" t="s">
        <v>54</v>
      </c>
      <c r="H3993">
        <v>7</v>
      </c>
      <c r="I3993" s="4">
        <v>17549</v>
      </c>
      <c r="J3993" s="4">
        <v>7644</v>
      </c>
    </row>
    <row r="3994" spans="2:10" x14ac:dyDescent="0.3">
      <c r="B3994" s="7">
        <v>44409</v>
      </c>
      <c r="C3994" s="3">
        <f t="shared" si="124"/>
        <v>2021</v>
      </c>
      <c r="D3994" s="3">
        <f t="shared" si="125"/>
        <v>202108</v>
      </c>
      <c r="E3994" s="5" t="s">
        <v>5</v>
      </c>
      <c r="F3994" s="5" t="s">
        <v>13</v>
      </c>
      <c r="G3994" s="5" t="s">
        <v>54</v>
      </c>
      <c r="H3994">
        <v>6</v>
      </c>
      <c r="I3994" s="4">
        <v>22260</v>
      </c>
      <c r="J3994" s="4">
        <v>6552</v>
      </c>
    </row>
    <row r="3995" spans="2:10" x14ac:dyDescent="0.3">
      <c r="B3995" s="7">
        <v>44440</v>
      </c>
      <c r="C3995" s="3">
        <f t="shared" si="124"/>
        <v>2021</v>
      </c>
      <c r="D3995" s="3">
        <f t="shared" si="125"/>
        <v>202109</v>
      </c>
      <c r="E3995" s="5" t="s">
        <v>5</v>
      </c>
      <c r="F3995" s="5" t="s">
        <v>13</v>
      </c>
      <c r="G3995" s="5" t="s">
        <v>54</v>
      </c>
      <c r="H3995">
        <v>7</v>
      </c>
      <c r="I3995" s="4">
        <v>20748</v>
      </c>
      <c r="J3995" s="4">
        <v>7644</v>
      </c>
    </row>
    <row r="3996" spans="2:10" x14ac:dyDescent="0.3">
      <c r="B3996" s="7">
        <v>44470</v>
      </c>
      <c r="C3996" s="3">
        <f t="shared" si="124"/>
        <v>2021</v>
      </c>
      <c r="D3996" s="3">
        <f t="shared" si="125"/>
        <v>202110</v>
      </c>
      <c r="E3996" s="5" t="s">
        <v>5</v>
      </c>
      <c r="F3996" s="5" t="s">
        <v>13</v>
      </c>
      <c r="G3996" s="5" t="s">
        <v>54</v>
      </c>
      <c r="H3996">
        <v>6</v>
      </c>
      <c r="I3996" s="4">
        <v>23946</v>
      </c>
      <c r="J3996" s="4">
        <v>6552</v>
      </c>
    </row>
    <row r="3997" spans="2:10" x14ac:dyDescent="0.3">
      <c r="B3997" s="7">
        <v>44501</v>
      </c>
      <c r="C3997" s="3">
        <f t="shared" si="124"/>
        <v>2021</v>
      </c>
      <c r="D3997" s="3">
        <f t="shared" si="125"/>
        <v>202111</v>
      </c>
      <c r="E3997" s="5" t="s">
        <v>5</v>
      </c>
      <c r="F3997" s="5" t="s">
        <v>13</v>
      </c>
      <c r="G3997" s="5" t="s">
        <v>54</v>
      </c>
      <c r="H3997">
        <v>4</v>
      </c>
      <c r="I3997" s="4">
        <v>15268</v>
      </c>
      <c r="J3997" s="4">
        <v>4368</v>
      </c>
    </row>
    <row r="3998" spans="2:10" x14ac:dyDescent="0.3">
      <c r="B3998" s="7">
        <v>44531</v>
      </c>
      <c r="C3998" s="3">
        <f t="shared" si="124"/>
        <v>2021</v>
      </c>
      <c r="D3998" s="3">
        <f t="shared" si="125"/>
        <v>202112</v>
      </c>
      <c r="E3998" s="5" t="s">
        <v>5</v>
      </c>
      <c r="F3998" s="5" t="s">
        <v>13</v>
      </c>
      <c r="G3998" s="5" t="s">
        <v>54</v>
      </c>
      <c r="H3998">
        <v>5</v>
      </c>
      <c r="I3998" s="4">
        <v>16785</v>
      </c>
      <c r="J3998" s="4">
        <v>5460</v>
      </c>
    </row>
    <row r="3999" spans="2:10" x14ac:dyDescent="0.3">
      <c r="B3999" s="7">
        <v>44562</v>
      </c>
      <c r="C3999" s="3">
        <f t="shared" si="124"/>
        <v>2022</v>
      </c>
      <c r="D3999" s="3">
        <f t="shared" si="125"/>
        <v>202201</v>
      </c>
      <c r="E3999" s="5" t="s">
        <v>5</v>
      </c>
      <c r="F3999" s="5" t="s">
        <v>13</v>
      </c>
      <c r="G3999" s="5" t="s">
        <v>54</v>
      </c>
      <c r="H3999">
        <v>7</v>
      </c>
      <c r="I3999" s="4">
        <v>26439</v>
      </c>
      <c r="J3999" s="4">
        <v>7644</v>
      </c>
    </row>
    <row r="4000" spans="2:10" x14ac:dyDescent="0.3">
      <c r="B4000" s="7">
        <v>44593</v>
      </c>
      <c r="C4000" s="3">
        <f t="shared" si="124"/>
        <v>2022</v>
      </c>
      <c r="D4000" s="3">
        <f t="shared" si="125"/>
        <v>202202</v>
      </c>
      <c r="E4000" s="5" t="s">
        <v>5</v>
      </c>
      <c r="F4000" s="5" t="s">
        <v>13</v>
      </c>
      <c r="G4000" s="5" t="s">
        <v>54</v>
      </c>
      <c r="H4000">
        <v>5</v>
      </c>
      <c r="I4000" s="4">
        <v>20785</v>
      </c>
      <c r="J4000" s="4">
        <v>5460</v>
      </c>
    </row>
    <row r="4001" spans="2:10" x14ac:dyDescent="0.3">
      <c r="B4001" s="7">
        <v>44621</v>
      </c>
      <c r="C4001" s="3">
        <f t="shared" si="124"/>
        <v>2022</v>
      </c>
      <c r="D4001" s="3">
        <f t="shared" si="125"/>
        <v>202203</v>
      </c>
      <c r="E4001" s="5" t="s">
        <v>5</v>
      </c>
      <c r="F4001" s="5" t="s">
        <v>13</v>
      </c>
      <c r="G4001" s="5" t="s">
        <v>54</v>
      </c>
      <c r="H4001">
        <v>4</v>
      </c>
      <c r="I4001" s="4">
        <v>12888</v>
      </c>
      <c r="J4001" s="4">
        <v>4368</v>
      </c>
    </row>
    <row r="4002" spans="2:10" x14ac:dyDescent="0.3">
      <c r="B4002" s="7">
        <v>44652</v>
      </c>
      <c r="C4002" s="3">
        <f t="shared" si="124"/>
        <v>2022</v>
      </c>
      <c r="D4002" s="3">
        <f t="shared" si="125"/>
        <v>202204</v>
      </c>
      <c r="E4002" s="5" t="s">
        <v>5</v>
      </c>
      <c r="F4002" s="5" t="s">
        <v>13</v>
      </c>
      <c r="G4002" s="5" t="s">
        <v>54</v>
      </c>
      <c r="H4002">
        <v>7</v>
      </c>
      <c r="I4002" s="4">
        <v>34797</v>
      </c>
      <c r="J4002" s="4">
        <v>7644</v>
      </c>
    </row>
    <row r="4003" spans="2:10" x14ac:dyDescent="0.3">
      <c r="B4003" s="7">
        <v>44682</v>
      </c>
      <c r="C4003" s="3">
        <f t="shared" si="124"/>
        <v>2022</v>
      </c>
      <c r="D4003" s="3">
        <f t="shared" si="125"/>
        <v>202205</v>
      </c>
      <c r="E4003" s="5" t="s">
        <v>5</v>
      </c>
      <c r="F4003" s="5" t="s">
        <v>13</v>
      </c>
      <c r="G4003" s="5" t="s">
        <v>54</v>
      </c>
      <c r="H4003">
        <v>8</v>
      </c>
      <c r="I4003" s="4">
        <v>33616</v>
      </c>
      <c r="J4003" s="4">
        <v>8736</v>
      </c>
    </row>
    <row r="4004" spans="2:10" x14ac:dyDescent="0.3">
      <c r="B4004" s="7">
        <v>44713</v>
      </c>
      <c r="C4004" s="3">
        <f t="shared" si="124"/>
        <v>2022</v>
      </c>
      <c r="D4004" s="3">
        <f t="shared" si="125"/>
        <v>202206</v>
      </c>
      <c r="E4004" s="5" t="s">
        <v>5</v>
      </c>
      <c r="F4004" s="5" t="s">
        <v>13</v>
      </c>
      <c r="G4004" s="5" t="s">
        <v>54</v>
      </c>
      <c r="H4004">
        <v>8</v>
      </c>
      <c r="I4004" s="4">
        <v>35896</v>
      </c>
      <c r="J4004" s="4">
        <v>8736</v>
      </c>
    </row>
    <row r="4005" spans="2:10" x14ac:dyDescent="0.3">
      <c r="B4005" s="7">
        <v>44743</v>
      </c>
      <c r="C4005" s="3">
        <f t="shared" si="124"/>
        <v>2022</v>
      </c>
      <c r="D4005" s="3">
        <f t="shared" si="125"/>
        <v>202207</v>
      </c>
      <c r="E4005" s="5" t="s">
        <v>5</v>
      </c>
      <c r="F4005" s="5" t="s">
        <v>13</v>
      </c>
      <c r="G4005" s="5" t="s">
        <v>54</v>
      </c>
      <c r="H4005">
        <v>8</v>
      </c>
      <c r="I4005" s="4">
        <v>23504</v>
      </c>
      <c r="J4005" s="4">
        <v>8736</v>
      </c>
    </row>
    <row r="4006" spans="2:10" x14ac:dyDescent="0.3">
      <c r="B4006" s="7">
        <v>44774</v>
      </c>
      <c r="C4006" s="3">
        <f t="shared" si="124"/>
        <v>2022</v>
      </c>
      <c r="D4006" s="3">
        <f t="shared" si="125"/>
        <v>202208</v>
      </c>
      <c r="E4006" s="5" t="s">
        <v>5</v>
      </c>
      <c r="F4006" s="5" t="s">
        <v>13</v>
      </c>
      <c r="G4006" s="5" t="s">
        <v>54</v>
      </c>
      <c r="H4006">
        <v>7</v>
      </c>
      <c r="I4006" s="4">
        <v>22323</v>
      </c>
      <c r="J4006" s="4">
        <v>7644</v>
      </c>
    </row>
    <row r="4007" spans="2:10" x14ac:dyDescent="0.3">
      <c r="B4007" s="7">
        <v>44805</v>
      </c>
      <c r="C4007" s="3">
        <f t="shared" si="124"/>
        <v>2022</v>
      </c>
      <c r="D4007" s="3">
        <f t="shared" si="125"/>
        <v>202209</v>
      </c>
      <c r="E4007" s="5" t="s">
        <v>5</v>
      </c>
      <c r="F4007" s="5" t="s">
        <v>13</v>
      </c>
      <c r="G4007" s="5" t="s">
        <v>54</v>
      </c>
      <c r="H4007">
        <v>7</v>
      </c>
      <c r="I4007" s="4">
        <v>24570</v>
      </c>
      <c r="J4007" s="4">
        <v>7644</v>
      </c>
    </row>
    <row r="4008" spans="2:10" x14ac:dyDescent="0.3">
      <c r="B4008" s="7">
        <v>44835</v>
      </c>
      <c r="C4008" s="3">
        <f t="shared" si="124"/>
        <v>2022</v>
      </c>
      <c r="D4008" s="3">
        <f t="shared" si="125"/>
        <v>202210</v>
      </c>
      <c r="E4008" s="5" t="s">
        <v>5</v>
      </c>
      <c r="F4008" s="5" t="s">
        <v>13</v>
      </c>
      <c r="G4008" s="5" t="s">
        <v>54</v>
      </c>
      <c r="H4008">
        <v>6</v>
      </c>
      <c r="I4008" s="4">
        <v>22680</v>
      </c>
      <c r="J4008" s="4">
        <v>6552</v>
      </c>
    </row>
    <row r="4009" spans="2:10" x14ac:dyDescent="0.3">
      <c r="B4009" s="7">
        <v>44866</v>
      </c>
      <c r="C4009" s="3">
        <f t="shared" si="124"/>
        <v>2022</v>
      </c>
      <c r="D4009" s="3">
        <f t="shared" si="125"/>
        <v>202211</v>
      </c>
      <c r="E4009" s="5" t="s">
        <v>5</v>
      </c>
      <c r="F4009" s="5" t="s">
        <v>13</v>
      </c>
      <c r="G4009" s="5" t="s">
        <v>54</v>
      </c>
      <c r="H4009">
        <v>5</v>
      </c>
      <c r="I4009" s="4">
        <v>20275</v>
      </c>
      <c r="J4009" s="4">
        <v>5460</v>
      </c>
    </row>
    <row r="4010" spans="2:10" x14ac:dyDescent="0.3">
      <c r="B4010" s="7">
        <v>44896</v>
      </c>
      <c r="C4010" s="3">
        <f t="shared" si="124"/>
        <v>2022</v>
      </c>
      <c r="D4010" s="3">
        <f t="shared" si="125"/>
        <v>202212</v>
      </c>
      <c r="E4010" s="5" t="s">
        <v>5</v>
      </c>
      <c r="F4010" s="5" t="s">
        <v>13</v>
      </c>
      <c r="G4010" s="5" t="s">
        <v>54</v>
      </c>
      <c r="H4010">
        <v>5</v>
      </c>
      <c r="I4010" s="4">
        <v>15285</v>
      </c>
      <c r="J4010" s="4">
        <v>5460</v>
      </c>
    </row>
    <row r="4011" spans="2:10" x14ac:dyDescent="0.3">
      <c r="B4011" s="7">
        <v>44197</v>
      </c>
      <c r="C4011" s="3">
        <f t="shared" si="124"/>
        <v>2021</v>
      </c>
      <c r="D4011" s="3">
        <f t="shared" si="125"/>
        <v>202101</v>
      </c>
      <c r="E4011" s="5" t="s">
        <v>5</v>
      </c>
      <c r="F4011" s="5" t="s">
        <v>13</v>
      </c>
      <c r="G4011" s="5" t="s">
        <v>55</v>
      </c>
      <c r="H4011">
        <v>8</v>
      </c>
      <c r="I4011" s="4">
        <v>25096</v>
      </c>
      <c r="J4011" s="4">
        <v>6992</v>
      </c>
    </row>
    <row r="4012" spans="2:10" x14ac:dyDescent="0.3">
      <c r="B4012" s="7">
        <v>44228</v>
      </c>
      <c r="C4012" s="3">
        <f t="shared" si="124"/>
        <v>2021</v>
      </c>
      <c r="D4012" s="3">
        <f t="shared" si="125"/>
        <v>202102</v>
      </c>
      <c r="E4012" s="5" t="s">
        <v>5</v>
      </c>
      <c r="F4012" s="5" t="s">
        <v>13</v>
      </c>
      <c r="G4012" s="5" t="s">
        <v>55</v>
      </c>
      <c r="H4012">
        <v>5</v>
      </c>
      <c r="I4012" s="4">
        <v>15340</v>
      </c>
      <c r="J4012" s="4">
        <v>4370</v>
      </c>
    </row>
    <row r="4013" spans="2:10" x14ac:dyDescent="0.3">
      <c r="B4013" s="7">
        <v>44256</v>
      </c>
      <c r="C4013" s="3">
        <f t="shared" si="124"/>
        <v>2021</v>
      </c>
      <c r="D4013" s="3">
        <f t="shared" si="125"/>
        <v>202103</v>
      </c>
      <c r="E4013" s="5" t="s">
        <v>5</v>
      </c>
      <c r="F4013" s="5" t="s">
        <v>13</v>
      </c>
      <c r="G4013" s="5" t="s">
        <v>55</v>
      </c>
      <c r="H4013">
        <v>4</v>
      </c>
      <c r="I4013" s="4">
        <v>12420</v>
      </c>
      <c r="J4013" s="4">
        <v>3496</v>
      </c>
    </row>
    <row r="4014" spans="2:10" x14ac:dyDescent="0.3">
      <c r="B4014" s="7">
        <v>44287</v>
      </c>
      <c r="C4014" s="3">
        <f t="shared" si="124"/>
        <v>2021</v>
      </c>
      <c r="D4014" s="3">
        <f t="shared" si="125"/>
        <v>202104</v>
      </c>
      <c r="E4014" s="5" t="s">
        <v>5</v>
      </c>
      <c r="F4014" s="5" t="s">
        <v>13</v>
      </c>
      <c r="G4014" s="5" t="s">
        <v>55</v>
      </c>
      <c r="H4014">
        <v>8</v>
      </c>
      <c r="I4014" s="4">
        <v>28904</v>
      </c>
      <c r="J4014" s="4">
        <v>6992</v>
      </c>
    </row>
    <row r="4015" spans="2:10" x14ac:dyDescent="0.3">
      <c r="B4015" s="7">
        <v>44317</v>
      </c>
      <c r="C4015" s="3">
        <f t="shared" si="124"/>
        <v>2021</v>
      </c>
      <c r="D4015" s="3">
        <f t="shared" si="125"/>
        <v>202105</v>
      </c>
      <c r="E4015" s="5" t="s">
        <v>5</v>
      </c>
      <c r="F4015" s="5" t="s">
        <v>13</v>
      </c>
      <c r="G4015" s="5" t="s">
        <v>55</v>
      </c>
      <c r="H4015">
        <v>9</v>
      </c>
      <c r="I4015" s="4">
        <v>37062</v>
      </c>
      <c r="J4015" s="4">
        <v>7866</v>
      </c>
    </row>
    <row r="4016" spans="2:10" x14ac:dyDescent="0.3">
      <c r="B4016" s="7">
        <v>44348</v>
      </c>
      <c r="C4016" s="3">
        <f t="shared" si="124"/>
        <v>2021</v>
      </c>
      <c r="D4016" s="3">
        <f t="shared" si="125"/>
        <v>202106</v>
      </c>
      <c r="E4016" s="5" t="s">
        <v>5</v>
      </c>
      <c r="F4016" s="5" t="s">
        <v>13</v>
      </c>
      <c r="G4016" s="5" t="s">
        <v>55</v>
      </c>
      <c r="H4016">
        <v>9</v>
      </c>
      <c r="I4016" s="4">
        <v>24111</v>
      </c>
      <c r="J4016" s="4">
        <v>7866</v>
      </c>
    </row>
    <row r="4017" spans="2:10" x14ac:dyDescent="0.3">
      <c r="B4017" s="7">
        <v>44378</v>
      </c>
      <c r="C4017" s="3">
        <f t="shared" si="124"/>
        <v>2021</v>
      </c>
      <c r="D4017" s="3">
        <f t="shared" si="125"/>
        <v>202107</v>
      </c>
      <c r="E4017" s="5" t="s">
        <v>5</v>
      </c>
      <c r="F4017" s="5" t="s">
        <v>13</v>
      </c>
      <c r="G4017" s="5" t="s">
        <v>55</v>
      </c>
      <c r="H4017">
        <v>9</v>
      </c>
      <c r="I4017" s="4">
        <v>17775</v>
      </c>
      <c r="J4017" s="4">
        <v>7866</v>
      </c>
    </row>
    <row r="4018" spans="2:10" x14ac:dyDescent="0.3">
      <c r="B4018" s="7">
        <v>44409</v>
      </c>
      <c r="C4018" s="3">
        <f t="shared" si="124"/>
        <v>2021</v>
      </c>
      <c r="D4018" s="3">
        <f t="shared" si="125"/>
        <v>202108</v>
      </c>
      <c r="E4018" s="5" t="s">
        <v>5</v>
      </c>
      <c r="F4018" s="5" t="s">
        <v>13</v>
      </c>
      <c r="G4018" s="5" t="s">
        <v>55</v>
      </c>
      <c r="H4018">
        <v>8</v>
      </c>
      <c r="I4018" s="4">
        <v>19048</v>
      </c>
      <c r="J4018" s="4">
        <v>6992</v>
      </c>
    </row>
    <row r="4019" spans="2:10" x14ac:dyDescent="0.3">
      <c r="B4019" s="7">
        <v>44440</v>
      </c>
      <c r="C4019" s="3">
        <f t="shared" si="124"/>
        <v>2021</v>
      </c>
      <c r="D4019" s="3">
        <f t="shared" si="125"/>
        <v>202109</v>
      </c>
      <c r="E4019" s="5" t="s">
        <v>5</v>
      </c>
      <c r="F4019" s="5" t="s">
        <v>13</v>
      </c>
      <c r="G4019" s="5" t="s">
        <v>55</v>
      </c>
      <c r="H4019">
        <v>9</v>
      </c>
      <c r="I4019" s="4">
        <v>23445</v>
      </c>
      <c r="J4019" s="4">
        <v>7866</v>
      </c>
    </row>
    <row r="4020" spans="2:10" x14ac:dyDescent="0.3">
      <c r="B4020" s="7">
        <v>44470</v>
      </c>
      <c r="C4020" s="3">
        <f t="shared" si="124"/>
        <v>2021</v>
      </c>
      <c r="D4020" s="3">
        <f t="shared" si="125"/>
        <v>202110</v>
      </c>
      <c r="E4020" s="5" t="s">
        <v>5</v>
      </c>
      <c r="F4020" s="5" t="s">
        <v>13</v>
      </c>
      <c r="G4020" s="5" t="s">
        <v>55</v>
      </c>
      <c r="H4020">
        <v>7</v>
      </c>
      <c r="I4020" s="4">
        <v>23233</v>
      </c>
      <c r="J4020" s="4">
        <v>6118</v>
      </c>
    </row>
    <row r="4021" spans="2:10" x14ac:dyDescent="0.3">
      <c r="B4021" s="7">
        <v>44501</v>
      </c>
      <c r="C4021" s="3">
        <f t="shared" si="124"/>
        <v>2021</v>
      </c>
      <c r="D4021" s="3">
        <f t="shared" si="125"/>
        <v>202111</v>
      </c>
      <c r="E4021" s="5" t="s">
        <v>5</v>
      </c>
      <c r="F4021" s="5" t="s">
        <v>13</v>
      </c>
      <c r="G4021" s="5" t="s">
        <v>55</v>
      </c>
      <c r="H4021">
        <v>5</v>
      </c>
      <c r="I4021" s="4">
        <v>17250</v>
      </c>
      <c r="J4021" s="4">
        <v>4370</v>
      </c>
    </row>
    <row r="4022" spans="2:10" x14ac:dyDescent="0.3">
      <c r="B4022" s="7">
        <v>44531</v>
      </c>
      <c r="C4022" s="3">
        <f t="shared" si="124"/>
        <v>2021</v>
      </c>
      <c r="D4022" s="3">
        <f t="shared" si="125"/>
        <v>202112</v>
      </c>
      <c r="E4022" s="5" t="s">
        <v>5</v>
      </c>
      <c r="F4022" s="5" t="s">
        <v>13</v>
      </c>
      <c r="G4022" s="5" t="s">
        <v>55</v>
      </c>
      <c r="H4022">
        <v>6</v>
      </c>
      <c r="I4022" s="4">
        <v>15444</v>
      </c>
      <c r="J4022" s="4">
        <v>5244</v>
      </c>
    </row>
    <row r="4023" spans="2:10" x14ac:dyDescent="0.3">
      <c r="B4023" s="7">
        <v>44562</v>
      </c>
      <c r="C4023" s="3">
        <f t="shared" si="124"/>
        <v>2022</v>
      </c>
      <c r="D4023" s="3">
        <f t="shared" si="125"/>
        <v>202201</v>
      </c>
      <c r="E4023" s="5" t="s">
        <v>5</v>
      </c>
      <c r="F4023" s="5" t="s">
        <v>13</v>
      </c>
      <c r="G4023" s="5" t="s">
        <v>55</v>
      </c>
      <c r="H4023">
        <v>9</v>
      </c>
      <c r="I4023" s="4">
        <v>25776</v>
      </c>
      <c r="J4023" s="4">
        <v>7866</v>
      </c>
    </row>
    <row r="4024" spans="2:10" x14ac:dyDescent="0.3">
      <c r="B4024" s="7">
        <v>44593</v>
      </c>
      <c r="C4024" s="3">
        <f t="shared" si="124"/>
        <v>2022</v>
      </c>
      <c r="D4024" s="3">
        <f t="shared" si="125"/>
        <v>202202</v>
      </c>
      <c r="E4024" s="5" t="s">
        <v>5</v>
      </c>
      <c r="F4024" s="5" t="s">
        <v>13</v>
      </c>
      <c r="G4024" s="5" t="s">
        <v>55</v>
      </c>
      <c r="H4024">
        <v>6</v>
      </c>
      <c r="I4024" s="4">
        <v>19962</v>
      </c>
      <c r="J4024" s="4">
        <v>5244</v>
      </c>
    </row>
    <row r="4025" spans="2:10" x14ac:dyDescent="0.3">
      <c r="B4025" s="7">
        <v>44621</v>
      </c>
      <c r="C4025" s="3">
        <f t="shared" si="124"/>
        <v>2022</v>
      </c>
      <c r="D4025" s="3">
        <f t="shared" si="125"/>
        <v>202203</v>
      </c>
      <c r="E4025" s="5" t="s">
        <v>5</v>
      </c>
      <c r="F4025" s="5" t="s">
        <v>13</v>
      </c>
      <c r="G4025" s="5" t="s">
        <v>55</v>
      </c>
      <c r="H4025">
        <v>5</v>
      </c>
      <c r="I4025" s="4">
        <v>12870</v>
      </c>
      <c r="J4025" s="4">
        <v>4370</v>
      </c>
    </row>
    <row r="4026" spans="2:10" x14ac:dyDescent="0.3">
      <c r="B4026" s="7">
        <v>44652</v>
      </c>
      <c r="C4026" s="3">
        <f t="shared" si="124"/>
        <v>2022</v>
      </c>
      <c r="D4026" s="3">
        <f t="shared" si="125"/>
        <v>202204</v>
      </c>
      <c r="E4026" s="5" t="s">
        <v>5</v>
      </c>
      <c r="F4026" s="5" t="s">
        <v>13</v>
      </c>
      <c r="G4026" s="5" t="s">
        <v>55</v>
      </c>
      <c r="H4026">
        <v>8</v>
      </c>
      <c r="I4026" s="4">
        <v>24208</v>
      </c>
      <c r="J4026" s="4">
        <v>6992</v>
      </c>
    </row>
    <row r="4027" spans="2:10" x14ac:dyDescent="0.3">
      <c r="B4027" s="7">
        <v>44682</v>
      </c>
      <c r="C4027" s="3">
        <f t="shared" si="124"/>
        <v>2022</v>
      </c>
      <c r="D4027" s="3">
        <f t="shared" si="125"/>
        <v>202205</v>
      </c>
      <c r="E4027" s="5" t="s">
        <v>5</v>
      </c>
      <c r="F4027" s="5" t="s">
        <v>13</v>
      </c>
      <c r="G4027" s="5" t="s">
        <v>55</v>
      </c>
      <c r="H4027">
        <v>10</v>
      </c>
      <c r="I4027" s="4">
        <v>45580</v>
      </c>
      <c r="J4027" s="4">
        <v>8740</v>
      </c>
    </row>
    <row r="4028" spans="2:10" x14ac:dyDescent="0.3">
      <c r="B4028" s="7">
        <v>44713</v>
      </c>
      <c r="C4028" s="3">
        <f t="shared" si="124"/>
        <v>2022</v>
      </c>
      <c r="D4028" s="3">
        <f t="shared" si="125"/>
        <v>202206</v>
      </c>
      <c r="E4028" s="5" t="s">
        <v>5</v>
      </c>
      <c r="F4028" s="5" t="s">
        <v>13</v>
      </c>
      <c r="G4028" s="5" t="s">
        <v>55</v>
      </c>
      <c r="H4028">
        <v>10</v>
      </c>
      <c r="I4028" s="4">
        <v>30300</v>
      </c>
      <c r="J4028" s="4">
        <v>8740</v>
      </c>
    </row>
    <row r="4029" spans="2:10" x14ac:dyDescent="0.3">
      <c r="B4029" s="7">
        <v>44743</v>
      </c>
      <c r="C4029" s="3">
        <f t="shared" si="124"/>
        <v>2022</v>
      </c>
      <c r="D4029" s="3">
        <f t="shared" si="125"/>
        <v>202207</v>
      </c>
      <c r="E4029" s="5" t="s">
        <v>5</v>
      </c>
      <c r="F4029" s="5" t="s">
        <v>13</v>
      </c>
      <c r="G4029" s="5" t="s">
        <v>55</v>
      </c>
      <c r="H4029">
        <v>10</v>
      </c>
      <c r="I4029" s="4">
        <v>20250</v>
      </c>
      <c r="J4029" s="4">
        <v>8740</v>
      </c>
    </row>
    <row r="4030" spans="2:10" x14ac:dyDescent="0.3">
      <c r="B4030" s="7">
        <v>44774</v>
      </c>
      <c r="C4030" s="3">
        <f t="shared" si="124"/>
        <v>2022</v>
      </c>
      <c r="D4030" s="3">
        <f t="shared" si="125"/>
        <v>202208</v>
      </c>
      <c r="E4030" s="5" t="s">
        <v>5</v>
      </c>
      <c r="F4030" s="5" t="s">
        <v>13</v>
      </c>
      <c r="G4030" s="5" t="s">
        <v>55</v>
      </c>
      <c r="H4030">
        <v>9</v>
      </c>
      <c r="I4030" s="4">
        <v>19161</v>
      </c>
      <c r="J4030" s="4">
        <v>7866</v>
      </c>
    </row>
    <row r="4031" spans="2:10" x14ac:dyDescent="0.3">
      <c r="B4031" s="7">
        <v>44805</v>
      </c>
      <c r="C4031" s="3">
        <f t="shared" si="124"/>
        <v>2022</v>
      </c>
      <c r="D4031" s="3">
        <f t="shared" si="125"/>
        <v>202209</v>
      </c>
      <c r="E4031" s="5" t="s">
        <v>5</v>
      </c>
      <c r="F4031" s="5" t="s">
        <v>13</v>
      </c>
      <c r="G4031" s="5" t="s">
        <v>55</v>
      </c>
      <c r="H4031">
        <v>9</v>
      </c>
      <c r="I4031" s="4">
        <v>30330</v>
      </c>
      <c r="J4031" s="4">
        <v>7866</v>
      </c>
    </row>
    <row r="4032" spans="2:10" x14ac:dyDescent="0.3">
      <c r="B4032" s="7">
        <v>44835</v>
      </c>
      <c r="C4032" s="3">
        <f t="shared" si="124"/>
        <v>2022</v>
      </c>
      <c r="D4032" s="3">
        <f t="shared" si="125"/>
        <v>202210</v>
      </c>
      <c r="E4032" s="5" t="s">
        <v>5</v>
      </c>
      <c r="F4032" s="5" t="s">
        <v>13</v>
      </c>
      <c r="G4032" s="5" t="s">
        <v>55</v>
      </c>
      <c r="H4032">
        <v>8</v>
      </c>
      <c r="I4032" s="4">
        <v>29896</v>
      </c>
      <c r="J4032" s="4">
        <v>6992</v>
      </c>
    </row>
    <row r="4033" spans="2:10" x14ac:dyDescent="0.3">
      <c r="B4033" s="7">
        <v>44866</v>
      </c>
      <c r="C4033" s="3">
        <f t="shared" si="124"/>
        <v>2022</v>
      </c>
      <c r="D4033" s="3">
        <f t="shared" si="125"/>
        <v>202211</v>
      </c>
      <c r="E4033" s="5" t="s">
        <v>5</v>
      </c>
      <c r="F4033" s="5" t="s">
        <v>13</v>
      </c>
      <c r="G4033" s="5" t="s">
        <v>55</v>
      </c>
      <c r="H4033">
        <v>6</v>
      </c>
      <c r="I4033" s="4">
        <v>23226</v>
      </c>
      <c r="J4033" s="4">
        <v>5244</v>
      </c>
    </row>
    <row r="4034" spans="2:10" x14ac:dyDescent="0.3">
      <c r="B4034" s="7">
        <v>44896</v>
      </c>
      <c r="C4034" s="3">
        <f t="shared" si="124"/>
        <v>2022</v>
      </c>
      <c r="D4034" s="3">
        <f t="shared" si="125"/>
        <v>202212</v>
      </c>
      <c r="E4034" s="5" t="s">
        <v>5</v>
      </c>
      <c r="F4034" s="5" t="s">
        <v>13</v>
      </c>
      <c r="G4034" s="5" t="s">
        <v>55</v>
      </c>
      <c r="H4034">
        <v>7</v>
      </c>
      <c r="I4034" s="4">
        <v>21021</v>
      </c>
      <c r="J4034" s="4">
        <v>6118</v>
      </c>
    </row>
    <row r="4035" spans="2:10" x14ac:dyDescent="0.3">
      <c r="B4035" s="7">
        <v>44197</v>
      </c>
      <c r="C4035" s="3">
        <f t="shared" ref="C4035:C4098" si="126">YEAR(B4035)</f>
        <v>2021</v>
      </c>
      <c r="D4035" s="3">
        <f t="shared" ref="D4035:D4098" si="127">VALUE(TEXT(B4035,"ГГГГММ"))</f>
        <v>202101</v>
      </c>
      <c r="E4035" s="5" t="s">
        <v>6</v>
      </c>
      <c r="F4035" s="5" t="s">
        <v>56</v>
      </c>
      <c r="G4035" s="5" t="s">
        <v>14</v>
      </c>
      <c r="H4035">
        <v>48</v>
      </c>
      <c r="I4035" s="4">
        <v>530448</v>
      </c>
      <c r="J4035" s="4">
        <v>288000</v>
      </c>
    </row>
    <row r="4036" spans="2:10" x14ac:dyDescent="0.3">
      <c r="B4036" s="7">
        <v>44228</v>
      </c>
      <c r="C4036" s="3">
        <f t="shared" si="126"/>
        <v>2021</v>
      </c>
      <c r="D4036" s="3">
        <f t="shared" si="127"/>
        <v>202102</v>
      </c>
      <c r="E4036" s="5" t="s">
        <v>6</v>
      </c>
      <c r="F4036" s="5" t="s">
        <v>56</v>
      </c>
      <c r="G4036" s="5" t="s">
        <v>14</v>
      </c>
      <c r="H4036">
        <v>30</v>
      </c>
      <c r="I4036" s="4">
        <v>337320</v>
      </c>
      <c r="J4036" s="4">
        <v>180000</v>
      </c>
    </row>
    <row r="4037" spans="2:10" x14ac:dyDescent="0.3">
      <c r="B4037" s="7">
        <v>44256</v>
      </c>
      <c r="C4037" s="3">
        <f t="shared" si="126"/>
        <v>2021</v>
      </c>
      <c r="D4037" s="3">
        <f t="shared" si="127"/>
        <v>202103</v>
      </c>
      <c r="E4037" s="5" t="s">
        <v>6</v>
      </c>
      <c r="F4037" s="5" t="s">
        <v>56</v>
      </c>
      <c r="G4037" s="5" t="s">
        <v>14</v>
      </c>
      <c r="H4037">
        <v>24</v>
      </c>
      <c r="I4037" s="4">
        <v>244128</v>
      </c>
      <c r="J4037" s="4">
        <v>144000</v>
      </c>
    </row>
    <row r="4038" spans="2:10" x14ac:dyDescent="0.3">
      <c r="B4038" s="7">
        <v>44287</v>
      </c>
      <c r="C4038" s="3">
        <f t="shared" si="126"/>
        <v>2021</v>
      </c>
      <c r="D4038" s="3">
        <f t="shared" si="127"/>
        <v>202104</v>
      </c>
      <c r="E4038" s="5" t="s">
        <v>6</v>
      </c>
      <c r="F4038" s="5" t="s">
        <v>56</v>
      </c>
      <c r="G4038" s="5" t="s">
        <v>14</v>
      </c>
      <c r="H4038">
        <v>45</v>
      </c>
      <c r="I4038" s="4">
        <v>518940</v>
      </c>
      <c r="J4038" s="4">
        <v>270000</v>
      </c>
    </row>
    <row r="4039" spans="2:10" x14ac:dyDescent="0.3">
      <c r="B4039" s="7">
        <v>44317</v>
      </c>
      <c r="C4039" s="3">
        <f t="shared" si="126"/>
        <v>2021</v>
      </c>
      <c r="D4039" s="3">
        <f t="shared" si="127"/>
        <v>202105</v>
      </c>
      <c r="E4039" s="5" t="s">
        <v>6</v>
      </c>
      <c r="F4039" s="5" t="s">
        <v>56</v>
      </c>
      <c r="G4039" s="5" t="s">
        <v>14</v>
      </c>
      <c r="H4039">
        <v>57</v>
      </c>
      <c r="I4039" s="4">
        <v>690042</v>
      </c>
      <c r="J4039" s="4">
        <v>342000</v>
      </c>
    </row>
    <row r="4040" spans="2:10" x14ac:dyDescent="0.3">
      <c r="B4040" s="7">
        <v>44348</v>
      </c>
      <c r="C4040" s="3">
        <f t="shared" si="126"/>
        <v>2021</v>
      </c>
      <c r="D4040" s="3">
        <f t="shared" si="127"/>
        <v>202106</v>
      </c>
      <c r="E4040" s="5" t="s">
        <v>6</v>
      </c>
      <c r="F4040" s="5" t="s">
        <v>56</v>
      </c>
      <c r="G4040" s="5" t="s">
        <v>14</v>
      </c>
      <c r="H4040">
        <v>54</v>
      </c>
      <c r="I4040" s="4">
        <v>636930</v>
      </c>
      <c r="J4040" s="4">
        <v>324000</v>
      </c>
    </row>
    <row r="4041" spans="2:10" x14ac:dyDescent="0.3">
      <c r="B4041" s="7">
        <v>44378</v>
      </c>
      <c r="C4041" s="3">
        <f t="shared" si="126"/>
        <v>2021</v>
      </c>
      <c r="D4041" s="3">
        <f t="shared" si="127"/>
        <v>202107</v>
      </c>
      <c r="E4041" s="5" t="s">
        <v>6</v>
      </c>
      <c r="F4041" s="5" t="s">
        <v>56</v>
      </c>
      <c r="G4041" s="5" t="s">
        <v>14</v>
      </c>
      <c r="H4041">
        <v>57</v>
      </c>
      <c r="I4041" s="4">
        <v>566580</v>
      </c>
      <c r="J4041" s="4">
        <v>342000</v>
      </c>
    </row>
    <row r="4042" spans="2:10" x14ac:dyDescent="0.3">
      <c r="B4042" s="7">
        <v>44409</v>
      </c>
      <c r="C4042" s="3">
        <f t="shared" si="126"/>
        <v>2021</v>
      </c>
      <c r="D4042" s="3">
        <f t="shared" si="127"/>
        <v>202108</v>
      </c>
      <c r="E4042" s="5" t="s">
        <v>6</v>
      </c>
      <c r="F4042" s="5" t="s">
        <v>56</v>
      </c>
      <c r="G4042" s="5" t="s">
        <v>14</v>
      </c>
      <c r="H4042">
        <v>48</v>
      </c>
      <c r="I4042" s="4">
        <v>495600</v>
      </c>
      <c r="J4042" s="4">
        <v>288000</v>
      </c>
    </row>
    <row r="4043" spans="2:10" x14ac:dyDescent="0.3">
      <c r="B4043" s="7">
        <v>44440</v>
      </c>
      <c r="C4043" s="3">
        <f t="shared" si="126"/>
        <v>2021</v>
      </c>
      <c r="D4043" s="3">
        <f t="shared" si="127"/>
        <v>202109</v>
      </c>
      <c r="E4043" s="5" t="s">
        <v>6</v>
      </c>
      <c r="F4043" s="5" t="s">
        <v>56</v>
      </c>
      <c r="G4043" s="5" t="s">
        <v>14</v>
      </c>
      <c r="H4043">
        <v>51</v>
      </c>
      <c r="I4043" s="4">
        <v>542742</v>
      </c>
      <c r="J4043" s="4">
        <v>306000</v>
      </c>
    </row>
    <row r="4044" spans="2:10" x14ac:dyDescent="0.3">
      <c r="B4044" s="7">
        <v>44470</v>
      </c>
      <c r="C4044" s="3">
        <f t="shared" si="126"/>
        <v>2021</v>
      </c>
      <c r="D4044" s="3">
        <f t="shared" si="127"/>
        <v>202110</v>
      </c>
      <c r="E4044" s="5" t="s">
        <v>6</v>
      </c>
      <c r="F4044" s="5" t="s">
        <v>56</v>
      </c>
      <c r="G4044" s="5" t="s">
        <v>14</v>
      </c>
      <c r="H4044">
        <v>42</v>
      </c>
      <c r="I4044" s="4">
        <v>489762</v>
      </c>
      <c r="J4044" s="4">
        <v>252000</v>
      </c>
    </row>
    <row r="4045" spans="2:10" x14ac:dyDescent="0.3">
      <c r="B4045" s="7">
        <v>44501</v>
      </c>
      <c r="C4045" s="3">
        <f t="shared" si="126"/>
        <v>2021</v>
      </c>
      <c r="D4045" s="3">
        <f t="shared" si="127"/>
        <v>202111</v>
      </c>
      <c r="E4045" s="5" t="s">
        <v>6</v>
      </c>
      <c r="F4045" s="5" t="s">
        <v>56</v>
      </c>
      <c r="G4045" s="5" t="s">
        <v>14</v>
      </c>
      <c r="H4045">
        <v>30</v>
      </c>
      <c r="I4045" s="4">
        <v>354450</v>
      </c>
      <c r="J4045" s="4">
        <v>180000</v>
      </c>
    </row>
    <row r="4046" spans="2:10" x14ac:dyDescent="0.3">
      <c r="B4046" s="7">
        <v>44531</v>
      </c>
      <c r="C4046" s="3">
        <f t="shared" si="126"/>
        <v>2021</v>
      </c>
      <c r="D4046" s="3">
        <f t="shared" si="127"/>
        <v>202112</v>
      </c>
      <c r="E4046" s="5" t="s">
        <v>6</v>
      </c>
      <c r="F4046" s="5" t="s">
        <v>56</v>
      </c>
      <c r="G4046" s="5" t="s">
        <v>14</v>
      </c>
      <c r="H4046">
        <v>36</v>
      </c>
      <c r="I4046" s="4">
        <v>389808</v>
      </c>
      <c r="J4046" s="4">
        <v>216000</v>
      </c>
    </row>
    <row r="4047" spans="2:10" x14ac:dyDescent="0.3">
      <c r="B4047" s="7">
        <v>44562</v>
      </c>
      <c r="C4047" s="3">
        <f t="shared" si="126"/>
        <v>2022</v>
      </c>
      <c r="D4047" s="3">
        <f t="shared" si="127"/>
        <v>202201</v>
      </c>
      <c r="E4047" s="5" t="s">
        <v>6</v>
      </c>
      <c r="F4047" s="5" t="s">
        <v>56</v>
      </c>
      <c r="G4047" s="5" t="s">
        <v>14</v>
      </c>
      <c r="H4047">
        <v>52</v>
      </c>
      <c r="I4047" s="4">
        <v>573248</v>
      </c>
      <c r="J4047" s="4">
        <v>312000</v>
      </c>
    </row>
    <row r="4048" spans="2:10" x14ac:dyDescent="0.3">
      <c r="B4048" s="7">
        <v>44593</v>
      </c>
      <c r="C4048" s="3">
        <f t="shared" si="126"/>
        <v>2022</v>
      </c>
      <c r="D4048" s="3">
        <f t="shared" si="127"/>
        <v>202202</v>
      </c>
      <c r="E4048" s="5" t="s">
        <v>6</v>
      </c>
      <c r="F4048" s="5" t="s">
        <v>56</v>
      </c>
      <c r="G4048" s="5" t="s">
        <v>14</v>
      </c>
      <c r="H4048">
        <v>33</v>
      </c>
      <c r="I4048" s="4">
        <v>366201</v>
      </c>
      <c r="J4048" s="4">
        <v>198000</v>
      </c>
    </row>
    <row r="4049" spans="2:10" x14ac:dyDescent="0.3">
      <c r="B4049" s="7">
        <v>44621</v>
      </c>
      <c r="C4049" s="3">
        <f t="shared" si="126"/>
        <v>2022</v>
      </c>
      <c r="D4049" s="3">
        <f t="shared" si="127"/>
        <v>202203</v>
      </c>
      <c r="E4049" s="5" t="s">
        <v>6</v>
      </c>
      <c r="F4049" s="5" t="s">
        <v>56</v>
      </c>
      <c r="G4049" s="5" t="s">
        <v>14</v>
      </c>
      <c r="H4049">
        <v>26</v>
      </c>
      <c r="I4049" s="4">
        <v>287768</v>
      </c>
      <c r="J4049" s="4">
        <v>156000</v>
      </c>
    </row>
    <row r="4050" spans="2:10" x14ac:dyDescent="0.3">
      <c r="B4050" s="7">
        <v>44652</v>
      </c>
      <c r="C4050" s="3">
        <f t="shared" si="126"/>
        <v>2022</v>
      </c>
      <c r="D4050" s="3">
        <f t="shared" si="127"/>
        <v>202204</v>
      </c>
      <c r="E4050" s="5" t="s">
        <v>6</v>
      </c>
      <c r="F4050" s="5" t="s">
        <v>56</v>
      </c>
      <c r="G4050" s="5" t="s">
        <v>14</v>
      </c>
      <c r="H4050">
        <v>49</v>
      </c>
      <c r="I4050" s="4">
        <v>571879</v>
      </c>
      <c r="J4050" s="4">
        <v>294000</v>
      </c>
    </row>
    <row r="4051" spans="2:10" x14ac:dyDescent="0.3">
      <c r="B4051" s="7">
        <v>44682</v>
      </c>
      <c r="C4051" s="3">
        <f t="shared" si="126"/>
        <v>2022</v>
      </c>
      <c r="D4051" s="3">
        <f t="shared" si="127"/>
        <v>202205</v>
      </c>
      <c r="E4051" s="5" t="s">
        <v>6</v>
      </c>
      <c r="F4051" s="5" t="s">
        <v>56</v>
      </c>
      <c r="G4051" s="5" t="s">
        <v>14</v>
      </c>
      <c r="H4051">
        <v>62</v>
      </c>
      <c r="I4051" s="4">
        <v>755098</v>
      </c>
      <c r="J4051" s="4">
        <v>372000</v>
      </c>
    </row>
    <row r="4052" spans="2:10" x14ac:dyDescent="0.3">
      <c r="B4052" s="7">
        <v>44713</v>
      </c>
      <c r="C4052" s="3">
        <f t="shared" si="126"/>
        <v>2022</v>
      </c>
      <c r="D4052" s="3">
        <f t="shared" si="127"/>
        <v>202206</v>
      </c>
      <c r="E4052" s="5" t="s">
        <v>6</v>
      </c>
      <c r="F4052" s="5" t="s">
        <v>56</v>
      </c>
      <c r="G4052" s="5" t="s">
        <v>14</v>
      </c>
      <c r="H4052">
        <v>59</v>
      </c>
      <c r="I4052" s="4">
        <v>674665</v>
      </c>
      <c r="J4052" s="4">
        <v>354000</v>
      </c>
    </row>
    <row r="4053" spans="2:10" x14ac:dyDescent="0.3">
      <c r="B4053" s="7">
        <v>44743</v>
      </c>
      <c r="C4053" s="3">
        <f t="shared" si="126"/>
        <v>2022</v>
      </c>
      <c r="D4053" s="3">
        <f t="shared" si="127"/>
        <v>202207</v>
      </c>
      <c r="E4053" s="5" t="s">
        <v>6</v>
      </c>
      <c r="F4053" s="5" t="s">
        <v>56</v>
      </c>
      <c r="G4053" s="5" t="s">
        <v>14</v>
      </c>
      <c r="H4053">
        <v>62</v>
      </c>
      <c r="I4053" s="4">
        <v>593154</v>
      </c>
      <c r="J4053" s="4">
        <v>372000</v>
      </c>
    </row>
    <row r="4054" spans="2:10" x14ac:dyDescent="0.3">
      <c r="B4054" s="7">
        <v>44774</v>
      </c>
      <c r="C4054" s="3">
        <f t="shared" si="126"/>
        <v>2022</v>
      </c>
      <c r="D4054" s="3">
        <f t="shared" si="127"/>
        <v>202208</v>
      </c>
      <c r="E4054" s="5" t="s">
        <v>6</v>
      </c>
      <c r="F4054" s="5" t="s">
        <v>56</v>
      </c>
      <c r="G4054" s="5" t="s">
        <v>14</v>
      </c>
      <c r="H4054">
        <v>52</v>
      </c>
      <c r="I4054" s="4">
        <v>571064</v>
      </c>
      <c r="J4054" s="4">
        <v>312000</v>
      </c>
    </row>
    <row r="4055" spans="2:10" x14ac:dyDescent="0.3">
      <c r="B4055" s="7">
        <v>44805</v>
      </c>
      <c r="C4055" s="3">
        <f t="shared" si="126"/>
        <v>2022</v>
      </c>
      <c r="D4055" s="3">
        <f t="shared" si="127"/>
        <v>202209</v>
      </c>
      <c r="E4055" s="5" t="s">
        <v>6</v>
      </c>
      <c r="F4055" s="5" t="s">
        <v>56</v>
      </c>
      <c r="G4055" s="5" t="s">
        <v>14</v>
      </c>
      <c r="H4055">
        <v>56</v>
      </c>
      <c r="I4055" s="4">
        <v>589792</v>
      </c>
      <c r="J4055" s="4">
        <v>336000</v>
      </c>
    </row>
    <row r="4056" spans="2:10" x14ac:dyDescent="0.3">
      <c r="B4056" s="7">
        <v>44835</v>
      </c>
      <c r="C4056" s="3">
        <f t="shared" si="126"/>
        <v>2022</v>
      </c>
      <c r="D4056" s="3">
        <f t="shared" si="127"/>
        <v>202210</v>
      </c>
      <c r="E4056" s="5" t="s">
        <v>6</v>
      </c>
      <c r="F4056" s="5" t="s">
        <v>56</v>
      </c>
      <c r="G4056" s="5" t="s">
        <v>14</v>
      </c>
      <c r="H4056">
        <v>46</v>
      </c>
      <c r="I4056" s="4">
        <v>501722</v>
      </c>
      <c r="J4056" s="4">
        <v>276000</v>
      </c>
    </row>
    <row r="4057" spans="2:10" x14ac:dyDescent="0.3">
      <c r="B4057" s="7">
        <v>44866</v>
      </c>
      <c r="C4057" s="3">
        <f t="shared" si="126"/>
        <v>2022</v>
      </c>
      <c r="D4057" s="3">
        <f t="shared" si="127"/>
        <v>202211</v>
      </c>
      <c r="E4057" s="5" t="s">
        <v>6</v>
      </c>
      <c r="F4057" s="5" t="s">
        <v>56</v>
      </c>
      <c r="G4057" s="5" t="s">
        <v>14</v>
      </c>
      <c r="H4057">
        <v>33</v>
      </c>
      <c r="I4057" s="4">
        <v>376398</v>
      </c>
      <c r="J4057" s="4">
        <v>198000</v>
      </c>
    </row>
    <row r="4058" spans="2:10" x14ac:dyDescent="0.3">
      <c r="B4058" s="7">
        <v>44896</v>
      </c>
      <c r="C4058" s="3">
        <f t="shared" si="126"/>
        <v>2022</v>
      </c>
      <c r="D4058" s="3">
        <f t="shared" si="127"/>
        <v>202212</v>
      </c>
      <c r="E4058" s="5" t="s">
        <v>6</v>
      </c>
      <c r="F4058" s="5" t="s">
        <v>56</v>
      </c>
      <c r="G4058" s="5" t="s">
        <v>14</v>
      </c>
      <c r="H4058">
        <v>39</v>
      </c>
      <c r="I4058" s="4">
        <v>403143</v>
      </c>
      <c r="J4058" s="4">
        <v>234000</v>
      </c>
    </row>
    <row r="4059" spans="2:10" x14ac:dyDescent="0.3">
      <c r="B4059" s="7">
        <v>44197</v>
      </c>
      <c r="C4059" s="3">
        <f t="shared" si="126"/>
        <v>2021</v>
      </c>
      <c r="D4059" s="3">
        <f t="shared" si="127"/>
        <v>202101</v>
      </c>
      <c r="E4059" s="5" t="s">
        <v>6</v>
      </c>
      <c r="F4059" s="5" t="s">
        <v>56</v>
      </c>
      <c r="G4059" s="5" t="s">
        <v>15</v>
      </c>
      <c r="H4059">
        <v>44</v>
      </c>
      <c r="I4059" s="4">
        <v>574816</v>
      </c>
      <c r="J4059" s="4">
        <v>311520</v>
      </c>
    </row>
    <row r="4060" spans="2:10" x14ac:dyDescent="0.3">
      <c r="B4060" s="7">
        <v>44228</v>
      </c>
      <c r="C4060" s="3">
        <f t="shared" si="126"/>
        <v>2021</v>
      </c>
      <c r="D4060" s="3">
        <f t="shared" si="127"/>
        <v>202102</v>
      </c>
      <c r="E4060" s="5" t="s">
        <v>6</v>
      </c>
      <c r="F4060" s="5" t="s">
        <v>56</v>
      </c>
      <c r="G4060" s="5" t="s">
        <v>15</v>
      </c>
      <c r="H4060">
        <v>27</v>
      </c>
      <c r="I4060" s="4">
        <v>347490</v>
      </c>
      <c r="J4060" s="4">
        <v>191160</v>
      </c>
    </row>
    <row r="4061" spans="2:10" x14ac:dyDescent="0.3">
      <c r="B4061" s="7">
        <v>44256</v>
      </c>
      <c r="C4061" s="3">
        <f t="shared" si="126"/>
        <v>2021</v>
      </c>
      <c r="D4061" s="3">
        <f t="shared" si="127"/>
        <v>202103</v>
      </c>
      <c r="E4061" s="5" t="s">
        <v>6</v>
      </c>
      <c r="F4061" s="5" t="s">
        <v>56</v>
      </c>
      <c r="G4061" s="5" t="s">
        <v>15</v>
      </c>
      <c r="H4061">
        <v>22</v>
      </c>
      <c r="I4061" s="4">
        <v>283734</v>
      </c>
      <c r="J4061" s="4">
        <v>155760</v>
      </c>
    </row>
    <row r="4062" spans="2:10" x14ac:dyDescent="0.3">
      <c r="B4062" s="7">
        <v>44287</v>
      </c>
      <c r="C4062" s="3">
        <f t="shared" si="126"/>
        <v>2021</v>
      </c>
      <c r="D4062" s="3">
        <f t="shared" si="127"/>
        <v>202104</v>
      </c>
      <c r="E4062" s="5" t="s">
        <v>6</v>
      </c>
      <c r="F4062" s="5" t="s">
        <v>56</v>
      </c>
      <c r="G4062" s="5" t="s">
        <v>15</v>
      </c>
      <c r="H4062">
        <v>41</v>
      </c>
      <c r="I4062" s="4">
        <v>548744</v>
      </c>
      <c r="J4062" s="4">
        <v>290280</v>
      </c>
    </row>
    <row r="4063" spans="2:10" x14ac:dyDescent="0.3">
      <c r="B4063" s="7">
        <v>44317</v>
      </c>
      <c r="C4063" s="3">
        <f t="shared" si="126"/>
        <v>2021</v>
      </c>
      <c r="D4063" s="3">
        <f t="shared" si="127"/>
        <v>202105</v>
      </c>
      <c r="E4063" s="5" t="s">
        <v>6</v>
      </c>
      <c r="F4063" s="5" t="s">
        <v>56</v>
      </c>
      <c r="G4063" s="5" t="s">
        <v>15</v>
      </c>
      <c r="H4063">
        <v>52</v>
      </c>
      <c r="I4063" s="4">
        <v>732368</v>
      </c>
      <c r="J4063" s="4">
        <v>368160</v>
      </c>
    </row>
    <row r="4064" spans="2:10" x14ac:dyDescent="0.3">
      <c r="B4064" s="7">
        <v>44348</v>
      </c>
      <c r="C4064" s="3">
        <f t="shared" si="126"/>
        <v>2021</v>
      </c>
      <c r="D4064" s="3">
        <f t="shared" si="127"/>
        <v>202106</v>
      </c>
      <c r="E4064" s="5" t="s">
        <v>6</v>
      </c>
      <c r="F4064" s="5" t="s">
        <v>56</v>
      </c>
      <c r="G4064" s="5" t="s">
        <v>15</v>
      </c>
      <c r="H4064">
        <v>49</v>
      </c>
      <c r="I4064" s="4">
        <v>671251</v>
      </c>
      <c r="J4064" s="4">
        <v>346920</v>
      </c>
    </row>
    <row r="4065" spans="2:10" x14ac:dyDescent="0.3">
      <c r="B4065" s="7">
        <v>44378</v>
      </c>
      <c r="C4065" s="3">
        <f t="shared" si="126"/>
        <v>2021</v>
      </c>
      <c r="D4065" s="3">
        <f t="shared" si="127"/>
        <v>202107</v>
      </c>
      <c r="E4065" s="5" t="s">
        <v>6</v>
      </c>
      <c r="F4065" s="5" t="s">
        <v>56</v>
      </c>
      <c r="G4065" s="5" t="s">
        <v>15</v>
      </c>
      <c r="H4065">
        <v>52</v>
      </c>
      <c r="I4065" s="4">
        <v>622596</v>
      </c>
      <c r="J4065" s="4">
        <v>368160</v>
      </c>
    </row>
    <row r="4066" spans="2:10" x14ac:dyDescent="0.3">
      <c r="B4066" s="7">
        <v>44409</v>
      </c>
      <c r="C4066" s="3">
        <f t="shared" si="126"/>
        <v>2021</v>
      </c>
      <c r="D4066" s="3">
        <f t="shared" si="127"/>
        <v>202108</v>
      </c>
      <c r="E4066" s="5" t="s">
        <v>6</v>
      </c>
      <c r="F4066" s="5" t="s">
        <v>56</v>
      </c>
      <c r="G4066" s="5" t="s">
        <v>15</v>
      </c>
      <c r="H4066">
        <v>44</v>
      </c>
      <c r="I4066" s="4">
        <v>553432</v>
      </c>
      <c r="J4066" s="4">
        <v>311520</v>
      </c>
    </row>
    <row r="4067" spans="2:10" x14ac:dyDescent="0.3">
      <c r="B4067" s="7">
        <v>44440</v>
      </c>
      <c r="C4067" s="3">
        <f t="shared" si="126"/>
        <v>2021</v>
      </c>
      <c r="D4067" s="3">
        <f t="shared" si="127"/>
        <v>202109</v>
      </c>
      <c r="E4067" s="5" t="s">
        <v>6</v>
      </c>
      <c r="F4067" s="5" t="s">
        <v>56</v>
      </c>
      <c r="G4067" s="5" t="s">
        <v>15</v>
      </c>
      <c r="H4067">
        <v>46</v>
      </c>
      <c r="I4067" s="4">
        <v>615526</v>
      </c>
      <c r="J4067" s="4">
        <v>325680</v>
      </c>
    </row>
    <row r="4068" spans="2:10" x14ac:dyDescent="0.3">
      <c r="B4068" s="7">
        <v>44470</v>
      </c>
      <c r="C4068" s="3">
        <f t="shared" si="126"/>
        <v>2021</v>
      </c>
      <c r="D4068" s="3">
        <f t="shared" si="127"/>
        <v>202110</v>
      </c>
      <c r="E4068" s="5" t="s">
        <v>6</v>
      </c>
      <c r="F4068" s="5" t="s">
        <v>56</v>
      </c>
      <c r="G4068" s="5" t="s">
        <v>15</v>
      </c>
      <c r="H4068">
        <v>38</v>
      </c>
      <c r="I4068" s="4">
        <v>520068</v>
      </c>
      <c r="J4068" s="4">
        <v>269040</v>
      </c>
    </row>
    <row r="4069" spans="2:10" x14ac:dyDescent="0.3">
      <c r="B4069" s="7">
        <v>44501</v>
      </c>
      <c r="C4069" s="3">
        <f t="shared" si="126"/>
        <v>2021</v>
      </c>
      <c r="D4069" s="3">
        <f t="shared" si="127"/>
        <v>202111</v>
      </c>
      <c r="E4069" s="5" t="s">
        <v>6</v>
      </c>
      <c r="F4069" s="5" t="s">
        <v>56</v>
      </c>
      <c r="G4069" s="5" t="s">
        <v>15</v>
      </c>
      <c r="H4069">
        <v>27</v>
      </c>
      <c r="I4069" s="4">
        <v>361449</v>
      </c>
      <c r="J4069" s="4">
        <v>191160</v>
      </c>
    </row>
    <row r="4070" spans="2:10" x14ac:dyDescent="0.3">
      <c r="B4070" s="7">
        <v>44531</v>
      </c>
      <c r="C4070" s="3">
        <f t="shared" si="126"/>
        <v>2021</v>
      </c>
      <c r="D4070" s="3">
        <f t="shared" si="127"/>
        <v>202112</v>
      </c>
      <c r="E4070" s="5" t="s">
        <v>6</v>
      </c>
      <c r="F4070" s="5" t="s">
        <v>56</v>
      </c>
      <c r="G4070" s="5" t="s">
        <v>15</v>
      </c>
      <c r="H4070">
        <v>33</v>
      </c>
      <c r="I4070" s="4">
        <v>426294</v>
      </c>
      <c r="J4070" s="4">
        <v>233640</v>
      </c>
    </row>
    <row r="4071" spans="2:10" x14ac:dyDescent="0.3">
      <c r="B4071" s="7">
        <v>44562</v>
      </c>
      <c r="C4071" s="3">
        <f t="shared" si="126"/>
        <v>2022</v>
      </c>
      <c r="D4071" s="3">
        <f t="shared" si="127"/>
        <v>202201</v>
      </c>
      <c r="E4071" s="5" t="s">
        <v>6</v>
      </c>
      <c r="F4071" s="5" t="s">
        <v>56</v>
      </c>
      <c r="G4071" s="5" t="s">
        <v>15</v>
      </c>
      <c r="H4071">
        <v>48</v>
      </c>
      <c r="I4071" s="4">
        <v>661824</v>
      </c>
      <c r="J4071" s="4">
        <v>339840</v>
      </c>
    </row>
    <row r="4072" spans="2:10" x14ac:dyDescent="0.3">
      <c r="B4072" s="7">
        <v>44593</v>
      </c>
      <c r="C4072" s="3">
        <f t="shared" si="126"/>
        <v>2022</v>
      </c>
      <c r="D4072" s="3">
        <f t="shared" si="127"/>
        <v>202202</v>
      </c>
      <c r="E4072" s="5" t="s">
        <v>6</v>
      </c>
      <c r="F4072" s="5" t="s">
        <v>56</v>
      </c>
      <c r="G4072" s="5" t="s">
        <v>15</v>
      </c>
      <c r="H4072">
        <v>30</v>
      </c>
      <c r="I4072" s="4">
        <v>397140</v>
      </c>
      <c r="J4072" s="4">
        <v>212400</v>
      </c>
    </row>
    <row r="4073" spans="2:10" x14ac:dyDescent="0.3">
      <c r="B4073" s="7">
        <v>44621</v>
      </c>
      <c r="C4073" s="3">
        <f t="shared" si="126"/>
        <v>2022</v>
      </c>
      <c r="D4073" s="3">
        <f t="shared" si="127"/>
        <v>202203</v>
      </c>
      <c r="E4073" s="5" t="s">
        <v>6</v>
      </c>
      <c r="F4073" s="5" t="s">
        <v>56</v>
      </c>
      <c r="G4073" s="5" t="s">
        <v>15</v>
      </c>
      <c r="H4073">
        <v>24</v>
      </c>
      <c r="I4073" s="4">
        <v>322392</v>
      </c>
      <c r="J4073" s="4">
        <v>169920</v>
      </c>
    </row>
    <row r="4074" spans="2:10" x14ac:dyDescent="0.3">
      <c r="B4074" s="7">
        <v>44652</v>
      </c>
      <c r="C4074" s="3">
        <f t="shared" si="126"/>
        <v>2022</v>
      </c>
      <c r="D4074" s="3">
        <f t="shared" si="127"/>
        <v>202204</v>
      </c>
      <c r="E4074" s="5" t="s">
        <v>6</v>
      </c>
      <c r="F4074" s="5" t="s">
        <v>56</v>
      </c>
      <c r="G4074" s="5" t="s">
        <v>15</v>
      </c>
      <c r="H4074">
        <v>45</v>
      </c>
      <c r="I4074" s="4">
        <v>614520</v>
      </c>
      <c r="J4074" s="4">
        <v>318600</v>
      </c>
    </row>
    <row r="4075" spans="2:10" x14ac:dyDescent="0.3">
      <c r="B4075" s="7">
        <v>44682</v>
      </c>
      <c r="C4075" s="3">
        <f t="shared" si="126"/>
        <v>2022</v>
      </c>
      <c r="D4075" s="3">
        <f t="shared" si="127"/>
        <v>202205</v>
      </c>
      <c r="E4075" s="5" t="s">
        <v>6</v>
      </c>
      <c r="F4075" s="5" t="s">
        <v>56</v>
      </c>
      <c r="G4075" s="5" t="s">
        <v>15</v>
      </c>
      <c r="H4075">
        <v>57</v>
      </c>
      <c r="I4075" s="4">
        <v>811110</v>
      </c>
      <c r="J4075" s="4">
        <v>403560</v>
      </c>
    </row>
    <row r="4076" spans="2:10" x14ac:dyDescent="0.3">
      <c r="B4076" s="7">
        <v>44713</v>
      </c>
      <c r="C4076" s="3">
        <f t="shared" si="126"/>
        <v>2022</v>
      </c>
      <c r="D4076" s="3">
        <f t="shared" si="127"/>
        <v>202206</v>
      </c>
      <c r="E4076" s="5" t="s">
        <v>6</v>
      </c>
      <c r="F4076" s="5" t="s">
        <v>56</v>
      </c>
      <c r="G4076" s="5" t="s">
        <v>15</v>
      </c>
      <c r="H4076">
        <v>54</v>
      </c>
      <c r="I4076" s="4">
        <v>732132</v>
      </c>
      <c r="J4076" s="4">
        <v>382320</v>
      </c>
    </row>
    <row r="4077" spans="2:10" x14ac:dyDescent="0.3">
      <c r="B4077" s="7">
        <v>44743</v>
      </c>
      <c r="C4077" s="3">
        <f t="shared" si="126"/>
        <v>2022</v>
      </c>
      <c r="D4077" s="3">
        <f t="shared" si="127"/>
        <v>202207</v>
      </c>
      <c r="E4077" s="5" t="s">
        <v>6</v>
      </c>
      <c r="F4077" s="5" t="s">
        <v>56</v>
      </c>
      <c r="G4077" s="5" t="s">
        <v>15</v>
      </c>
      <c r="H4077">
        <v>57</v>
      </c>
      <c r="I4077" s="4">
        <v>694659</v>
      </c>
      <c r="J4077" s="4">
        <v>403560</v>
      </c>
    </row>
    <row r="4078" spans="2:10" x14ac:dyDescent="0.3">
      <c r="B4078" s="7">
        <v>44774</v>
      </c>
      <c r="C4078" s="3">
        <f t="shared" si="126"/>
        <v>2022</v>
      </c>
      <c r="D4078" s="3">
        <f t="shared" si="127"/>
        <v>202208</v>
      </c>
      <c r="E4078" s="5" t="s">
        <v>6</v>
      </c>
      <c r="F4078" s="5" t="s">
        <v>56</v>
      </c>
      <c r="G4078" s="5" t="s">
        <v>15</v>
      </c>
      <c r="H4078">
        <v>48</v>
      </c>
      <c r="I4078" s="4">
        <v>602688</v>
      </c>
      <c r="J4078" s="4">
        <v>339840</v>
      </c>
    </row>
    <row r="4079" spans="2:10" x14ac:dyDescent="0.3">
      <c r="B4079" s="7">
        <v>44805</v>
      </c>
      <c r="C4079" s="3">
        <f t="shared" si="126"/>
        <v>2022</v>
      </c>
      <c r="D4079" s="3">
        <f t="shared" si="127"/>
        <v>202209</v>
      </c>
      <c r="E4079" s="5" t="s">
        <v>6</v>
      </c>
      <c r="F4079" s="5" t="s">
        <v>56</v>
      </c>
      <c r="G4079" s="5" t="s">
        <v>15</v>
      </c>
      <c r="H4079">
        <v>51</v>
      </c>
      <c r="I4079" s="4">
        <v>692580</v>
      </c>
      <c r="J4079" s="4">
        <v>361080</v>
      </c>
    </row>
    <row r="4080" spans="2:10" x14ac:dyDescent="0.3">
      <c r="B4080" s="7">
        <v>44835</v>
      </c>
      <c r="C4080" s="3">
        <f t="shared" si="126"/>
        <v>2022</v>
      </c>
      <c r="D4080" s="3">
        <f t="shared" si="127"/>
        <v>202210</v>
      </c>
      <c r="E4080" s="5" t="s">
        <v>6</v>
      </c>
      <c r="F4080" s="5" t="s">
        <v>56</v>
      </c>
      <c r="G4080" s="5" t="s">
        <v>15</v>
      </c>
      <c r="H4080">
        <v>42</v>
      </c>
      <c r="I4080" s="4">
        <v>558306</v>
      </c>
      <c r="J4080" s="4">
        <v>297360</v>
      </c>
    </row>
    <row r="4081" spans="2:10" x14ac:dyDescent="0.3">
      <c r="B4081" s="7">
        <v>44866</v>
      </c>
      <c r="C4081" s="3">
        <f t="shared" si="126"/>
        <v>2022</v>
      </c>
      <c r="D4081" s="3">
        <f t="shared" si="127"/>
        <v>202211</v>
      </c>
      <c r="E4081" s="5" t="s">
        <v>6</v>
      </c>
      <c r="F4081" s="5" t="s">
        <v>56</v>
      </c>
      <c r="G4081" s="5" t="s">
        <v>15</v>
      </c>
      <c r="H4081">
        <v>30</v>
      </c>
      <c r="I4081" s="4">
        <v>404940</v>
      </c>
      <c r="J4081" s="4">
        <v>212400</v>
      </c>
    </row>
    <row r="4082" spans="2:10" x14ac:dyDescent="0.3">
      <c r="B4082" s="7">
        <v>44896</v>
      </c>
      <c r="C4082" s="3">
        <f t="shared" si="126"/>
        <v>2022</v>
      </c>
      <c r="D4082" s="3">
        <f t="shared" si="127"/>
        <v>202212</v>
      </c>
      <c r="E4082" s="5" t="s">
        <v>6</v>
      </c>
      <c r="F4082" s="5" t="s">
        <v>56</v>
      </c>
      <c r="G4082" s="5" t="s">
        <v>15</v>
      </c>
      <c r="H4082">
        <v>36</v>
      </c>
      <c r="I4082" s="4">
        <v>450540</v>
      </c>
      <c r="J4082" s="4">
        <v>254880</v>
      </c>
    </row>
    <row r="4083" spans="2:10" x14ac:dyDescent="0.3">
      <c r="B4083" s="7">
        <v>44197</v>
      </c>
      <c r="C4083" s="3">
        <f t="shared" si="126"/>
        <v>2021</v>
      </c>
      <c r="D4083" s="3">
        <f t="shared" si="127"/>
        <v>202101</v>
      </c>
      <c r="E4083" s="5" t="s">
        <v>6</v>
      </c>
      <c r="F4083" s="5" t="s">
        <v>56</v>
      </c>
      <c r="G4083" s="5" t="s">
        <v>16</v>
      </c>
      <c r="H4083">
        <v>44</v>
      </c>
      <c r="I4083" s="4">
        <v>1165252</v>
      </c>
      <c r="J4083" s="4">
        <v>462000</v>
      </c>
    </row>
    <row r="4084" spans="2:10" x14ac:dyDescent="0.3">
      <c r="B4084" s="7">
        <v>44228</v>
      </c>
      <c r="C4084" s="3">
        <f t="shared" si="126"/>
        <v>2021</v>
      </c>
      <c r="D4084" s="3">
        <f t="shared" si="127"/>
        <v>202102</v>
      </c>
      <c r="E4084" s="5" t="s">
        <v>6</v>
      </c>
      <c r="F4084" s="5" t="s">
        <v>56</v>
      </c>
      <c r="G4084" s="5" t="s">
        <v>16</v>
      </c>
      <c r="H4084">
        <v>27</v>
      </c>
      <c r="I4084" s="4">
        <v>734076</v>
      </c>
      <c r="J4084" s="4">
        <v>283500</v>
      </c>
    </row>
    <row r="4085" spans="2:10" x14ac:dyDescent="0.3">
      <c r="B4085" s="7">
        <v>44256</v>
      </c>
      <c r="C4085" s="3">
        <f t="shared" si="126"/>
        <v>2021</v>
      </c>
      <c r="D4085" s="3">
        <f t="shared" si="127"/>
        <v>202103</v>
      </c>
      <c r="E4085" s="5" t="s">
        <v>6</v>
      </c>
      <c r="F4085" s="5" t="s">
        <v>56</v>
      </c>
      <c r="G4085" s="5" t="s">
        <v>16</v>
      </c>
      <c r="H4085">
        <v>22</v>
      </c>
      <c r="I4085" s="4">
        <v>571120</v>
      </c>
      <c r="J4085" s="4">
        <v>231000</v>
      </c>
    </row>
    <row r="4086" spans="2:10" x14ac:dyDescent="0.3">
      <c r="B4086" s="7">
        <v>44287</v>
      </c>
      <c r="C4086" s="3">
        <f t="shared" si="126"/>
        <v>2021</v>
      </c>
      <c r="D4086" s="3">
        <f t="shared" si="127"/>
        <v>202104</v>
      </c>
      <c r="E4086" s="5" t="s">
        <v>6</v>
      </c>
      <c r="F4086" s="5" t="s">
        <v>56</v>
      </c>
      <c r="G4086" s="5" t="s">
        <v>16</v>
      </c>
      <c r="H4086">
        <v>41</v>
      </c>
      <c r="I4086" s="4">
        <v>1119546</v>
      </c>
      <c r="J4086" s="4">
        <v>430500</v>
      </c>
    </row>
    <row r="4087" spans="2:10" x14ac:dyDescent="0.3">
      <c r="B4087" s="7">
        <v>44317</v>
      </c>
      <c r="C4087" s="3">
        <f t="shared" si="126"/>
        <v>2021</v>
      </c>
      <c r="D4087" s="3">
        <f t="shared" si="127"/>
        <v>202105</v>
      </c>
      <c r="E4087" s="5" t="s">
        <v>6</v>
      </c>
      <c r="F4087" s="5" t="s">
        <v>56</v>
      </c>
      <c r="G4087" s="5" t="s">
        <v>16</v>
      </c>
      <c r="H4087">
        <v>52</v>
      </c>
      <c r="I4087" s="4">
        <v>1416688</v>
      </c>
      <c r="J4087" s="4">
        <v>546000</v>
      </c>
    </row>
    <row r="4088" spans="2:10" x14ac:dyDescent="0.3">
      <c r="B4088" s="7">
        <v>44348</v>
      </c>
      <c r="C4088" s="3">
        <f t="shared" si="126"/>
        <v>2021</v>
      </c>
      <c r="D4088" s="3">
        <f t="shared" si="127"/>
        <v>202106</v>
      </c>
      <c r="E4088" s="5" t="s">
        <v>6</v>
      </c>
      <c r="F4088" s="5" t="s">
        <v>56</v>
      </c>
      <c r="G4088" s="5" t="s">
        <v>16</v>
      </c>
      <c r="H4088">
        <v>49</v>
      </c>
      <c r="I4088" s="4">
        <v>1276450</v>
      </c>
      <c r="J4088" s="4">
        <v>514500</v>
      </c>
    </row>
    <row r="4089" spans="2:10" x14ac:dyDescent="0.3">
      <c r="B4089" s="7">
        <v>44378</v>
      </c>
      <c r="C4089" s="3">
        <f t="shared" si="126"/>
        <v>2021</v>
      </c>
      <c r="D4089" s="3">
        <f t="shared" si="127"/>
        <v>202107</v>
      </c>
      <c r="E4089" s="5" t="s">
        <v>6</v>
      </c>
      <c r="F4089" s="5" t="s">
        <v>56</v>
      </c>
      <c r="G4089" s="5" t="s">
        <v>16</v>
      </c>
      <c r="H4089">
        <v>52</v>
      </c>
      <c r="I4089" s="4">
        <v>1286844</v>
      </c>
      <c r="J4089" s="4">
        <v>546000</v>
      </c>
    </row>
    <row r="4090" spans="2:10" x14ac:dyDescent="0.3">
      <c r="B4090" s="7">
        <v>44409</v>
      </c>
      <c r="C4090" s="3">
        <f t="shared" si="126"/>
        <v>2021</v>
      </c>
      <c r="D4090" s="3">
        <f t="shared" si="127"/>
        <v>202108</v>
      </c>
      <c r="E4090" s="5" t="s">
        <v>6</v>
      </c>
      <c r="F4090" s="5" t="s">
        <v>56</v>
      </c>
      <c r="G4090" s="5" t="s">
        <v>16</v>
      </c>
      <c r="H4090">
        <v>44</v>
      </c>
      <c r="I4090" s="4">
        <v>1119096</v>
      </c>
      <c r="J4090" s="4">
        <v>462000</v>
      </c>
    </row>
    <row r="4091" spans="2:10" x14ac:dyDescent="0.3">
      <c r="B4091" s="7">
        <v>44440</v>
      </c>
      <c r="C4091" s="3">
        <f t="shared" si="126"/>
        <v>2021</v>
      </c>
      <c r="D4091" s="3">
        <f t="shared" si="127"/>
        <v>202109</v>
      </c>
      <c r="E4091" s="5" t="s">
        <v>6</v>
      </c>
      <c r="F4091" s="5" t="s">
        <v>56</v>
      </c>
      <c r="G4091" s="5" t="s">
        <v>16</v>
      </c>
      <c r="H4091">
        <v>46</v>
      </c>
      <c r="I4091" s="4">
        <v>1209984</v>
      </c>
      <c r="J4091" s="4">
        <v>483000</v>
      </c>
    </row>
    <row r="4092" spans="2:10" x14ac:dyDescent="0.3">
      <c r="B4092" s="7">
        <v>44470</v>
      </c>
      <c r="C4092" s="3">
        <f t="shared" si="126"/>
        <v>2021</v>
      </c>
      <c r="D4092" s="3">
        <f t="shared" si="127"/>
        <v>202110</v>
      </c>
      <c r="E4092" s="5" t="s">
        <v>6</v>
      </c>
      <c r="F4092" s="5" t="s">
        <v>56</v>
      </c>
      <c r="G4092" s="5" t="s">
        <v>16</v>
      </c>
      <c r="H4092">
        <v>38</v>
      </c>
      <c r="I4092" s="4">
        <v>988836</v>
      </c>
      <c r="J4092" s="4">
        <v>399000</v>
      </c>
    </row>
    <row r="4093" spans="2:10" x14ac:dyDescent="0.3">
      <c r="B4093" s="7">
        <v>44501</v>
      </c>
      <c r="C4093" s="3">
        <f t="shared" si="126"/>
        <v>2021</v>
      </c>
      <c r="D4093" s="3">
        <f t="shared" si="127"/>
        <v>202111</v>
      </c>
      <c r="E4093" s="5" t="s">
        <v>6</v>
      </c>
      <c r="F4093" s="5" t="s">
        <v>56</v>
      </c>
      <c r="G4093" s="5" t="s">
        <v>16</v>
      </c>
      <c r="H4093">
        <v>27</v>
      </c>
      <c r="I4093" s="4">
        <v>699327</v>
      </c>
      <c r="J4093" s="4">
        <v>283500</v>
      </c>
    </row>
    <row r="4094" spans="2:10" x14ac:dyDescent="0.3">
      <c r="B4094" s="7">
        <v>44531</v>
      </c>
      <c r="C4094" s="3">
        <f t="shared" si="126"/>
        <v>2021</v>
      </c>
      <c r="D4094" s="3">
        <f t="shared" si="127"/>
        <v>202112</v>
      </c>
      <c r="E4094" s="5" t="s">
        <v>6</v>
      </c>
      <c r="F4094" s="5" t="s">
        <v>56</v>
      </c>
      <c r="G4094" s="5" t="s">
        <v>16</v>
      </c>
      <c r="H4094">
        <v>33</v>
      </c>
      <c r="I4094" s="4">
        <v>860475</v>
      </c>
      <c r="J4094" s="4">
        <v>346500</v>
      </c>
    </row>
    <row r="4095" spans="2:10" x14ac:dyDescent="0.3">
      <c r="B4095" s="7">
        <v>44562</v>
      </c>
      <c r="C4095" s="3">
        <f t="shared" si="126"/>
        <v>2022</v>
      </c>
      <c r="D4095" s="3">
        <f t="shared" si="127"/>
        <v>202201</v>
      </c>
      <c r="E4095" s="5" t="s">
        <v>6</v>
      </c>
      <c r="F4095" s="5" t="s">
        <v>56</v>
      </c>
      <c r="G4095" s="5" t="s">
        <v>16</v>
      </c>
      <c r="H4095">
        <v>48</v>
      </c>
      <c r="I4095" s="4">
        <v>1250064</v>
      </c>
      <c r="J4095" s="4">
        <v>504000</v>
      </c>
    </row>
    <row r="4096" spans="2:10" x14ac:dyDescent="0.3">
      <c r="B4096" s="7">
        <v>44593</v>
      </c>
      <c r="C4096" s="3">
        <f t="shared" si="126"/>
        <v>2022</v>
      </c>
      <c r="D4096" s="3">
        <f t="shared" si="127"/>
        <v>202202</v>
      </c>
      <c r="E4096" s="5" t="s">
        <v>6</v>
      </c>
      <c r="F4096" s="5" t="s">
        <v>56</v>
      </c>
      <c r="G4096" s="5" t="s">
        <v>16</v>
      </c>
      <c r="H4096">
        <v>30</v>
      </c>
      <c r="I4096" s="4">
        <v>799980</v>
      </c>
      <c r="J4096" s="4">
        <v>315000</v>
      </c>
    </row>
    <row r="4097" spans="2:10" x14ac:dyDescent="0.3">
      <c r="B4097" s="7">
        <v>44621</v>
      </c>
      <c r="C4097" s="3">
        <f t="shared" si="126"/>
        <v>2022</v>
      </c>
      <c r="D4097" s="3">
        <f t="shared" si="127"/>
        <v>202203</v>
      </c>
      <c r="E4097" s="5" t="s">
        <v>6</v>
      </c>
      <c r="F4097" s="5" t="s">
        <v>56</v>
      </c>
      <c r="G4097" s="5" t="s">
        <v>16</v>
      </c>
      <c r="H4097">
        <v>24</v>
      </c>
      <c r="I4097" s="4">
        <v>627672</v>
      </c>
      <c r="J4097" s="4">
        <v>252000</v>
      </c>
    </row>
    <row r="4098" spans="2:10" x14ac:dyDescent="0.3">
      <c r="B4098" s="7">
        <v>44652</v>
      </c>
      <c r="C4098" s="3">
        <f t="shared" si="126"/>
        <v>2022</v>
      </c>
      <c r="D4098" s="3">
        <f t="shared" si="127"/>
        <v>202204</v>
      </c>
      <c r="E4098" s="5" t="s">
        <v>6</v>
      </c>
      <c r="F4098" s="5" t="s">
        <v>56</v>
      </c>
      <c r="G4098" s="5" t="s">
        <v>16</v>
      </c>
      <c r="H4098">
        <v>45</v>
      </c>
      <c r="I4098" s="4">
        <v>1200105</v>
      </c>
      <c r="J4098" s="4">
        <v>472500</v>
      </c>
    </row>
    <row r="4099" spans="2:10" x14ac:dyDescent="0.3">
      <c r="B4099" s="7">
        <v>44682</v>
      </c>
      <c r="C4099" s="3">
        <f t="shared" ref="C4099:C4162" si="128">YEAR(B4099)</f>
        <v>2022</v>
      </c>
      <c r="D4099" s="3">
        <f t="shared" ref="D4099:D4162" si="129">VALUE(TEXT(B4099,"ГГГГММ"))</f>
        <v>202205</v>
      </c>
      <c r="E4099" s="5" t="s">
        <v>6</v>
      </c>
      <c r="F4099" s="5" t="s">
        <v>56</v>
      </c>
      <c r="G4099" s="5" t="s">
        <v>16</v>
      </c>
      <c r="H4099">
        <v>57</v>
      </c>
      <c r="I4099" s="4">
        <v>1556955</v>
      </c>
      <c r="J4099" s="4">
        <v>598500</v>
      </c>
    </row>
    <row r="4100" spans="2:10" x14ac:dyDescent="0.3">
      <c r="B4100" s="7">
        <v>44713</v>
      </c>
      <c r="C4100" s="3">
        <f t="shared" si="128"/>
        <v>2022</v>
      </c>
      <c r="D4100" s="3">
        <f t="shared" si="129"/>
        <v>202206</v>
      </c>
      <c r="E4100" s="5" t="s">
        <v>6</v>
      </c>
      <c r="F4100" s="5" t="s">
        <v>56</v>
      </c>
      <c r="G4100" s="5" t="s">
        <v>16</v>
      </c>
      <c r="H4100">
        <v>54</v>
      </c>
      <c r="I4100" s="4">
        <v>1436022</v>
      </c>
      <c r="J4100" s="4">
        <v>567000</v>
      </c>
    </row>
    <row r="4101" spans="2:10" x14ac:dyDescent="0.3">
      <c r="B4101" s="7">
        <v>44743</v>
      </c>
      <c r="C4101" s="3">
        <f t="shared" si="128"/>
        <v>2022</v>
      </c>
      <c r="D4101" s="3">
        <f t="shared" si="129"/>
        <v>202207</v>
      </c>
      <c r="E4101" s="5" t="s">
        <v>6</v>
      </c>
      <c r="F4101" s="5" t="s">
        <v>56</v>
      </c>
      <c r="G4101" s="5" t="s">
        <v>16</v>
      </c>
      <c r="H4101">
        <v>57</v>
      </c>
      <c r="I4101" s="4">
        <v>1429047</v>
      </c>
      <c r="J4101" s="4">
        <v>598500</v>
      </c>
    </row>
    <row r="4102" spans="2:10" x14ac:dyDescent="0.3">
      <c r="B4102" s="7">
        <v>44774</v>
      </c>
      <c r="C4102" s="3">
        <f t="shared" si="128"/>
        <v>2022</v>
      </c>
      <c r="D4102" s="3">
        <f t="shared" si="129"/>
        <v>202208</v>
      </c>
      <c r="E4102" s="5" t="s">
        <v>6</v>
      </c>
      <c r="F4102" s="5" t="s">
        <v>56</v>
      </c>
      <c r="G4102" s="5" t="s">
        <v>16</v>
      </c>
      <c r="H4102">
        <v>48</v>
      </c>
      <c r="I4102" s="4">
        <v>1233552</v>
      </c>
      <c r="J4102" s="4">
        <v>504000</v>
      </c>
    </row>
    <row r="4103" spans="2:10" x14ac:dyDescent="0.3">
      <c r="B4103" s="7">
        <v>44805</v>
      </c>
      <c r="C4103" s="3">
        <f t="shared" si="128"/>
        <v>2022</v>
      </c>
      <c r="D4103" s="3">
        <f t="shared" si="129"/>
        <v>202209</v>
      </c>
      <c r="E4103" s="5" t="s">
        <v>6</v>
      </c>
      <c r="F4103" s="5" t="s">
        <v>56</v>
      </c>
      <c r="G4103" s="5" t="s">
        <v>16</v>
      </c>
      <c r="H4103">
        <v>51</v>
      </c>
      <c r="I4103" s="4">
        <v>1320543</v>
      </c>
      <c r="J4103" s="4">
        <v>535500</v>
      </c>
    </row>
    <row r="4104" spans="2:10" x14ac:dyDescent="0.3">
      <c r="B4104" s="7">
        <v>44835</v>
      </c>
      <c r="C4104" s="3">
        <f t="shared" si="128"/>
        <v>2022</v>
      </c>
      <c r="D4104" s="3">
        <f t="shared" si="129"/>
        <v>202210</v>
      </c>
      <c r="E4104" s="5" t="s">
        <v>6</v>
      </c>
      <c r="F4104" s="5" t="s">
        <v>56</v>
      </c>
      <c r="G4104" s="5" t="s">
        <v>16</v>
      </c>
      <c r="H4104">
        <v>42</v>
      </c>
      <c r="I4104" s="4">
        <v>1086456</v>
      </c>
      <c r="J4104" s="4">
        <v>441000</v>
      </c>
    </row>
    <row r="4105" spans="2:10" x14ac:dyDescent="0.3">
      <c r="B4105" s="7">
        <v>44866</v>
      </c>
      <c r="C4105" s="3">
        <f t="shared" si="128"/>
        <v>2022</v>
      </c>
      <c r="D4105" s="3">
        <f t="shared" si="129"/>
        <v>202211</v>
      </c>
      <c r="E4105" s="5" t="s">
        <v>6</v>
      </c>
      <c r="F4105" s="5" t="s">
        <v>56</v>
      </c>
      <c r="G4105" s="5" t="s">
        <v>16</v>
      </c>
      <c r="H4105">
        <v>30</v>
      </c>
      <c r="I4105" s="4">
        <v>777900</v>
      </c>
      <c r="J4105" s="4">
        <v>315000</v>
      </c>
    </row>
    <row r="4106" spans="2:10" x14ac:dyDescent="0.3">
      <c r="B4106" s="7">
        <v>44896</v>
      </c>
      <c r="C4106" s="3">
        <f t="shared" si="128"/>
        <v>2022</v>
      </c>
      <c r="D4106" s="3">
        <f t="shared" si="129"/>
        <v>202212</v>
      </c>
      <c r="E4106" s="5" t="s">
        <v>6</v>
      </c>
      <c r="F4106" s="5" t="s">
        <v>56</v>
      </c>
      <c r="G4106" s="5" t="s">
        <v>16</v>
      </c>
      <c r="H4106">
        <v>36</v>
      </c>
      <c r="I4106" s="4">
        <v>910188</v>
      </c>
      <c r="J4106" s="4">
        <v>378000</v>
      </c>
    </row>
    <row r="4107" spans="2:10" x14ac:dyDescent="0.3">
      <c r="B4107" s="7">
        <v>44197</v>
      </c>
      <c r="C4107" s="3">
        <f t="shared" si="128"/>
        <v>2021</v>
      </c>
      <c r="D4107" s="3">
        <f t="shared" si="129"/>
        <v>202101</v>
      </c>
      <c r="E4107" s="5" t="s">
        <v>6</v>
      </c>
      <c r="F4107" s="5" t="s">
        <v>56</v>
      </c>
      <c r="G4107" s="5" t="s">
        <v>17</v>
      </c>
      <c r="H4107">
        <v>47</v>
      </c>
      <c r="I4107" s="4">
        <v>851593</v>
      </c>
      <c r="J4107" s="4">
        <v>351560</v>
      </c>
    </row>
    <row r="4108" spans="2:10" x14ac:dyDescent="0.3">
      <c r="B4108" s="7">
        <v>44228</v>
      </c>
      <c r="C4108" s="3">
        <f t="shared" si="128"/>
        <v>2021</v>
      </c>
      <c r="D4108" s="3">
        <f t="shared" si="129"/>
        <v>202102</v>
      </c>
      <c r="E4108" s="5" t="s">
        <v>6</v>
      </c>
      <c r="F4108" s="5" t="s">
        <v>56</v>
      </c>
      <c r="G4108" s="5" t="s">
        <v>17</v>
      </c>
      <c r="H4108">
        <v>30</v>
      </c>
      <c r="I4108" s="4">
        <v>548100</v>
      </c>
      <c r="J4108" s="4">
        <v>224400</v>
      </c>
    </row>
    <row r="4109" spans="2:10" x14ac:dyDescent="0.3">
      <c r="B4109" s="7">
        <v>44256</v>
      </c>
      <c r="C4109" s="3">
        <f t="shared" si="128"/>
        <v>2021</v>
      </c>
      <c r="D4109" s="3">
        <f t="shared" si="129"/>
        <v>202103</v>
      </c>
      <c r="E4109" s="5" t="s">
        <v>6</v>
      </c>
      <c r="F4109" s="5" t="s">
        <v>56</v>
      </c>
      <c r="G4109" s="5" t="s">
        <v>17</v>
      </c>
      <c r="H4109">
        <v>24</v>
      </c>
      <c r="I4109" s="4">
        <v>434256</v>
      </c>
      <c r="J4109" s="4">
        <v>179520</v>
      </c>
    </row>
    <row r="4110" spans="2:10" x14ac:dyDescent="0.3">
      <c r="B4110" s="7">
        <v>44287</v>
      </c>
      <c r="C4110" s="3">
        <f t="shared" si="128"/>
        <v>2021</v>
      </c>
      <c r="D4110" s="3">
        <f t="shared" si="129"/>
        <v>202104</v>
      </c>
      <c r="E4110" s="5" t="s">
        <v>6</v>
      </c>
      <c r="F4110" s="5" t="s">
        <v>56</v>
      </c>
      <c r="G4110" s="5" t="s">
        <v>17</v>
      </c>
      <c r="H4110">
        <v>44</v>
      </c>
      <c r="I4110" s="4">
        <v>812372</v>
      </c>
      <c r="J4110" s="4">
        <v>329120</v>
      </c>
    </row>
    <row r="4111" spans="2:10" x14ac:dyDescent="0.3">
      <c r="B4111" s="7">
        <v>44317</v>
      </c>
      <c r="C4111" s="3">
        <f t="shared" si="128"/>
        <v>2021</v>
      </c>
      <c r="D4111" s="3">
        <f t="shared" si="129"/>
        <v>202105</v>
      </c>
      <c r="E4111" s="5" t="s">
        <v>6</v>
      </c>
      <c r="F4111" s="5" t="s">
        <v>56</v>
      </c>
      <c r="G4111" s="5" t="s">
        <v>17</v>
      </c>
      <c r="H4111">
        <v>56</v>
      </c>
      <c r="I4111" s="4">
        <v>1050280</v>
      </c>
      <c r="J4111" s="4">
        <v>418880</v>
      </c>
    </row>
    <row r="4112" spans="2:10" x14ac:dyDescent="0.3">
      <c r="B4112" s="7">
        <v>44348</v>
      </c>
      <c r="C4112" s="3">
        <f t="shared" si="128"/>
        <v>2021</v>
      </c>
      <c r="D4112" s="3">
        <f t="shared" si="129"/>
        <v>202106</v>
      </c>
      <c r="E4112" s="5" t="s">
        <v>6</v>
      </c>
      <c r="F4112" s="5" t="s">
        <v>56</v>
      </c>
      <c r="G4112" s="5" t="s">
        <v>17</v>
      </c>
      <c r="H4112">
        <v>53</v>
      </c>
      <c r="I4112" s="4">
        <v>983150</v>
      </c>
      <c r="J4112" s="4">
        <v>396440</v>
      </c>
    </row>
    <row r="4113" spans="2:10" x14ac:dyDescent="0.3">
      <c r="B4113" s="7">
        <v>44378</v>
      </c>
      <c r="C4113" s="3">
        <f t="shared" si="128"/>
        <v>2021</v>
      </c>
      <c r="D4113" s="3">
        <f t="shared" si="129"/>
        <v>202107</v>
      </c>
      <c r="E4113" s="5" t="s">
        <v>6</v>
      </c>
      <c r="F4113" s="5" t="s">
        <v>56</v>
      </c>
      <c r="G4113" s="5" t="s">
        <v>17</v>
      </c>
      <c r="H4113">
        <v>56</v>
      </c>
      <c r="I4113" s="4">
        <v>926744</v>
      </c>
      <c r="J4113" s="4">
        <v>418880</v>
      </c>
    </row>
    <row r="4114" spans="2:10" x14ac:dyDescent="0.3">
      <c r="B4114" s="7">
        <v>44409</v>
      </c>
      <c r="C4114" s="3">
        <f t="shared" si="128"/>
        <v>2021</v>
      </c>
      <c r="D4114" s="3">
        <f t="shared" si="129"/>
        <v>202108</v>
      </c>
      <c r="E4114" s="5" t="s">
        <v>6</v>
      </c>
      <c r="F4114" s="5" t="s">
        <v>56</v>
      </c>
      <c r="G4114" s="5" t="s">
        <v>17</v>
      </c>
      <c r="H4114">
        <v>47</v>
      </c>
      <c r="I4114" s="4">
        <v>842287</v>
      </c>
      <c r="J4114" s="4">
        <v>351560</v>
      </c>
    </row>
    <row r="4115" spans="2:10" x14ac:dyDescent="0.3">
      <c r="B4115" s="7">
        <v>44440</v>
      </c>
      <c r="C4115" s="3">
        <f t="shared" si="128"/>
        <v>2021</v>
      </c>
      <c r="D4115" s="3">
        <f t="shared" si="129"/>
        <v>202109</v>
      </c>
      <c r="E4115" s="5" t="s">
        <v>6</v>
      </c>
      <c r="F4115" s="5" t="s">
        <v>56</v>
      </c>
      <c r="G4115" s="5" t="s">
        <v>17</v>
      </c>
      <c r="H4115">
        <v>50</v>
      </c>
      <c r="I4115" s="4">
        <v>890050</v>
      </c>
      <c r="J4115" s="4">
        <v>374000</v>
      </c>
    </row>
    <row r="4116" spans="2:10" x14ac:dyDescent="0.3">
      <c r="B4116" s="7">
        <v>44470</v>
      </c>
      <c r="C4116" s="3">
        <f t="shared" si="128"/>
        <v>2021</v>
      </c>
      <c r="D4116" s="3">
        <f t="shared" si="129"/>
        <v>202110</v>
      </c>
      <c r="E4116" s="5" t="s">
        <v>6</v>
      </c>
      <c r="F4116" s="5" t="s">
        <v>56</v>
      </c>
      <c r="G4116" s="5" t="s">
        <v>17</v>
      </c>
      <c r="H4116">
        <v>41</v>
      </c>
      <c r="I4116" s="4">
        <v>747963</v>
      </c>
      <c r="J4116" s="4">
        <v>306680</v>
      </c>
    </row>
    <row r="4117" spans="2:10" x14ac:dyDescent="0.3">
      <c r="B4117" s="7">
        <v>44501</v>
      </c>
      <c r="C4117" s="3">
        <f t="shared" si="128"/>
        <v>2021</v>
      </c>
      <c r="D4117" s="3">
        <f t="shared" si="129"/>
        <v>202111</v>
      </c>
      <c r="E4117" s="5" t="s">
        <v>6</v>
      </c>
      <c r="F4117" s="5" t="s">
        <v>56</v>
      </c>
      <c r="G4117" s="5" t="s">
        <v>17</v>
      </c>
      <c r="H4117">
        <v>30</v>
      </c>
      <c r="I4117" s="4">
        <v>555900</v>
      </c>
      <c r="J4117" s="4">
        <v>224400</v>
      </c>
    </row>
    <row r="4118" spans="2:10" x14ac:dyDescent="0.3">
      <c r="B4118" s="7">
        <v>44531</v>
      </c>
      <c r="C4118" s="3">
        <f t="shared" si="128"/>
        <v>2021</v>
      </c>
      <c r="D4118" s="3">
        <f t="shared" si="129"/>
        <v>202112</v>
      </c>
      <c r="E4118" s="5" t="s">
        <v>6</v>
      </c>
      <c r="F4118" s="5" t="s">
        <v>56</v>
      </c>
      <c r="G4118" s="5" t="s">
        <v>17</v>
      </c>
      <c r="H4118">
        <v>36</v>
      </c>
      <c r="I4118" s="4">
        <v>625860</v>
      </c>
      <c r="J4118" s="4">
        <v>269280</v>
      </c>
    </row>
    <row r="4119" spans="2:10" x14ac:dyDescent="0.3">
      <c r="B4119" s="7">
        <v>44562</v>
      </c>
      <c r="C4119" s="3">
        <f t="shared" si="128"/>
        <v>2022</v>
      </c>
      <c r="D4119" s="3">
        <f t="shared" si="129"/>
        <v>202201</v>
      </c>
      <c r="E4119" s="5" t="s">
        <v>6</v>
      </c>
      <c r="F4119" s="5" t="s">
        <v>56</v>
      </c>
      <c r="G4119" s="5" t="s">
        <v>17</v>
      </c>
      <c r="H4119">
        <v>52</v>
      </c>
      <c r="I4119" s="4">
        <v>947596</v>
      </c>
      <c r="J4119" s="4">
        <v>388960</v>
      </c>
    </row>
    <row r="4120" spans="2:10" x14ac:dyDescent="0.3">
      <c r="B4120" s="7">
        <v>44593</v>
      </c>
      <c r="C4120" s="3">
        <f t="shared" si="128"/>
        <v>2022</v>
      </c>
      <c r="D4120" s="3">
        <f t="shared" si="129"/>
        <v>202202</v>
      </c>
      <c r="E4120" s="5" t="s">
        <v>6</v>
      </c>
      <c r="F4120" s="5" t="s">
        <v>56</v>
      </c>
      <c r="G4120" s="5" t="s">
        <v>17</v>
      </c>
      <c r="H4120">
        <v>33</v>
      </c>
      <c r="I4120" s="4">
        <v>613074</v>
      </c>
      <c r="J4120" s="4">
        <v>246840</v>
      </c>
    </row>
    <row r="4121" spans="2:10" x14ac:dyDescent="0.3">
      <c r="B4121" s="7">
        <v>44621</v>
      </c>
      <c r="C4121" s="3">
        <f t="shared" si="128"/>
        <v>2022</v>
      </c>
      <c r="D4121" s="3">
        <f t="shared" si="129"/>
        <v>202203</v>
      </c>
      <c r="E4121" s="5" t="s">
        <v>6</v>
      </c>
      <c r="F4121" s="5" t="s">
        <v>56</v>
      </c>
      <c r="G4121" s="5" t="s">
        <v>17</v>
      </c>
      <c r="H4121">
        <v>26</v>
      </c>
      <c r="I4121" s="4">
        <v>444704</v>
      </c>
      <c r="J4121" s="4">
        <v>194480</v>
      </c>
    </row>
    <row r="4122" spans="2:10" x14ac:dyDescent="0.3">
      <c r="B4122" s="7">
        <v>44652</v>
      </c>
      <c r="C4122" s="3">
        <f t="shared" si="128"/>
        <v>2022</v>
      </c>
      <c r="D4122" s="3">
        <f t="shared" si="129"/>
        <v>202204</v>
      </c>
      <c r="E4122" s="5" t="s">
        <v>6</v>
      </c>
      <c r="F4122" s="5" t="s">
        <v>56</v>
      </c>
      <c r="G4122" s="5" t="s">
        <v>17</v>
      </c>
      <c r="H4122">
        <v>49</v>
      </c>
      <c r="I4122" s="4">
        <v>920416</v>
      </c>
      <c r="J4122" s="4">
        <v>366520</v>
      </c>
    </row>
    <row r="4123" spans="2:10" x14ac:dyDescent="0.3">
      <c r="B4123" s="7">
        <v>44682</v>
      </c>
      <c r="C4123" s="3">
        <f t="shared" si="128"/>
        <v>2022</v>
      </c>
      <c r="D4123" s="3">
        <f t="shared" si="129"/>
        <v>202205</v>
      </c>
      <c r="E4123" s="5" t="s">
        <v>6</v>
      </c>
      <c r="F4123" s="5" t="s">
        <v>56</v>
      </c>
      <c r="G4123" s="5" t="s">
        <v>17</v>
      </c>
      <c r="H4123">
        <v>62</v>
      </c>
      <c r="I4123" s="4">
        <v>1185812</v>
      </c>
      <c r="J4123" s="4">
        <v>463760</v>
      </c>
    </row>
    <row r="4124" spans="2:10" x14ac:dyDescent="0.3">
      <c r="B4124" s="7">
        <v>44713</v>
      </c>
      <c r="C4124" s="3">
        <f t="shared" si="128"/>
        <v>2022</v>
      </c>
      <c r="D4124" s="3">
        <f t="shared" si="129"/>
        <v>202206</v>
      </c>
      <c r="E4124" s="5" t="s">
        <v>6</v>
      </c>
      <c r="F4124" s="5" t="s">
        <v>56</v>
      </c>
      <c r="G4124" s="5" t="s">
        <v>17</v>
      </c>
      <c r="H4124">
        <v>58</v>
      </c>
      <c r="I4124" s="4">
        <v>1054266</v>
      </c>
      <c r="J4124" s="4">
        <v>433840</v>
      </c>
    </row>
    <row r="4125" spans="2:10" x14ac:dyDescent="0.3">
      <c r="B4125" s="7">
        <v>44743</v>
      </c>
      <c r="C4125" s="3">
        <f t="shared" si="128"/>
        <v>2022</v>
      </c>
      <c r="D4125" s="3">
        <f t="shared" si="129"/>
        <v>202207</v>
      </c>
      <c r="E4125" s="5" t="s">
        <v>6</v>
      </c>
      <c r="F4125" s="5" t="s">
        <v>56</v>
      </c>
      <c r="G4125" s="5" t="s">
        <v>17</v>
      </c>
      <c r="H4125">
        <v>62</v>
      </c>
      <c r="I4125" s="4">
        <v>1028518</v>
      </c>
      <c r="J4125" s="4">
        <v>463760</v>
      </c>
    </row>
    <row r="4126" spans="2:10" x14ac:dyDescent="0.3">
      <c r="B4126" s="7">
        <v>44774</v>
      </c>
      <c r="C4126" s="3">
        <f t="shared" si="128"/>
        <v>2022</v>
      </c>
      <c r="D4126" s="3">
        <f t="shared" si="129"/>
        <v>202208</v>
      </c>
      <c r="E4126" s="5" t="s">
        <v>6</v>
      </c>
      <c r="F4126" s="5" t="s">
        <v>56</v>
      </c>
      <c r="G4126" s="5" t="s">
        <v>17</v>
      </c>
      <c r="H4126">
        <v>52</v>
      </c>
      <c r="I4126" s="4">
        <v>929032</v>
      </c>
      <c r="J4126" s="4">
        <v>388960</v>
      </c>
    </row>
    <row r="4127" spans="2:10" x14ac:dyDescent="0.3">
      <c r="B4127" s="7">
        <v>44805</v>
      </c>
      <c r="C4127" s="3">
        <f t="shared" si="128"/>
        <v>2022</v>
      </c>
      <c r="D4127" s="3">
        <f t="shared" si="129"/>
        <v>202209</v>
      </c>
      <c r="E4127" s="5" t="s">
        <v>6</v>
      </c>
      <c r="F4127" s="5" t="s">
        <v>56</v>
      </c>
      <c r="G4127" s="5" t="s">
        <v>17</v>
      </c>
      <c r="H4127">
        <v>55</v>
      </c>
      <c r="I4127" s="4">
        <v>984170</v>
      </c>
      <c r="J4127" s="4">
        <v>411400</v>
      </c>
    </row>
    <row r="4128" spans="2:10" x14ac:dyDescent="0.3">
      <c r="B4128" s="7">
        <v>44835</v>
      </c>
      <c r="C4128" s="3">
        <f t="shared" si="128"/>
        <v>2022</v>
      </c>
      <c r="D4128" s="3">
        <f t="shared" si="129"/>
        <v>202210</v>
      </c>
      <c r="E4128" s="5" t="s">
        <v>6</v>
      </c>
      <c r="F4128" s="5" t="s">
        <v>56</v>
      </c>
      <c r="G4128" s="5" t="s">
        <v>17</v>
      </c>
      <c r="H4128">
        <v>46</v>
      </c>
      <c r="I4128" s="4">
        <v>852058</v>
      </c>
      <c r="J4128" s="4">
        <v>344080</v>
      </c>
    </row>
    <row r="4129" spans="2:10" x14ac:dyDescent="0.3">
      <c r="B4129" s="7">
        <v>44866</v>
      </c>
      <c r="C4129" s="3">
        <f t="shared" si="128"/>
        <v>2022</v>
      </c>
      <c r="D4129" s="3">
        <f t="shared" si="129"/>
        <v>202211</v>
      </c>
      <c r="E4129" s="5" t="s">
        <v>6</v>
      </c>
      <c r="F4129" s="5" t="s">
        <v>56</v>
      </c>
      <c r="G4129" s="5" t="s">
        <v>17</v>
      </c>
      <c r="H4129">
        <v>33</v>
      </c>
      <c r="I4129" s="4">
        <v>608685</v>
      </c>
      <c r="J4129" s="4">
        <v>246840</v>
      </c>
    </row>
    <row r="4130" spans="2:10" x14ac:dyDescent="0.3">
      <c r="B4130" s="7">
        <v>44896</v>
      </c>
      <c r="C4130" s="3">
        <f t="shared" si="128"/>
        <v>2022</v>
      </c>
      <c r="D4130" s="3">
        <f t="shared" si="129"/>
        <v>202212</v>
      </c>
      <c r="E4130" s="5" t="s">
        <v>6</v>
      </c>
      <c r="F4130" s="5" t="s">
        <v>56</v>
      </c>
      <c r="G4130" s="5" t="s">
        <v>17</v>
      </c>
      <c r="H4130">
        <v>39</v>
      </c>
      <c r="I4130" s="4">
        <v>698061</v>
      </c>
      <c r="J4130" s="4">
        <v>291720</v>
      </c>
    </row>
    <row r="4131" spans="2:10" x14ac:dyDescent="0.3">
      <c r="B4131" s="7">
        <v>44197</v>
      </c>
      <c r="C4131" s="3">
        <f t="shared" si="128"/>
        <v>2021</v>
      </c>
      <c r="D4131" s="3">
        <f t="shared" si="129"/>
        <v>202101</v>
      </c>
      <c r="E4131" s="5" t="s">
        <v>6</v>
      </c>
      <c r="F4131" s="5" t="s">
        <v>56</v>
      </c>
      <c r="G4131" s="5" t="s">
        <v>18</v>
      </c>
      <c r="H4131">
        <v>37</v>
      </c>
      <c r="I4131" s="4">
        <v>1138416</v>
      </c>
      <c r="J4131" s="4">
        <v>621600</v>
      </c>
    </row>
    <row r="4132" spans="2:10" x14ac:dyDescent="0.3">
      <c r="B4132" s="7">
        <v>44228</v>
      </c>
      <c r="C4132" s="3">
        <f t="shared" si="128"/>
        <v>2021</v>
      </c>
      <c r="D4132" s="3">
        <f t="shared" si="129"/>
        <v>202102</v>
      </c>
      <c r="E4132" s="5" t="s">
        <v>6</v>
      </c>
      <c r="F4132" s="5" t="s">
        <v>56</v>
      </c>
      <c r="G4132" s="5" t="s">
        <v>18</v>
      </c>
      <c r="H4132">
        <v>23</v>
      </c>
      <c r="I4132" s="4">
        <v>729261</v>
      </c>
      <c r="J4132" s="4">
        <v>386400</v>
      </c>
    </row>
    <row r="4133" spans="2:10" x14ac:dyDescent="0.3">
      <c r="B4133" s="7">
        <v>44256</v>
      </c>
      <c r="C4133" s="3">
        <f t="shared" si="128"/>
        <v>2021</v>
      </c>
      <c r="D4133" s="3">
        <f t="shared" si="129"/>
        <v>202103</v>
      </c>
      <c r="E4133" s="5" t="s">
        <v>6</v>
      </c>
      <c r="F4133" s="5" t="s">
        <v>56</v>
      </c>
      <c r="G4133" s="5" t="s">
        <v>18</v>
      </c>
      <c r="H4133">
        <v>19</v>
      </c>
      <c r="I4133" s="4">
        <v>586644</v>
      </c>
      <c r="J4133" s="4">
        <v>319200</v>
      </c>
    </row>
    <row r="4134" spans="2:10" x14ac:dyDescent="0.3">
      <c r="B4134" s="7">
        <v>44287</v>
      </c>
      <c r="C4134" s="3">
        <f t="shared" si="128"/>
        <v>2021</v>
      </c>
      <c r="D4134" s="3">
        <f t="shared" si="129"/>
        <v>202104</v>
      </c>
      <c r="E4134" s="5" t="s">
        <v>6</v>
      </c>
      <c r="F4134" s="5" t="s">
        <v>56</v>
      </c>
      <c r="G4134" s="5" t="s">
        <v>18</v>
      </c>
      <c r="H4134">
        <v>35</v>
      </c>
      <c r="I4134" s="4">
        <v>1112475</v>
      </c>
      <c r="J4134" s="4">
        <v>588000</v>
      </c>
    </row>
    <row r="4135" spans="2:10" x14ac:dyDescent="0.3">
      <c r="B4135" s="7">
        <v>44317</v>
      </c>
      <c r="C4135" s="3">
        <f t="shared" si="128"/>
        <v>2021</v>
      </c>
      <c r="D4135" s="3">
        <f t="shared" si="129"/>
        <v>202105</v>
      </c>
      <c r="E4135" s="5" t="s">
        <v>6</v>
      </c>
      <c r="F4135" s="5" t="s">
        <v>56</v>
      </c>
      <c r="G4135" s="5" t="s">
        <v>18</v>
      </c>
      <c r="H4135">
        <v>44</v>
      </c>
      <c r="I4135" s="4">
        <v>1408880</v>
      </c>
      <c r="J4135" s="4">
        <v>739200</v>
      </c>
    </row>
    <row r="4136" spans="2:10" x14ac:dyDescent="0.3">
      <c r="B4136" s="7">
        <v>44348</v>
      </c>
      <c r="C4136" s="3">
        <f t="shared" si="128"/>
        <v>2021</v>
      </c>
      <c r="D4136" s="3">
        <f t="shared" si="129"/>
        <v>202106</v>
      </c>
      <c r="E4136" s="5" t="s">
        <v>6</v>
      </c>
      <c r="F4136" s="5" t="s">
        <v>56</v>
      </c>
      <c r="G4136" s="5" t="s">
        <v>18</v>
      </c>
      <c r="H4136">
        <v>41</v>
      </c>
      <c r="I4136" s="4">
        <v>1258946</v>
      </c>
      <c r="J4136" s="4">
        <v>688800</v>
      </c>
    </row>
    <row r="4137" spans="2:10" x14ac:dyDescent="0.3">
      <c r="B4137" s="7">
        <v>44378</v>
      </c>
      <c r="C4137" s="3">
        <f t="shared" si="128"/>
        <v>2021</v>
      </c>
      <c r="D4137" s="3">
        <f t="shared" si="129"/>
        <v>202107</v>
      </c>
      <c r="E4137" s="5" t="s">
        <v>6</v>
      </c>
      <c r="F4137" s="5" t="s">
        <v>56</v>
      </c>
      <c r="G4137" s="5" t="s">
        <v>18</v>
      </c>
      <c r="H4137">
        <v>44</v>
      </c>
      <c r="I4137" s="4">
        <v>1309968</v>
      </c>
      <c r="J4137" s="4">
        <v>739200</v>
      </c>
    </row>
    <row r="4138" spans="2:10" x14ac:dyDescent="0.3">
      <c r="B4138" s="7">
        <v>44409</v>
      </c>
      <c r="C4138" s="3">
        <f t="shared" si="128"/>
        <v>2021</v>
      </c>
      <c r="D4138" s="3">
        <f t="shared" si="129"/>
        <v>202108</v>
      </c>
      <c r="E4138" s="5" t="s">
        <v>6</v>
      </c>
      <c r="F4138" s="5" t="s">
        <v>56</v>
      </c>
      <c r="G4138" s="5" t="s">
        <v>18</v>
      </c>
      <c r="H4138">
        <v>37</v>
      </c>
      <c r="I4138" s="4">
        <v>1127760</v>
      </c>
      <c r="J4138" s="4">
        <v>621600</v>
      </c>
    </row>
    <row r="4139" spans="2:10" x14ac:dyDescent="0.3">
      <c r="B4139" s="7">
        <v>44440</v>
      </c>
      <c r="C4139" s="3">
        <f t="shared" si="128"/>
        <v>2021</v>
      </c>
      <c r="D4139" s="3">
        <f t="shared" si="129"/>
        <v>202109</v>
      </c>
      <c r="E4139" s="5" t="s">
        <v>6</v>
      </c>
      <c r="F4139" s="5" t="s">
        <v>56</v>
      </c>
      <c r="G4139" s="5" t="s">
        <v>18</v>
      </c>
      <c r="H4139">
        <v>39</v>
      </c>
      <c r="I4139" s="4">
        <v>1187823</v>
      </c>
      <c r="J4139" s="4">
        <v>655200</v>
      </c>
    </row>
    <row r="4140" spans="2:10" x14ac:dyDescent="0.3">
      <c r="B4140" s="7">
        <v>44470</v>
      </c>
      <c r="C4140" s="3">
        <f t="shared" si="128"/>
        <v>2021</v>
      </c>
      <c r="D4140" s="3">
        <f t="shared" si="129"/>
        <v>202110</v>
      </c>
      <c r="E4140" s="5" t="s">
        <v>6</v>
      </c>
      <c r="F4140" s="5" t="s">
        <v>56</v>
      </c>
      <c r="G4140" s="5" t="s">
        <v>18</v>
      </c>
      <c r="H4140">
        <v>32</v>
      </c>
      <c r="I4140" s="4">
        <v>1014784</v>
      </c>
      <c r="J4140" s="4">
        <v>537600</v>
      </c>
    </row>
    <row r="4141" spans="2:10" x14ac:dyDescent="0.3">
      <c r="B4141" s="7">
        <v>44501</v>
      </c>
      <c r="C4141" s="3">
        <f t="shared" si="128"/>
        <v>2021</v>
      </c>
      <c r="D4141" s="3">
        <f t="shared" si="129"/>
        <v>202111</v>
      </c>
      <c r="E4141" s="5" t="s">
        <v>6</v>
      </c>
      <c r="F4141" s="5" t="s">
        <v>56</v>
      </c>
      <c r="G4141" s="5" t="s">
        <v>18</v>
      </c>
      <c r="H4141">
        <v>23</v>
      </c>
      <c r="I4141" s="4">
        <v>722844</v>
      </c>
      <c r="J4141" s="4">
        <v>386400</v>
      </c>
    </row>
    <row r="4142" spans="2:10" x14ac:dyDescent="0.3">
      <c r="B4142" s="7">
        <v>44531</v>
      </c>
      <c r="C4142" s="3">
        <f t="shared" si="128"/>
        <v>2021</v>
      </c>
      <c r="D4142" s="3">
        <f t="shared" si="129"/>
        <v>202112</v>
      </c>
      <c r="E4142" s="5" t="s">
        <v>6</v>
      </c>
      <c r="F4142" s="5" t="s">
        <v>56</v>
      </c>
      <c r="G4142" s="5" t="s">
        <v>18</v>
      </c>
      <c r="H4142">
        <v>28</v>
      </c>
      <c r="I4142" s="4">
        <v>871892</v>
      </c>
      <c r="J4142" s="4">
        <v>470400</v>
      </c>
    </row>
    <row r="4143" spans="2:10" x14ac:dyDescent="0.3">
      <c r="B4143" s="7">
        <v>44562</v>
      </c>
      <c r="C4143" s="3">
        <f t="shared" si="128"/>
        <v>2022</v>
      </c>
      <c r="D4143" s="3">
        <f t="shared" si="129"/>
        <v>202201</v>
      </c>
      <c r="E4143" s="5" t="s">
        <v>6</v>
      </c>
      <c r="F4143" s="5" t="s">
        <v>56</v>
      </c>
      <c r="G4143" s="5" t="s">
        <v>18</v>
      </c>
      <c r="H4143">
        <v>41</v>
      </c>
      <c r="I4143" s="4">
        <v>1290147</v>
      </c>
      <c r="J4143" s="4">
        <v>688800</v>
      </c>
    </row>
    <row r="4144" spans="2:10" x14ac:dyDescent="0.3">
      <c r="B4144" s="7">
        <v>44593</v>
      </c>
      <c r="C4144" s="3">
        <f t="shared" si="128"/>
        <v>2022</v>
      </c>
      <c r="D4144" s="3">
        <f t="shared" si="129"/>
        <v>202202</v>
      </c>
      <c r="E4144" s="5" t="s">
        <v>6</v>
      </c>
      <c r="F4144" s="5" t="s">
        <v>56</v>
      </c>
      <c r="G4144" s="5" t="s">
        <v>18</v>
      </c>
      <c r="H4144">
        <v>26</v>
      </c>
      <c r="I4144" s="4">
        <v>801372</v>
      </c>
      <c r="J4144" s="4">
        <v>436800</v>
      </c>
    </row>
    <row r="4145" spans="2:10" x14ac:dyDescent="0.3">
      <c r="B4145" s="7">
        <v>44621</v>
      </c>
      <c r="C4145" s="3">
        <f t="shared" si="128"/>
        <v>2022</v>
      </c>
      <c r="D4145" s="3">
        <f t="shared" si="129"/>
        <v>202203</v>
      </c>
      <c r="E4145" s="5" t="s">
        <v>6</v>
      </c>
      <c r="F4145" s="5" t="s">
        <v>56</v>
      </c>
      <c r="G4145" s="5" t="s">
        <v>18</v>
      </c>
      <c r="H4145">
        <v>21</v>
      </c>
      <c r="I4145" s="4">
        <v>654990</v>
      </c>
      <c r="J4145" s="4">
        <v>352800</v>
      </c>
    </row>
    <row r="4146" spans="2:10" x14ac:dyDescent="0.3">
      <c r="B4146" s="7">
        <v>44652</v>
      </c>
      <c r="C4146" s="3">
        <f t="shared" si="128"/>
        <v>2022</v>
      </c>
      <c r="D4146" s="3">
        <f t="shared" si="129"/>
        <v>202204</v>
      </c>
      <c r="E4146" s="5" t="s">
        <v>6</v>
      </c>
      <c r="F4146" s="5" t="s">
        <v>56</v>
      </c>
      <c r="G4146" s="5" t="s">
        <v>18</v>
      </c>
      <c r="H4146">
        <v>38</v>
      </c>
      <c r="I4146" s="4">
        <v>1202738</v>
      </c>
      <c r="J4146" s="4">
        <v>638400</v>
      </c>
    </row>
    <row r="4147" spans="2:10" x14ac:dyDescent="0.3">
      <c r="B4147" s="7">
        <v>44682</v>
      </c>
      <c r="C4147" s="3">
        <f t="shared" si="128"/>
        <v>2022</v>
      </c>
      <c r="D4147" s="3">
        <f t="shared" si="129"/>
        <v>202205</v>
      </c>
      <c r="E4147" s="5" t="s">
        <v>6</v>
      </c>
      <c r="F4147" s="5" t="s">
        <v>56</v>
      </c>
      <c r="G4147" s="5" t="s">
        <v>18</v>
      </c>
      <c r="H4147">
        <v>48</v>
      </c>
      <c r="I4147" s="4">
        <v>1544160</v>
      </c>
      <c r="J4147" s="4">
        <v>806400</v>
      </c>
    </row>
    <row r="4148" spans="2:10" x14ac:dyDescent="0.3">
      <c r="B4148" s="7">
        <v>44713</v>
      </c>
      <c r="C4148" s="3">
        <f t="shared" si="128"/>
        <v>2022</v>
      </c>
      <c r="D4148" s="3">
        <f t="shared" si="129"/>
        <v>202206</v>
      </c>
      <c r="E4148" s="5" t="s">
        <v>6</v>
      </c>
      <c r="F4148" s="5" t="s">
        <v>56</v>
      </c>
      <c r="G4148" s="5" t="s">
        <v>18</v>
      </c>
      <c r="H4148">
        <v>46</v>
      </c>
      <c r="I4148" s="4">
        <v>1438374</v>
      </c>
      <c r="J4148" s="4">
        <v>772800</v>
      </c>
    </row>
    <row r="4149" spans="2:10" x14ac:dyDescent="0.3">
      <c r="B4149" s="7">
        <v>44743</v>
      </c>
      <c r="C4149" s="3">
        <f t="shared" si="128"/>
        <v>2022</v>
      </c>
      <c r="D4149" s="3">
        <f t="shared" si="129"/>
        <v>202207</v>
      </c>
      <c r="E4149" s="5" t="s">
        <v>6</v>
      </c>
      <c r="F4149" s="5" t="s">
        <v>56</v>
      </c>
      <c r="G4149" s="5" t="s">
        <v>18</v>
      </c>
      <c r="H4149">
        <v>48</v>
      </c>
      <c r="I4149" s="4">
        <v>1409664</v>
      </c>
      <c r="J4149" s="4">
        <v>806400</v>
      </c>
    </row>
    <row r="4150" spans="2:10" x14ac:dyDescent="0.3">
      <c r="B4150" s="7">
        <v>44774</v>
      </c>
      <c r="C4150" s="3">
        <f t="shared" si="128"/>
        <v>2022</v>
      </c>
      <c r="D4150" s="3">
        <f t="shared" si="129"/>
        <v>202208</v>
      </c>
      <c r="E4150" s="5" t="s">
        <v>6</v>
      </c>
      <c r="F4150" s="5" t="s">
        <v>56</v>
      </c>
      <c r="G4150" s="5" t="s">
        <v>18</v>
      </c>
      <c r="H4150">
        <v>41</v>
      </c>
      <c r="I4150" s="4">
        <v>1261037</v>
      </c>
      <c r="J4150" s="4">
        <v>688800</v>
      </c>
    </row>
    <row r="4151" spans="2:10" x14ac:dyDescent="0.3">
      <c r="B4151" s="7">
        <v>44805</v>
      </c>
      <c r="C4151" s="3">
        <f t="shared" si="128"/>
        <v>2022</v>
      </c>
      <c r="D4151" s="3">
        <f t="shared" si="129"/>
        <v>202209</v>
      </c>
      <c r="E4151" s="5" t="s">
        <v>6</v>
      </c>
      <c r="F4151" s="5" t="s">
        <v>56</v>
      </c>
      <c r="G4151" s="5" t="s">
        <v>18</v>
      </c>
      <c r="H4151">
        <v>43</v>
      </c>
      <c r="I4151" s="4">
        <v>1338031</v>
      </c>
      <c r="J4151" s="4">
        <v>722400</v>
      </c>
    </row>
    <row r="4152" spans="2:10" x14ac:dyDescent="0.3">
      <c r="B4152" s="7">
        <v>44835</v>
      </c>
      <c r="C4152" s="3">
        <f t="shared" si="128"/>
        <v>2022</v>
      </c>
      <c r="D4152" s="3">
        <f t="shared" si="129"/>
        <v>202210</v>
      </c>
      <c r="E4152" s="5" t="s">
        <v>6</v>
      </c>
      <c r="F4152" s="5" t="s">
        <v>56</v>
      </c>
      <c r="G4152" s="5" t="s">
        <v>18</v>
      </c>
      <c r="H4152">
        <v>36</v>
      </c>
      <c r="I4152" s="4">
        <v>1142784</v>
      </c>
      <c r="J4152" s="4">
        <v>604800</v>
      </c>
    </row>
    <row r="4153" spans="2:10" x14ac:dyDescent="0.3">
      <c r="B4153" s="7">
        <v>44866</v>
      </c>
      <c r="C4153" s="3">
        <f t="shared" si="128"/>
        <v>2022</v>
      </c>
      <c r="D4153" s="3">
        <f t="shared" si="129"/>
        <v>202211</v>
      </c>
      <c r="E4153" s="5" t="s">
        <v>6</v>
      </c>
      <c r="F4153" s="5" t="s">
        <v>56</v>
      </c>
      <c r="G4153" s="5" t="s">
        <v>18</v>
      </c>
      <c r="H4153">
        <v>26</v>
      </c>
      <c r="I4153" s="4">
        <v>810524</v>
      </c>
      <c r="J4153" s="4">
        <v>436800</v>
      </c>
    </row>
    <row r="4154" spans="2:10" x14ac:dyDescent="0.3">
      <c r="B4154" s="7">
        <v>44896</v>
      </c>
      <c r="C4154" s="3">
        <f t="shared" si="128"/>
        <v>2022</v>
      </c>
      <c r="D4154" s="3">
        <f t="shared" si="129"/>
        <v>202212</v>
      </c>
      <c r="E4154" s="5" t="s">
        <v>6</v>
      </c>
      <c r="F4154" s="5" t="s">
        <v>56</v>
      </c>
      <c r="G4154" s="5" t="s">
        <v>18</v>
      </c>
      <c r="H4154">
        <v>31</v>
      </c>
      <c r="I4154" s="4">
        <v>967572</v>
      </c>
      <c r="J4154" s="4">
        <v>520800</v>
      </c>
    </row>
    <row r="4155" spans="2:10" x14ac:dyDescent="0.3">
      <c r="B4155" s="7">
        <v>44197</v>
      </c>
      <c r="C4155" s="3">
        <f t="shared" si="128"/>
        <v>2021</v>
      </c>
      <c r="D4155" s="3">
        <f t="shared" si="129"/>
        <v>202101</v>
      </c>
      <c r="E4155" s="5" t="s">
        <v>6</v>
      </c>
      <c r="F4155" s="5" t="s">
        <v>56</v>
      </c>
      <c r="G4155" s="5" t="s">
        <v>19</v>
      </c>
      <c r="H4155">
        <v>35</v>
      </c>
      <c r="I4155" s="4">
        <v>577290</v>
      </c>
      <c r="J4155" s="4">
        <v>215250</v>
      </c>
    </row>
    <row r="4156" spans="2:10" x14ac:dyDescent="0.3">
      <c r="B4156" s="7">
        <v>44228</v>
      </c>
      <c r="C4156" s="3">
        <f t="shared" si="128"/>
        <v>2021</v>
      </c>
      <c r="D4156" s="3">
        <f t="shared" si="129"/>
        <v>202102</v>
      </c>
      <c r="E4156" s="5" t="s">
        <v>6</v>
      </c>
      <c r="F4156" s="5" t="s">
        <v>56</v>
      </c>
      <c r="G4156" s="5" t="s">
        <v>19</v>
      </c>
      <c r="H4156">
        <v>22</v>
      </c>
      <c r="I4156" s="4">
        <v>360250</v>
      </c>
      <c r="J4156" s="4">
        <v>135300</v>
      </c>
    </row>
    <row r="4157" spans="2:10" x14ac:dyDescent="0.3">
      <c r="B4157" s="7">
        <v>44256</v>
      </c>
      <c r="C4157" s="3">
        <f t="shared" si="128"/>
        <v>2021</v>
      </c>
      <c r="D4157" s="3">
        <f t="shared" si="129"/>
        <v>202103</v>
      </c>
      <c r="E4157" s="5" t="s">
        <v>6</v>
      </c>
      <c r="F4157" s="5" t="s">
        <v>56</v>
      </c>
      <c r="G4157" s="5" t="s">
        <v>19</v>
      </c>
      <c r="H4157">
        <v>18</v>
      </c>
      <c r="I4157" s="4">
        <v>280890</v>
      </c>
      <c r="J4157" s="4">
        <v>110700</v>
      </c>
    </row>
    <row r="4158" spans="2:10" x14ac:dyDescent="0.3">
      <c r="B4158" s="7">
        <v>44287</v>
      </c>
      <c r="C4158" s="3">
        <f t="shared" si="128"/>
        <v>2021</v>
      </c>
      <c r="D4158" s="3">
        <f t="shared" si="129"/>
        <v>202104</v>
      </c>
      <c r="E4158" s="5" t="s">
        <v>6</v>
      </c>
      <c r="F4158" s="5" t="s">
        <v>56</v>
      </c>
      <c r="G4158" s="5" t="s">
        <v>19</v>
      </c>
      <c r="H4158">
        <v>33</v>
      </c>
      <c r="I4158" s="4">
        <v>556248</v>
      </c>
      <c r="J4158" s="4">
        <v>202950</v>
      </c>
    </row>
    <row r="4159" spans="2:10" x14ac:dyDescent="0.3">
      <c r="B4159" s="7">
        <v>44317</v>
      </c>
      <c r="C4159" s="3">
        <f t="shared" si="128"/>
        <v>2021</v>
      </c>
      <c r="D4159" s="3">
        <f t="shared" si="129"/>
        <v>202105</v>
      </c>
      <c r="E4159" s="5" t="s">
        <v>6</v>
      </c>
      <c r="F4159" s="5" t="s">
        <v>56</v>
      </c>
      <c r="G4159" s="5" t="s">
        <v>19</v>
      </c>
      <c r="H4159">
        <v>42</v>
      </c>
      <c r="I4159" s="4">
        <v>716982</v>
      </c>
      <c r="J4159" s="4">
        <v>258300</v>
      </c>
    </row>
    <row r="4160" spans="2:10" x14ac:dyDescent="0.3">
      <c r="B4160" s="7">
        <v>44348</v>
      </c>
      <c r="C4160" s="3">
        <f t="shared" si="128"/>
        <v>2021</v>
      </c>
      <c r="D4160" s="3">
        <f t="shared" si="129"/>
        <v>202106</v>
      </c>
      <c r="E4160" s="5" t="s">
        <v>6</v>
      </c>
      <c r="F4160" s="5" t="s">
        <v>56</v>
      </c>
      <c r="G4160" s="5" t="s">
        <v>19</v>
      </c>
      <c r="H4160">
        <v>40</v>
      </c>
      <c r="I4160" s="4">
        <v>645400</v>
      </c>
      <c r="J4160" s="4">
        <v>246000</v>
      </c>
    </row>
    <row r="4161" spans="2:10" x14ac:dyDescent="0.3">
      <c r="B4161" s="7">
        <v>44378</v>
      </c>
      <c r="C4161" s="3">
        <f t="shared" si="128"/>
        <v>2021</v>
      </c>
      <c r="D4161" s="3">
        <f t="shared" si="129"/>
        <v>202107</v>
      </c>
      <c r="E4161" s="5" t="s">
        <v>6</v>
      </c>
      <c r="F4161" s="5" t="s">
        <v>56</v>
      </c>
      <c r="G4161" s="5" t="s">
        <v>19</v>
      </c>
      <c r="H4161">
        <v>42</v>
      </c>
      <c r="I4161" s="4">
        <v>630588</v>
      </c>
      <c r="J4161" s="4">
        <v>258300</v>
      </c>
    </row>
    <row r="4162" spans="2:10" x14ac:dyDescent="0.3">
      <c r="B4162" s="7">
        <v>44409</v>
      </c>
      <c r="C4162" s="3">
        <f t="shared" si="128"/>
        <v>2021</v>
      </c>
      <c r="D4162" s="3">
        <f t="shared" si="129"/>
        <v>202108</v>
      </c>
      <c r="E4162" s="5" t="s">
        <v>6</v>
      </c>
      <c r="F4162" s="5" t="s">
        <v>56</v>
      </c>
      <c r="G4162" s="5" t="s">
        <v>19</v>
      </c>
      <c r="H4162">
        <v>35</v>
      </c>
      <c r="I4162" s="4">
        <v>544425</v>
      </c>
      <c r="J4162" s="4">
        <v>215250</v>
      </c>
    </row>
    <row r="4163" spans="2:10" x14ac:dyDescent="0.3">
      <c r="B4163" s="7">
        <v>44440</v>
      </c>
      <c r="C4163" s="3">
        <f t="shared" ref="C4163:C4226" si="130">YEAR(B4163)</f>
        <v>2021</v>
      </c>
      <c r="D4163" s="3">
        <f t="shared" ref="D4163:D4226" si="131">VALUE(TEXT(B4163,"ГГГГММ"))</f>
        <v>202109</v>
      </c>
      <c r="E4163" s="5" t="s">
        <v>6</v>
      </c>
      <c r="F4163" s="5" t="s">
        <v>56</v>
      </c>
      <c r="G4163" s="5" t="s">
        <v>19</v>
      </c>
      <c r="H4163">
        <v>37</v>
      </c>
      <c r="I4163" s="4">
        <v>594368</v>
      </c>
      <c r="J4163" s="4">
        <v>227550</v>
      </c>
    </row>
    <row r="4164" spans="2:10" x14ac:dyDescent="0.3">
      <c r="B4164" s="7">
        <v>44470</v>
      </c>
      <c r="C4164" s="3">
        <f t="shared" si="130"/>
        <v>2021</v>
      </c>
      <c r="D4164" s="3">
        <f t="shared" si="131"/>
        <v>202110</v>
      </c>
      <c r="E4164" s="5" t="s">
        <v>6</v>
      </c>
      <c r="F4164" s="5" t="s">
        <v>56</v>
      </c>
      <c r="G4164" s="5" t="s">
        <v>19</v>
      </c>
      <c r="H4164">
        <v>31</v>
      </c>
      <c r="I4164" s="4">
        <v>509144</v>
      </c>
      <c r="J4164" s="4">
        <v>190650</v>
      </c>
    </row>
    <row r="4165" spans="2:10" x14ac:dyDescent="0.3">
      <c r="B4165" s="7">
        <v>44501</v>
      </c>
      <c r="C4165" s="3">
        <f t="shared" si="130"/>
        <v>2021</v>
      </c>
      <c r="D4165" s="3">
        <f t="shared" si="131"/>
        <v>202111</v>
      </c>
      <c r="E4165" s="5" t="s">
        <v>6</v>
      </c>
      <c r="F4165" s="5" t="s">
        <v>56</v>
      </c>
      <c r="G4165" s="5" t="s">
        <v>19</v>
      </c>
      <c r="H4165">
        <v>22</v>
      </c>
      <c r="I4165" s="4">
        <v>362318</v>
      </c>
      <c r="J4165" s="4">
        <v>135300</v>
      </c>
    </row>
    <row r="4166" spans="2:10" x14ac:dyDescent="0.3">
      <c r="B4166" s="7">
        <v>44531</v>
      </c>
      <c r="C4166" s="3">
        <f t="shared" si="130"/>
        <v>2021</v>
      </c>
      <c r="D4166" s="3">
        <f t="shared" si="131"/>
        <v>202112</v>
      </c>
      <c r="E4166" s="5" t="s">
        <v>6</v>
      </c>
      <c r="F4166" s="5" t="s">
        <v>56</v>
      </c>
      <c r="G4166" s="5" t="s">
        <v>19</v>
      </c>
      <c r="H4166">
        <v>27</v>
      </c>
      <c r="I4166" s="4">
        <v>417258</v>
      </c>
      <c r="J4166" s="4">
        <v>166050</v>
      </c>
    </row>
    <row r="4167" spans="2:10" x14ac:dyDescent="0.3">
      <c r="B4167" s="7">
        <v>44562</v>
      </c>
      <c r="C4167" s="3">
        <f t="shared" si="130"/>
        <v>2022</v>
      </c>
      <c r="D4167" s="3">
        <f t="shared" si="131"/>
        <v>202201</v>
      </c>
      <c r="E4167" s="5" t="s">
        <v>6</v>
      </c>
      <c r="F4167" s="5" t="s">
        <v>56</v>
      </c>
      <c r="G4167" s="5" t="s">
        <v>19</v>
      </c>
      <c r="H4167">
        <v>39</v>
      </c>
      <c r="I4167" s="4">
        <v>635388</v>
      </c>
      <c r="J4167" s="4">
        <v>239850</v>
      </c>
    </row>
    <row r="4168" spans="2:10" x14ac:dyDescent="0.3">
      <c r="B4168" s="7">
        <v>44593</v>
      </c>
      <c r="C4168" s="3">
        <f t="shared" si="130"/>
        <v>2022</v>
      </c>
      <c r="D4168" s="3">
        <f t="shared" si="131"/>
        <v>202202</v>
      </c>
      <c r="E4168" s="5" t="s">
        <v>6</v>
      </c>
      <c r="F4168" s="5" t="s">
        <v>56</v>
      </c>
      <c r="G4168" s="5" t="s">
        <v>19</v>
      </c>
      <c r="H4168">
        <v>24</v>
      </c>
      <c r="I4168" s="4">
        <v>391032</v>
      </c>
      <c r="J4168" s="4">
        <v>147600</v>
      </c>
    </row>
    <row r="4169" spans="2:10" x14ac:dyDescent="0.3">
      <c r="B4169" s="7">
        <v>44621</v>
      </c>
      <c r="C4169" s="3">
        <f t="shared" si="130"/>
        <v>2022</v>
      </c>
      <c r="D4169" s="3">
        <f t="shared" si="131"/>
        <v>202203</v>
      </c>
      <c r="E4169" s="5" t="s">
        <v>6</v>
      </c>
      <c r="F4169" s="5" t="s">
        <v>56</v>
      </c>
      <c r="G4169" s="5" t="s">
        <v>19</v>
      </c>
      <c r="H4169">
        <v>20</v>
      </c>
      <c r="I4169" s="4">
        <v>307560</v>
      </c>
      <c r="J4169" s="4">
        <v>123000</v>
      </c>
    </row>
    <row r="4170" spans="2:10" x14ac:dyDescent="0.3">
      <c r="B4170" s="7">
        <v>44652</v>
      </c>
      <c r="C4170" s="3">
        <f t="shared" si="130"/>
        <v>2022</v>
      </c>
      <c r="D4170" s="3">
        <f t="shared" si="131"/>
        <v>202204</v>
      </c>
      <c r="E4170" s="5" t="s">
        <v>6</v>
      </c>
      <c r="F4170" s="5" t="s">
        <v>56</v>
      </c>
      <c r="G4170" s="5" t="s">
        <v>19</v>
      </c>
      <c r="H4170">
        <v>36</v>
      </c>
      <c r="I4170" s="4">
        <v>611568</v>
      </c>
      <c r="J4170" s="4">
        <v>221400</v>
      </c>
    </row>
    <row r="4171" spans="2:10" x14ac:dyDescent="0.3">
      <c r="B4171" s="7">
        <v>44682</v>
      </c>
      <c r="C4171" s="3">
        <f t="shared" si="130"/>
        <v>2022</v>
      </c>
      <c r="D4171" s="3">
        <f t="shared" si="131"/>
        <v>202205</v>
      </c>
      <c r="E4171" s="5" t="s">
        <v>6</v>
      </c>
      <c r="F4171" s="5" t="s">
        <v>56</v>
      </c>
      <c r="G4171" s="5" t="s">
        <v>19</v>
      </c>
      <c r="H4171">
        <v>46</v>
      </c>
      <c r="I4171" s="4">
        <v>751318</v>
      </c>
      <c r="J4171" s="4">
        <v>282900</v>
      </c>
    </row>
    <row r="4172" spans="2:10" x14ac:dyDescent="0.3">
      <c r="B4172" s="7">
        <v>44713</v>
      </c>
      <c r="C4172" s="3">
        <f t="shared" si="130"/>
        <v>2022</v>
      </c>
      <c r="D4172" s="3">
        <f t="shared" si="131"/>
        <v>202206</v>
      </c>
      <c r="E4172" s="5" t="s">
        <v>6</v>
      </c>
      <c r="F4172" s="5" t="s">
        <v>56</v>
      </c>
      <c r="G4172" s="5" t="s">
        <v>19</v>
      </c>
      <c r="H4172">
        <v>44</v>
      </c>
      <c r="I4172" s="4">
        <v>687852</v>
      </c>
      <c r="J4172" s="4">
        <v>270600</v>
      </c>
    </row>
    <row r="4173" spans="2:10" x14ac:dyDescent="0.3">
      <c r="B4173" s="7">
        <v>44743</v>
      </c>
      <c r="C4173" s="3">
        <f t="shared" si="130"/>
        <v>2022</v>
      </c>
      <c r="D4173" s="3">
        <f t="shared" si="131"/>
        <v>202207</v>
      </c>
      <c r="E4173" s="5" t="s">
        <v>6</v>
      </c>
      <c r="F4173" s="5" t="s">
        <v>56</v>
      </c>
      <c r="G4173" s="5" t="s">
        <v>19</v>
      </c>
      <c r="H4173">
        <v>46</v>
      </c>
      <c r="I4173" s="4">
        <v>684710</v>
      </c>
      <c r="J4173" s="4">
        <v>282900</v>
      </c>
    </row>
    <row r="4174" spans="2:10" x14ac:dyDescent="0.3">
      <c r="B4174" s="7">
        <v>44774</v>
      </c>
      <c r="C4174" s="3">
        <f t="shared" si="130"/>
        <v>2022</v>
      </c>
      <c r="D4174" s="3">
        <f t="shared" si="131"/>
        <v>202208</v>
      </c>
      <c r="E4174" s="5" t="s">
        <v>6</v>
      </c>
      <c r="F4174" s="5" t="s">
        <v>56</v>
      </c>
      <c r="G4174" s="5" t="s">
        <v>19</v>
      </c>
      <c r="H4174">
        <v>39</v>
      </c>
      <c r="I4174" s="4">
        <v>617253</v>
      </c>
      <c r="J4174" s="4">
        <v>239850</v>
      </c>
    </row>
    <row r="4175" spans="2:10" x14ac:dyDescent="0.3">
      <c r="B4175" s="7">
        <v>44805</v>
      </c>
      <c r="C4175" s="3">
        <f t="shared" si="130"/>
        <v>2022</v>
      </c>
      <c r="D4175" s="3">
        <f t="shared" si="131"/>
        <v>202209</v>
      </c>
      <c r="E4175" s="5" t="s">
        <v>6</v>
      </c>
      <c r="F4175" s="5" t="s">
        <v>56</v>
      </c>
      <c r="G4175" s="5" t="s">
        <v>19</v>
      </c>
      <c r="H4175">
        <v>41</v>
      </c>
      <c r="I4175" s="4">
        <v>651736</v>
      </c>
      <c r="J4175" s="4">
        <v>252150</v>
      </c>
    </row>
    <row r="4176" spans="2:10" x14ac:dyDescent="0.3">
      <c r="B4176" s="7">
        <v>44835</v>
      </c>
      <c r="C4176" s="3">
        <f t="shared" si="130"/>
        <v>2022</v>
      </c>
      <c r="D4176" s="3">
        <f t="shared" si="131"/>
        <v>202210</v>
      </c>
      <c r="E4176" s="5" t="s">
        <v>6</v>
      </c>
      <c r="F4176" s="5" t="s">
        <v>56</v>
      </c>
      <c r="G4176" s="5" t="s">
        <v>19</v>
      </c>
      <c r="H4176">
        <v>34</v>
      </c>
      <c r="I4176" s="4">
        <v>565488</v>
      </c>
      <c r="J4176" s="4">
        <v>209100</v>
      </c>
    </row>
    <row r="4177" spans="2:10" x14ac:dyDescent="0.3">
      <c r="B4177" s="7">
        <v>44866</v>
      </c>
      <c r="C4177" s="3">
        <f t="shared" si="130"/>
        <v>2022</v>
      </c>
      <c r="D4177" s="3">
        <f t="shared" si="131"/>
        <v>202211</v>
      </c>
      <c r="E4177" s="5" t="s">
        <v>6</v>
      </c>
      <c r="F4177" s="5" t="s">
        <v>56</v>
      </c>
      <c r="G4177" s="5" t="s">
        <v>19</v>
      </c>
      <c r="H4177">
        <v>24</v>
      </c>
      <c r="I4177" s="4">
        <v>399600</v>
      </c>
      <c r="J4177" s="4">
        <v>147600</v>
      </c>
    </row>
    <row r="4178" spans="2:10" x14ac:dyDescent="0.3">
      <c r="B4178" s="7">
        <v>44896</v>
      </c>
      <c r="C4178" s="3">
        <f t="shared" si="130"/>
        <v>2022</v>
      </c>
      <c r="D4178" s="3">
        <f t="shared" si="131"/>
        <v>202212</v>
      </c>
      <c r="E4178" s="5" t="s">
        <v>6</v>
      </c>
      <c r="F4178" s="5" t="s">
        <v>56</v>
      </c>
      <c r="G4178" s="5" t="s">
        <v>19</v>
      </c>
      <c r="H4178">
        <v>29</v>
      </c>
      <c r="I4178" s="4">
        <v>463478</v>
      </c>
      <c r="J4178" s="4">
        <v>178350</v>
      </c>
    </row>
    <row r="4179" spans="2:10" x14ac:dyDescent="0.3">
      <c r="B4179" s="7">
        <v>44197</v>
      </c>
      <c r="C4179" s="3">
        <f t="shared" si="130"/>
        <v>2021</v>
      </c>
      <c r="D4179" s="3">
        <f t="shared" si="131"/>
        <v>202101</v>
      </c>
      <c r="E4179" s="5" t="s">
        <v>6</v>
      </c>
      <c r="F4179" s="5" t="s">
        <v>56</v>
      </c>
      <c r="G4179" s="5" t="s">
        <v>20</v>
      </c>
      <c r="H4179">
        <v>46</v>
      </c>
      <c r="I4179" s="4">
        <v>552644</v>
      </c>
      <c r="J4179" s="4">
        <v>202400</v>
      </c>
    </row>
    <row r="4180" spans="2:10" x14ac:dyDescent="0.3">
      <c r="B4180" s="7">
        <v>44228</v>
      </c>
      <c r="C4180" s="3">
        <f t="shared" si="130"/>
        <v>2021</v>
      </c>
      <c r="D4180" s="3">
        <f t="shared" si="131"/>
        <v>202102</v>
      </c>
      <c r="E4180" s="5" t="s">
        <v>6</v>
      </c>
      <c r="F4180" s="5" t="s">
        <v>56</v>
      </c>
      <c r="G4180" s="5" t="s">
        <v>20</v>
      </c>
      <c r="H4180">
        <v>29</v>
      </c>
      <c r="I4180" s="4">
        <v>340344</v>
      </c>
      <c r="J4180" s="4">
        <v>127600</v>
      </c>
    </row>
    <row r="4181" spans="2:10" x14ac:dyDescent="0.3">
      <c r="B4181" s="7">
        <v>44256</v>
      </c>
      <c r="C4181" s="3">
        <f t="shared" si="130"/>
        <v>2021</v>
      </c>
      <c r="D4181" s="3">
        <f t="shared" si="131"/>
        <v>202103</v>
      </c>
      <c r="E4181" s="5" t="s">
        <v>6</v>
      </c>
      <c r="F4181" s="5" t="s">
        <v>56</v>
      </c>
      <c r="G4181" s="5" t="s">
        <v>20</v>
      </c>
      <c r="H4181">
        <v>23</v>
      </c>
      <c r="I4181" s="4">
        <v>263373</v>
      </c>
      <c r="J4181" s="4">
        <v>101200</v>
      </c>
    </row>
    <row r="4182" spans="2:10" x14ac:dyDescent="0.3">
      <c r="B4182" s="7">
        <v>44287</v>
      </c>
      <c r="C4182" s="3">
        <f t="shared" si="130"/>
        <v>2021</v>
      </c>
      <c r="D4182" s="3">
        <f t="shared" si="131"/>
        <v>202104</v>
      </c>
      <c r="E4182" s="5" t="s">
        <v>6</v>
      </c>
      <c r="F4182" s="5" t="s">
        <v>56</v>
      </c>
      <c r="G4182" s="5" t="s">
        <v>20</v>
      </c>
      <c r="H4182">
        <v>43</v>
      </c>
      <c r="I4182" s="4">
        <v>559000</v>
      </c>
      <c r="J4182" s="4">
        <v>189200</v>
      </c>
    </row>
    <row r="4183" spans="2:10" x14ac:dyDescent="0.3">
      <c r="B4183" s="7">
        <v>44317</v>
      </c>
      <c r="C4183" s="3">
        <f t="shared" si="130"/>
        <v>2021</v>
      </c>
      <c r="D4183" s="3">
        <f t="shared" si="131"/>
        <v>202105</v>
      </c>
      <c r="E4183" s="5" t="s">
        <v>6</v>
      </c>
      <c r="F4183" s="5" t="s">
        <v>56</v>
      </c>
      <c r="G4183" s="5" t="s">
        <v>20</v>
      </c>
      <c r="H4183">
        <v>55</v>
      </c>
      <c r="I4183" s="4">
        <v>714890</v>
      </c>
      <c r="J4183" s="4">
        <v>242000</v>
      </c>
    </row>
    <row r="4184" spans="2:10" x14ac:dyDescent="0.3">
      <c r="B4184" s="7">
        <v>44348</v>
      </c>
      <c r="C4184" s="3">
        <f t="shared" si="130"/>
        <v>2021</v>
      </c>
      <c r="D4184" s="3">
        <f t="shared" si="131"/>
        <v>202106</v>
      </c>
      <c r="E4184" s="5" t="s">
        <v>6</v>
      </c>
      <c r="F4184" s="5" t="s">
        <v>56</v>
      </c>
      <c r="G4184" s="5" t="s">
        <v>20</v>
      </c>
      <c r="H4184">
        <v>52</v>
      </c>
      <c r="I4184" s="4">
        <v>670904</v>
      </c>
      <c r="J4184" s="4">
        <v>228800</v>
      </c>
    </row>
    <row r="4185" spans="2:10" x14ac:dyDescent="0.3">
      <c r="B4185" s="7">
        <v>44378</v>
      </c>
      <c r="C4185" s="3">
        <f t="shared" si="130"/>
        <v>2021</v>
      </c>
      <c r="D4185" s="3">
        <f t="shared" si="131"/>
        <v>202107</v>
      </c>
      <c r="E4185" s="5" t="s">
        <v>6</v>
      </c>
      <c r="F4185" s="5" t="s">
        <v>56</v>
      </c>
      <c r="G4185" s="5" t="s">
        <v>20</v>
      </c>
      <c r="H4185">
        <v>55</v>
      </c>
      <c r="I4185" s="4">
        <v>577830</v>
      </c>
      <c r="J4185" s="4">
        <v>242000</v>
      </c>
    </row>
    <row r="4186" spans="2:10" x14ac:dyDescent="0.3">
      <c r="B4186" s="7">
        <v>44409</v>
      </c>
      <c r="C4186" s="3">
        <f t="shared" si="130"/>
        <v>2021</v>
      </c>
      <c r="D4186" s="3">
        <f t="shared" si="131"/>
        <v>202108</v>
      </c>
      <c r="E4186" s="5" t="s">
        <v>6</v>
      </c>
      <c r="F4186" s="5" t="s">
        <v>56</v>
      </c>
      <c r="G4186" s="5" t="s">
        <v>20</v>
      </c>
      <c r="H4186">
        <v>46</v>
      </c>
      <c r="I4186" s="4">
        <v>538108</v>
      </c>
      <c r="J4186" s="4">
        <v>202400</v>
      </c>
    </row>
    <row r="4187" spans="2:10" x14ac:dyDescent="0.3">
      <c r="B4187" s="7">
        <v>44440</v>
      </c>
      <c r="C4187" s="3">
        <f t="shared" si="130"/>
        <v>2021</v>
      </c>
      <c r="D4187" s="3">
        <f t="shared" si="131"/>
        <v>202109</v>
      </c>
      <c r="E4187" s="5" t="s">
        <v>6</v>
      </c>
      <c r="F4187" s="5" t="s">
        <v>56</v>
      </c>
      <c r="G4187" s="5" t="s">
        <v>20</v>
      </c>
      <c r="H4187">
        <v>49</v>
      </c>
      <c r="I4187" s="4">
        <v>593292</v>
      </c>
      <c r="J4187" s="4">
        <v>215600</v>
      </c>
    </row>
    <row r="4188" spans="2:10" x14ac:dyDescent="0.3">
      <c r="B4188" s="7">
        <v>44470</v>
      </c>
      <c r="C4188" s="3">
        <f t="shared" si="130"/>
        <v>2021</v>
      </c>
      <c r="D4188" s="3">
        <f t="shared" si="131"/>
        <v>202110</v>
      </c>
      <c r="E4188" s="5" t="s">
        <v>6</v>
      </c>
      <c r="F4188" s="5" t="s">
        <v>56</v>
      </c>
      <c r="G4188" s="5" t="s">
        <v>20</v>
      </c>
      <c r="H4188">
        <v>40</v>
      </c>
      <c r="I4188" s="4">
        <v>495560</v>
      </c>
      <c r="J4188" s="4">
        <v>176000</v>
      </c>
    </row>
    <row r="4189" spans="2:10" x14ac:dyDescent="0.3">
      <c r="B4189" s="7">
        <v>44501</v>
      </c>
      <c r="C4189" s="3">
        <f t="shared" si="130"/>
        <v>2021</v>
      </c>
      <c r="D4189" s="3">
        <f t="shared" si="131"/>
        <v>202111</v>
      </c>
      <c r="E4189" s="5" t="s">
        <v>6</v>
      </c>
      <c r="F4189" s="5" t="s">
        <v>56</v>
      </c>
      <c r="G4189" s="5" t="s">
        <v>20</v>
      </c>
      <c r="H4189">
        <v>29</v>
      </c>
      <c r="I4189" s="4">
        <v>342287</v>
      </c>
      <c r="J4189" s="4">
        <v>127600</v>
      </c>
    </row>
    <row r="4190" spans="2:10" x14ac:dyDescent="0.3">
      <c r="B4190" s="7">
        <v>44531</v>
      </c>
      <c r="C4190" s="3">
        <f t="shared" si="130"/>
        <v>2021</v>
      </c>
      <c r="D4190" s="3">
        <f t="shared" si="131"/>
        <v>202112</v>
      </c>
      <c r="E4190" s="5" t="s">
        <v>6</v>
      </c>
      <c r="F4190" s="5" t="s">
        <v>56</v>
      </c>
      <c r="G4190" s="5" t="s">
        <v>20</v>
      </c>
      <c r="H4190">
        <v>35</v>
      </c>
      <c r="I4190" s="4">
        <v>389760</v>
      </c>
      <c r="J4190" s="4">
        <v>154000</v>
      </c>
    </row>
    <row r="4191" spans="2:10" x14ac:dyDescent="0.3">
      <c r="B4191" s="7">
        <v>44562</v>
      </c>
      <c r="C4191" s="3">
        <f t="shared" si="130"/>
        <v>2022</v>
      </c>
      <c r="D4191" s="3">
        <f t="shared" si="131"/>
        <v>202201</v>
      </c>
      <c r="E4191" s="5" t="s">
        <v>6</v>
      </c>
      <c r="F4191" s="5" t="s">
        <v>56</v>
      </c>
      <c r="G4191" s="5" t="s">
        <v>20</v>
      </c>
      <c r="H4191">
        <v>51</v>
      </c>
      <c r="I4191" s="4">
        <v>643212</v>
      </c>
      <c r="J4191" s="4">
        <v>224400</v>
      </c>
    </row>
    <row r="4192" spans="2:10" x14ac:dyDescent="0.3">
      <c r="B4192" s="7">
        <v>44593</v>
      </c>
      <c r="C4192" s="3">
        <f t="shared" si="130"/>
        <v>2022</v>
      </c>
      <c r="D4192" s="3">
        <f t="shared" si="131"/>
        <v>202202</v>
      </c>
      <c r="E4192" s="5" t="s">
        <v>6</v>
      </c>
      <c r="F4192" s="5" t="s">
        <v>56</v>
      </c>
      <c r="G4192" s="5" t="s">
        <v>20</v>
      </c>
      <c r="H4192">
        <v>32</v>
      </c>
      <c r="I4192" s="4">
        <v>405344</v>
      </c>
      <c r="J4192" s="4">
        <v>140800</v>
      </c>
    </row>
    <row r="4193" spans="2:10" x14ac:dyDescent="0.3">
      <c r="B4193" s="7">
        <v>44621</v>
      </c>
      <c r="C4193" s="3">
        <f t="shared" si="130"/>
        <v>2022</v>
      </c>
      <c r="D4193" s="3">
        <f t="shared" si="131"/>
        <v>202203</v>
      </c>
      <c r="E4193" s="5" t="s">
        <v>6</v>
      </c>
      <c r="F4193" s="5" t="s">
        <v>56</v>
      </c>
      <c r="G4193" s="5" t="s">
        <v>20</v>
      </c>
      <c r="H4193">
        <v>26</v>
      </c>
      <c r="I4193" s="4">
        <v>297492</v>
      </c>
      <c r="J4193" s="4">
        <v>114400</v>
      </c>
    </row>
    <row r="4194" spans="2:10" x14ac:dyDescent="0.3">
      <c r="B4194" s="7">
        <v>44652</v>
      </c>
      <c r="C4194" s="3">
        <f t="shared" si="130"/>
        <v>2022</v>
      </c>
      <c r="D4194" s="3">
        <f t="shared" si="131"/>
        <v>202204</v>
      </c>
      <c r="E4194" s="5" t="s">
        <v>6</v>
      </c>
      <c r="F4194" s="5" t="s">
        <v>56</v>
      </c>
      <c r="G4194" s="5" t="s">
        <v>20</v>
      </c>
      <c r="H4194">
        <v>48</v>
      </c>
      <c r="I4194" s="4">
        <v>605520</v>
      </c>
      <c r="J4194" s="4">
        <v>211200</v>
      </c>
    </row>
    <row r="4195" spans="2:10" x14ac:dyDescent="0.3">
      <c r="B4195" s="7">
        <v>44682</v>
      </c>
      <c r="C4195" s="3">
        <f t="shared" si="130"/>
        <v>2022</v>
      </c>
      <c r="D4195" s="3">
        <f t="shared" si="131"/>
        <v>202205</v>
      </c>
      <c r="E4195" s="5" t="s">
        <v>6</v>
      </c>
      <c r="F4195" s="5" t="s">
        <v>56</v>
      </c>
      <c r="G4195" s="5" t="s">
        <v>20</v>
      </c>
      <c r="H4195">
        <v>60</v>
      </c>
      <c r="I4195" s="4">
        <v>760740</v>
      </c>
      <c r="J4195" s="4">
        <v>264000</v>
      </c>
    </row>
    <row r="4196" spans="2:10" x14ac:dyDescent="0.3">
      <c r="B4196" s="7">
        <v>44713</v>
      </c>
      <c r="C4196" s="3">
        <f t="shared" si="130"/>
        <v>2022</v>
      </c>
      <c r="D4196" s="3">
        <f t="shared" si="131"/>
        <v>202206</v>
      </c>
      <c r="E4196" s="5" t="s">
        <v>6</v>
      </c>
      <c r="F4196" s="5" t="s">
        <v>56</v>
      </c>
      <c r="G4196" s="5" t="s">
        <v>20</v>
      </c>
      <c r="H4196">
        <v>57</v>
      </c>
      <c r="I4196" s="4">
        <v>676191</v>
      </c>
      <c r="J4196" s="4">
        <v>250800</v>
      </c>
    </row>
    <row r="4197" spans="2:10" x14ac:dyDescent="0.3">
      <c r="B4197" s="7">
        <v>44743</v>
      </c>
      <c r="C4197" s="3">
        <f t="shared" si="130"/>
        <v>2022</v>
      </c>
      <c r="D4197" s="3">
        <f t="shared" si="131"/>
        <v>202207</v>
      </c>
      <c r="E4197" s="5" t="s">
        <v>6</v>
      </c>
      <c r="F4197" s="5" t="s">
        <v>56</v>
      </c>
      <c r="G4197" s="5" t="s">
        <v>20</v>
      </c>
      <c r="H4197">
        <v>60</v>
      </c>
      <c r="I4197" s="4">
        <v>628080</v>
      </c>
      <c r="J4197" s="4">
        <v>264000</v>
      </c>
    </row>
    <row r="4198" spans="2:10" x14ac:dyDescent="0.3">
      <c r="B4198" s="7">
        <v>44774</v>
      </c>
      <c r="C4198" s="3">
        <f t="shared" si="130"/>
        <v>2022</v>
      </c>
      <c r="D4198" s="3">
        <f t="shared" si="131"/>
        <v>202208</v>
      </c>
      <c r="E4198" s="5" t="s">
        <v>6</v>
      </c>
      <c r="F4198" s="5" t="s">
        <v>56</v>
      </c>
      <c r="G4198" s="5" t="s">
        <v>20</v>
      </c>
      <c r="H4198">
        <v>51</v>
      </c>
      <c r="I4198" s="4">
        <v>580941</v>
      </c>
      <c r="J4198" s="4">
        <v>224400</v>
      </c>
    </row>
    <row r="4199" spans="2:10" x14ac:dyDescent="0.3">
      <c r="B4199" s="7">
        <v>44805</v>
      </c>
      <c r="C4199" s="3">
        <f t="shared" si="130"/>
        <v>2022</v>
      </c>
      <c r="D4199" s="3">
        <f t="shared" si="131"/>
        <v>202209</v>
      </c>
      <c r="E4199" s="5" t="s">
        <v>6</v>
      </c>
      <c r="F4199" s="5" t="s">
        <v>56</v>
      </c>
      <c r="G4199" s="5" t="s">
        <v>20</v>
      </c>
      <c r="H4199">
        <v>54</v>
      </c>
      <c r="I4199" s="4">
        <v>636984</v>
      </c>
      <c r="J4199" s="4">
        <v>237600</v>
      </c>
    </row>
    <row r="4200" spans="2:10" x14ac:dyDescent="0.3">
      <c r="B4200" s="7">
        <v>44835</v>
      </c>
      <c r="C4200" s="3">
        <f t="shared" si="130"/>
        <v>2022</v>
      </c>
      <c r="D4200" s="3">
        <f t="shared" si="131"/>
        <v>202210</v>
      </c>
      <c r="E4200" s="5" t="s">
        <v>6</v>
      </c>
      <c r="F4200" s="5" t="s">
        <v>56</v>
      </c>
      <c r="G4200" s="5" t="s">
        <v>20</v>
      </c>
      <c r="H4200">
        <v>44</v>
      </c>
      <c r="I4200" s="4">
        <v>535172</v>
      </c>
      <c r="J4200" s="4">
        <v>193600</v>
      </c>
    </row>
    <row r="4201" spans="2:10" x14ac:dyDescent="0.3">
      <c r="B4201" s="7">
        <v>44866</v>
      </c>
      <c r="C4201" s="3">
        <f t="shared" si="130"/>
        <v>2022</v>
      </c>
      <c r="D4201" s="3">
        <f t="shared" si="131"/>
        <v>202211</v>
      </c>
      <c r="E4201" s="5" t="s">
        <v>6</v>
      </c>
      <c r="F4201" s="5" t="s">
        <v>56</v>
      </c>
      <c r="G4201" s="5" t="s">
        <v>20</v>
      </c>
      <c r="H4201">
        <v>32</v>
      </c>
      <c r="I4201" s="4">
        <v>387840</v>
      </c>
      <c r="J4201" s="4">
        <v>140800</v>
      </c>
    </row>
    <row r="4202" spans="2:10" x14ac:dyDescent="0.3">
      <c r="B4202" s="7">
        <v>44896</v>
      </c>
      <c r="C4202" s="3">
        <f t="shared" si="130"/>
        <v>2022</v>
      </c>
      <c r="D4202" s="3">
        <f t="shared" si="131"/>
        <v>202212</v>
      </c>
      <c r="E4202" s="5" t="s">
        <v>6</v>
      </c>
      <c r="F4202" s="5" t="s">
        <v>56</v>
      </c>
      <c r="G4202" s="5" t="s">
        <v>20</v>
      </c>
      <c r="H4202">
        <v>38</v>
      </c>
      <c r="I4202" s="4">
        <v>456114</v>
      </c>
      <c r="J4202" s="4">
        <v>167200</v>
      </c>
    </row>
    <row r="4203" spans="2:10" x14ac:dyDescent="0.3">
      <c r="B4203" s="7">
        <v>44197</v>
      </c>
      <c r="C4203" s="3">
        <f t="shared" si="130"/>
        <v>2021</v>
      </c>
      <c r="D4203" s="3">
        <f t="shared" si="131"/>
        <v>202101</v>
      </c>
      <c r="E4203" s="5" t="s">
        <v>6</v>
      </c>
      <c r="F4203" s="5" t="s">
        <v>9</v>
      </c>
      <c r="G4203" s="5" t="s">
        <v>21</v>
      </c>
      <c r="H4203">
        <v>23</v>
      </c>
      <c r="I4203" s="4">
        <v>117438</v>
      </c>
      <c r="J4203" s="4">
        <v>41699</v>
      </c>
    </row>
    <row r="4204" spans="2:10" x14ac:dyDescent="0.3">
      <c r="B4204" s="7">
        <v>44228</v>
      </c>
      <c r="C4204" s="3">
        <f t="shared" si="130"/>
        <v>2021</v>
      </c>
      <c r="D4204" s="3">
        <f t="shared" si="131"/>
        <v>202102</v>
      </c>
      <c r="E4204" s="5" t="s">
        <v>6</v>
      </c>
      <c r="F4204" s="5" t="s">
        <v>9</v>
      </c>
      <c r="G4204" s="5" t="s">
        <v>21</v>
      </c>
      <c r="H4204">
        <v>15</v>
      </c>
      <c r="I4204" s="4">
        <v>82530</v>
      </c>
      <c r="J4204" s="4">
        <v>27195</v>
      </c>
    </row>
    <row r="4205" spans="2:10" x14ac:dyDescent="0.3">
      <c r="B4205" s="7">
        <v>44256</v>
      </c>
      <c r="C4205" s="3">
        <f t="shared" si="130"/>
        <v>2021</v>
      </c>
      <c r="D4205" s="3">
        <f t="shared" si="131"/>
        <v>202103</v>
      </c>
      <c r="E4205" s="5" t="s">
        <v>6</v>
      </c>
      <c r="F4205" s="5" t="s">
        <v>9</v>
      </c>
      <c r="G4205" s="5" t="s">
        <v>21</v>
      </c>
      <c r="H4205">
        <v>12</v>
      </c>
      <c r="I4205" s="4">
        <v>48072</v>
      </c>
      <c r="J4205" s="4">
        <v>21756</v>
      </c>
    </row>
    <row r="4206" spans="2:10" x14ac:dyDescent="0.3">
      <c r="B4206" s="7">
        <v>44287</v>
      </c>
      <c r="C4206" s="3">
        <f t="shared" si="130"/>
        <v>2021</v>
      </c>
      <c r="D4206" s="3">
        <f t="shared" si="131"/>
        <v>202104</v>
      </c>
      <c r="E4206" s="5" t="s">
        <v>6</v>
      </c>
      <c r="F4206" s="5" t="s">
        <v>9</v>
      </c>
      <c r="G4206" s="5" t="s">
        <v>21</v>
      </c>
      <c r="H4206">
        <v>22</v>
      </c>
      <c r="I4206" s="4">
        <v>127270</v>
      </c>
      <c r="J4206" s="4">
        <v>39886</v>
      </c>
    </row>
    <row r="4207" spans="2:10" x14ac:dyDescent="0.3">
      <c r="B4207" s="7">
        <v>44317</v>
      </c>
      <c r="C4207" s="3">
        <f t="shared" si="130"/>
        <v>2021</v>
      </c>
      <c r="D4207" s="3">
        <f t="shared" si="131"/>
        <v>202105</v>
      </c>
      <c r="E4207" s="5" t="s">
        <v>6</v>
      </c>
      <c r="F4207" s="5" t="s">
        <v>9</v>
      </c>
      <c r="G4207" s="5" t="s">
        <v>21</v>
      </c>
      <c r="H4207">
        <v>28</v>
      </c>
      <c r="I4207" s="4">
        <v>168644</v>
      </c>
      <c r="J4207" s="4">
        <v>50764</v>
      </c>
    </row>
    <row r="4208" spans="2:10" x14ac:dyDescent="0.3">
      <c r="B4208" s="7">
        <v>44348</v>
      </c>
      <c r="C4208" s="3">
        <f t="shared" si="130"/>
        <v>2021</v>
      </c>
      <c r="D4208" s="3">
        <f t="shared" si="131"/>
        <v>202106</v>
      </c>
      <c r="E4208" s="5" t="s">
        <v>6</v>
      </c>
      <c r="F4208" s="5" t="s">
        <v>9</v>
      </c>
      <c r="G4208" s="5" t="s">
        <v>21</v>
      </c>
      <c r="H4208">
        <v>26</v>
      </c>
      <c r="I4208" s="4">
        <v>116714</v>
      </c>
      <c r="J4208" s="4">
        <v>47138</v>
      </c>
    </row>
    <row r="4209" spans="2:10" x14ac:dyDescent="0.3">
      <c r="B4209" s="7">
        <v>44378</v>
      </c>
      <c r="C4209" s="3">
        <f t="shared" si="130"/>
        <v>2021</v>
      </c>
      <c r="D4209" s="3">
        <f t="shared" si="131"/>
        <v>202107</v>
      </c>
      <c r="E4209" s="5" t="s">
        <v>6</v>
      </c>
      <c r="F4209" s="5" t="s">
        <v>9</v>
      </c>
      <c r="G4209" s="5" t="s">
        <v>21</v>
      </c>
      <c r="H4209">
        <v>28</v>
      </c>
      <c r="I4209" s="4">
        <v>95284</v>
      </c>
      <c r="J4209" s="4">
        <v>50764</v>
      </c>
    </row>
    <row r="4210" spans="2:10" x14ac:dyDescent="0.3">
      <c r="B4210" s="7">
        <v>44409</v>
      </c>
      <c r="C4210" s="3">
        <f t="shared" si="130"/>
        <v>2021</v>
      </c>
      <c r="D4210" s="3">
        <f t="shared" si="131"/>
        <v>202108</v>
      </c>
      <c r="E4210" s="5" t="s">
        <v>6</v>
      </c>
      <c r="F4210" s="5" t="s">
        <v>9</v>
      </c>
      <c r="G4210" s="5" t="s">
        <v>21</v>
      </c>
      <c r="H4210">
        <v>23</v>
      </c>
      <c r="I4210" s="4">
        <v>97704</v>
      </c>
      <c r="J4210" s="4">
        <v>41699</v>
      </c>
    </row>
    <row r="4211" spans="2:10" x14ac:dyDescent="0.3">
      <c r="B4211" s="7">
        <v>44440</v>
      </c>
      <c r="C4211" s="3">
        <f t="shared" si="130"/>
        <v>2021</v>
      </c>
      <c r="D4211" s="3">
        <f t="shared" si="131"/>
        <v>202109</v>
      </c>
      <c r="E4211" s="5" t="s">
        <v>6</v>
      </c>
      <c r="F4211" s="5" t="s">
        <v>9</v>
      </c>
      <c r="G4211" s="5" t="s">
        <v>21</v>
      </c>
      <c r="H4211">
        <v>25</v>
      </c>
      <c r="I4211" s="4">
        <v>119250</v>
      </c>
      <c r="J4211" s="4">
        <v>45325</v>
      </c>
    </row>
    <row r="4212" spans="2:10" x14ac:dyDescent="0.3">
      <c r="B4212" s="7">
        <v>44470</v>
      </c>
      <c r="C4212" s="3">
        <f t="shared" si="130"/>
        <v>2021</v>
      </c>
      <c r="D4212" s="3">
        <f t="shared" si="131"/>
        <v>202110</v>
      </c>
      <c r="E4212" s="5" t="s">
        <v>6</v>
      </c>
      <c r="F4212" s="5" t="s">
        <v>9</v>
      </c>
      <c r="G4212" s="5" t="s">
        <v>21</v>
      </c>
      <c r="H4212">
        <v>21</v>
      </c>
      <c r="I4212" s="4">
        <v>98532</v>
      </c>
      <c r="J4212" s="4">
        <v>38073</v>
      </c>
    </row>
    <row r="4213" spans="2:10" x14ac:dyDescent="0.3">
      <c r="B4213" s="7">
        <v>44501</v>
      </c>
      <c r="C4213" s="3">
        <f t="shared" si="130"/>
        <v>2021</v>
      </c>
      <c r="D4213" s="3">
        <f t="shared" si="131"/>
        <v>202111</v>
      </c>
      <c r="E4213" s="5" t="s">
        <v>6</v>
      </c>
      <c r="F4213" s="5" t="s">
        <v>9</v>
      </c>
      <c r="G4213" s="5" t="s">
        <v>21</v>
      </c>
      <c r="H4213">
        <v>15</v>
      </c>
      <c r="I4213" s="4">
        <v>72825</v>
      </c>
      <c r="J4213" s="4">
        <v>27195</v>
      </c>
    </row>
    <row r="4214" spans="2:10" x14ac:dyDescent="0.3">
      <c r="B4214" s="7">
        <v>44531</v>
      </c>
      <c r="C4214" s="3">
        <f t="shared" si="130"/>
        <v>2021</v>
      </c>
      <c r="D4214" s="3">
        <f t="shared" si="131"/>
        <v>202112</v>
      </c>
      <c r="E4214" s="5" t="s">
        <v>6</v>
      </c>
      <c r="F4214" s="5" t="s">
        <v>9</v>
      </c>
      <c r="G4214" s="5" t="s">
        <v>21</v>
      </c>
      <c r="H4214">
        <v>18</v>
      </c>
      <c r="I4214" s="4">
        <v>77670</v>
      </c>
      <c r="J4214" s="4">
        <v>32634</v>
      </c>
    </row>
    <row r="4215" spans="2:10" x14ac:dyDescent="0.3">
      <c r="B4215" s="7">
        <v>44562</v>
      </c>
      <c r="C4215" s="3">
        <f t="shared" si="130"/>
        <v>2022</v>
      </c>
      <c r="D4215" s="3">
        <f t="shared" si="131"/>
        <v>202201</v>
      </c>
      <c r="E4215" s="5" t="s">
        <v>6</v>
      </c>
      <c r="F4215" s="5" t="s">
        <v>9</v>
      </c>
      <c r="G4215" s="5" t="s">
        <v>21</v>
      </c>
      <c r="H4215">
        <v>26</v>
      </c>
      <c r="I4215" s="4">
        <v>125138</v>
      </c>
      <c r="J4215" s="4">
        <v>47138</v>
      </c>
    </row>
    <row r="4216" spans="2:10" x14ac:dyDescent="0.3">
      <c r="B4216" s="7">
        <v>44593</v>
      </c>
      <c r="C4216" s="3">
        <f t="shared" si="130"/>
        <v>2022</v>
      </c>
      <c r="D4216" s="3">
        <f t="shared" si="131"/>
        <v>202202</v>
      </c>
      <c r="E4216" s="5" t="s">
        <v>6</v>
      </c>
      <c r="F4216" s="5" t="s">
        <v>9</v>
      </c>
      <c r="G4216" s="5" t="s">
        <v>21</v>
      </c>
      <c r="H4216">
        <v>16</v>
      </c>
      <c r="I4216" s="4">
        <v>90992</v>
      </c>
      <c r="J4216" s="4">
        <v>29008</v>
      </c>
    </row>
    <row r="4217" spans="2:10" x14ac:dyDescent="0.3">
      <c r="B4217" s="7">
        <v>44621</v>
      </c>
      <c r="C4217" s="3">
        <f t="shared" si="130"/>
        <v>2022</v>
      </c>
      <c r="D4217" s="3">
        <f t="shared" si="131"/>
        <v>202203</v>
      </c>
      <c r="E4217" s="5" t="s">
        <v>6</v>
      </c>
      <c r="F4217" s="5" t="s">
        <v>9</v>
      </c>
      <c r="G4217" s="5" t="s">
        <v>21</v>
      </c>
      <c r="H4217">
        <v>13</v>
      </c>
      <c r="I4217" s="4">
        <v>53547</v>
      </c>
      <c r="J4217" s="4">
        <v>23569</v>
      </c>
    </row>
    <row r="4218" spans="2:10" x14ac:dyDescent="0.3">
      <c r="B4218" s="7">
        <v>44652</v>
      </c>
      <c r="C4218" s="3">
        <f t="shared" si="130"/>
        <v>2022</v>
      </c>
      <c r="D4218" s="3">
        <f t="shared" si="131"/>
        <v>202204</v>
      </c>
      <c r="E4218" s="5" t="s">
        <v>6</v>
      </c>
      <c r="F4218" s="5" t="s">
        <v>9</v>
      </c>
      <c r="G4218" s="5" t="s">
        <v>21</v>
      </c>
      <c r="H4218">
        <v>24</v>
      </c>
      <c r="I4218" s="4">
        <v>140112</v>
      </c>
      <c r="J4218" s="4">
        <v>43512</v>
      </c>
    </row>
    <row r="4219" spans="2:10" x14ac:dyDescent="0.3">
      <c r="B4219" s="7">
        <v>44682</v>
      </c>
      <c r="C4219" s="3">
        <f t="shared" si="130"/>
        <v>2022</v>
      </c>
      <c r="D4219" s="3">
        <f t="shared" si="131"/>
        <v>202205</v>
      </c>
      <c r="E4219" s="5" t="s">
        <v>6</v>
      </c>
      <c r="F4219" s="5" t="s">
        <v>9</v>
      </c>
      <c r="G4219" s="5" t="s">
        <v>21</v>
      </c>
      <c r="H4219">
        <v>31</v>
      </c>
      <c r="I4219" s="4">
        <v>190557</v>
      </c>
      <c r="J4219" s="4">
        <v>56203</v>
      </c>
    </row>
    <row r="4220" spans="2:10" x14ac:dyDescent="0.3">
      <c r="B4220" s="7">
        <v>44713</v>
      </c>
      <c r="C4220" s="3">
        <f t="shared" si="130"/>
        <v>2022</v>
      </c>
      <c r="D4220" s="3">
        <f t="shared" si="131"/>
        <v>202206</v>
      </c>
      <c r="E4220" s="5" t="s">
        <v>6</v>
      </c>
      <c r="F4220" s="5" t="s">
        <v>9</v>
      </c>
      <c r="G4220" s="5" t="s">
        <v>21</v>
      </c>
      <c r="H4220">
        <v>29</v>
      </c>
      <c r="I4220" s="4">
        <v>151757</v>
      </c>
      <c r="J4220" s="4">
        <v>52577</v>
      </c>
    </row>
    <row r="4221" spans="2:10" x14ac:dyDescent="0.3">
      <c r="B4221" s="7">
        <v>44743</v>
      </c>
      <c r="C4221" s="3">
        <f t="shared" si="130"/>
        <v>2022</v>
      </c>
      <c r="D4221" s="3">
        <f t="shared" si="131"/>
        <v>202207</v>
      </c>
      <c r="E4221" s="5" t="s">
        <v>6</v>
      </c>
      <c r="F4221" s="5" t="s">
        <v>9</v>
      </c>
      <c r="G4221" s="5" t="s">
        <v>21</v>
      </c>
      <c r="H4221">
        <v>31</v>
      </c>
      <c r="I4221" s="4">
        <v>104005</v>
      </c>
      <c r="J4221" s="4">
        <v>56203</v>
      </c>
    </row>
    <row r="4222" spans="2:10" x14ac:dyDescent="0.3">
      <c r="B4222" s="7">
        <v>44774</v>
      </c>
      <c r="C4222" s="3">
        <f t="shared" si="130"/>
        <v>2022</v>
      </c>
      <c r="D4222" s="3">
        <f t="shared" si="131"/>
        <v>202208</v>
      </c>
      <c r="E4222" s="5" t="s">
        <v>6</v>
      </c>
      <c r="F4222" s="5" t="s">
        <v>9</v>
      </c>
      <c r="G4222" s="5" t="s">
        <v>21</v>
      </c>
      <c r="H4222">
        <v>26</v>
      </c>
      <c r="I4222" s="4">
        <v>126828</v>
      </c>
      <c r="J4222" s="4">
        <v>47138</v>
      </c>
    </row>
    <row r="4223" spans="2:10" x14ac:dyDescent="0.3">
      <c r="B4223" s="7">
        <v>44805</v>
      </c>
      <c r="C4223" s="3">
        <f t="shared" si="130"/>
        <v>2022</v>
      </c>
      <c r="D4223" s="3">
        <f t="shared" si="131"/>
        <v>202209</v>
      </c>
      <c r="E4223" s="5" t="s">
        <v>6</v>
      </c>
      <c r="F4223" s="5" t="s">
        <v>9</v>
      </c>
      <c r="G4223" s="5" t="s">
        <v>21</v>
      </c>
      <c r="H4223">
        <v>27</v>
      </c>
      <c r="I4223" s="4">
        <v>127089</v>
      </c>
      <c r="J4223" s="4">
        <v>48951</v>
      </c>
    </row>
    <row r="4224" spans="2:10" x14ac:dyDescent="0.3">
      <c r="B4224" s="7">
        <v>44835</v>
      </c>
      <c r="C4224" s="3">
        <f t="shared" si="130"/>
        <v>2022</v>
      </c>
      <c r="D4224" s="3">
        <f t="shared" si="131"/>
        <v>202210</v>
      </c>
      <c r="E4224" s="5" t="s">
        <v>6</v>
      </c>
      <c r="F4224" s="5" t="s">
        <v>9</v>
      </c>
      <c r="G4224" s="5" t="s">
        <v>21</v>
      </c>
      <c r="H4224">
        <v>23</v>
      </c>
      <c r="I4224" s="4">
        <v>107640</v>
      </c>
      <c r="J4224" s="4">
        <v>41699</v>
      </c>
    </row>
    <row r="4225" spans="2:10" x14ac:dyDescent="0.3">
      <c r="B4225" s="7">
        <v>44866</v>
      </c>
      <c r="C4225" s="3">
        <f t="shared" si="130"/>
        <v>2022</v>
      </c>
      <c r="D4225" s="3">
        <f t="shared" si="131"/>
        <v>202211</v>
      </c>
      <c r="E4225" s="5" t="s">
        <v>6</v>
      </c>
      <c r="F4225" s="5" t="s">
        <v>9</v>
      </c>
      <c r="G4225" s="5" t="s">
        <v>21</v>
      </c>
      <c r="H4225">
        <v>16</v>
      </c>
      <c r="I4225" s="4">
        <v>72416</v>
      </c>
      <c r="J4225" s="4">
        <v>29008</v>
      </c>
    </row>
    <row r="4226" spans="2:10" x14ac:dyDescent="0.3">
      <c r="B4226" s="7">
        <v>44896</v>
      </c>
      <c r="C4226" s="3">
        <f t="shared" si="130"/>
        <v>2022</v>
      </c>
      <c r="D4226" s="3">
        <f t="shared" si="131"/>
        <v>202212</v>
      </c>
      <c r="E4226" s="5" t="s">
        <v>6</v>
      </c>
      <c r="F4226" s="5" t="s">
        <v>9</v>
      </c>
      <c r="G4226" s="5" t="s">
        <v>21</v>
      </c>
      <c r="H4226">
        <v>19</v>
      </c>
      <c r="I4226" s="4">
        <v>83866</v>
      </c>
      <c r="J4226" s="4">
        <v>34447</v>
      </c>
    </row>
    <row r="4227" spans="2:10" x14ac:dyDescent="0.3">
      <c r="B4227" s="7">
        <v>44197</v>
      </c>
      <c r="C4227" s="3">
        <f t="shared" ref="C4227:C4290" si="132">YEAR(B4227)</f>
        <v>2021</v>
      </c>
      <c r="D4227" s="3">
        <f t="shared" ref="D4227:D4290" si="133">VALUE(TEXT(B4227,"ГГГГММ"))</f>
        <v>202101</v>
      </c>
      <c r="E4227" s="5" t="s">
        <v>6</v>
      </c>
      <c r="F4227" s="5" t="s">
        <v>9</v>
      </c>
      <c r="G4227" s="5" t="s">
        <v>22</v>
      </c>
      <c r="H4227">
        <v>18</v>
      </c>
      <c r="I4227" s="4">
        <v>61578</v>
      </c>
      <c r="J4227" s="4">
        <v>20700</v>
      </c>
    </row>
    <row r="4228" spans="2:10" x14ac:dyDescent="0.3">
      <c r="B4228" s="7">
        <v>44228</v>
      </c>
      <c r="C4228" s="3">
        <f t="shared" si="132"/>
        <v>2021</v>
      </c>
      <c r="D4228" s="3">
        <f t="shared" si="133"/>
        <v>202102</v>
      </c>
      <c r="E4228" s="5" t="s">
        <v>6</v>
      </c>
      <c r="F4228" s="5" t="s">
        <v>9</v>
      </c>
      <c r="G4228" s="5" t="s">
        <v>22</v>
      </c>
      <c r="H4228">
        <v>12</v>
      </c>
      <c r="I4228" s="4">
        <v>50604</v>
      </c>
      <c r="J4228" s="4">
        <v>13800</v>
      </c>
    </row>
    <row r="4229" spans="2:10" x14ac:dyDescent="0.3">
      <c r="B4229" s="7">
        <v>44256</v>
      </c>
      <c r="C4229" s="3">
        <f t="shared" si="132"/>
        <v>2021</v>
      </c>
      <c r="D4229" s="3">
        <f t="shared" si="133"/>
        <v>202103</v>
      </c>
      <c r="E4229" s="5" t="s">
        <v>6</v>
      </c>
      <c r="F4229" s="5" t="s">
        <v>9</v>
      </c>
      <c r="G4229" s="5" t="s">
        <v>22</v>
      </c>
      <c r="H4229">
        <v>9</v>
      </c>
      <c r="I4229" s="4">
        <v>27657</v>
      </c>
      <c r="J4229" s="4">
        <v>10350</v>
      </c>
    </row>
    <row r="4230" spans="2:10" x14ac:dyDescent="0.3">
      <c r="B4230" s="7">
        <v>44287</v>
      </c>
      <c r="C4230" s="3">
        <f t="shared" si="132"/>
        <v>2021</v>
      </c>
      <c r="D4230" s="3">
        <f t="shared" si="133"/>
        <v>202104</v>
      </c>
      <c r="E4230" s="5" t="s">
        <v>6</v>
      </c>
      <c r="F4230" s="5" t="s">
        <v>9</v>
      </c>
      <c r="G4230" s="5" t="s">
        <v>22</v>
      </c>
      <c r="H4230">
        <v>17</v>
      </c>
      <c r="I4230" s="4">
        <v>70907</v>
      </c>
      <c r="J4230" s="4">
        <v>19550</v>
      </c>
    </row>
    <row r="4231" spans="2:10" x14ac:dyDescent="0.3">
      <c r="B4231" s="7">
        <v>44317</v>
      </c>
      <c r="C4231" s="3">
        <f t="shared" si="132"/>
        <v>2021</v>
      </c>
      <c r="D4231" s="3">
        <f t="shared" si="133"/>
        <v>202105</v>
      </c>
      <c r="E4231" s="5" t="s">
        <v>6</v>
      </c>
      <c r="F4231" s="5" t="s">
        <v>9</v>
      </c>
      <c r="G4231" s="5" t="s">
        <v>22</v>
      </c>
      <c r="H4231">
        <v>22</v>
      </c>
      <c r="I4231" s="4">
        <v>87296</v>
      </c>
      <c r="J4231" s="4">
        <v>25300</v>
      </c>
    </row>
    <row r="4232" spans="2:10" x14ac:dyDescent="0.3">
      <c r="B4232" s="7">
        <v>44348</v>
      </c>
      <c r="C4232" s="3">
        <f t="shared" si="132"/>
        <v>2021</v>
      </c>
      <c r="D4232" s="3">
        <f t="shared" si="133"/>
        <v>202106</v>
      </c>
      <c r="E4232" s="5" t="s">
        <v>6</v>
      </c>
      <c r="F4232" s="5" t="s">
        <v>9</v>
      </c>
      <c r="G4232" s="5" t="s">
        <v>22</v>
      </c>
      <c r="H4232">
        <v>21</v>
      </c>
      <c r="I4232" s="4">
        <v>87276</v>
      </c>
      <c r="J4232" s="4">
        <v>24150</v>
      </c>
    </row>
    <row r="4233" spans="2:10" x14ac:dyDescent="0.3">
      <c r="B4233" s="7">
        <v>44378</v>
      </c>
      <c r="C4233" s="3">
        <f t="shared" si="132"/>
        <v>2021</v>
      </c>
      <c r="D4233" s="3">
        <f t="shared" si="133"/>
        <v>202107</v>
      </c>
      <c r="E4233" s="5" t="s">
        <v>6</v>
      </c>
      <c r="F4233" s="5" t="s">
        <v>9</v>
      </c>
      <c r="G4233" s="5" t="s">
        <v>22</v>
      </c>
      <c r="H4233">
        <v>22</v>
      </c>
      <c r="I4233" s="4">
        <v>49060</v>
      </c>
      <c r="J4233" s="4">
        <v>25300</v>
      </c>
    </row>
    <row r="4234" spans="2:10" x14ac:dyDescent="0.3">
      <c r="B4234" s="7">
        <v>44409</v>
      </c>
      <c r="C4234" s="3">
        <f t="shared" si="132"/>
        <v>2021</v>
      </c>
      <c r="D4234" s="3">
        <f t="shared" si="133"/>
        <v>202108</v>
      </c>
      <c r="E4234" s="5" t="s">
        <v>6</v>
      </c>
      <c r="F4234" s="5" t="s">
        <v>9</v>
      </c>
      <c r="G4234" s="5" t="s">
        <v>22</v>
      </c>
      <c r="H4234">
        <v>18</v>
      </c>
      <c r="I4234" s="4">
        <v>59904</v>
      </c>
      <c r="J4234" s="4">
        <v>20700</v>
      </c>
    </row>
    <row r="4235" spans="2:10" x14ac:dyDescent="0.3">
      <c r="B4235" s="7">
        <v>44440</v>
      </c>
      <c r="C4235" s="3">
        <f t="shared" si="132"/>
        <v>2021</v>
      </c>
      <c r="D4235" s="3">
        <f t="shared" si="133"/>
        <v>202109</v>
      </c>
      <c r="E4235" s="5" t="s">
        <v>6</v>
      </c>
      <c r="F4235" s="5" t="s">
        <v>9</v>
      </c>
      <c r="G4235" s="5" t="s">
        <v>22</v>
      </c>
      <c r="H4235">
        <v>20</v>
      </c>
      <c r="I4235" s="4">
        <v>68100</v>
      </c>
      <c r="J4235" s="4">
        <v>23000</v>
      </c>
    </row>
    <row r="4236" spans="2:10" x14ac:dyDescent="0.3">
      <c r="B4236" s="7">
        <v>44470</v>
      </c>
      <c r="C4236" s="3">
        <f t="shared" si="132"/>
        <v>2021</v>
      </c>
      <c r="D4236" s="3">
        <f t="shared" si="133"/>
        <v>202110</v>
      </c>
      <c r="E4236" s="5" t="s">
        <v>6</v>
      </c>
      <c r="F4236" s="5" t="s">
        <v>9</v>
      </c>
      <c r="G4236" s="5" t="s">
        <v>22</v>
      </c>
      <c r="H4236">
        <v>16</v>
      </c>
      <c r="I4236" s="4">
        <v>64896</v>
      </c>
      <c r="J4236" s="4">
        <v>18400</v>
      </c>
    </row>
    <row r="4237" spans="2:10" x14ac:dyDescent="0.3">
      <c r="B4237" s="7">
        <v>44501</v>
      </c>
      <c r="C4237" s="3">
        <f t="shared" si="132"/>
        <v>2021</v>
      </c>
      <c r="D4237" s="3">
        <f t="shared" si="133"/>
        <v>202111</v>
      </c>
      <c r="E4237" s="5" t="s">
        <v>6</v>
      </c>
      <c r="F4237" s="5" t="s">
        <v>9</v>
      </c>
      <c r="G4237" s="5" t="s">
        <v>22</v>
      </c>
      <c r="H4237">
        <v>12</v>
      </c>
      <c r="I4237" s="4">
        <v>45144</v>
      </c>
      <c r="J4237" s="4">
        <v>13800</v>
      </c>
    </row>
    <row r="4238" spans="2:10" x14ac:dyDescent="0.3">
      <c r="B4238" s="7">
        <v>44531</v>
      </c>
      <c r="C4238" s="3">
        <f t="shared" si="132"/>
        <v>2021</v>
      </c>
      <c r="D4238" s="3">
        <f t="shared" si="133"/>
        <v>202112</v>
      </c>
      <c r="E4238" s="5" t="s">
        <v>6</v>
      </c>
      <c r="F4238" s="5" t="s">
        <v>9</v>
      </c>
      <c r="G4238" s="5" t="s">
        <v>22</v>
      </c>
      <c r="H4238">
        <v>14</v>
      </c>
      <c r="I4238" s="4">
        <v>48062</v>
      </c>
      <c r="J4238" s="4">
        <v>16100</v>
      </c>
    </row>
    <row r="4239" spans="2:10" x14ac:dyDescent="0.3">
      <c r="B4239" s="7">
        <v>44562</v>
      </c>
      <c r="C4239" s="3">
        <f t="shared" si="132"/>
        <v>2022</v>
      </c>
      <c r="D4239" s="3">
        <f t="shared" si="133"/>
        <v>202201</v>
      </c>
      <c r="E4239" s="5" t="s">
        <v>6</v>
      </c>
      <c r="F4239" s="5" t="s">
        <v>9</v>
      </c>
      <c r="G4239" s="5" t="s">
        <v>22</v>
      </c>
      <c r="H4239">
        <v>20</v>
      </c>
      <c r="I4239" s="4">
        <v>73280</v>
      </c>
      <c r="J4239" s="4">
        <v>23000</v>
      </c>
    </row>
    <row r="4240" spans="2:10" x14ac:dyDescent="0.3">
      <c r="B4240" s="7">
        <v>44593</v>
      </c>
      <c r="C4240" s="3">
        <f t="shared" si="132"/>
        <v>2022</v>
      </c>
      <c r="D4240" s="3">
        <f t="shared" si="133"/>
        <v>202202</v>
      </c>
      <c r="E4240" s="5" t="s">
        <v>6</v>
      </c>
      <c r="F4240" s="5" t="s">
        <v>9</v>
      </c>
      <c r="G4240" s="5" t="s">
        <v>22</v>
      </c>
      <c r="H4240">
        <v>13</v>
      </c>
      <c r="I4240" s="4">
        <v>47944</v>
      </c>
      <c r="J4240" s="4">
        <v>14950</v>
      </c>
    </row>
    <row r="4241" spans="2:10" x14ac:dyDescent="0.3">
      <c r="B4241" s="7">
        <v>44621</v>
      </c>
      <c r="C4241" s="3">
        <f t="shared" si="132"/>
        <v>2022</v>
      </c>
      <c r="D4241" s="3">
        <f t="shared" si="133"/>
        <v>202203</v>
      </c>
      <c r="E4241" s="5" t="s">
        <v>6</v>
      </c>
      <c r="F4241" s="5" t="s">
        <v>9</v>
      </c>
      <c r="G4241" s="5" t="s">
        <v>22</v>
      </c>
      <c r="H4241">
        <v>10</v>
      </c>
      <c r="I4241" s="4">
        <v>32000</v>
      </c>
      <c r="J4241" s="4">
        <v>11500</v>
      </c>
    </row>
    <row r="4242" spans="2:10" x14ac:dyDescent="0.3">
      <c r="B4242" s="7">
        <v>44652</v>
      </c>
      <c r="C4242" s="3">
        <f t="shared" si="132"/>
        <v>2022</v>
      </c>
      <c r="D4242" s="3">
        <f t="shared" si="133"/>
        <v>202204</v>
      </c>
      <c r="E4242" s="5" t="s">
        <v>6</v>
      </c>
      <c r="F4242" s="5" t="s">
        <v>9</v>
      </c>
      <c r="G4242" s="5" t="s">
        <v>22</v>
      </c>
      <c r="H4242">
        <v>19</v>
      </c>
      <c r="I4242" s="4">
        <v>82099</v>
      </c>
      <c r="J4242" s="4">
        <v>21850</v>
      </c>
    </row>
    <row r="4243" spans="2:10" x14ac:dyDescent="0.3">
      <c r="B4243" s="7">
        <v>44682</v>
      </c>
      <c r="C4243" s="3">
        <f t="shared" si="132"/>
        <v>2022</v>
      </c>
      <c r="D4243" s="3">
        <f t="shared" si="133"/>
        <v>202205</v>
      </c>
      <c r="E4243" s="5" t="s">
        <v>6</v>
      </c>
      <c r="F4243" s="5" t="s">
        <v>9</v>
      </c>
      <c r="G4243" s="5" t="s">
        <v>22</v>
      </c>
      <c r="H4243">
        <v>24</v>
      </c>
      <c r="I4243" s="4">
        <v>121128</v>
      </c>
      <c r="J4243" s="4">
        <v>27600</v>
      </c>
    </row>
    <row r="4244" spans="2:10" x14ac:dyDescent="0.3">
      <c r="B4244" s="7">
        <v>44713</v>
      </c>
      <c r="C4244" s="3">
        <f t="shared" si="132"/>
        <v>2022</v>
      </c>
      <c r="D4244" s="3">
        <f t="shared" si="133"/>
        <v>202206</v>
      </c>
      <c r="E4244" s="5" t="s">
        <v>6</v>
      </c>
      <c r="F4244" s="5" t="s">
        <v>9</v>
      </c>
      <c r="G4244" s="5" t="s">
        <v>22</v>
      </c>
      <c r="H4244">
        <v>23</v>
      </c>
      <c r="I4244" s="4">
        <v>99912</v>
      </c>
      <c r="J4244" s="4">
        <v>26450</v>
      </c>
    </row>
    <row r="4245" spans="2:10" x14ac:dyDescent="0.3">
      <c r="B4245" s="7">
        <v>44743</v>
      </c>
      <c r="C4245" s="3">
        <f t="shared" si="132"/>
        <v>2022</v>
      </c>
      <c r="D4245" s="3">
        <f t="shared" si="133"/>
        <v>202207</v>
      </c>
      <c r="E4245" s="5" t="s">
        <v>6</v>
      </c>
      <c r="F4245" s="5" t="s">
        <v>9</v>
      </c>
      <c r="G4245" s="5" t="s">
        <v>22</v>
      </c>
      <c r="H4245">
        <v>24</v>
      </c>
      <c r="I4245" s="4">
        <v>41640</v>
      </c>
      <c r="J4245" s="4">
        <v>27600</v>
      </c>
    </row>
    <row r="4246" spans="2:10" x14ac:dyDescent="0.3">
      <c r="B4246" s="7">
        <v>44774</v>
      </c>
      <c r="C4246" s="3">
        <f t="shared" si="132"/>
        <v>2022</v>
      </c>
      <c r="D4246" s="3">
        <f t="shared" si="133"/>
        <v>202208</v>
      </c>
      <c r="E4246" s="5" t="s">
        <v>6</v>
      </c>
      <c r="F4246" s="5" t="s">
        <v>9</v>
      </c>
      <c r="G4246" s="5" t="s">
        <v>22</v>
      </c>
      <c r="H4246">
        <v>20</v>
      </c>
      <c r="I4246" s="4">
        <v>55400</v>
      </c>
      <c r="J4246" s="4">
        <v>23000</v>
      </c>
    </row>
    <row r="4247" spans="2:10" x14ac:dyDescent="0.3">
      <c r="B4247" s="7">
        <v>44805</v>
      </c>
      <c r="C4247" s="3">
        <f t="shared" si="132"/>
        <v>2022</v>
      </c>
      <c r="D4247" s="3">
        <f t="shared" si="133"/>
        <v>202209</v>
      </c>
      <c r="E4247" s="5" t="s">
        <v>6</v>
      </c>
      <c r="F4247" s="5" t="s">
        <v>9</v>
      </c>
      <c r="G4247" s="5" t="s">
        <v>22</v>
      </c>
      <c r="H4247">
        <v>22</v>
      </c>
      <c r="I4247" s="4">
        <v>66220</v>
      </c>
      <c r="J4247" s="4">
        <v>25300</v>
      </c>
    </row>
    <row r="4248" spans="2:10" x14ac:dyDescent="0.3">
      <c r="B4248" s="7">
        <v>44835</v>
      </c>
      <c r="C4248" s="3">
        <f t="shared" si="132"/>
        <v>2022</v>
      </c>
      <c r="D4248" s="3">
        <f t="shared" si="133"/>
        <v>202210</v>
      </c>
      <c r="E4248" s="5" t="s">
        <v>6</v>
      </c>
      <c r="F4248" s="5" t="s">
        <v>9</v>
      </c>
      <c r="G4248" s="5" t="s">
        <v>22</v>
      </c>
      <c r="H4248">
        <v>18</v>
      </c>
      <c r="I4248" s="4">
        <v>75276</v>
      </c>
      <c r="J4248" s="4">
        <v>20700</v>
      </c>
    </row>
    <row r="4249" spans="2:10" x14ac:dyDescent="0.3">
      <c r="B4249" s="7">
        <v>44866</v>
      </c>
      <c r="C4249" s="3">
        <f t="shared" si="132"/>
        <v>2022</v>
      </c>
      <c r="D4249" s="3">
        <f t="shared" si="133"/>
        <v>202211</v>
      </c>
      <c r="E4249" s="5" t="s">
        <v>6</v>
      </c>
      <c r="F4249" s="5" t="s">
        <v>9</v>
      </c>
      <c r="G4249" s="5" t="s">
        <v>22</v>
      </c>
      <c r="H4249">
        <v>13</v>
      </c>
      <c r="I4249" s="4">
        <v>44239</v>
      </c>
      <c r="J4249" s="4">
        <v>14950</v>
      </c>
    </row>
    <row r="4250" spans="2:10" x14ac:dyDescent="0.3">
      <c r="B4250" s="7">
        <v>44896</v>
      </c>
      <c r="C4250" s="3">
        <f t="shared" si="132"/>
        <v>2022</v>
      </c>
      <c r="D4250" s="3">
        <f t="shared" si="133"/>
        <v>202212</v>
      </c>
      <c r="E4250" s="5" t="s">
        <v>6</v>
      </c>
      <c r="F4250" s="5" t="s">
        <v>9</v>
      </c>
      <c r="G4250" s="5" t="s">
        <v>22</v>
      </c>
      <c r="H4250">
        <v>15</v>
      </c>
      <c r="I4250" s="4">
        <v>44730</v>
      </c>
      <c r="J4250" s="4">
        <v>17250</v>
      </c>
    </row>
    <row r="4251" spans="2:10" x14ac:dyDescent="0.3">
      <c r="B4251" s="7">
        <v>44197</v>
      </c>
      <c r="C4251" s="3">
        <f t="shared" si="132"/>
        <v>2021</v>
      </c>
      <c r="D4251" s="3">
        <f t="shared" si="133"/>
        <v>202101</v>
      </c>
      <c r="E4251" s="5" t="s">
        <v>6</v>
      </c>
      <c r="F4251" s="5" t="s">
        <v>9</v>
      </c>
      <c r="G4251" s="5" t="s">
        <v>23</v>
      </c>
      <c r="H4251">
        <v>24</v>
      </c>
      <c r="I4251" s="4">
        <v>83136</v>
      </c>
      <c r="J4251" s="4">
        <v>32016</v>
      </c>
    </row>
    <row r="4252" spans="2:10" x14ac:dyDescent="0.3">
      <c r="B4252" s="7">
        <v>44228</v>
      </c>
      <c r="C4252" s="3">
        <f t="shared" si="132"/>
        <v>2021</v>
      </c>
      <c r="D4252" s="3">
        <f t="shared" si="133"/>
        <v>202102</v>
      </c>
      <c r="E4252" s="5" t="s">
        <v>6</v>
      </c>
      <c r="F4252" s="5" t="s">
        <v>9</v>
      </c>
      <c r="G4252" s="5" t="s">
        <v>23</v>
      </c>
      <c r="H4252">
        <v>15</v>
      </c>
      <c r="I4252" s="4">
        <v>58920</v>
      </c>
      <c r="J4252" s="4">
        <v>20010</v>
      </c>
    </row>
    <row r="4253" spans="2:10" x14ac:dyDescent="0.3">
      <c r="B4253" s="7">
        <v>44256</v>
      </c>
      <c r="C4253" s="3">
        <f t="shared" si="132"/>
        <v>2021</v>
      </c>
      <c r="D4253" s="3">
        <f t="shared" si="133"/>
        <v>202103</v>
      </c>
      <c r="E4253" s="5" t="s">
        <v>6</v>
      </c>
      <c r="F4253" s="5" t="s">
        <v>9</v>
      </c>
      <c r="G4253" s="5" t="s">
        <v>23</v>
      </c>
      <c r="H4253">
        <v>12</v>
      </c>
      <c r="I4253" s="4">
        <v>47952</v>
      </c>
      <c r="J4253" s="4">
        <v>16008</v>
      </c>
    </row>
    <row r="4254" spans="2:10" x14ac:dyDescent="0.3">
      <c r="B4254" s="7">
        <v>44287</v>
      </c>
      <c r="C4254" s="3">
        <f t="shared" si="132"/>
        <v>2021</v>
      </c>
      <c r="D4254" s="3">
        <f t="shared" si="133"/>
        <v>202104</v>
      </c>
      <c r="E4254" s="5" t="s">
        <v>6</v>
      </c>
      <c r="F4254" s="5" t="s">
        <v>9</v>
      </c>
      <c r="G4254" s="5" t="s">
        <v>23</v>
      </c>
      <c r="H4254">
        <v>22</v>
      </c>
      <c r="I4254" s="4">
        <v>109208</v>
      </c>
      <c r="J4254" s="4">
        <v>29348</v>
      </c>
    </row>
    <row r="4255" spans="2:10" x14ac:dyDescent="0.3">
      <c r="B4255" s="7">
        <v>44317</v>
      </c>
      <c r="C4255" s="3">
        <f t="shared" si="132"/>
        <v>2021</v>
      </c>
      <c r="D4255" s="3">
        <f t="shared" si="133"/>
        <v>202105</v>
      </c>
      <c r="E4255" s="5" t="s">
        <v>6</v>
      </c>
      <c r="F4255" s="5" t="s">
        <v>9</v>
      </c>
      <c r="G4255" s="5" t="s">
        <v>23</v>
      </c>
      <c r="H4255">
        <v>28</v>
      </c>
      <c r="I4255" s="4">
        <v>135240</v>
      </c>
      <c r="J4255" s="4">
        <v>37352</v>
      </c>
    </row>
    <row r="4256" spans="2:10" x14ac:dyDescent="0.3">
      <c r="B4256" s="7">
        <v>44348</v>
      </c>
      <c r="C4256" s="3">
        <f t="shared" si="132"/>
        <v>2021</v>
      </c>
      <c r="D4256" s="3">
        <f t="shared" si="133"/>
        <v>202106</v>
      </c>
      <c r="E4256" s="5" t="s">
        <v>6</v>
      </c>
      <c r="F4256" s="5" t="s">
        <v>9</v>
      </c>
      <c r="G4256" s="5" t="s">
        <v>23</v>
      </c>
      <c r="H4256">
        <v>27</v>
      </c>
      <c r="I4256" s="4">
        <v>118935</v>
      </c>
      <c r="J4256" s="4">
        <v>36018</v>
      </c>
    </row>
    <row r="4257" spans="2:10" x14ac:dyDescent="0.3">
      <c r="B4257" s="7">
        <v>44378</v>
      </c>
      <c r="C4257" s="3">
        <f t="shared" si="132"/>
        <v>2021</v>
      </c>
      <c r="D4257" s="3">
        <f t="shared" si="133"/>
        <v>202107</v>
      </c>
      <c r="E4257" s="5" t="s">
        <v>6</v>
      </c>
      <c r="F4257" s="5" t="s">
        <v>9</v>
      </c>
      <c r="G4257" s="5" t="s">
        <v>23</v>
      </c>
      <c r="H4257">
        <v>28</v>
      </c>
      <c r="I4257" s="4">
        <v>71204</v>
      </c>
      <c r="J4257" s="4">
        <v>37352</v>
      </c>
    </row>
    <row r="4258" spans="2:10" x14ac:dyDescent="0.3">
      <c r="B4258" s="7">
        <v>44409</v>
      </c>
      <c r="C4258" s="3">
        <f t="shared" si="132"/>
        <v>2021</v>
      </c>
      <c r="D4258" s="3">
        <f t="shared" si="133"/>
        <v>202108</v>
      </c>
      <c r="E4258" s="5" t="s">
        <v>6</v>
      </c>
      <c r="F4258" s="5" t="s">
        <v>9</v>
      </c>
      <c r="G4258" s="5" t="s">
        <v>23</v>
      </c>
      <c r="H4258">
        <v>24</v>
      </c>
      <c r="I4258" s="4">
        <v>84912</v>
      </c>
      <c r="J4258" s="4">
        <v>32016</v>
      </c>
    </row>
    <row r="4259" spans="2:10" x14ac:dyDescent="0.3">
      <c r="B4259" s="7">
        <v>44440</v>
      </c>
      <c r="C4259" s="3">
        <f t="shared" si="132"/>
        <v>2021</v>
      </c>
      <c r="D4259" s="3">
        <f t="shared" si="133"/>
        <v>202109</v>
      </c>
      <c r="E4259" s="5" t="s">
        <v>6</v>
      </c>
      <c r="F4259" s="5" t="s">
        <v>9</v>
      </c>
      <c r="G4259" s="5" t="s">
        <v>23</v>
      </c>
      <c r="H4259">
        <v>25</v>
      </c>
      <c r="I4259" s="4">
        <v>83625</v>
      </c>
      <c r="J4259" s="4">
        <v>33350</v>
      </c>
    </row>
    <row r="4260" spans="2:10" x14ac:dyDescent="0.3">
      <c r="B4260" s="7">
        <v>44470</v>
      </c>
      <c r="C4260" s="3">
        <f t="shared" si="132"/>
        <v>2021</v>
      </c>
      <c r="D4260" s="3">
        <f t="shared" si="133"/>
        <v>202110</v>
      </c>
      <c r="E4260" s="5" t="s">
        <v>6</v>
      </c>
      <c r="F4260" s="5" t="s">
        <v>9</v>
      </c>
      <c r="G4260" s="5" t="s">
        <v>23</v>
      </c>
      <c r="H4260">
        <v>21</v>
      </c>
      <c r="I4260" s="4">
        <v>98910</v>
      </c>
      <c r="J4260" s="4">
        <v>28014</v>
      </c>
    </row>
    <row r="4261" spans="2:10" x14ac:dyDescent="0.3">
      <c r="B4261" s="7">
        <v>44501</v>
      </c>
      <c r="C4261" s="3">
        <f t="shared" si="132"/>
        <v>2021</v>
      </c>
      <c r="D4261" s="3">
        <f t="shared" si="133"/>
        <v>202111</v>
      </c>
      <c r="E4261" s="5" t="s">
        <v>6</v>
      </c>
      <c r="F4261" s="5" t="s">
        <v>9</v>
      </c>
      <c r="G4261" s="5" t="s">
        <v>23</v>
      </c>
      <c r="H4261">
        <v>15</v>
      </c>
      <c r="I4261" s="4">
        <v>62445</v>
      </c>
      <c r="J4261" s="4">
        <v>20010</v>
      </c>
    </row>
    <row r="4262" spans="2:10" x14ac:dyDescent="0.3">
      <c r="B4262" s="7">
        <v>44531</v>
      </c>
      <c r="C4262" s="3">
        <f t="shared" si="132"/>
        <v>2021</v>
      </c>
      <c r="D4262" s="3">
        <f t="shared" si="133"/>
        <v>202112</v>
      </c>
      <c r="E4262" s="5" t="s">
        <v>6</v>
      </c>
      <c r="F4262" s="5" t="s">
        <v>9</v>
      </c>
      <c r="G4262" s="5" t="s">
        <v>23</v>
      </c>
      <c r="H4262">
        <v>18</v>
      </c>
      <c r="I4262" s="4">
        <v>71478</v>
      </c>
      <c r="J4262" s="4">
        <v>24012</v>
      </c>
    </row>
    <row r="4263" spans="2:10" x14ac:dyDescent="0.3">
      <c r="B4263" s="7">
        <v>44562</v>
      </c>
      <c r="C4263" s="3">
        <f t="shared" si="132"/>
        <v>2022</v>
      </c>
      <c r="D4263" s="3">
        <f t="shared" si="133"/>
        <v>202201</v>
      </c>
      <c r="E4263" s="5" t="s">
        <v>6</v>
      </c>
      <c r="F4263" s="5" t="s">
        <v>9</v>
      </c>
      <c r="G4263" s="5" t="s">
        <v>23</v>
      </c>
      <c r="H4263">
        <v>26</v>
      </c>
      <c r="I4263" s="4">
        <v>94900</v>
      </c>
      <c r="J4263" s="4">
        <v>34684</v>
      </c>
    </row>
    <row r="4264" spans="2:10" x14ac:dyDescent="0.3">
      <c r="B4264" s="7">
        <v>44593</v>
      </c>
      <c r="C4264" s="3">
        <f t="shared" si="132"/>
        <v>2022</v>
      </c>
      <c r="D4264" s="3">
        <f t="shared" si="133"/>
        <v>202202</v>
      </c>
      <c r="E4264" s="5" t="s">
        <v>6</v>
      </c>
      <c r="F4264" s="5" t="s">
        <v>9</v>
      </c>
      <c r="G4264" s="5" t="s">
        <v>23</v>
      </c>
      <c r="H4264">
        <v>16</v>
      </c>
      <c r="I4264" s="4">
        <v>69696</v>
      </c>
      <c r="J4264" s="4">
        <v>21344</v>
      </c>
    </row>
    <row r="4265" spans="2:10" x14ac:dyDescent="0.3">
      <c r="B4265" s="7">
        <v>44621</v>
      </c>
      <c r="C4265" s="3">
        <f t="shared" si="132"/>
        <v>2022</v>
      </c>
      <c r="D4265" s="3">
        <f t="shared" si="133"/>
        <v>202203</v>
      </c>
      <c r="E4265" s="5" t="s">
        <v>6</v>
      </c>
      <c r="F4265" s="5" t="s">
        <v>9</v>
      </c>
      <c r="G4265" s="5" t="s">
        <v>23</v>
      </c>
      <c r="H4265">
        <v>13</v>
      </c>
      <c r="I4265" s="4">
        <v>47177</v>
      </c>
      <c r="J4265" s="4">
        <v>17342</v>
      </c>
    </row>
    <row r="4266" spans="2:10" x14ac:dyDescent="0.3">
      <c r="B4266" s="7">
        <v>44652</v>
      </c>
      <c r="C4266" s="3">
        <f t="shared" si="132"/>
        <v>2022</v>
      </c>
      <c r="D4266" s="3">
        <f t="shared" si="133"/>
        <v>202204</v>
      </c>
      <c r="E4266" s="5" t="s">
        <v>6</v>
      </c>
      <c r="F4266" s="5" t="s">
        <v>9</v>
      </c>
      <c r="G4266" s="5" t="s">
        <v>23</v>
      </c>
      <c r="H4266">
        <v>24</v>
      </c>
      <c r="I4266" s="4">
        <v>99432</v>
      </c>
      <c r="J4266" s="4">
        <v>32016</v>
      </c>
    </row>
    <row r="4267" spans="2:10" x14ac:dyDescent="0.3">
      <c r="B4267" s="7">
        <v>44682</v>
      </c>
      <c r="C4267" s="3">
        <f t="shared" si="132"/>
        <v>2022</v>
      </c>
      <c r="D4267" s="3">
        <f t="shared" si="133"/>
        <v>202205</v>
      </c>
      <c r="E4267" s="5" t="s">
        <v>6</v>
      </c>
      <c r="F4267" s="5" t="s">
        <v>9</v>
      </c>
      <c r="G4267" s="5" t="s">
        <v>23</v>
      </c>
      <c r="H4267">
        <v>31</v>
      </c>
      <c r="I4267" s="4">
        <v>148800</v>
      </c>
      <c r="J4267" s="4">
        <v>41354</v>
      </c>
    </row>
    <row r="4268" spans="2:10" x14ac:dyDescent="0.3">
      <c r="B4268" s="7">
        <v>44713</v>
      </c>
      <c r="C4268" s="3">
        <f t="shared" si="132"/>
        <v>2022</v>
      </c>
      <c r="D4268" s="3">
        <f t="shared" si="133"/>
        <v>202206</v>
      </c>
      <c r="E4268" s="5" t="s">
        <v>6</v>
      </c>
      <c r="F4268" s="5" t="s">
        <v>9</v>
      </c>
      <c r="G4268" s="5" t="s">
        <v>23</v>
      </c>
      <c r="H4268">
        <v>29</v>
      </c>
      <c r="I4268" s="4">
        <v>128064</v>
      </c>
      <c r="J4268" s="4">
        <v>38686</v>
      </c>
    </row>
    <row r="4269" spans="2:10" x14ac:dyDescent="0.3">
      <c r="B4269" s="7">
        <v>44743</v>
      </c>
      <c r="C4269" s="3">
        <f t="shared" si="132"/>
        <v>2022</v>
      </c>
      <c r="D4269" s="3">
        <f t="shared" si="133"/>
        <v>202207</v>
      </c>
      <c r="E4269" s="5" t="s">
        <v>6</v>
      </c>
      <c r="F4269" s="5" t="s">
        <v>9</v>
      </c>
      <c r="G4269" s="5" t="s">
        <v>23</v>
      </c>
      <c r="H4269">
        <v>31</v>
      </c>
      <c r="I4269" s="4">
        <v>93155</v>
      </c>
      <c r="J4269" s="4">
        <v>41354</v>
      </c>
    </row>
    <row r="4270" spans="2:10" x14ac:dyDescent="0.3">
      <c r="B4270" s="7">
        <v>44774</v>
      </c>
      <c r="C4270" s="3">
        <f t="shared" si="132"/>
        <v>2022</v>
      </c>
      <c r="D4270" s="3">
        <f t="shared" si="133"/>
        <v>202208</v>
      </c>
      <c r="E4270" s="5" t="s">
        <v>6</v>
      </c>
      <c r="F4270" s="5" t="s">
        <v>9</v>
      </c>
      <c r="G4270" s="5" t="s">
        <v>23</v>
      </c>
      <c r="H4270">
        <v>26</v>
      </c>
      <c r="I4270" s="4">
        <v>88478</v>
      </c>
      <c r="J4270" s="4">
        <v>34684</v>
      </c>
    </row>
    <row r="4271" spans="2:10" x14ac:dyDescent="0.3">
      <c r="B4271" s="7">
        <v>44805</v>
      </c>
      <c r="C4271" s="3">
        <f t="shared" si="132"/>
        <v>2022</v>
      </c>
      <c r="D4271" s="3">
        <f t="shared" si="133"/>
        <v>202209</v>
      </c>
      <c r="E4271" s="5" t="s">
        <v>6</v>
      </c>
      <c r="F4271" s="5" t="s">
        <v>9</v>
      </c>
      <c r="G4271" s="5" t="s">
        <v>23</v>
      </c>
      <c r="H4271">
        <v>28</v>
      </c>
      <c r="I4271" s="4">
        <v>96656</v>
      </c>
      <c r="J4271" s="4">
        <v>37352</v>
      </c>
    </row>
    <row r="4272" spans="2:10" x14ac:dyDescent="0.3">
      <c r="B4272" s="7">
        <v>44835</v>
      </c>
      <c r="C4272" s="3">
        <f t="shared" si="132"/>
        <v>2022</v>
      </c>
      <c r="D4272" s="3">
        <f t="shared" si="133"/>
        <v>202210</v>
      </c>
      <c r="E4272" s="5" t="s">
        <v>6</v>
      </c>
      <c r="F4272" s="5" t="s">
        <v>9</v>
      </c>
      <c r="G4272" s="5" t="s">
        <v>23</v>
      </c>
      <c r="H4272">
        <v>23</v>
      </c>
      <c r="I4272" s="4">
        <v>105593</v>
      </c>
      <c r="J4272" s="4">
        <v>30682</v>
      </c>
    </row>
    <row r="4273" spans="2:10" x14ac:dyDescent="0.3">
      <c r="B4273" s="7">
        <v>44866</v>
      </c>
      <c r="C4273" s="3">
        <f t="shared" si="132"/>
        <v>2022</v>
      </c>
      <c r="D4273" s="3">
        <f t="shared" si="133"/>
        <v>202211</v>
      </c>
      <c r="E4273" s="5" t="s">
        <v>6</v>
      </c>
      <c r="F4273" s="5" t="s">
        <v>9</v>
      </c>
      <c r="G4273" s="5" t="s">
        <v>23</v>
      </c>
      <c r="H4273">
        <v>16</v>
      </c>
      <c r="I4273" s="4">
        <v>63808</v>
      </c>
      <c r="J4273" s="4">
        <v>21344</v>
      </c>
    </row>
    <row r="4274" spans="2:10" x14ac:dyDescent="0.3">
      <c r="B4274" s="7">
        <v>44896</v>
      </c>
      <c r="C4274" s="3">
        <f t="shared" si="132"/>
        <v>2022</v>
      </c>
      <c r="D4274" s="3">
        <f t="shared" si="133"/>
        <v>202212</v>
      </c>
      <c r="E4274" s="5" t="s">
        <v>6</v>
      </c>
      <c r="F4274" s="5" t="s">
        <v>9</v>
      </c>
      <c r="G4274" s="5" t="s">
        <v>23</v>
      </c>
      <c r="H4274">
        <v>20</v>
      </c>
      <c r="I4274" s="4">
        <v>66120</v>
      </c>
      <c r="J4274" s="4">
        <v>26680</v>
      </c>
    </row>
    <row r="4275" spans="2:10" x14ac:dyDescent="0.3">
      <c r="B4275" s="7">
        <v>44197</v>
      </c>
      <c r="C4275" s="3">
        <f t="shared" si="132"/>
        <v>2021</v>
      </c>
      <c r="D4275" s="3">
        <f t="shared" si="133"/>
        <v>202101</v>
      </c>
      <c r="E4275" s="5" t="s">
        <v>6</v>
      </c>
      <c r="F4275" s="5" t="s">
        <v>9</v>
      </c>
      <c r="G4275" s="5" t="s">
        <v>24</v>
      </c>
      <c r="H4275">
        <v>20</v>
      </c>
      <c r="I4275" s="4">
        <v>101940</v>
      </c>
      <c r="J4275" s="4">
        <v>40320</v>
      </c>
    </row>
    <row r="4276" spans="2:10" x14ac:dyDescent="0.3">
      <c r="B4276" s="7">
        <v>44228</v>
      </c>
      <c r="C4276" s="3">
        <f t="shared" si="132"/>
        <v>2021</v>
      </c>
      <c r="D4276" s="3">
        <f t="shared" si="133"/>
        <v>202102</v>
      </c>
      <c r="E4276" s="5" t="s">
        <v>6</v>
      </c>
      <c r="F4276" s="5" t="s">
        <v>9</v>
      </c>
      <c r="G4276" s="5" t="s">
        <v>24</v>
      </c>
      <c r="H4276">
        <v>12</v>
      </c>
      <c r="I4276" s="4">
        <v>63348</v>
      </c>
      <c r="J4276" s="4">
        <v>24192</v>
      </c>
    </row>
    <row r="4277" spans="2:10" x14ac:dyDescent="0.3">
      <c r="B4277" s="7">
        <v>44256</v>
      </c>
      <c r="C4277" s="3">
        <f t="shared" si="132"/>
        <v>2021</v>
      </c>
      <c r="D4277" s="3">
        <f t="shared" si="133"/>
        <v>202103</v>
      </c>
      <c r="E4277" s="5" t="s">
        <v>6</v>
      </c>
      <c r="F4277" s="5" t="s">
        <v>9</v>
      </c>
      <c r="G4277" s="5" t="s">
        <v>24</v>
      </c>
      <c r="H4277">
        <v>10</v>
      </c>
      <c r="I4277" s="4">
        <v>46790</v>
      </c>
      <c r="J4277" s="4">
        <v>20160</v>
      </c>
    </row>
    <row r="4278" spans="2:10" x14ac:dyDescent="0.3">
      <c r="B4278" s="7">
        <v>44287</v>
      </c>
      <c r="C4278" s="3">
        <f t="shared" si="132"/>
        <v>2021</v>
      </c>
      <c r="D4278" s="3">
        <f t="shared" si="133"/>
        <v>202104</v>
      </c>
      <c r="E4278" s="5" t="s">
        <v>6</v>
      </c>
      <c r="F4278" s="5" t="s">
        <v>9</v>
      </c>
      <c r="G4278" s="5" t="s">
        <v>24</v>
      </c>
      <c r="H4278">
        <v>18</v>
      </c>
      <c r="I4278" s="4">
        <v>118206</v>
      </c>
      <c r="J4278" s="4">
        <v>36288</v>
      </c>
    </row>
    <row r="4279" spans="2:10" x14ac:dyDescent="0.3">
      <c r="B4279" s="7">
        <v>44317</v>
      </c>
      <c r="C4279" s="3">
        <f t="shared" si="132"/>
        <v>2021</v>
      </c>
      <c r="D4279" s="3">
        <f t="shared" si="133"/>
        <v>202105</v>
      </c>
      <c r="E4279" s="5" t="s">
        <v>6</v>
      </c>
      <c r="F4279" s="5" t="s">
        <v>9</v>
      </c>
      <c r="G4279" s="5" t="s">
        <v>24</v>
      </c>
      <c r="H4279">
        <v>23</v>
      </c>
      <c r="I4279" s="4">
        <v>155963</v>
      </c>
      <c r="J4279" s="4">
        <v>46368</v>
      </c>
    </row>
    <row r="4280" spans="2:10" x14ac:dyDescent="0.3">
      <c r="B4280" s="7">
        <v>44348</v>
      </c>
      <c r="C4280" s="3">
        <f t="shared" si="132"/>
        <v>2021</v>
      </c>
      <c r="D4280" s="3">
        <f t="shared" si="133"/>
        <v>202106</v>
      </c>
      <c r="E4280" s="5" t="s">
        <v>6</v>
      </c>
      <c r="F4280" s="5" t="s">
        <v>9</v>
      </c>
      <c r="G4280" s="5" t="s">
        <v>24</v>
      </c>
      <c r="H4280">
        <v>22</v>
      </c>
      <c r="I4280" s="4">
        <v>117700</v>
      </c>
      <c r="J4280" s="4">
        <v>44352</v>
      </c>
    </row>
    <row r="4281" spans="2:10" x14ac:dyDescent="0.3">
      <c r="B4281" s="7">
        <v>44378</v>
      </c>
      <c r="C4281" s="3">
        <f t="shared" si="132"/>
        <v>2021</v>
      </c>
      <c r="D4281" s="3">
        <f t="shared" si="133"/>
        <v>202107</v>
      </c>
      <c r="E4281" s="5" t="s">
        <v>6</v>
      </c>
      <c r="F4281" s="5" t="s">
        <v>9</v>
      </c>
      <c r="G4281" s="5" t="s">
        <v>24</v>
      </c>
      <c r="H4281">
        <v>23</v>
      </c>
      <c r="I4281" s="4">
        <v>90781</v>
      </c>
      <c r="J4281" s="4">
        <v>46368</v>
      </c>
    </row>
    <row r="4282" spans="2:10" x14ac:dyDescent="0.3">
      <c r="B4282" s="7">
        <v>44409</v>
      </c>
      <c r="C4282" s="3">
        <f t="shared" si="132"/>
        <v>2021</v>
      </c>
      <c r="D4282" s="3">
        <f t="shared" si="133"/>
        <v>202108</v>
      </c>
      <c r="E4282" s="5" t="s">
        <v>6</v>
      </c>
      <c r="F4282" s="5" t="s">
        <v>9</v>
      </c>
      <c r="G4282" s="5" t="s">
        <v>24</v>
      </c>
      <c r="H4282">
        <v>20</v>
      </c>
      <c r="I4282" s="4">
        <v>103900</v>
      </c>
      <c r="J4282" s="4">
        <v>40320</v>
      </c>
    </row>
    <row r="4283" spans="2:10" x14ac:dyDescent="0.3">
      <c r="B4283" s="7">
        <v>44440</v>
      </c>
      <c r="C4283" s="3">
        <f t="shared" si="132"/>
        <v>2021</v>
      </c>
      <c r="D4283" s="3">
        <f t="shared" si="133"/>
        <v>202109</v>
      </c>
      <c r="E4283" s="5" t="s">
        <v>6</v>
      </c>
      <c r="F4283" s="5" t="s">
        <v>9</v>
      </c>
      <c r="G4283" s="5" t="s">
        <v>24</v>
      </c>
      <c r="H4283">
        <v>21</v>
      </c>
      <c r="I4283" s="4">
        <v>108255</v>
      </c>
      <c r="J4283" s="4">
        <v>42336</v>
      </c>
    </row>
    <row r="4284" spans="2:10" x14ac:dyDescent="0.3">
      <c r="B4284" s="7">
        <v>44470</v>
      </c>
      <c r="C4284" s="3">
        <f t="shared" si="132"/>
        <v>2021</v>
      </c>
      <c r="D4284" s="3">
        <f t="shared" si="133"/>
        <v>202110</v>
      </c>
      <c r="E4284" s="5" t="s">
        <v>6</v>
      </c>
      <c r="F4284" s="5" t="s">
        <v>9</v>
      </c>
      <c r="G4284" s="5" t="s">
        <v>24</v>
      </c>
      <c r="H4284">
        <v>17</v>
      </c>
      <c r="I4284" s="4">
        <v>90559</v>
      </c>
      <c r="J4284" s="4">
        <v>34272</v>
      </c>
    </row>
    <row r="4285" spans="2:10" x14ac:dyDescent="0.3">
      <c r="B4285" s="7">
        <v>44501</v>
      </c>
      <c r="C4285" s="3">
        <f t="shared" si="132"/>
        <v>2021</v>
      </c>
      <c r="D4285" s="3">
        <f t="shared" si="133"/>
        <v>202111</v>
      </c>
      <c r="E4285" s="5" t="s">
        <v>6</v>
      </c>
      <c r="F4285" s="5" t="s">
        <v>9</v>
      </c>
      <c r="G4285" s="5" t="s">
        <v>24</v>
      </c>
      <c r="H4285">
        <v>12</v>
      </c>
      <c r="I4285" s="4">
        <v>65844</v>
      </c>
      <c r="J4285" s="4">
        <v>24192</v>
      </c>
    </row>
    <row r="4286" spans="2:10" x14ac:dyDescent="0.3">
      <c r="B4286" s="7">
        <v>44531</v>
      </c>
      <c r="C4286" s="3">
        <f t="shared" si="132"/>
        <v>2021</v>
      </c>
      <c r="D4286" s="3">
        <f t="shared" si="133"/>
        <v>202112</v>
      </c>
      <c r="E4286" s="5" t="s">
        <v>6</v>
      </c>
      <c r="F4286" s="5" t="s">
        <v>9</v>
      </c>
      <c r="G4286" s="5" t="s">
        <v>24</v>
      </c>
      <c r="H4286">
        <v>15</v>
      </c>
      <c r="I4286" s="4">
        <v>67140</v>
      </c>
      <c r="J4286" s="4">
        <v>30240</v>
      </c>
    </row>
    <row r="4287" spans="2:10" x14ac:dyDescent="0.3">
      <c r="B4287" s="7">
        <v>44562</v>
      </c>
      <c r="C4287" s="3">
        <f t="shared" si="132"/>
        <v>2022</v>
      </c>
      <c r="D4287" s="3">
        <f t="shared" si="133"/>
        <v>202201</v>
      </c>
      <c r="E4287" s="5" t="s">
        <v>6</v>
      </c>
      <c r="F4287" s="5" t="s">
        <v>9</v>
      </c>
      <c r="G4287" s="5" t="s">
        <v>24</v>
      </c>
      <c r="H4287">
        <v>22</v>
      </c>
      <c r="I4287" s="4">
        <v>106194</v>
      </c>
      <c r="J4287" s="4">
        <v>44352</v>
      </c>
    </row>
    <row r="4288" spans="2:10" x14ac:dyDescent="0.3">
      <c r="B4288" s="7">
        <v>44593</v>
      </c>
      <c r="C4288" s="3">
        <f t="shared" si="132"/>
        <v>2022</v>
      </c>
      <c r="D4288" s="3">
        <f t="shared" si="133"/>
        <v>202202</v>
      </c>
      <c r="E4288" s="5" t="s">
        <v>6</v>
      </c>
      <c r="F4288" s="5" t="s">
        <v>9</v>
      </c>
      <c r="G4288" s="5" t="s">
        <v>24</v>
      </c>
      <c r="H4288">
        <v>14</v>
      </c>
      <c r="I4288" s="4">
        <v>73402</v>
      </c>
      <c r="J4288" s="4">
        <v>28224</v>
      </c>
    </row>
    <row r="4289" spans="2:10" x14ac:dyDescent="0.3">
      <c r="B4289" s="7">
        <v>44621</v>
      </c>
      <c r="C4289" s="3">
        <f t="shared" si="132"/>
        <v>2022</v>
      </c>
      <c r="D4289" s="3">
        <f t="shared" si="133"/>
        <v>202203</v>
      </c>
      <c r="E4289" s="5" t="s">
        <v>6</v>
      </c>
      <c r="F4289" s="5" t="s">
        <v>9</v>
      </c>
      <c r="G4289" s="5" t="s">
        <v>24</v>
      </c>
      <c r="H4289">
        <v>11</v>
      </c>
      <c r="I4289" s="4">
        <v>56606</v>
      </c>
      <c r="J4289" s="4">
        <v>22176</v>
      </c>
    </row>
    <row r="4290" spans="2:10" x14ac:dyDescent="0.3">
      <c r="B4290" s="7">
        <v>44652</v>
      </c>
      <c r="C4290" s="3">
        <f t="shared" si="132"/>
        <v>2022</v>
      </c>
      <c r="D4290" s="3">
        <f t="shared" si="133"/>
        <v>202204</v>
      </c>
      <c r="E4290" s="5" t="s">
        <v>6</v>
      </c>
      <c r="F4290" s="5" t="s">
        <v>9</v>
      </c>
      <c r="G4290" s="5" t="s">
        <v>24</v>
      </c>
      <c r="H4290">
        <v>20</v>
      </c>
      <c r="I4290" s="4">
        <v>116200</v>
      </c>
      <c r="J4290" s="4">
        <v>40320</v>
      </c>
    </row>
    <row r="4291" spans="2:10" x14ac:dyDescent="0.3">
      <c r="B4291" s="7">
        <v>44682</v>
      </c>
      <c r="C4291" s="3">
        <f t="shared" ref="C4291:C4354" si="134">YEAR(B4291)</f>
        <v>2022</v>
      </c>
      <c r="D4291" s="3">
        <f t="shared" ref="D4291:D4354" si="135">VALUE(TEXT(B4291,"ГГГГММ"))</f>
        <v>202205</v>
      </c>
      <c r="E4291" s="5" t="s">
        <v>6</v>
      </c>
      <c r="F4291" s="5" t="s">
        <v>9</v>
      </c>
      <c r="G4291" s="5" t="s">
        <v>24</v>
      </c>
      <c r="H4291">
        <v>26</v>
      </c>
      <c r="I4291" s="4">
        <v>164502</v>
      </c>
      <c r="J4291" s="4">
        <v>52416</v>
      </c>
    </row>
    <row r="4292" spans="2:10" x14ac:dyDescent="0.3">
      <c r="B4292" s="7">
        <v>44713</v>
      </c>
      <c r="C4292" s="3">
        <f t="shared" si="134"/>
        <v>2022</v>
      </c>
      <c r="D4292" s="3">
        <f t="shared" si="135"/>
        <v>202206</v>
      </c>
      <c r="E4292" s="5" t="s">
        <v>6</v>
      </c>
      <c r="F4292" s="5" t="s">
        <v>9</v>
      </c>
      <c r="G4292" s="5" t="s">
        <v>24</v>
      </c>
      <c r="H4292">
        <v>24</v>
      </c>
      <c r="I4292" s="4">
        <v>130704</v>
      </c>
      <c r="J4292" s="4">
        <v>48384</v>
      </c>
    </row>
    <row r="4293" spans="2:10" x14ac:dyDescent="0.3">
      <c r="B4293" s="7">
        <v>44743</v>
      </c>
      <c r="C4293" s="3">
        <f t="shared" si="134"/>
        <v>2022</v>
      </c>
      <c r="D4293" s="3">
        <f t="shared" si="135"/>
        <v>202207</v>
      </c>
      <c r="E4293" s="5" t="s">
        <v>6</v>
      </c>
      <c r="F4293" s="5" t="s">
        <v>9</v>
      </c>
      <c r="G4293" s="5" t="s">
        <v>24</v>
      </c>
      <c r="H4293">
        <v>26</v>
      </c>
      <c r="I4293" s="4">
        <v>113750</v>
      </c>
      <c r="J4293" s="4">
        <v>52416</v>
      </c>
    </row>
    <row r="4294" spans="2:10" x14ac:dyDescent="0.3">
      <c r="B4294" s="7">
        <v>44774</v>
      </c>
      <c r="C4294" s="3">
        <f t="shared" si="134"/>
        <v>2022</v>
      </c>
      <c r="D4294" s="3">
        <f t="shared" si="135"/>
        <v>202208</v>
      </c>
      <c r="E4294" s="5" t="s">
        <v>6</v>
      </c>
      <c r="F4294" s="5" t="s">
        <v>9</v>
      </c>
      <c r="G4294" s="5" t="s">
        <v>24</v>
      </c>
      <c r="H4294">
        <v>22</v>
      </c>
      <c r="I4294" s="4">
        <v>112486</v>
      </c>
      <c r="J4294" s="4">
        <v>44352</v>
      </c>
    </row>
    <row r="4295" spans="2:10" x14ac:dyDescent="0.3">
      <c r="B4295" s="7">
        <v>44805</v>
      </c>
      <c r="C4295" s="3">
        <f t="shared" si="134"/>
        <v>2022</v>
      </c>
      <c r="D4295" s="3">
        <f t="shared" si="135"/>
        <v>202209</v>
      </c>
      <c r="E4295" s="5" t="s">
        <v>6</v>
      </c>
      <c r="F4295" s="5" t="s">
        <v>9</v>
      </c>
      <c r="G4295" s="5" t="s">
        <v>24</v>
      </c>
      <c r="H4295">
        <v>23</v>
      </c>
      <c r="I4295" s="4">
        <v>120060</v>
      </c>
      <c r="J4295" s="4">
        <v>46368</v>
      </c>
    </row>
    <row r="4296" spans="2:10" x14ac:dyDescent="0.3">
      <c r="B4296" s="7">
        <v>44835</v>
      </c>
      <c r="C4296" s="3">
        <f t="shared" si="134"/>
        <v>2022</v>
      </c>
      <c r="D4296" s="3">
        <f t="shared" si="135"/>
        <v>202210</v>
      </c>
      <c r="E4296" s="5" t="s">
        <v>6</v>
      </c>
      <c r="F4296" s="5" t="s">
        <v>9</v>
      </c>
      <c r="G4296" s="5" t="s">
        <v>24</v>
      </c>
      <c r="H4296">
        <v>19</v>
      </c>
      <c r="I4296" s="4">
        <v>97964</v>
      </c>
      <c r="J4296" s="4">
        <v>38304</v>
      </c>
    </row>
    <row r="4297" spans="2:10" x14ac:dyDescent="0.3">
      <c r="B4297" s="7">
        <v>44866</v>
      </c>
      <c r="C4297" s="3">
        <f t="shared" si="134"/>
        <v>2022</v>
      </c>
      <c r="D4297" s="3">
        <f t="shared" si="135"/>
        <v>202211</v>
      </c>
      <c r="E4297" s="5" t="s">
        <v>6</v>
      </c>
      <c r="F4297" s="5" t="s">
        <v>9</v>
      </c>
      <c r="G4297" s="5" t="s">
        <v>24</v>
      </c>
      <c r="H4297">
        <v>14</v>
      </c>
      <c r="I4297" s="4">
        <v>85148</v>
      </c>
      <c r="J4297" s="4">
        <v>28224</v>
      </c>
    </row>
    <row r="4298" spans="2:10" x14ac:dyDescent="0.3">
      <c r="B4298" s="7">
        <v>44896</v>
      </c>
      <c r="C4298" s="3">
        <f t="shared" si="134"/>
        <v>2022</v>
      </c>
      <c r="D4298" s="3">
        <f t="shared" si="135"/>
        <v>202212</v>
      </c>
      <c r="E4298" s="5" t="s">
        <v>6</v>
      </c>
      <c r="F4298" s="5" t="s">
        <v>9</v>
      </c>
      <c r="G4298" s="5" t="s">
        <v>24</v>
      </c>
      <c r="H4298">
        <v>16</v>
      </c>
      <c r="I4298" s="4">
        <v>86096</v>
      </c>
      <c r="J4298" s="4">
        <v>32256</v>
      </c>
    </row>
    <row r="4299" spans="2:10" x14ac:dyDescent="0.3">
      <c r="B4299" s="7">
        <v>44197</v>
      </c>
      <c r="C4299" s="3">
        <f t="shared" si="134"/>
        <v>2021</v>
      </c>
      <c r="D4299" s="3">
        <f t="shared" si="135"/>
        <v>202101</v>
      </c>
      <c r="E4299" s="5" t="s">
        <v>6</v>
      </c>
      <c r="F4299" s="5" t="s">
        <v>9</v>
      </c>
      <c r="G4299" s="5" t="s">
        <v>25</v>
      </c>
      <c r="H4299">
        <v>18</v>
      </c>
      <c r="I4299" s="4">
        <v>47844</v>
      </c>
      <c r="J4299" s="4">
        <v>16830.000000000004</v>
      </c>
    </row>
    <row r="4300" spans="2:10" x14ac:dyDescent="0.3">
      <c r="B4300" s="7">
        <v>44228</v>
      </c>
      <c r="C4300" s="3">
        <f t="shared" si="134"/>
        <v>2021</v>
      </c>
      <c r="D4300" s="3">
        <f t="shared" si="135"/>
        <v>202102</v>
      </c>
      <c r="E4300" s="5" t="s">
        <v>6</v>
      </c>
      <c r="F4300" s="5" t="s">
        <v>9</v>
      </c>
      <c r="G4300" s="5" t="s">
        <v>25</v>
      </c>
      <c r="H4300">
        <v>11</v>
      </c>
      <c r="I4300" s="4">
        <v>36817</v>
      </c>
      <c r="J4300" s="4">
        <v>10285.000000000002</v>
      </c>
    </row>
    <row r="4301" spans="2:10" x14ac:dyDescent="0.3">
      <c r="B4301" s="7">
        <v>44256</v>
      </c>
      <c r="C4301" s="3">
        <f t="shared" si="134"/>
        <v>2021</v>
      </c>
      <c r="D4301" s="3">
        <f t="shared" si="135"/>
        <v>202103</v>
      </c>
      <c r="E4301" s="5" t="s">
        <v>6</v>
      </c>
      <c r="F4301" s="5" t="s">
        <v>9</v>
      </c>
      <c r="G4301" s="5" t="s">
        <v>25</v>
      </c>
      <c r="H4301">
        <v>9</v>
      </c>
      <c r="I4301" s="4">
        <v>21942</v>
      </c>
      <c r="J4301" s="4">
        <v>8415.0000000000018</v>
      </c>
    </row>
    <row r="4302" spans="2:10" x14ac:dyDescent="0.3">
      <c r="B4302" s="7">
        <v>44287</v>
      </c>
      <c r="C4302" s="3">
        <f t="shared" si="134"/>
        <v>2021</v>
      </c>
      <c r="D4302" s="3">
        <f t="shared" si="135"/>
        <v>202104</v>
      </c>
      <c r="E4302" s="5" t="s">
        <v>6</v>
      </c>
      <c r="F4302" s="5" t="s">
        <v>9</v>
      </c>
      <c r="G4302" s="5" t="s">
        <v>25</v>
      </c>
      <c r="H4302">
        <v>17</v>
      </c>
      <c r="I4302" s="4">
        <v>68935</v>
      </c>
      <c r="J4302" s="4">
        <v>15895.000000000002</v>
      </c>
    </row>
    <row r="4303" spans="2:10" x14ac:dyDescent="0.3">
      <c r="B4303" s="7">
        <v>44317</v>
      </c>
      <c r="C4303" s="3">
        <f t="shared" si="134"/>
        <v>2021</v>
      </c>
      <c r="D4303" s="3">
        <f t="shared" si="135"/>
        <v>202105</v>
      </c>
      <c r="E4303" s="5" t="s">
        <v>6</v>
      </c>
      <c r="F4303" s="5" t="s">
        <v>9</v>
      </c>
      <c r="G4303" s="5" t="s">
        <v>25</v>
      </c>
      <c r="H4303">
        <v>21</v>
      </c>
      <c r="I4303" s="4">
        <v>84882</v>
      </c>
      <c r="J4303" s="4">
        <v>19635.000000000004</v>
      </c>
    </row>
    <row r="4304" spans="2:10" x14ac:dyDescent="0.3">
      <c r="B4304" s="7">
        <v>44348</v>
      </c>
      <c r="C4304" s="3">
        <f t="shared" si="134"/>
        <v>2021</v>
      </c>
      <c r="D4304" s="3">
        <f t="shared" si="135"/>
        <v>202106</v>
      </c>
      <c r="E4304" s="5" t="s">
        <v>6</v>
      </c>
      <c r="F4304" s="5" t="s">
        <v>9</v>
      </c>
      <c r="G4304" s="5" t="s">
        <v>25</v>
      </c>
      <c r="H4304">
        <v>20</v>
      </c>
      <c r="I4304" s="4">
        <v>70520</v>
      </c>
      <c r="J4304" s="4">
        <v>18700.000000000004</v>
      </c>
    </row>
    <row r="4305" spans="2:10" x14ac:dyDescent="0.3">
      <c r="B4305" s="7">
        <v>44378</v>
      </c>
      <c r="C4305" s="3">
        <f t="shared" si="134"/>
        <v>2021</v>
      </c>
      <c r="D4305" s="3">
        <f t="shared" si="135"/>
        <v>202107</v>
      </c>
      <c r="E4305" s="5" t="s">
        <v>6</v>
      </c>
      <c r="F4305" s="5" t="s">
        <v>9</v>
      </c>
      <c r="G4305" s="5" t="s">
        <v>25</v>
      </c>
      <c r="H4305">
        <v>21</v>
      </c>
      <c r="I4305" s="4">
        <v>33726</v>
      </c>
      <c r="J4305" s="4">
        <v>19635.000000000004</v>
      </c>
    </row>
    <row r="4306" spans="2:10" x14ac:dyDescent="0.3">
      <c r="B4306" s="7">
        <v>44409</v>
      </c>
      <c r="C4306" s="3">
        <f t="shared" si="134"/>
        <v>2021</v>
      </c>
      <c r="D4306" s="3">
        <f t="shared" si="135"/>
        <v>202108</v>
      </c>
      <c r="E4306" s="5" t="s">
        <v>6</v>
      </c>
      <c r="F4306" s="5" t="s">
        <v>9</v>
      </c>
      <c r="G4306" s="5" t="s">
        <v>25</v>
      </c>
      <c r="H4306">
        <v>18</v>
      </c>
      <c r="I4306" s="4">
        <v>41544</v>
      </c>
      <c r="J4306" s="4">
        <v>16830.000000000004</v>
      </c>
    </row>
    <row r="4307" spans="2:10" x14ac:dyDescent="0.3">
      <c r="B4307" s="7">
        <v>44440</v>
      </c>
      <c r="C4307" s="3">
        <f t="shared" si="134"/>
        <v>2021</v>
      </c>
      <c r="D4307" s="3">
        <f t="shared" si="135"/>
        <v>202109</v>
      </c>
      <c r="E4307" s="5" t="s">
        <v>6</v>
      </c>
      <c r="F4307" s="5" t="s">
        <v>9</v>
      </c>
      <c r="G4307" s="5" t="s">
        <v>25</v>
      </c>
      <c r="H4307">
        <v>19</v>
      </c>
      <c r="I4307" s="4">
        <v>60914</v>
      </c>
      <c r="J4307" s="4">
        <v>17765.000000000004</v>
      </c>
    </row>
    <row r="4308" spans="2:10" x14ac:dyDescent="0.3">
      <c r="B4308" s="7">
        <v>44470</v>
      </c>
      <c r="C4308" s="3">
        <f t="shared" si="134"/>
        <v>2021</v>
      </c>
      <c r="D4308" s="3">
        <f t="shared" si="135"/>
        <v>202110</v>
      </c>
      <c r="E4308" s="5" t="s">
        <v>6</v>
      </c>
      <c r="F4308" s="5" t="s">
        <v>9</v>
      </c>
      <c r="G4308" s="5" t="s">
        <v>25</v>
      </c>
      <c r="H4308">
        <v>16</v>
      </c>
      <c r="I4308" s="4">
        <v>56576</v>
      </c>
      <c r="J4308" s="4">
        <v>14960.000000000002</v>
      </c>
    </row>
    <row r="4309" spans="2:10" x14ac:dyDescent="0.3">
      <c r="B4309" s="7">
        <v>44501</v>
      </c>
      <c r="C4309" s="3">
        <f t="shared" si="134"/>
        <v>2021</v>
      </c>
      <c r="D4309" s="3">
        <f t="shared" si="135"/>
        <v>202111</v>
      </c>
      <c r="E4309" s="5" t="s">
        <v>6</v>
      </c>
      <c r="F4309" s="5" t="s">
        <v>9</v>
      </c>
      <c r="G4309" s="5" t="s">
        <v>25</v>
      </c>
      <c r="H4309">
        <v>11</v>
      </c>
      <c r="I4309" s="4">
        <v>33286</v>
      </c>
      <c r="J4309" s="4">
        <v>10285.000000000002</v>
      </c>
    </row>
    <row r="4310" spans="2:10" x14ac:dyDescent="0.3">
      <c r="B4310" s="7">
        <v>44531</v>
      </c>
      <c r="C4310" s="3">
        <f t="shared" si="134"/>
        <v>2021</v>
      </c>
      <c r="D4310" s="3">
        <f t="shared" si="135"/>
        <v>202112</v>
      </c>
      <c r="E4310" s="5" t="s">
        <v>6</v>
      </c>
      <c r="F4310" s="5" t="s">
        <v>9</v>
      </c>
      <c r="G4310" s="5" t="s">
        <v>25</v>
      </c>
      <c r="H4310">
        <v>14</v>
      </c>
      <c r="I4310" s="4">
        <v>26516</v>
      </c>
      <c r="J4310" s="4">
        <v>13090.000000000002</v>
      </c>
    </row>
    <row r="4311" spans="2:10" x14ac:dyDescent="0.3">
      <c r="B4311" s="7">
        <v>44562</v>
      </c>
      <c r="C4311" s="3">
        <f t="shared" si="134"/>
        <v>2022</v>
      </c>
      <c r="D4311" s="3">
        <f t="shared" si="135"/>
        <v>202201</v>
      </c>
      <c r="E4311" s="5" t="s">
        <v>6</v>
      </c>
      <c r="F4311" s="5" t="s">
        <v>9</v>
      </c>
      <c r="G4311" s="5" t="s">
        <v>25</v>
      </c>
      <c r="H4311">
        <v>20</v>
      </c>
      <c r="I4311" s="4">
        <v>52020</v>
      </c>
      <c r="J4311" s="4">
        <v>18700.000000000004</v>
      </c>
    </row>
    <row r="4312" spans="2:10" x14ac:dyDescent="0.3">
      <c r="B4312" s="7">
        <v>44593</v>
      </c>
      <c r="C4312" s="3">
        <f t="shared" si="134"/>
        <v>2022</v>
      </c>
      <c r="D4312" s="3">
        <f t="shared" si="135"/>
        <v>202202</v>
      </c>
      <c r="E4312" s="5" t="s">
        <v>6</v>
      </c>
      <c r="F4312" s="5" t="s">
        <v>9</v>
      </c>
      <c r="G4312" s="5" t="s">
        <v>25</v>
      </c>
      <c r="H4312">
        <v>12</v>
      </c>
      <c r="I4312" s="4">
        <v>41124</v>
      </c>
      <c r="J4312" s="4">
        <v>11220.000000000002</v>
      </c>
    </row>
    <row r="4313" spans="2:10" x14ac:dyDescent="0.3">
      <c r="B4313" s="7">
        <v>44621</v>
      </c>
      <c r="C4313" s="3">
        <f t="shared" si="134"/>
        <v>2022</v>
      </c>
      <c r="D4313" s="3">
        <f t="shared" si="135"/>
        <v>202203</v>
      </c>
      <c r="E4313" s="5" t="s">
        <v>6</v>
      </c>
      <c r="F4313" s="5" t="s">
        <v>9</v>
      </c>
      <c r="G4313" s="5" t="s">
        <v>25</v>
      </c>
      <c r="H4313">
        <v>10</v>
      </c>
      <c r="I4313" s="4">
        <v>20510</v>
      </c>
      <c r="J4313" s="4">
        <v>9350.0000000000018</v>
      </c>
    </row>
    <row r="4314" spans="2:10" x14ac:dyDescent="0.3">
      <c r="B4314" s="7">
        <v>44652</v>
      </c>
      <c r="C4314" s="3">
        <f t="shared" si="134"/>
        <v>2022</v>
      </c>
      <c r="D4314" s="3">
        <f t="shared" si="135"/>
        <v>202204</v>
      </c>
      <c r="E4314" s="5" t="s">
        <v>6</v>
      </c>
      <c r="F4314" s="5" t="s">
        <v>9</v>
      </c>
      <c r="G4314" s="5" t="s">
        <v>25</v>
      </c>
      <c r="H4314">
        <v>18</v>
      </c>
      <c r="I4314" s="4">
        <v>70254</v>
      </c>
      <c r="J4314" s="4">
        <v>16830.000000000004</v>
      </c>
    </row>
    <row r="4315" spans="2:10" x14ac:dyDescent="0.3">
      <c r="B4315" s="7">
        <v>44682</v>
      </c>
      <c r="C4315" s="3">
        <f t="shared" si="134"/>
        <v>2022</v>
      </c>
      <c r="D4315" s="3">
        <f t="shared" si="135"/>
        <v>202205</v>
      </c>
      <c r="E4315" s="5" t="s">
        <v>6</v>
      </c>
      <c r="F4315" s="5" t="s">
        <v>9</v>
      </c>
      <c r="G4315" s="5" t="s">
        <v>25</v>
      </c>
      <c r="H4315">
        <v>23</v>
      </c>
      <c r="I4315" s="4">
        <v>93127</v>
      </c>
      <c r="J4315" s="4">
        <v>21505.000000000004</v>
      </c>
    </row>
    <row r="4316" spans="2:10" x14ac:dyDescent="0.3">
      <c r="B4316" s="7">
        <v>44713</v>
      </c>
      <c r="C4316" s="3">
        <f t="shared" si="134"/>
        <v>2022</v>
      </c>
      <c r="D4316" s="3">
        <f t="shared" si="135"/>
        <v>202206</v>
      </c>
      <c r="E4316" s="5" t="s">
        <v>6</v>
      </c>
      <c r="F4316" s="5" t="s">
        <v>9</v>
      </c>
      <c r="G4316" s="5" t="s">
        <v>25</v>
      </c>
      <c r="H4316">
        <v>22</v>
      </c>
      <c r="I4316" s="4">
        <v>70356</v>
      </c>
      <c r="J4316" s="4">
        <v>20570.000000000004</v>
      </c>
    </row>
    <row r="4317" spans="2:10" x14ac:dyDescent="0.3">
      <c r="B4317" s="7">
        <v>44743</v>
      </c>
      <c r="C4317" s="3">
        <f t="shared" si="134"/>
        <v>2022</v>
      </c>
      <c r="D4317" s="3">
        <f t="shared" si="135"/>
        <v>202207</v>
      </c>
      <c r="E4317" s="5" t="s">
        <v>6</v>
      </c>
      <c r="F4317" s="5" t="s">
        <v>9</v>
      </c>
      <c r="G4317" s="5" t="s">
        <v>25</v>
      </c>
      <c r="H4317">
        <v>23</v>
      </c>
      <c r="I4317" s="4">
        <v>42481</v>
      </c>
      <c r="J4317" s="4">
        <v>21505.000000000004</v>
      </c>
    </row>
    <row r="4318" spans="2:10" x14ac:dyDescent="0.3">
      <c r="B4318" s="7">
        <v>44774</v>
      </c>
      <c r="C4318" s="3">
        <f t="shared" si="134"/>
        <v>2022</v>
      </c>
      <c r="D4318" s="3">
        <f t="shared" si="135"/>
        <v>202208</v>
      </c>
      <c r="E4318" s="5" t="s">
        <v>6</v>
      </c>
      <c r="F4318" s="5" t="s">
        <v>9</v>
      </c>
      <c r="G4318" s="5" t="s">
        <v>25</v>
      </c>
      <c r="H4318">
        <v>20</v>
      </c>
      <c r="I4318" s="4">
        <v>44760</v>
      </c>
      <c r="J4318" s="4">
        <v>18700.000000000004</v>
      </c>
    </row>
    <row r="4319" spans="2:10" x14ac:dyDescent="0.3">
      <c r="B4319" s="7">
        <v>44805</v>
      </c>
      <c r="C4319" s="3">
        <f t="shared" si="134"/>
        <v>2022</v>
      </c>
      <c r="D4319" s="3">
        <f t="shared" si="135"/>
        <v>202209</v>
      </c>
      <c r="E4319" s="5" t="s">
        <v>6</v>
      </c>
      <c r="F4319" s="5" t="s">
        <v>9</v>
      </c>
      <c r="G4319" s="5" t="s">
        <v>25</v>
      </c>
      <c r="H4319">
        <v>21</v>
      </c>
      <c r="I4319" s="4">
        <v>57057</v>
      </c>
      <c r="J4319" s="4">
        <v>19635.000000000004</v>
      </c>
    </row>
    <row r="4320" spans="2:10" x14ac:dyDescent="0.3">
      <c r="B4320" s="7">
        <v>44835</v>
      </c>
      <c r="C4320" s="3">
        <f t="shared" si="134"/>
        <v>2022</v>
      </c>
      <c r="D4320" s="3">
        <f t="shared" si="135"/>
        <v>202210</v>
      </c>
      <c r="E4320" s="5" t="s">
        <v>6</v>
      </c>
      <c r="F4320" s="5" t="s">
        <v>9</v>
      </c>
      <c r="G4320" s="5" t="s">
        <v>25</v>
      </c>
      <c r="H4320">
        <v>17</v>
      </c>
      <c r="I4320" s="4">
        <v>60367</v>
      </c>
      <c r="J4320" s="4">
        <v>15895.000000000002</v>
      </c>
    </row>
    <row r="4321" spans="2:10" x14ac:dyDescent="0.3">
      <c r="B4321" s="7">
        <v>44866</v>
      </c>
      <c r="C4321" s="3">
        <f t="shared" si="134"/>
        <v>2022</v>
      </c>
      <c r="D4321" s="3">
        <f t="shared" si="135"/>
        <v>202211</v>
      </c>
      <c r="E4321" s="5" t="s">
        <v>6</v>
      </c>
      <c r="F4321" s="5" t="s">
        <v>9</v>
      </c>
      <c r="G4321" s="5" t="s">
        <v>25</v>
      </c>
      <c r="H4321">
        <v>12</v>
      </c>
      <c r="I4321" s="4">
        <v>31392</v>
      </c>
      <c r="J4321" s="4">
        <v>11220.000000000002</v>
      </c>
    </row>
    <row r="4322" spans="2:10" x14ac:dyDescent="0.3">
      <c r="B4322" s="7">
        <v>44896</v>
      </c>
      <c r="C4322" s="3">
        <f t="shared" si="134"/>
        <v>2022</v>
      </c>
      <c r="D4322" s="3">
        <f t="shared" si="135"/>
        <v>202212</v>
      </c>
      <c r="E4322" s="5" t="s">
        <v>6</v>
      </c>
      <c r="F4322" s="5" t="s">
        <v>9</v>
      </c>
      <c r="G4322" s="5" t="s">
        <v>25</v>
      </c>
      <c r="H4322">
        <v>15</v>
      </c>
      <c r="I4322" s="4">
        <v>28890</v>
      </c>
      <c r="J4322" s="4">
        <v>14025.000000000002</v>
      </c>
    </row>
    <row r="4323" spans="2:10" x14ac:dyDescent="0.3">
      <c r="B4323" s="7">
        <v>44197</v>
      </c>
      <c r="C4323" s="3">
        <f t="shared" si="134"/>
        <v>2021</v>
      </c>
      <c r="D4323" s="3">
        <f t="shared" si="135"/>
        <v>202101</v>
      </c>
      <c r="E4323" s="5" t="s">
        <v>6</v>
      </c>
      <c r="F4323" s="5" t="s">
        <v>9</v>
      </c>
      <c r="G4323" s="5" t="s">
        <v>26</v>
      </c>
      <c r="H4323">
        <v>22</v>
      </c>
      <c r="I4323" s="4">
        <v>114422</v>
      </c>
      <c r="J4323" s="4">
        <v>43472</v>
      </c>
    </row>
    <row r="4324" spans="2:10" x14ac:dyDescent="0.3">
      <c r="B4324" s="7">
        <v>44228</v>
      </c>
      <c r="C4324" s="3">
        <f t="shared" si="134"/>
        <v>2021</v>
      </c>
      <c r="D4324" s="3">
        <f t="shared" si="135"/>
        <v>202102</v>
      </c>
      <c r="E4324" s="5" t="s">
        <v>6</v>
      </c>
      <c r="F4324" s="5" t="s">
        <v>9</v>
      </c>
      <c r="G4324" s="5" t="s">
        <v>26</v>
      </c>
      <c r="H4324">
        <v>14</v>
      </c>
      <c r="I4324" s="4">
        <v>68530</v>
      </c>
      <c r="J4324" s="4">
        <v>27664</v>
      </c>
    </row>
    <row r="4325" spans="2:10" x14ac:dyDescent="0.3">
      <c r="B4325" s="7">
        <v>44256</v>
      </c>
      <c r="C4325" s="3">
        <f t="shared" si="134"/>
        <v>2021</v>
      </c>
      <c r="D4325" s="3">
        <f t="shared" si="135"/>
        <v>202103</v>
      </c>
      <c r="E4325" s="5" t="s">
        <v>6</v>
      </c>
      <c r="F4325" s="5" t="s">
        <v>9</v>
      </c>
      <c r="G4325" s="5" t="s">
        <v>26</v>
      </c>
      <c r="H4325">
        <v>11</v>
      </c>
      <c r="I4325" s="4">
        <v>46992</v>
      </c>
      <c r="J4325" s="4">
        <v>21736</v>
      </c>
    </row>
    <row r="4326" spans="2:10" x14ac:dyDescent="0.3">
      <c r="B4326" s="7">
        <v>44287</v>
      </c>
      <c r="C4326" s="3">
        <f t="shared" si="134"/>
        <v>2021</v>
      </c>
      <c r="D4326" s="3">
        <f t="shared" si="135"/>
        <v>202104</v>
      </c>
      <c r="E4326" s="5" t="s">
        <v>6</v>
      </c>
      <c r="F4326" s="5" t="s">
        <v>9</v>
      </c>
      <c r="G4326" s="5" t="s">
        <v>26</v>
      </c>
      <c r="H4326">
        <v>21</v>
      </c>
      <c r="I4326" s="4">
        <v>118587</v>
      </c>
      <c r="J4326" s="4">
        <v>41496</v>
      </c>
    </row>
    <row r="4327" spans="2:10" x14ac:dyDescent="0.3">
      <c r="B4327" s="7">
        <v>44317</v>
      </c>
      <c r="C4327" s="3">
        <f t="shared" si="134"/>
        <v>2021</v>
      </c>
      <c r="D4327" s="3">
        <f t="shared" si="135"/>
        <v>202105</v>
      </c>
      <c r="E4327" s="5" t="s">
        <v>6</v>
      </c>
      <c r="F4327" s="5" t="s">
        <v>9</v>
      </c>
      <c r="G4327" s="5" t="s">
        <v>26</v>
      </c>
      <c r="H4327">
        <v>26</v>
      </c>
      <c r="I4327" s="4">
        <v>157040</v>
      </c>
      <c r="J4327" s="4">
        <v>51376</v>
      </c>
    </row>
    <row r="4328" spans="2:10" x14ac:dyDescent="0.3">
      <c r="B4328" s="7">
        <v>44348</v>
      </c>
      <c r="C4328" s="3">
        <f t="shared" si="134"/>
        <v>2021</v>
      </c>
      <c r="D4328" s="3">
        <f t="shared" si="135"/>
        <v>202106</v>
      </c>
      <c r="E4328" s="5" t="s">
        <v>6</v>
      </c>
      <c r="F4328" s="5" t="s">
        <v>9</v>
      </c>
      <c r="G4328" s="5" t="s">
        <v>26</v>
      </c>
      <c r="H4328">
        <v>25</v>
      </c>
      <c r="I4328" s="4">
        <v>126325</v>
      </c>
      <c r="J4328" s="4">
        <v>49400</v>
      </c>
    </row>
    <row r="4329" spans="2:10" x14ac:dyDescent="0.3">
      <c r="B4329" s="7">
        <v>44378</v>
      </c>
      <c r="C4329" s="3">
        <f t="shared" si="134"/>
        <v>2021</v>
      </c>
      <c r="D4329" s="3">
        <f t="shared" si="135"/>
        <v>202107</v>
      </c>
      <c r="E4329" s="5" t="s">
        <v>6</v>
      </c>
      <c r="F4329" s="5" t="s">
        <v>9</v>
      </c>
      <c r="G4329" s="5" t="s">
        <v>26</v>
      </c>
      <c r="H4329">
        <v>26</v>
      </c>
      <c r="I4329" s="4">
        <v>90922</v>
      </c>
      <c r="J4329" s="4">
        <v>51376</v>
      </c>
    </row>
    <row r="4330" spans="2:10" x14ac:dyDescent="0.3">
      <c r="B4330" s="7">
        <v>44409</v>
      </c>
      <c r="C4330" s="3">
        <f t="shared" si="134"/>
        <v>2021</v>
      </c>
      <c r="D4330" s="3">
        <f t="shared" si="135"/>
        <v>202108</v>
      </c>
      <c r="E4330" s="5" t="s">
        <v>6</v>
      </c>
      <c r="F4330" s="5" t="s">
        <v>9</v>
      </c>
      <c r="G4330" s="5" t="s">
        <v>26</v>
      </c>
      <c r="H4330">
        <v>22</v>
      </c>
      <c r="I4330" s="4">
        <v>97196</v>
      </c>
      <c r="J4330" s="4">
        <v>43472</v>
      </c>
    </row>
    <row r="4331" spans="2:10" x14ac:dyDescent="0.3">
      <c r="B4331" s="7">
        <v>44440</v>
      </c>
      <c r="C4331" s="3">
        <f t="shared" si="134"/>
        <v>2021</v>
      </c>
      <c r="D4331" s="3">
        <f t="shared" si="135"/>
        <v>202109</v>
      </c>
      <c r="E4331" s="5" t="s">
        <v>6</v>
      </c>
      <c r="F4331" s="5" t="s">
        <v>9</v>
      </c>
      <c r="G4331" s="5" t="s">
        <v>26</v>
      </c>
      <c r="H4331">
        <v>23</v>
      </c>
      <c r="I4331" s="4">
        <v>93219</v>
      </c>
      <c r="J4331" s="4">
        <v>45448</v>
      </c>
    </row>
    <row r="4332" spans="2:10" x14ac:dyDescent="0.3">
      <c r="B4332" s="7">
        <v>44470</v>
      </c>
      <c r="C4332" s="3">
        <f t="shared" si="134"/>
        <v>2021</v>
      </c>
      <c r="D4332" s="3">
        <f t="shared" si="135"/>
        <v>202110</v>
      </c>
      <c r="E4332" s="5" t="s">
        <v>6</v>
      </c>
      <c r="F4332" s="5" t="s">
        <v>9</v>
      </c>
      <c r="G4332" s="5" t="s">
        <v>26</v>
      </c>
      <c r="H4332">
        <v>19</v>
      </c>
      <c r="I4332" s="4">
        <v>101232</v>
      </c>
      <c r="J4332" s="4">
        <v>37544</v>
      </c>
    </row>
    <row r="4333" spans="2:10" x14ac:dyDescent="0.3">
      <c r="B4333" s="7">
        <v>44501</v>
      </c>
      <c r="C4333" s="3">
        <f t="shared" si="134"/>
        <v>2021</v>
      </c>
      <c r="D4333" s="3">
        <f t="shared" si="135"/>
        <v>202111</v>
      </c>
      <c r="E4333" s="5" t="s">
        <v>6</v>
      </c>
      <c r="F4333" s="5" t="s">
        <v>9</v>
      </c>
      <c r="G4333" s="5" t="s">
        <v>26</v>
      </c>
      <c r="H4333">
        <v>14</v>
      </c>
      <c r="I4333" s="4">
        <v>76608</v>
      </c>
      <c r="J4333" s="4">
        <v>27664</v>
      </c>
    </row>
    <row r="4334" spans="2:10" x14ac:dyDescent="0.3">
      <c r="B4334" s="7">
        <v>44531</v>
      </c>
      <c r="C4334" s="3">
        <f t="shared" si="134"/>
        <v>2021</v>
      </c>
      <c r="D4334" s="3">
        <f t="shared" si="135"/>
        <v>202112</v>
      </c>
      <c r="E4334" s="5" t="s">
        <v>6</v>
      </c>
      <c r="F4334" s="5" t="s">
        <v>9</v>
      </c>
      <c r="G4334" s="5" t="s">
        <v>26</v>
      </c>
      <c r="H4334">
        <v>17</v>
      </c>
      <c r="I4334" s="4">
        <v>80767</v>
      </c>
      <c r="J4334" s="4">
        <v>33592</v>
      </c>
    </row>
    <row r="4335" spans="2:10" x14ac:dyDescent="0.3">
      <c r="B4335" s="7">
        <v>44562</v>
      </c>
      <c r="C4335" s="3">
        <f t="shared" si="134"/>
        <v>2022</v>
      </c>
      <c r="D4335" s="3">
        <f t="shared" si="135"/>
        <v>202201</v>
      </c>
      <c r="E4335" s="5" t="s">
        <v>6</v>
      </c>
      <c r="F4335" s="5" t="s">
        <v>9</v>
      </c>
      <c r="G4335" s="5" t="s">
        <v>26</v>
      </c>
      <c r="H4335">
        <v>24</v>
      </c>
      <c r="I4335" s="4">
        <v>129576</v>
      </c>
      <c r="J4335" s="4">
        <v>47424</v>
      </c>
    </row>
    <row r="4336" spans="2:10" x14ac:dyDescent="0.3">
      <c r="B4336" s="7">
        <v>44593</v>
      </c>
      <c r="C4336" s="3">
        <f t="shared" si="134"/>
        <v>2022</v>
      </c>
      <c r="D4336" s="3">
        <f t="shared" si="135"/>
        <v>202202</v>
      </c>
      <c r="E4336" s="5" t="s">
        <v>6</v>
      </c>
      <c r="F4336" s="5" t="s">
        <v>9</v>
      </c>
      <c r="G4336" s="5" t="s">
        <v>26</v>
      </c>
      <c r="H4336">
        <v>15</v>
      </c>
      <c r="I4336" s="4">
        <v>76455</v>
      </c>
      <c r="J4336" s="4">
        <v>29640</v>
      </c>
    </row>
    <row r="4337" spans="2:10" x14ac:dyDescent="0.3">
      <c r="B4337" s="7">
        <v>44621</v>
      </c>
      <c r="C4337" s="3">
        <f t="shared" si="134"/>
        <v>2022</v>
      </c>
      <c r="D4337" s="3">
        <f t="shared" si="135"/>
        <v>202203</v>
      </c>
      <c r="E4337" s="5" t="s">
        <v>6</v>
      </c>
      <c r="F4337" s="5" t="s">
        <v>9</v>
      </c>
      <c r="G4337" s="5" t="s">
        <v>26</v>
      </c>
      <c r="H4337">
        <v>12</v>
      </c>
      <c r="I4337" s="4">
        <v>47196</v>
      </c>
      <c r="J4337" s="4">
        <v>23712</v>
      </c>
    </row>
    <row r="4338" spans="2:10" x14ac:dyDescent="0.3">
      <c r="B4338" s="7">
        <v>44652</v>
      </c>
      <c r="C4338" s="3">
        <f t="shared" si="134"/>
        <v>2022</v>
      </c>
      <c r="D4338" s="3">
        <f t="shared" si="135"/>
        <v>202204</v>
      </c>
      <c r="E4338" s="5" t="s">
        <v>6</v>
      </c>
      <c r="F4338" s="5" t="s">
        <v>9</v>
      </c>
      <c r="G4338" s="5" t="s">
        <v>26</v>
      </c>
      <c r="H4338">
        <v>23</v>
      </c>
      <c r="I4338" s="4">
        <v>132848</v>
      </c>
      <c r="J4338" s="4">
        <v>45448</v>
      </c>
    </row>
    <row r="4339" spans="2:10" x14ac:dyDescent="0.3">
      <c r="B4339" s="7">
        <v>44682</v>
      </c>
      <c r="C4339" s="3">
        <f t="shared" si="134"/>
        <v>2022</v>
      </c>
      <c r="D4339" s="3">
        <f t="shared" si="135"/>
        <v>202205</v>
      </c>
      <c r="E4339" s="5" t="s">
        <v>6</v>
      </c>
      <c r="F4339" s="5" t="s">
        <v>9</v>
      </c>
      <c r="G4339" s="5" t="s">
        <v>26</v>
      </c>
      <c r="H4339">
        <v>28</v>
      </c>
      <c r="I4339" s="4">
        <v>170128</v>
      </c>
      <c r="J4339" s="4">
        <v>55328</v>
      </c>
    </row>
    <row r="4340" spans="2:10" x14ac:dyDescent="0.3">
      <c r="B4340" s="7">
        <v>44713</v>
      </c>
      <c r="C4340" s="3">
        <f t="shared" si="134"/>
        <v>2022</v>
      </c>
      <c r="D4340" s="3">
        <f t="shared" si="135"/>
        <v>202206</v>
      </c>
      <c r="E4340" s="5" t="s">
        <v>6</v>
      </c>
      <c r="F4340" s="5" t="s">
        <v>9</v>
      </c>
      <c r="G4340" s="5" t="s">
        <v>26</v>
      </c>
      <c r="H4340">
        <v>27</v>
      </c>
      <c r="I4340" s="4">
        <v>144342</v>
      </c>
      <c r="J4340" s="4">
        <v>53352</v>
      </c>
    </row>
    <row r="4341" spans="2:10" x14ac:dyDescent="0.3">
      <c r="B4341" s="7">
        <v>44743</v>
      </c>
      <c r="C4341" s="3">
        <f t="shared" si="134"/>
        <v>2022</v>
      </c>
      <c r="D4341" s="3">
        <f t="shared" si="135"/>
        <v>202207</v>
      </c>
      <c r="E4341" s="5" t="s">
        <v>6</v>
      </c>
      <c r="F4341" s="5" t="s">
        <v>9</v>
      </c>
      <c r="G4341" s="5" t="s">
        <v>26</v>
      </c>
      <c r="H4341">
        <v>28</v>
      </c>
      <c r="I4341" s="4">
        <v>107240</v>
      </c>
      <c r="J4341" s="4">
        <v>55328</v>
      </c>
    </row>
    <row r="4342" spans="2:10" x14ac:dyDescent="0.3">
      <c r="B4342" s="7">
        <v>44774</v>
      </c>
      <c r="C4342" s="3">
        <f t="shared" si="134"/>
        <v>2022</v>
      </c>
      <c r="D4342" s="3">
        <f t="shared" si="135"/>
        <v>202208</v>
      </c>
      <c r="E4342" s="5" t="s">
        <v>6</v>
      </c>
      <c r="F4342" s="5" t="s">
        <v>9</v>
      </c>
      <c r="G4342" s="5" t="s">
        <v>26</v>
      </c>
      <c r="H4342">
        <v>24</v>
      </c>
      <c r="I4342" s="4">
        <v>117288</v>
      </c>
      <c r="J4342" s="4">
        <v>47424</v>
      </c>
    </row>
    <row r="4343" spans="2:10" x14ac:dyDescent="0.3">
      <c r="B4343" s="7">
        <v>44805</v>
      </c>
      <c r="C4343" s="3">
        <f t="shared" si="134"/>
        <v>2022</v>
      </c>
      <c r="D4343" s="3">
        <f t="shared" si="135"/>
        <v>202209</v>
      </c>
      <c r="E4343" s="5" t="s">
        <v>6</v>
      </c>
      <c r="F4343" s="5" t="s">
        <v>9</v>
      </c>
      <c r="G4343" s="5" t="s">
        <v>26</v>
      </c>
      <c r="H4343">
        <v>26</v>
      </c>
      <c r="I4343" s="4">
        <v>121420</v>
      </c>
      <c r="J4343" s="4">
        <v>51376</v>
      </c>
    </row>
    <row r="4344" spans="2:10" x14ac:dyDescent="0.3">
      <c r="B4344" s="7">
        <v>44835</v>
      </c>
      <c r="C4344" s="3">
        <f t="shared" si="134"/>
        <v>2022</v>
      </c>
      <c r="D4344" s="3">
        <f t="shared" si="135"/>
        <v>202210</v>
      </c>
      <c r="E4344" s="5" t="s">
        <v>6</v>
      </c>
      <c r="F4344" s="5" t="s">
        <v>9</v>
      </c>
      <c r="G4344" s="5" t="s">
        <v>26</v>
      </c>
      <c r="H4344">
        <v>21</v>
      </c>
      <c r="I4344" s="4">
        <v>116466</v>
      </c>
      <c r="J4344" s="4">
        <v>41496</v>
      </c>
    </row>
    <row r="4345" spans="2:10" x14ac:dyDescent="0.3">
      <c r="B4345" s="7">
        <v>44866</v>
      </c>
      <c r="C4345" s="3">
        <f t="shared" si="134"/>
        <v>2022</v>
      </c>
      <c r="D4345" s="3">
        <f t="shared" si="135"/>
        <v>202211</v>
      </c>
      <c r="E4345" s="5" t="s">
        <v>6</v>
      </c>
      <c r="F4345" s="5" t="s">
        <v>9</v>
      </c>
      <c r="G4345" s="5" t="s">
        <v>26</v>
      </c>
      <c r="H4345">
        <v>15</v>
      </c>
      <c r="I4345" s="4">
        <v>77130</v>
      </c>
      <c r="J4345" s="4">
        <v>29640</v>
      </c>
    </row>
    <row r="4346" spans="2:10" x14ac:dyDescent="0.3">
      <c r="B4346" s="7">
        <v>44896</v>
      </c>
      <c r="C4346" s="3">
        <f t="shared" si="134"/>
        <v>2022</v>
      </c>
      <c r="D4346" s="3">
        <f t="shared" si="135"/>
        <v>202212</v>
      </c>
      <c r="E4346" s="5" t="s">
        <v>6</v>
      </c>
      <c r="F4346" s="5" t="s">
        <v>9</v>
      </c>
      <c r="G4346" s="5" t="s">
        <v>26</v>
      </c>
      <c r="H4346">
        <v>18</v>
      </c>
      <c r="I4346" s="4">
        <v>77616</v>
      </c>
      <c r="J4346" s="4">
        <v>35568</v>
      </c>
    </row>
    <row r="4347" spans="2:10" x14ac:dyDescent="0.3">
      <c r="B4347" s="7">
        <v>44197</v>
      </c>
      <c r="C4347" s="3">
        <f t="shared" si="134"/>
        <v>2021</v>
      </c>
      <c r="D4347" s="3">
        <f t="shared" si="135"/>
        <v>202101</v>
      </c>
      <c r="E4347" s="5" t="s">
        <v>6</v>
      </c>
      <c r="F4347" s="5" t="s">
        <v>9</v>
      </c>
      <c r="G4347" s="5" t="s">
        <v>27</v>
      </c>
      <c r="H4347">
        <v>20</v>
      </c>
      <c r="I4347" s="4">
        <v>127720</v>
      </c>
      <c r="J4347" s="4">
        <v>36000</v>
      </c>
    </row>
    <row r="4348" spans="2:10" x14ac:dyDescent="0.3">
      <c r="B4348" s="7">
        <v>44228</v>
      </c>
      <c r="C4348" s="3">
        <f t="shared" si="134"/>
        <v>2021</v>
      </c>
      <c r="D4348" s="3">
        <f t="shared" si="135"/>
        <v>202102</v>
      </c>
      <c r="E4348" s="5" t="s">
        <v>6</v>
      </c>
      <c r="F4348" s="5" t="s">
        <v>9</v>
      </c>
      <c r="G4348" s="5" t="s">
        <v>27</v>
      </c>
      <c r="H4348">
        <v>12</v>
      </c>
      <c r="I4348" s="4">
        <v>74136</v>
      </c>
      <c r="J4348" s="4">
        <v>21600</v>
      </c>
    </row>
    <row r="4349" spans="2:10" x14ac:dyDescent="0.3">
      <c r="B4349" s="7">
        <v>44256</v>
      </c>
      <c r="C4349" s="3">
        <f t="shared" si="134"/>
        <v>2021</v>
      </c>
      <c r="D4349" s="3">
        <f t="shared" si="135"/>
        <v>202103</v>
      </c>
      <c r="E4349" s="5" t="s">
        <v>6</v>
      </c>
      <c r="F4349" s="5" t="s">
        <v>9</v>
      </c>
      <c r="G4349" s="5" t="s">
        <v>27</v>
      </c>
      <c r="H4349">
        <v>10</v>
      </c>
      <c r="I4349" s="4">
        <v>51490</v>
      </c>
      <c r="J4349" s="4">
        <v>18000</v>
      </c>
    </row>
    <row r="4350" spans="2:10" x14ac:dyDescent="0.3">
      <c r="B4350" s="7">
        <v>44287</v>
      </c>
      <c r="C4350" s="3">
        <f t="shared" si="134"/>
        <v>2021</v>
      </c>
      <c r="D4350" s="3">
        <f t="shared" si="135"/>
        <v>202104</v>
      </c>
      <c r="E4350" s="5" t="s">
        <v>6</v>
      </c>
      <c r="F4350" s="5" t="s">
        <v>9</v>
      </c>
      <c r="G4350" s="5" t="s">
        <v>27</v>
      </c>
      <c r="H4350">
        <v>18</v>
      </c>
      <c r="I4350" s="4">
        <v>122562</v>
      </c>
      <c r="J4350" s="4">
        <v>32400</v>
      </c>
    </row>
    <row r="4351" spans="2:10" x14ac:dyDescent="0.3">
      <c r="B4351" s="7">
        <v>44317</v>
      </c>
      <c r="C4351" s="3">
        <f t="shared" si="134"/>
        <v>2021</v>
      </c>
      <c r="D4351" s="3">
        <f t="shared" si="135"/>
        <v>202105</v>
      </c>
      <c r="E4351" s="5" t="s">
        <v>6</v>
      </c>
      <c r="F4351" s="5" t="s">
        <v>9</v>
      </c>
      <c r="G4351" s="5" t="s">
        <v>27</v>
      </c>
      <c r="H4351">
        <v>23</v>
      </c>
      <c r="I4351" s="4">
        <v>156630</v>
      </c>
      <c r="J4351" s="4">
        <v>41400</v>
      </c>
    </row>
    <row r="4352" spans="2:10" x14ac:dyDescent="0.3">
      <c r="B4352" s="7">
        <v>44348</v>
      </c>
      <c r="C4352" s="3">
        <f t="shared" si="134"/>
        <v>2021</v>
      </c>
      <c r="D4352" s="3">
        <f t="shared" si="135"/>
        <v>202106</v>
      </c>
      <c r="E4352" s="5" t="s">
        <v>6</v>
      </c>
      <c r="F4352" s="5" t="s">
        <v>9</v>
      </c>
      <c r="G4352" s="5" t="s">
        <v>27</v>
      </c>
      <c r="H4352">
        <v>22</v>
      </c>
      <c r="I4352" s="4">
        <v>129316</v>
      </c>
      <c r="J4352" s="4">
        <v>39600</v>
      </c>
    </row>
    <row r="4353" spans="2:10" x14ac:dyDescent="0.3">
      <c r="B4353" s="7">
        <v>44378</v>
      </c>
      <c r="C4353" s="3">
        <f t="shared" si="134"/>
        <v>2021</v>
      </c>
      <c r="D4353" s="3">
        <f t="shared" si="135"/>
        <v>202107</v>
      </c>
      <c r="E4353" s="5" t="s">
        <v>6</v>
      </c>
      <c r="F4353" s="5" t="s">
        <v>9</v>
      </c>
      <c r="G4353" s="5" t="s">
        <v>27</v>
      </c>
      <c r="H4353">
        <v>23</v>
      </c>
      <c r="I4353" s="4">
        <v>110400</v>
      </c>
      <c r="J4353" s="4">
        <v>41400</v>
      </c>
    </row>
    <row r="4354" spans="2:10" x14ac:dyDescent="0.3">
      <c r="B4354" s="7">
        <v>44409</v>
      </c>
      <c r="C4354" s="3">
        <f t="shared" si="134"/>
        <v>2021</v>
      </c>
      <c r="D4354" s="3">
        <f t="shared" si="135"/>
        <v>202108</v>
      </c>
      <c r="E4354" s="5" t="s">
        <v>6</v>
      </c>
      <c r="F4354" s="5" t="s">
        <v>9</v>
      </c>
      <c r="G4354" s="5" t="s">
        <v>27</v>
      </c>
      <c r="H4354">
        <v>20</v>
      </c>
      <c r="I4354" s="4">
        <v>109440</v>
      </c>
      <c r="J4354" s="4">
        <v>36000</v>
      </c>
    </row>
    <row r="4355" spans="2:10" x14ac:dyDescent="0.3">
      <c r="B4355" s="7">
        <v>44440</v>
      </c>
      <c r="C4355" s="3">
        <f t="shared" ref="C4355:C4418" si="136">YEAR(B4355)</f>
        <v>2021</v>
      </c>
      <c r="D4355" s="3">
        <f t="shared" ref="D4355:D4418" si="137">VALUE(TEXT(B4355,"ГГГГММ"))</f>
        <v>202109</v>
      </c>
      <c r="E4355" s="5" t="s">
        <v>6</v>
      </c>
      <c r="F4355" s="5" t="s">
        <v>9</v>
      </c>
      <c r="G4355" s="5" t="s">
        <v>27</v>
      </c>
      <c r="H4355">
        <v>21</v>
      </c>
      <c r="I4355" s="4">
        <v>126105</v>
      </c>
      <c r="J4355" s="4">
        <v>37800</v>
      </c>
    </row>
    <row r="4356" spans="2:10" x14ac:dyDescent="0.3">
      <c r="B4356" s="7">
        <v>44470</v>
      </c>
      <c r="C4356" s="3">
        <f t="shared" si="136"/>
        <v>2021</v>
      </c>
      <c r="D4356" s="3">
        <f t="shared" si="137"/>
        <v>202110</v>
      </c>
      <c r="E4356" s="5" t="s">
        <v>6</v>
      </c>
      <c r="F4356" s="5" t="s">
        <v>9</v>
      </c>
      <c r="G4356" s="5" t="s">
        <v>27</v>
      </c>
      <c r="H4356">
        <v>17</v>
      </c>
      <c r="I4356" s="4">
        <v>102255</v>
      </c>
      <c r="J4356" s="4">
        <v>30600</v>
      </c>
    </row>
    <row r="4357" spans="2:10" x14ac:dyDescent="0.3">
      <c r="B4357" s="7">
        <v>44501</v>
      </c>
      <c r="C4357" s="3">
        <f t="shared" si="136"/>
        <v>2021</v>
      </c>
      <c r="D4357" s="3">
        <f t="shared" si="137"/>
        <v>202111</v>
      </c>
      <c r="E4357" s="5" t="s">
        <v>6</v>
      </c>
      <c r="F4357" s="5" t="s">
        <v>9</v>
      </c>
      <c r="G4357" s="5" t="s">
        <v>27</v>
      </c>
      <c r="H4357">
        <v>12</v>
      </c>
      <c r="I4357" s="4">
        <v>73548</v>
      </c>
      <c r="J4357" s="4">
        <v>21600</v>
      </c>
    </row>
    <row r="4358" spans="2:10" x14ac:dyDescent="0.3">
      <c r="B4358" s="7">
        <v>44531</v>
      </c>
      <c r="C4358" s="3">
        <f t="shared" si="136"/>
        <v>2021</v>
      </c>
      <c r="D4358" s="3">
        <f t="shared" si="137"/>
        <v>202112</v>
      </c>
      <c r="E4358" s="5" t="s">
        <v>6</v>
      </c>
      <c r="F4358" s="5" t="s">
        <v>9</v>
      </c>
      <c r="G4358" s="5" t="s">
        <v>27</v>
      </c>
      <c r="H4358">
        <v>15</v>
      </c>
      <c r="I4358" s="4">
        <v>82605</v>
      </c>
      <c r="J4358" s="4">
        <v>27000</v>
      </c>
    </row>
    <row r="4359" spans="2:10" x14ac:dyDescent="0.3">
      <c r="B4359" s="7">
        <v>44562</v>
      </c>
      <c r="C4359" s="3">
        <f t="shared" si="136"/>
        <v>2022</v>
      </c>
      <c r="D4359" s="3">
        <f t="shared" si="137"/>
        <v>202201</v>
      </c>
      <c r="E4359" s="5" t="s">
        <v>6</v>
      </c>
      <c r="F4359" s="5" t="s">
        <v>9</v>
      </c>
      <c r="G4359" s="5" t="s">
        <v>27</v>
      </c>
      <c r="H4359">
        <v>22</v>
      </c>
      <c r="I4359" s="4">
        <v>125224</v>
      </c>
      <c r="J4359" s="4">
        <v>39600</v>
      </c>
    </row>
    <row r="4360" spans="2:10" x14ac:dyDescent="0.3">
      <c r="B4360" s="7">
        <v>44593</v>
      </c>
      <c r="C4360" s="3">
        <f t="shared" si="136"/>
        <v>2022</v>
      </c>
      <c r="D4360" s="3">
        <f t="shared" si="137"/>
        <v>202202</v>
      </c>
      <c r="E4360" s="5" t="s">
        <v>6</v>
      </c>
      <c r="F4360" s="5" t="s">
        <v>9</v>
      </c>
      <c r="G4360" s="5" t="s">
        <v>27</v>
      </c>
      <c r="H4360">
        <v>14</v>
      </c>
      <c r="I4360" s="4">
        <v>76272</v>
      </c>
      <c r="J4360" s="4">
        <v>25200</v>
      </c>
    </row>
    <row r="4361" spans="2:10" x14ac:dyDescent="0.3">
      <c r="B4361" s="7">
        <v>44621</v>
      </c>
      <c r="C4361" s="3">
        <f t="shared" si="136"/>
        <v>2022</v>
      </c>
      <c r="D4361" s="3">
        <f t="shared" si="137"/>
        <v>202203</v>
      </c>
      <c r="E4361" s="5" t="s">
        <v>6</v>
      </c>
      <c r="F4361" s="5" t="s">
        <v>9</v>
      </c>
      <c r="G4361" s="5" t="s">
        <v>27</v>
      </c>
      <c r="H4361">
        <v>11</v>
      </c>
      <c r="I4361" s="4">
        <v>60654</v>
      </c>
      <c r="J4361" s="4">
        <v>19800</v>
      </c>
    </row>
    <row r="4362" spans="2:10" x14ac:dyDescent="0.3">
      <c r="B4362" s="7">
        <v>44652</v>
      </c>
      <c r="C4362" s="3">
        <f t="shared" si="136"/>
        <v>2022</v>
      </c>
      <c r="D4362" s="3">
        <f t="shared" si="137"/>
        <v>202204</v>
      </c>
      <c r="E4362" s="5" t="s">
        <v>6</v>
      </c>
      <c r="F4362" s="5" t="s">
        <v>9</v>
      </c>
      <c r="G4362" s="5" t="s">
        <v>27</v>
      </c>
      <c r="H4362">
        <v>20</v>
      </c>
      <c r="I4362" s="4">
        <v>126100</v>
      </c>
      <c r="J4362" s="4">
        <v>36000</v>
      </c>
    </row>
    <row r="4363" spans="2:10" x14ac:dyDescent="0.3">
      <c r="B4363" s="7">
        <v>44682</v>
      </c>
      <c r="C4363" s="3">
        <f t="shared" si="136"/>
        <v>2022</v>
      </c>
      <c r="D4363" s="3">
        <f t="shared" si="137"/>
        <v>202205</v>
      </c>
      <c r="E4363" s="5" t="s">
        <v>6</v>
      </c>
      <c r="F4363" s="5" t="s">
        <v>9</v>
      </c>
      <c r="G4363" s="5" t="s">
        <v>27</v>
      </c>
      <c r="H4363">
        <v>26</v>
      </c>
      <c r="I4363" s="4">
        <v>159510</v>
      </c>
      <c r="J4363" s="4">
        <v>46800</v>
      </c>
    </row>
    <row r="4364" spans="2:10" x14ac:dyDescent="0.3">
      <c r="B4364" s="7">
        <v>44713</v>
      </c>
      <c r="C4364" s="3">
        <f t="shared" si="136"/>
        <v>2022</v>
      </c>
      <c r="D4364" s="3">
        <f t="shared" si="137"/>
        <v>202206</v>
      </c>
      <c r="E4364" s="5" t="s">
        <v>6</v>
      </c>
      <c r="F4364" s="5" t="s">
        <v>9</v>
      </c>
      <c r="G4364" s="5" t="s">
        <v>27</v>
      </c>
      <c r="H4364">
        <v>24</v>
      </c>
      <c r="I4364" s="4">
        <v>149496</v>
      </c>
      <c r="J4364" s="4">
        <v>43200</v>
      </c>
    </row>
    <row r="4365" spans="2:10" x14ac:dyDescent="0.3">
      <c r="B4365" s="7">
        <v>44743</v>
      </c>
      <c r="C4365" s="3">
        <f t="shared" si="136"/>
        <v>2022</v>
      </c>
      <c r="D4365" s="3">
        <f t="shared" si="137"/>
        <v>202207</v>
      </c>
      <c r="E4365" s="5" t="s">
        <v>6</v>
      </c>
      <c r="F4365" s="5" t="s">
        <v>9</v>
      </c>
      <c r="G4365" s="5" t="s">
        <v>27</v>
      </c>
      <c r="H4365">
        <v>26</v>
      </c>
      <c r="I4365" s="4">
        <v>116090</v>
      </c>
      <c r="J4365" s="4">
        <v>46800</v>
      </c>
    </row>
    <row r="4366" spans="2:10" x14ac:dyDescent="0.3">
      <c r="B4366" s="7">
        <v>44774</v>
      </c>
      <c r="C4366" s="3">
        <f t="shared" si="136"/>
        <v>2022</v>
      </c>
      <c r="D4366" s="3">
        <f t="shared" si="137"/>
        <v>202208</v>
      </c>
      <c r="E4366" s="5" t="s">
        <v>6</v>
      </c>
      <c r="F4366" s="5" t="s">
        <v>9</v>
      </c>
      <c r="G4366" s="5" t="s">
        <v>27</v>
      </c>
      <c r="H4366">
        <v>22</v>
      </c>
      <c r="I4366" s="4">
        <v>121066</v>
      </c>
      <c r="J4366" s="4">
        <v>39600</v>
      </c>
    </row>
    <row r="4367" spans="2:10" x14ac:dyDescent="0.3">
      <c r="B4367" s="7">
        <v>44805</v>
      </c>
      <c r="C4367" s="3">
        <f t="shared" si="136"/>
        <v>2022</v>
      </c>
      <c r="D4367" s="3">
        <f t="shared" si="137"/>
        <v>202209</v>
      </c>
      <c r="E4367" s="5" t="s">
        <v>6</v>
      </c>
      <c r="F4367" s="5" t="s">
        <v>9</v>
      </c>
      <c r="G4367" s="5" t="s">
        <v>27</v>
      </c>
      <c r="H4367">
        <v>23</v>
      </c>
      <c r="I4367" s="4">
        <v>130134</v>
      </c>
      <c r="J4367" s="4">
        <v>41400</v>
      </c>
    </row>
    <row r="4368" spans="2:10" x14ac:dyDescent="0.3">
      <c r="B4368" s="7">
        <v>44835</v>
      </c>
      <c r="C4368" s="3">
        <f t="shared" si="136"/>
        <v>2022</v>
      </c>
      <c r="D4368" s="3">
        <f t="shared" si="137"/>
        <v>202210</v>
      </c>
      <c r="E4368" s="5" t="s">
        <v>6</v>
      </c>
      <c r="F4368" s="5" t="s">
        <v>9</v>
      </c>
      <c r="G4368" s="5" t="s">
        <v>27</v>
      </c>
      <c r="H4368">
        <v>19</v>
      </c>
      <c r="I4368" s="4">
        <v>115007</v>
      </c>
      <c r="J4368" s="4">
        <v>34200</v>
      </c>
    </row>
    <row r="4369" spans="2:10" x14ac:dyDescent="0.3">
      <c r="B4369" s="7">
        <v>44866</v>
      </c>
      <c r="C4369" s="3">
        <f t="shared" si="136"/>
        <v>2022</v>
      </c>
      <c r="D4369" s="3">
        <f t="shared" si="137"/>
        <v>202211</v>
      </c>
      <c r="E4369" s="5" t="s">
        <v>6</v>
      </c>
      <c r="F4369" s="5" t="s">
        <v>9</v>
      </c>
      <c r="G4369" s="5" t="s">
        <v>27</v>
      </c>
      <c r="H4369">
        <v>14</v>
      </c>
      <c r="I4369" s="4">
        <v>83244</v>
      </c>
      <c r="J4369" s="4">
        <v>25200</v>
      </c>
    </row>
    <row r="4370" spans="2:10" x14ac:dyDescent="0.3">
      <c r="B4370" s="7">
        <v>44896</v>
      </c>
      <c r="C4370" s="3">
        <f t="shared" si="136"/>
        <v>2022</v>
      </c>
      <c r="D4370" s="3">
        <f t="shared" si="137"/>
        <v>202212</v>
      </c>
      <c r="E4370" s="5" t="s">
        <v>6</v>
      </c>
      <c r="F4370" s="5" t="s">
        <v>9</v>
      </c>
      <c r="G4370" s="5" t="s">
        <v>27</v>
      </c>
      <c r="H4370">
        <v>16</v>
      </c>
      <c r="I4370" s="4">
        <v>81584</v>
      </c>
      <c r="J4370" s="4">
        <v>28800</v>
      </c>
    </row>
    <row r="4371" spans="2:10" x14ac:dyDescent="0.3">
      <c r="B4371" s="7">
        <v>44197</v>
      </c>
      <c r="C4371" s="3">
        <f t="shared" si="136"/>
        <v>2021</v>
      </c>
      <c r="D4371" s="3">
        <f t="shared" si="137"/>
        <v>202101</v>
      </c>
      <c r="E4371" s="5" t="s">
        <v>6</v>
      </c>
      <c r="F4371" s="5" t="s">
        <v>10</v>
      </c>
      <c r="G4371" s="5" t="s">
        <v>28</v>
      </c>
      <c r="H4371">
        <v>13</v>
      </c>
      <c r="I4371" s="4">
        <v>467142</v>
      </c>
      <c r="J4371" s="4">
        <v>268450</v>
      </c>
    </row>
    <row r="4372" spans="2:10" x14ac:dyDescent="0.3">
      <c r="B4372" s="7">
        <v>44228</v>
      </c>
      <c r="C4372" s="3">
        <f t="shared" si="136"/>
        <v>2021</v>
      </c>
      <c r="D4372" s="3">
        <f t="shared" si="137"/>
        <v>202102</v>
      </c>
      <c r="E4372" s="5" t="s">
        <v>6</v>
      </c>
      <c r="F4372" s="5" t="s">
        <v>10</v>
      </c>
      <c r="G4372" s="5" t="s">
        <v>28</v>
      </c>
      <c r="H4372">
        <v>9</v>
      </c>
      <c r="I4372" s="4">
        <v>329490</v>
      </c>
      <c r="J4372" s="4">
        <v>185850</v>
      </c>
    </row>
    <row r="4373" spans="2:10" x14ac:dyDescent="0.3">
      <c r="B4373" s="7">
        <v>44256</v>
      </c>
      <c r="C4373" s="3">
        <f t="shared" si="136"/>
        <v>2021</v>
      </c>
      <c r="D4373" s="3">
        <f t="shared" si="137"/>
        <v>202103</v>
      </c>
      <c r="E4373" s="5" t="s">
        <v>6</v>
      </c>
      <c r="F4373" s="5" t="s">
        <v>10</v>
      </c>
      <c r="G4373" s="5" t="s">
        <v>28</v>
      </c>
      <c r="H4373">
        <v>7</v>
      </c>
      <c r="I4373" s="4">
        <v>252847</v>
      </c>
      <c r="J4373" s="4">
        <v>144550</v>
      </c>
    </row>
    <row r="4374" spans="2:10" x14ac:dyDescent="0.3">
      <c r="B4374" s="7">
        <v>44287</v>
      </c>
      <c r="C4374" s="3">
        <f t="shared" si="136"/>
        <v>2021</v>
      </c>
      <c r="D4374" s="3">
        <f t="shared" si="137"/>
        <v>202104</v>
      </c>
      <c r="E4374" s="5" t="s">
        <v>6</v>
      </c>
      <c r="F4374" s="5" t="s">
        <v>10</v>
      </c>
      <c r="G4374" s="5" t="s">
        <v>28</v>
      </c>
      <c r="H4374">
        <v>13</v>
      </c>
      <c r="I4374" s="4">
        <v>472836</v>
      </c>
      <c r="J4374" s="4">
        <v>268450</v>
      </c>
    </row>
    <row r="4375" spans="2:10" x14ac:dyDescent="0.3">
      <c r="B4375" s="7">
        <v>44317</v>
      </c>
      <c r="C4375" s="3">
        <f t="shared" si="136"/>
        <v>2021</v>
      </c>
      <c r="D4375" s="3">
        <f t="shared" si="137"/>
        <v>202105</v>
      </c>
      <c r="E4375" s="5" t="s">
        <v>6</v>
      </c>
      <c r="F4375" s="5" t="s">
        <v>10</v>
      </c>
      <c r="G4375" s="5" t="s">
        <v>28</v>
      </c>
      <c r="H4375">
        <v>16</v>
      </c>
      <c r="I4375" s="4">
        <v>591648</v>
      </c>
      <c r="J4375" s="4">
        <v>330400</v>
      </c>
    </row>
    <row r="4376" spans="2:10" x14ac:dyDescent="0.3">
      <c r="B4376" s="7">
        <v>44348</v>
      </c>
      <c r="C4376" s="3">
        <f t="shared" si="136"/>
        <v>2021</v>
      </c>
      <c r="D4376" s="3">
        <f t="shared" si="137"/>
        <v>202106</v>
      </c>
      <c r="E4376" s="5" t="s">
        <v>6</v>
      </c>
      <c r="F4376" s="5" t="s">
        <v>10</v>
      </c>
      <c r="G4376" s="5" t="s">
        <v>28</v>
      </c>
      <c r="H4376">
        <v>15</v>
      </c>
      <c r="I4376" s="4">
        <v>539505</v>
      </c>
      <c r="J4376" s="4">
        <v>309750</v>
      </c>
    </row>
    <row r="4377" spans="2:10" x14ac:dyDescent="0.3">
      <c r="B4377" s="7">
        <v>44378</v>
      </c>
      <c r="C4377" s="3">
        <f t="shared" si="136"/>
        <v>2021</v>
      </c>
      <c r="D4377" s="3">
        <f t="shared" si="137"/>
        <v>202107</v>
      </c>
      <c r="E4377" s="5" t="s">
        <v>6</v>
      </c>
      <c r="F4377" s="5" t="s">
        <v>10</v>
      </c>
      <c r="G4377" s="5" t="s">
        <v>28</v>
      </c>
      <c r="H4377">
        <v>16</v>
      </c>
      <c r="I4377" s="4">
        <v>561056</v>
      </c>
      <c r="J4377" s="4">
        <v>330400</v>
      </c>
    </row>
    <row r="4378" spans="2:10" x14ac:dyDescent="0.3">
      <c r="B4378" s="7">
        <v>44409</v>
      </c>
      <c r="C4378" s="3">
        <f t="shared" si="136"/>
        <v>2021</v>
      </c>
      <c r="D4378" s="3">
        <f t="shared" si="137"/>
        <v>202108</v>
      </c>
      <c r="E4378" s="5" t="s">
        <v>6</v>
      </c>
      <c r="F4378" s="5" t="s">
        <v>10</v>
      </c>
      <c r="G4378" s="5" t="s">
        <v>28</v>
      </c>
      <c r="H4378">
        <v>13</v>
      </c>
      <c r="I4378" s="4">
        <v>468858</v>
      </c>
      <c r="J4378" s="4">
        <v>268450</v>
      </c>
    </row>
    <row r="4379" spans="2:10" x14ac:dyDescent="0.3">
      <c r="B4379" s="7">
        <v>44440</v>
      </c>
      <c r="C4379" s="3">
        <f t="shared" si="136"/>
        <v>2021</v>
      </c>
      <c r="D4379" s="3">
        <f t="shared" si="137"/>
        <v>202109</v>
      </c>
      <c r="E4379" s="5" t="s">
        <v>6</v>
      </c>
      <c r="F4379" s="5" t="s">
        <v>10</v>
      </c>
      <c r="G4379" s="5" t="s">
        <v>28</v>
      </c>
      <c r="H4379">
        <v>14</v>
      </c>
      <c r="I4379" s="4">
        <v>495124</v>
      </c>
      <c r="J4379" s="4">
        <v>289100</v>
      </c>
    </row>
    <row r="4380" spans="2:10" x14ac:dyDescent="0.3">
      <c r="B4380" s="7">
        <v>44470</v>
      </c>
      <c r="C4380" s="3">
        <f t="shared" si="136"/>
        <v>2021</v>
      </c>
      <c r="D4380" s="3">
        <f t="shared" si="137"/>
        <v>202110</v>
      </c>
      <c r="E4380" s="5" t="s">
        <v>6</v>
      </c>
      <c r="F4380" s="5" t="s">
        <v>10</v>
      </c>
      <c r="G4380" s="5" t="s">
        <v>28</v>
      </c>
      <c r="H4380">
        <v>12</v>
      </c>
      <c r="I4380" s="4">
        <v>436596</v>
      </c>
      <c r="J4380" s="4">
        <v>247800</v>
      </c>
    </row>
    <row r="4381" spans="2:10" x14ac:dyDescent="0.3">
      <c r="B4381" s="7">
        <v>44501</v>
      </c>
      <c r="C4381" s="3">
        <f t="shared" si="136"/>
        <v>2021</v>
      </c>
      <c r="D4381" s="3">
        <f t="shared" si="137"/>
        <v>202111</v>
      </c>
      <c r="E4381" s="5" t="s">
        <v>6</v>
      </c>
      <c r="F4381" s="5" t="s">
        <v>10</v>
      </c>
      <c r="G4381" s="5" t="s">
        <v>28</v>
      </c>
      <c r="H4381">
        <v>9</v>
      </c>
      <c r="I4381" s="4">
        <v>325899</v>
      </c>
      <c r="J4381" s="4">
        <v>185850</v>
      </c>
    </row>
    <row r="4382" spans="2:10" x14ac:dyDescent="0.3">
      <c r="B4382" s="7">
        <v>44531</v>
      </c>
      <c r="C4382" s="3">
        <f t="shared" si="136"/>
        <v>2021</v>
      </c>
      <c r="D4382" s="3">
        <f t="shared" si="137"/>
        <v>202112</v>
      </c>
      <c r="E4382" s="5" t="s">
        <v>6</v>
      </c>
      <c r="F4382" s="5" t="s">
        <v>10</v>
      </c>
      <c r="G4382" s="5" t="s">
        <v>28</v>
      </c>
      <c r="H4382">
        <v>10</v>
      </c>
      <c r="I4382" s="4">
        <v>353100</v>
      </c>
      <c r="J4382" s="4">
        <v>206500</v>
      </c>
    </row>
    <row r="4383" spans="2:10" x14ac:dyDescent="0.3">
      <c r="B4383" s="7">
        <v>44562</v>
      </c>
      <c r="C4383" s="3">
        <f t="shared" si="136"/>
        <v>2022</v>
      </c>
      <c r="D4383" s="3">
        <f t="shared" si="137"/>
        <v>202201</v>
      </c>
      <c r="E4383" s="5" t="s">
        <v>6</v>
      </c>
      <c r="F4383" s="5" t="s">
        <v>10</v>
      </c>
      <c r="G4383" s="5" t="s">
        <v>28</v>
      </c>
      <c r="H4383">
        <v>15</v>
      </c>
      <c r="I4383" s="4">
        <v>549900</v>
      </c>
      <c r="J4383" s="4">
        <v>309750</v>
      </c>
    </row>
    <row r="4384" spans="2:10" x14ac:dyDescent="0.3">
      <c r="B4384" s="7">
        <v>44593</v>
      </c>
      <c r="C4384" s="3">
        <f t="shared" si="136"/>
        <v>2022</v>
      </c>
      <c r="D4384" s="3">
        <f t="shared" si="137"/>
        <v>202202</v>
      </c>
      <c r="E4384" s="5" t="s">
        <v>6</v>
      </c>
      <c r="F4384" s="5" t="s">
        <v>10</v>
      </c>
      <c r="G4384" s="5" t="s">
        <v>28</v>
      </c>
      <c r="H4384">
        <v>9</v>
      </c>
      <c r="I4384" s="4">
        <v>326529</v>
      </c>
      <c r="J4384" s="4">
        <v>185850</v>
      </c>
    </row>
    <row r="4385" spans="2:10" x14ac:dyDescent="0.3">
      <c r="B4385" s="7">
        <v>44621</v>
      </c>
      <c r="C4385" s="3">
        <f t="shared" si="136"/>
        <v>2022</v>
      </c>
      <c r="D4385" s="3">
        <f t="shared" si="137"/>
        <v>202203</v>
      </c>
      <c r="E4385" s="5" t="s">
        <v>6</v>
      </c>
      <c r="F4385" s="5" t="s">
        <v>10</v>
      </c>
      <c r="G4385" s="5" t="s">
        <v>28</v>
      </c>
      <c r="H4385">
        <v>8</v>
      </c>
      <c r="I4385" s="4">
        <v>289160</v>
      </c>
      <c r="J4385" s="4">
        <v>165200</v>
      </c>
    </row>
    <row r="4386" spans="2:10" x14ac:dyDescent="0.3">
      <c r="B4386" s="7">
        <v>44652</v>
      </c>
      <c r="C4386" s="3">
        <f t="shared" si="136"/>
        <v>2022</v>
      </c>
      <c r="D4386" s="3">
        <f t="shared" si="137"/>
        <v>202204</v>
      </c>
      <c r="E4386" s="5" t="s">
        <v>6</v>
      </c>
      <c r="F4386" s="5" t="s">
        <v>10</v>
      </c>
      <c r="G4386" s="5" t="s">
        <v>28</v>
      </c>
      <c r="H4386">
        <v>14</v>
      </c>
      <c r="I4386" s="4">
        <v>520576</v>
      </c>
      <c r="J4386" s="4">
        <v>289100</v>
      </c>
    </row>
    <row r="4387" spans="2:10" x14ac:dyDescent="0.3">
      <c r="B4387" s="7">
        <v>44682</v>
      </c>
      <c r="C4387" s="3">
        <f t="shared" si="136"/>
        <v>2022</v>
      </c>
      <c r="D4387" s="3">
        <f t="shared" si="137"/>
        <v>202205</v>
      </c>
      <c r="E4387" s="5" t="s">
        <v>6</v>
      </c>
      <c r="F4387" s="5" t="s">
        <v>10</v>
      </c>
      <c r="G4387" s="5" t="s">
        <v>28</v>
      </c>
      <c r="H4387">
        <v>17</v>
      </c>
      <c r="I4387" s="4">
        <v>622540</v>
      </c>
      <c r="J4387" s="4">
        <v>351050</v>
      </c>
    </row>
    <row r="4388" spans="2:10" x14ac:dyDescent="0.3">
      <c r="B4388" s="7">
        <v>44713</v>
      </c>
      <c r="C4388" s="3">
        <f t="shared" si="136"/>
        <v>2022</v>
      </c>
      <c r="D4388" s="3">
        <f t="shared" si="137"/>
        <v>202206</v>
      </c>
      <c r="E4388" s="5" t="s">
        <v>6</v>
      </c>
      <c r="F4388" s="5" t="s">
        <v>10</v>
      </c>
      <c r="G4388" s="5" t="s">
        <v>28</v>
      </c>
      <c r="H4388">
        <v>16</v>
      </c>
      <c r="I4388" s="4">
        <v>588400</v>
      </c>
      <c r="J4388" s="4">
        <v>330400</v>
      </c>
    </row>
    <row r="4389" spans="2:10" x14ac:dyDescent="0.3">
      <c r="B4389" s="7">
        <v>44743</v>
      </c>
      <c r="C4389" s="3">
        <f t="shared" si="136"/>
        <v>2022</v>
      </c>
      <c r="D4389" s="3">
        <f t="shared" si="137"/>
        <v>202207</v>
      </c>
      <c r="E4389" s="5" t="s">
        <v>6</v>
      </c>
      <c r="F4389" s="5" t="s">
        <v>10</v>
      </c>
      <c r="G4389" s="5" t="s">
        <v>28</v>
      </c>
      <c r="H4389">
        <v>17</v>
      </c>
      <c r="I4389" s="4">
        <v>587452</v>
      </c>
      <c r="J4389" s="4">
        <v>351050</v>
      </c>
    </row>
    <row r="4390" spans="2:10" x14ac:dyDescent="0.3">
      <c r="B4390" s="7">
        <v>44774</v>
      </c>
      <c r="C4390" s="3">
        <f t="shared" si="136"/>
        <v>2022</v>
      </c>
      <c r="D4390" s="3">
        <f t="shared" si="137"/>
        <v>202208</v>
      </c>
      <c r="E4390" s="5" t="s">
        <v>6</v>
      </c>
      <c r="F4390" s="5" t="s">
        <v>10</v>
      </c>
      <c r="G4390" s="5" t="s">
        <v>28</v>
      </c>
      <c r="H4390">
        <v>15</v>
      </c>
      <c r="I4390" s="4">
        <v>533595</v>
      </c>
      <c r="J4390" s="4">
        <v>309750</v>
      </c>
    </row>
    <row r="4391" spans="2:10" x14ac:dyDescent="0.3">
      <c r="B4391" s="7">
        <v>44805</v>
      </c>
      <c r="C4391" s="3">
        <f t="shared" si="136"/>
        <v>2022</v>
      </c>
      <c r="D4391" s="3">
        <f t="shared" si="137"/>
        <v>202209</v>
      </c>
      <c r="E4391" s="5" t="s">
        <v>6</v>
      </c>
      <c r="F4391" s="5" t="s">
        <v>10</v>
      </c>
      <c r="G4391" s="5" t="s">
        <v>28</v>
      </c>
      <c r="H4391">
        <v>16</v>
      </c>
      <c r="I4391" s="4">
        <v>577584</v>
      </c>
      <c r="J4391" s="4">
        <v>330400</v>
      </c>
    </row>
    <row r="4392" spans="2:10" x14ac:dyDescent="0.3">
      <c r="B4392" s="7">
        <v>44835</v>
      </c>
      <c r="C4392" s="3">
        <f t="shared" si="136"/>
        <v>2022</v>
      </c>
      <c r="D4392" s="3">
        <f t="shared" si="137"/>
        <v>202210</v>
      </c>
      <c r="E4392" s="5" t="s">
        <v>6</v>
      </c>
      <c r="F4392" s="5" t="s">
        <v>10</v>
      </c>
      <c r="G4392" s="5" t="s">
        <v>28</v>
      </c>
      <c r="H4392">
        <v>13</v>
      </c>
      <c r="I4392" s="4">
        <v>475085</v>
      </c>
      <c r="J4392" s="4">
        <v>268450</v>
      </c>
    </row>
    <row r="4393" spans="2:10" x14ac:dyDescent="0.3">
      <c r="B4393" s="7">
        <v>44866</v>
      </c>
      <c r="C4393" s="3">
        <f t="shared" si="136"/>
        <v>2022</v>
      </c>
      <c r="D4393" s="3">
        <f t="shared" si="137"/>
        <v>202211</v>
      </c>
      <c r="E4393" s="5" t="s">
        <v>6</v>
      </c>
      <c r="F4393" s="5" t="s">
        <v>10</v>
      </c>
      <c r="G4393" s="5" t="s">
        <v>28</v>
      </c>
      <c r="H4393">
        <v>9</v>
      </c>
      <c r="I4393" s="4">
        <v>328392</v>
      </c>
      <c r="J4393" s="4">
        <v>185850</v>
      </c>
    </row>
    <row r="4394" spans="2:10" x14ac:dyDescent="0.3">
      <c r="B4394" s="7">
        <v>44896</v>
      </c>
      <c r="C4394" s="3">
        <f t="shared" si="136"/>
        <v>2022</v>
      </c>
      <c r="D4394" s="3">
        <f t="shared" si="137"/>
        <v>202212</v>
      </c>
      <c r="E4394" s="5" t="s">
        <v>6</v>
      </c>
      <c r="F4394" s="5" t="s">
        <v>10</v>
      </c>
      <c r="G4394" s="5" t="s">
        <v>28</v>
      </c>
      <c r="H4394">
        <v>11</v>
      </c>
      <c r="I4394" s="4">
        <v>396627</v>
      </c>
      <c r="J4394" s="4">
        <v>227150</v>
      </c>
    </row>
    <row r="4395" spans="2:10" x14ac:dyDescent="0.3">
      <c r="B4395" s="7">
        <v>44197</v>
      </c>
      <c r="C4395" s="3">
        <f t="shared" si="136"/>
        <v>2021</v>
      </c>
      <c r="D4395" s="3">
        <f t="shared" si="137"/>
        <v>202101</v>
      </c>
      <c r="E4395" s="5" t="s">
        <v>6</v>
      </c>
      <c r="F4395" s="5" t="s">
        <v>10</v>
      </c>
      <c r="G4395" s="5" t="s">
        <v>29</v>
      </c>
      <c r="H4395">
        <v>11</v>
      </c>
      <c r="I4395" s="4">
        <v>362571</v>
      </c>
      <c r="J4395" s="4">
        <v>172480</v>
      </c>
    </row>
    <row r="4396" spans="2:10" x14ac:dyDescent="0.3">
      <c r="B4396" s="7">
        <v>44228</v>
      </c>
      <c r="C4396" s="3">
        <f t="shared" si="136"/>
        <v>2021</v>
      </c>
      <c r="D4396" s="3">
        <f t="shared" si="137"/>
        <v>202102</v>
      </c>
      <c r="E4396" s="5" t="s">
        <v>6</v>
      </c>
      <c r="F4396" s="5" t="s">
        <v>10</v>
      </c>
      <c r="G4396" s="5" t="s">
        <v>29</v>
      </c>
      <c r="H4396">
        <v>7</v>
      </c>
      <c r="I4396" s="4">
        <v>238140</v>
      </c>
      <c r="J4396" s="4">
        <v>109760</v>
      </c>
    </row>
    <row r="4397" spans="2:10" x14ac:dyDescent="0.3">
      <c r="B4397" s="7">
        <v>44256</v>
      </c>
      <c r="C4397" s="3">
        <f t="shared" si="136"/>
        <v>2021</v>
      </c>
      <c r="D4397" s="3">
        <f t="shared" si="137"/>
        <v>202103</v>
      </c>
      <c r="E4397" s="5" t="s">
        <v>6</v>
      </c>
      <c r="F4397" s="5" t="s">
        <v>10</v>
      </c>
      <c r="G4397" s="5" t="s">
        <v>29</v>
      </c>
      <c r="H4397">
        <v>6</v>
      </c>
      <c r="I4397" s="4">
        <v>194928</v>
      </c>
      <c r="J4397" s="4">
        <v>94080</v>
      </c>
    </row>
    <row r="4398" spans="2:10" x14ac:dyDescent="0.3">
      <c r="B4398" s="7">
        <v>44287</v>
      </c>
      <c r="C4398" s="3">
        <f t="shared" si="136"/>
        <v>2021</v>
      </c>
      <c r="D4398" s="3">
        <f t="shared" si="137"/>
        <v>202104</v>
      </c>
      <c r="E4398" s="5" t="s">
        <v>6</v>
      </c>
      <c r="F4398" s="5" t="s">
        <v>10</v>
      </c>
      <c r="G4398" s="5" t="s">
        <v>29</v>
      </c>
      <c r="H4398">
        <v>10</v>
      </c>
      <c r="I4398" s="4">
        <v>336440</v>
      </c>
      <c r="J4398" s="4">
        <v>156800</v>
      </c>
    </row>
    <row r="4399" spans="2:10" x14ac:dyDescent="0.3">
      <c r="B4399" s="7">
        <v>44317</v>
      </c>
      <c r="C4399" s="3">
        <f t="shared" si="136"/>
        <v>2021</v>
      </c>
      <c r="D4399" s="3">
        <f t="shared" si="137"/>
        <v>202105</v>
      </c>
      <c r="E4399" s="5" t="s">
        <v>6</v>
      </c>
      <c r="F4399" s="5" t="s">
        <v>10</v>
      </c>
      <c r="G4399" s="5" t="s">
        <v>29</v>
      </c>
      <c r="H4399">
        <v>13</v>
      </c>
      <c r="I4399" s="4">
        <v>437814</v>
      </c>
      <c r="J4399" s="4">
        <v>203840</v>
      </c>
    </row>
    <row r="4400" spans="2:10" x14ac:dyDescent="0.3">
      <c r="B4400" s="7">
        <v>44348</v>
      </c>
      <c r="C4400" s="3">
        <f t="shared" si="136"/>
        <v>2021</v>
      </c>
      <c r="D4400" s="3">
        <f t="shared" si="137"/>
        <v>202106</v>
      </c>
      <c r="E4400" s="5" t="s">
        <v>6</v>
      </c>
      <c r="F4400" s="5" t="s">
        <v>10</v>
      </c>
      <c r="G4400" s="5" t="s">
        <v>29</v>
      </c>
      <c r="H4400">
        <v>12</v>
      </c>
      <c r="I4400" s="4">
        <v>395760</v>
      </c>
      <c r="J4400" s="4">
        <v>188160</v>
      </c>
    </row>
    <row r="4401" spans="2:10" x14ac:dyDescent="0.3">
      <c r="B4401" s="7">
        <v>44378</v>
      </c>
      <c r="C4401" s="3">
        <f t="shared" si="136"/>
        <v>2021</v>
      </c>
      <c r="D4401" s="3">
        <f t="shared" si="137"/>
        <v>202107</v>
      </c>
      <c r="E4401" s="5" t="s">
        <v>6</v>
      </c>
      <c r="F4401" s="5" t="s">
        <v>10</v>
      </c>
      <c r="G4401" s="5" t="s">
        <v>29</v>
      </c>
      <c r="H4401">
        <v>13</v>
      </c>
      <c r="I4401" s="4">
        <v>405392</v>
      </c>
      <c r="J4401" s="4">
        <v>203840</v>
      </c>
    </row>
    <row r="4402" spans="2:10" x14ac:dyDescent="0.3">
      <c r="B4402" s="7">
        <v>44409</v>
      </c>
      <c r="C4402" s="3">
        <f t="shared" si="136"/>
        <v>2021</v>
      </c>
      <c r="D4402" s="3">
        <f t="shared" si="137"/>
        <v>202108</v>
      </c>
      <c r="E4402" s="5" t="s">
        <v>6</v>
      </c>
      <c r="F4402" s="5" t="s">
        <v>10</v>
      </c>
      <c r="G4402" s="5" t="s">
        <v>29</v>
      </c>
      <c r="H4402">
        <v>11</v>
      </c>
      <c r="I4402" s="4">
        <v>361383</v>
      </c>
      <c r="J4402" s="4">
        <v>172480</v>
      </c>
    </row>
    <row r="4403" spans="2:10" x14ac:dyDescent="0.3">
      <c r="B4403" s="7">
        <v>44440</v>
      </c>
      <c r="C4403" s="3">
        <f t="shared" si="136"/>
        <v>2021</v>
      </c>
      <c r="D4403" s="3">
        <f t="shared" si="137"/>
        <v>202109</v>
      </c>
      <c r="E4403" s="5" t="s">
        <v>6</v>
      </c>
      <c r="F4403" s="5" t="s">
        <v>10</v>
      </c>
      <c r="G4403" s="5" t="s">
        <v>29</v>
      </c>
      <c r="H4403">
        <v>11</v>
      </c>
      <c r="I4403" s="4">
        <v>360349</v>
      </c>
      <c r="J4403" s="4">
        <v>172480</v>
      </c>
    </row>
    <row r="4404" spans="2:10" x14ac:dyDescent="0.3">
      <c r="B4404" s="7">
        <v>44470</v>
      </c>
      <c r="C4404" s="3">
        <f t="shared" si="136"/>
        <v>2021</v>
      </c>
      <c r="D4404" s="3">
        <f t="shared" si="137"/>
        <v>202110</v>
      </c>
      <c r="E4404" s="5" t="s">
        <v>6</v>
      </c>
      <c r="F4404" s="5" t="s">
        <v>10</v>
      </c>
      <c r="G4404" s="5" t="s">
        <v>29</v>
      </c>
      <c r="H4404">
        <v>10</v>
      </c>
      <c r="I4404" s="4">
        <v>330040</v>
      </c>
      <c r="J4404" s="4">
        <v>156800</v>
      </c>
    </row>
    <row r="4405" spans="2:10" x14ac:dyDescent="0.3">
      <c r="B4405" s="7">
        <v>44501</v>
      </c>
      <c r="C4405" s="3">
        <f t="shared" si="136"/>
        <v>2021</v>
      </c>
      <c r="D4405" s="3">
        <f t="shared" si="137"/>
        <v>202111</v>
      </c>
      <c r="E4405" s="5" t="s">
        <v>6</v>
      </c>
      <c r="F4405" s="5" t="s">
        <v>10</v>
      </c>
      <c r="G4405" s="5" t="s">
        <v>29</v>
      </c>
      <c r="H4405">
        <v>7</v>
      </c>
      <c r="I4405" s="4">
        <v>232225</v>
      </c>
      <c r="J4405" s="4">
        <v>109760</v>
      </c>
    </row>
    <row r="4406" spans="2:10" x14ac:dyDescent="0.3">
      <c r="B4406" s="7">
        <v>44531</v>
      </c>
      <c r="C4406" s="3">
        <f t="shared" si="136"/>
        <v>2021</v>
      </c>
      <c r="D4406" s="3">
        <f t="shared" si="137"/>
        <v>202112</v>
      </c>
      <c r="E4406" s="5" t="s">
        <v>6</v>
      </c>
      <c r="F4406" s="5" t="s">
        <v>10</v>
      </c>
      <c r="G4406" s="5" t="s">
        <v>29</v>
      </c>
      <c r="H4406">
        <v>8</v>
      </c>
      <c r="I4406" s="4">
        <v>257760</v>
      </c>
      <c r="J4406" s="4">
        <v>125440</v>
      </c>
    </row>
    <row r="4407" spans="2:10" x14ac:dyDescent="0.3">
      <c r="B4407" s="7">
        <v>44562</v>
      </c>
      <c r="C4407" s="3">
        <f t="shared" si="136"/>
        <v>2022</v>
      </c>
      <c r="D4407" s="3">
        <f t="shared" si="137"/>
        <v>202201</v>
      </c>
      <c r="E4407" s="5" t="s">
        <v>6</v>
      </c>
      <c r="F4407" s="5" t="s">
        <v>10</v>
      </c>
      <c r="G4407" s="5" t="s">
        <v>29</v>
      </c>
      <c r="H4407">
        <v>12</v>
      </c>
      <c r="I4407" s="4">
        <v>406128</v>
      </c>
      <c r="J4407" s="4">
        <v>188160</v>
      </c>
    </row>
    <row r="4408" spans="2:10" x14ac:dyDescent="0.3">
      <c r="B4408" s="7">
        <v>44593</v>
      </c>
      <c r="C4408" s="3">
        <f t="shared" si="136"/>
        <v>2022</v>
      </c>
      <c r="D4408" s="3">
        <f t="shared" si="137"/>
        <v>202202</v>
      </c>
      <c r="E4408" s="5" t="s">
        <v>6</v>
      </c>
      <c r="F4408" s="5" t="s">
        <v>10</v>
      </c>
      <c r="G4408" s="5" t="s">
        <v>29</v>
      </c>
      <c r="H4408">
        <v>8</v>
      </c>
      <c r="I4408" s="4">
        <v>272128</v>
      </c>
      <c r="J4408" s="4">
        <v>125440</v>
      </c>
    </row>
    <row r="4409" spans="2:10" x14ac:dyDescent="0.3">
      <c r="B4409" s="7">
        <v>44621</v>
      </c>
      <c r="C4409" s="3">
        <f t="shared" si="136"/>
        <v>2022</v>
      </c>
      <c r="D4409" s="3">
        <f t="shared" si="137"/>
        <v>202203</v>
      </c>
      <c r="E4409" s="5" t="s">
        <v>6</v>
      </c>
      <c r="F4409" s="5" t="s">
        <v>10</v>
      </c>
      <c r="G4409" s="5" t="s">
        <v>29</v>
      </c>
      <c r="H4409">
        <v>6</v>
      </c>
      <c r="I4409" s="4">
        <v>198096</v>
      </c>
      <c r="J4409" s="4">
        <v>94080</v>
      </c>
    </row>
    <row r="4410" spans="2:10" x14ac:dyDescent="0.3">
      <c r="B4410" s="7">
        <v>44652</v>
      </c>
      <c r="C4410" s="3">
        <f t="shared" si="136"/>
        <v>2022</v>
      </c>
      <c r="D4410" s="3">
        <f t="shared" si="137"/>
        <v>202204</v>
      </c>
      <c r="E4410" s="5" t="s">
        <v>6</v>
      </c>
      <c r="F4410" s="5" t="s">
        <v>10</v>
      </c>
      <c r="G4410" s="5" t="s">
        <v>29</v>
      </c>
      <c r="H4410">
        <v>11</v>
      </c>
      <c r="I4410" s="4">
        <v>373890</v>
      </c>
      <c r="J4410" s="4">
        <v>172480</v>
      </c>
    </row>
    <row r="4411" spans="2:10" x14ac:dyDescent="0.3">
      <c r="B4411" s="7">
        <v>44682</v>
      </c>
      <c r="C4411" s="3">
        <f t="shared" si="136"/>
        <v>2022</v>
      </c>
      <c r="D4411" s="3">
        <f t="shared" si="137"/>
        <v>202205</v>
      </c>
      <c r="E4411" s="5" t="s">
        <v>6</v>
      </c>
      <c r="F4411" s="5" t="s">
        <v>10</v>
      </c>
      <c r="G4411" s="5" t="s">
        <v>29</v>
      </c>
      <c r="H4411">
        <v>14</v>
      </c>
      <c r="I4411" s="4">
        <v>477596</v>
      </c>
      <c r="J4411" s="4">
        <v>219520</v>
      </c>
    </row>
    <row r="4412" spans="2:10" x14ac:dyDescent="0.3">
      <c r="B4412" s="7">
        <v>44713</v>
      </c>
      <c r="C4412" s="3">
        <f t="shared" si="136"/>
        <v>2022</v>
      </c>
      <c r="D4412" s="3">
        <f t="shared" si="137"/>
        <v>202206</v>
      </c>
      <c r="E4412" s="5" t="s">
        <v>6</v>
      </c>
      <c r="F4412" s="5" t="s">
        <v>10</v>
      </c>
      <c r="G4412" s="5" t="s">
        <v>29</v>
      </c>
      <c r="H4412">
        <v>13</v>
      </c>
      <c r="I4412" s="4">
        <v>441454</v>
      </c>
      <c r="J4412" s="4">
        <v>203840</v>
      </c>
    </row>
    <row r="4413" spans="2:10" x14ac:dyDescent="0.3">
      <c r="B4413" s="7">
        <v>44743</v>
      </c>
      <c r="C4413" s="3">
        <f t="shared" si="136"/>
        <v>2022</v>
      </c>
      <c r="D4413" s="3">
        <f t="shared" si="137"/>
        <v>202207</v>
      </c>
      <c r="E4413" s="5" t="s">
        <v>6</v>
      </c>
      <c r="F4413" s="5" t="s">
        <v>10</v>
      </c>
      <c r="G4413" s="5" t="s">
        <v>29</v>
      </c>
      <c r="H4413">
        <v>14</v>
      </c>
      <c r="I4413" s="4">
        <v>448504</v>
      </c>
      <c r="J4413" s="4">
        <v>219520</v>
      </c>
    </row>
    <row r="4414" spans="2:10" x14ac:dyDescent="0.3">
      <c r="B4414" s="7">
        <v>44774</v>
      </c>
      <c r="C4414" s="3">
        <f t="shared" si="136"/>
        <v>2022</v>
      </c>
      <c r="D4414" s="3">
        <f t="shared" si="137"/>
        <v>202208</v>
      </c>
      <c r="E4414" s="5" t="s">
        <v>6</v>
      </c>
      <c r="F4414" s="5" t="s">
        <v>10</v>
      </c>
      <c r="G4414" s="5" t="s">
        <v>29</v>
      </c>
      <c r="H4414">
        <v>12</v>
      </c>
      <c r="I4414" s="4">
        <v>390444</v>
      </c>
      <c r="J4414" s="4">
        <v>188160</v>
      </c>
    </row>
    <row r="4415" spans="2:10" x14ac:dyDescent="0.3">
      <c r="B4415" s="7">
        <v>44805</v>
      </c>
      <c r="C4415" s="3">
        <f t="shared" si="136"/>
        <v>2022</v>
      </c>
      <c r="D4415" s="3">
        <f t="shared" si="137"/>
        <v>202209</v>
      </c>
      <c r="E4415" s="5" t="s">
        <v>6</v>
      </c>
      <c r="F4415" s="5" t="s">
        <v>10</v>
      </c>
      <c r="G4415" s="5" t="s">
        <v>29</v>
      </c>
      <c r="H4415">
        <v>13</v>
      </c>
      <c r="I4415" s="4">
        <v>428077</v>
      </c>
      <c r="J4415" s="4">
        <v>203840</v>
      </c>
    </row>
    <row r="4416" spans="2:10" x14ac:dyDescent="0.3">
      <c r="B4416" s="7">
        <v>44835</v>
      </c>
      <c r="C4416" s="3">
        <f t="shared" si="136"/>
        <v>2022</v>
      </c>
      <c r="D4416" s="3">
        <f t="shared" si="137"/>
        <v>202210</v>
      </c>
      <c r="E4416" s="5" t="s">
        <v>6</v>
      </c>
      <c r="F4416" s="5" t="s">
        <v>10</v>
      </c>
      <c r="G4416" s="5" t="s">
        <v>29</v>
      </c>
      <c r="H4416">
        <v>10</v>
      </c>
      <c r="I4416" s="4">
        <v>329500</v>
      </c>
      <c r="J4416" s="4">
        <v>156800</v>
      </c>
    </row>
    <row r="4417" spans="2:10" x14ac:dyDescent="0.3">
      <c r="B4417" s="7">
        <v>44866</v>
      </c>
      <c r="C4417" s="3">
        <f t="shared" si="136"/>
        <v>2022</v>
      </c>
      <c r="D4417" s="3">
        <f t="shared" si="137"/>
        <v>202211</v>
      </c>
      <c r="E4417" s="5" t="s">
        <v>6</v>
      </c>
      <c r="F4417" s="5" t="s">
        <v>10</v>
      </c>
      <c r="G4417" s="5" t="s">
        <v>29</v>
      </c>
      <c r="H4417">
        <v>8</v>
      </c>
      <c r="I4417" s="4">
        <v>267256</v>
      </c>
      <c r="J4417" s="4">
        <v>125440</v>
      </c>
    </row>
    <row r="4418" spans="2:10" x14ac:dyDescent="0.3">
      <c r="B4418" s="7">
        <v>44896</v>
      </c>
      <c r="C4418" s="3">
        <f t="shared" si="136"/>
        <v>2022</v>
      </c>
      <c r="D4418" s="3">
        <f t="shared" si="137"/>
        <v>202212</v>
      </c>
      <c r="E4418" s="5" t="s">
        <v>6</v>
      </c>
      <c r="F4418" s="5" t="s">
        <v>10</v>
      </c>
      <c r="G4418" s="5" t="s">
        <v>29</v>
      </c>
      <c r="H4418">
        <v>9</v>
      </c>
      <c r="I4418" s="4">
        <v>297684</v>
      </c>
      <c r="J4418" s="4">
        <v>141120</v>
      </c>
    </row>
    <row r="4419" spans="2:10" x14ac:dyDescent="0.3">
      <c r="B4419" s="7">
        <v>44197</v>
      </c>
      <c r="C4419" s="3">
        <f t="shared" ref="C4419:C4482" si="138">YEAR(B4419)</f>
        <v>2021</v>
      </c>
      <c r="D4419" s="3">
        <f t="shared" ref="D4419:D4482" si="139">VALUE(TEXT(B4419,"ГГГГММ"))</f>
        <v>202101</v>
      </c>
      <c r="E4419" s="5" t="s">
        <v>6</v>
      </c>
      <c r="F4419" s="5" t="s">
        <v>10</v>
      </c>
      <c r="G4419" s="5" t="s">
        <v>30</v>
      </c>
      <c r="H4419">
        <v>12</v>
      </c>
      <c r="I4419" s="4">
        <v>522840</v>
      </c>
      <c r="J4419" s="4">
        <v>216720</v>
      </c>
    </row>
    <row r="4420" spans="2:10" x14ac:dyDescent="0.3">
      <c r="B4420" s="7">
        <v>44228</v>
      </c>
      <c r="C4420" s="3">
        <f t="shared" si="138"/>
        <v>2021</v>
      </c>
      <c r="D4420" s="3">
        <f t="shared" si="139"/>
        <v>202102</v>
      </c>
      <c r="E4420" s="5" t="s">
        <v>6</v>
      </c>
      <c r="F4420" s="5" t="s">
        <v>10</v>
      </c>
      <c r="G4420" s="5" t="s">
        <v>30</v>
      </c>
      <c r="H4420">
        <v>8</v>
      </c>
      <c r="I4420" s="4">
        <v>349184</v>
      </c>
      <c r="J4420" s="4">
        <v>144480</v>
      </c>
    </row>
    <row r="4421" spans="2:10" x14ac:dyDescent="0.3">
      <c r="B4421" s="7">
        <v>44256</v>
      </c>
      <c r="C4421" s="3">
        <f t="shared" si="138"/>
        <v>2021</v>
      </c>
      <c r="D4421" s="3">
        <f t="shared" si="139"/>
        <v>202103</v>
      </c>
      <c r="E4421" s="5" t="s">
        <v>6</v>
      </c>
      <c r="F4421" s="5" t="s">
        <v>10</v>
      </c>
      <c r="G4421" s="5" t="s">
        <v>30</v>
      </c>
      <c r="H4421">
        <v>6</v>
      </c>
      <c r="I4421" s="4">
        <v>258672</v>
      </c>
      <c r="J4421" s="4">
        <v>108360</v>
      </c>
    </row>
    <row r="4422" spans="2:10" x14ac:dyDescent="0.3">
      <c r="B4422" s="7">
        <v>44287</v>
      </c>
      <c r="C4422" s="3">
        <f t="shared" si="138"/>
        <v>2021</v>
      </c>
      <c r="D4422" s="3">
        <f t="shared" si="139"/>
        <v>202104</v>
      </c>
      <c r="E4422" s="5" t="s">
        <v>6</v>
      </c>
      <c r="F4422" s="5" t="s">
        <v>10</v>
      </c>
      <c r="G4422" s="5" t="s">
        <v>30</v>
      </c>
      <c r="H4422">
        <v>11</v>
      </c>
      <c r="I4422" s="4">
        <v>475871</v>
      </c>
      <c r="J4422" s="4">
        <v>198660</v>
      </c>
    </row>
    <row r="4423" spans="2:10" x14ac:dyDescent="0.3">
      <c r="B4423" s="7">
        <v>44317</v>
      </c>
      <c r="C4423" s="3">
        <f t="shared" si="138"/>
        <v>2021</v>
      </c>
      <c r="D4423" s="3">
        <f t="shared" si="139"/>
        <v>202105</v>
      </c>
      <c r="E4423" s="5" t="s">
        <v>6</v>
      </c>
      <c r="F4423" s="5" t="s">
        <v>10</v>
      </c>
      <c r="G4423" s="5" t="s">
        <v>30</v>
      </c>
      <c r="H4423">
        <v>14</v>
      </c>
      <c r="I4423" s="4">
        <v>618856</v>
      </c>
      <c r="J4423" s="4">
        <v>252840</v>
      </c>
    </row>
    <row r="4424" spans="2:10" x14ac:dyDescent="0.3">
      <c r="B4424" s="7">
        <v>44348</v>
      </c>
      <c r="C4424" s="3">
        <f t="shared" si="138"/>
        <v>2021</v>
      </c>
      <c r="D4424" s="3">
        <f t="shared" si="139"/>
        <v>202106</v>
      </c>
      <c r="E4424" s="5" t="s">
        <v>6</v>
      </c>
      <c r="F4424" s="5" t="s">
        <v>10</v>
      </c>
      <c r="G4424" s="5" t="s">
        <v>30</v>
      </c>
      <c r="H4424">
        <v>13</v>
      </c>
      <c r="I4424" s="4">
        <v>558558</v>
      </c>
      <c r="J4424" s="4">
        <v>234780</v>
      </c>
    </row>
    <row r="4425" spans="2:10" x14ac:dyDescent="0.3">
      <c r="B4425" s="7">
        <v>44378</v>
      </c>
      <c r="C4425" s="3">
        <f t="shared" si="138"/>
        <v>2021</v>
      </c>
      <c r="D4425" s="3">
        <f t="shared" si="139"/>
        <v>202107</v>
      </c>
      <c r="E4425" s="5" t="s">
        <v>6</v>
      </c>
      <c r="F4425" s="5" t="s">
        <v>10</v>
      </c>
      <c r="G4425" s="5" t="s">
        <v>30</v>
      </c>
      <c r="H4425">
        <v>14</v>
      </c>
      <c r="I4425" s="4">
        <v>577528</v>
      </c>
      <c r="J4425" s="4">
        <v>252840</v>
      </c>
    </row>
    <row r="4426" spans="2:10" x14ac:dyDescent="0.3">
      <c r="B4426" s="7">
        <v>44409</v>
      </c>
      <c r="C4426" s="3">
        <f t="shared" si="138"/>
        <v>2021</v>
      </c>
      <c r="D4426" s="3">
        <f t="shared" si="139"/>
        <v>202108</v>
      </c>
      <c r="E4426" s="5" t="s">
        <v>6</v>
      </c>
      <c r="F4426" s="5" t="s">
        <v>10</v>
      </c>
      <c r="G4426" s="5" t="s">
        <v>30</v>
      </c>
      <c r="H4426">
        <v>12</v>
      </c>
      <c r="I4426" s="4">
        <v>509004</v>
      </c>
      <c r="J4426" s="4">
        <v>216720</v>
      </c>
    </row>
    <row r="4427" spans="2:10" x14ac:dyDescent="0.3">
      <c r="B4427" s="7">
        <v>44440</v>
      </c>
      <c r="C4427" s="3">
        <f t="shared" si="138"/>
        <v>2021</v>
      </c>
      <c r="D4427" s="3">
        <f t="shared" si="139"/>
        <v>202109</v>
      </c>
      <c r="E4427" s="5" t="s">
        <v>6</v>
      </c>
      <c r="F4427" s="5" t="s">
        <v>10</v>
      </c>
      <c r="G4427" s="5" t="s">
        <v>30</v>
      </c>
      <c r="H4427">
        <v>13</v>
      </c>
      <c r="I4427" s="4">
        <v>561678</v>
      </c>
      <c r="J4427" s="4">
        <v>234780</v>
      </c>
    </row>
    <row r="4428" spans="2:10" x14ac:dyDescent="0.3">
      <c r="B4428" s="7">
        <v>44470</v>
      </c>
      <c r="C4428" s="3">
        <f t="shared" si="138"/>
        <v>2021</v>
      </c>
      <c r="D4428" s="3">
        <f t="shared" si="139"/>
        <v>202110</v>
      </c>
      <c r="E4428" s="5" t="s">
        <v>6</v>
      </c>
      <c r="F4428" s="5" t="s">
        <v>10</v>
      </c>
      <c r="G4428" s="5" t="s">
        <v>30</v>
      </c>
      <c r="H4428">
        <v>11</v>
      </c>
      <c r="I4428" s="4">
        <v>478764</v>
      </c>
      <c r="J4428" s="4">
        <v>198660</v>
      </c>
    </row>
    <row r="4429" spans="2:10" x14ac:dyDescent="0.3">
      <c r="B4429" s="7">
        <v>44501</v>
      </c>
      <c r="C4429" s="3">
        <f t="shared" si="138"/>
        <v>2021</v>
      </c>
      <c r="D4429" s="3">
        <f t="shared" si="139"/>
        <v>202111</v>
      </c>
      <c r="E4429" s="5" t="s">
        <v>6</v>
      </c>
      <c r="F4429" s="5" t="s">
        <v>10</v>
      </c>
      <c r="G4429" s="5" t="s">
        <v>30</v>
      </c>
      <c r="H4429">
        <v>8</v>
      </c>
      <c r="I4429" s="4">
        <v>343520</v>
      </c>
      <c r="J4429" s="4">
        <v>144480</v>
      </c>
    </row>
    <row r="4430" spans="2:10" x14ac:dyDescent="0.3">
      <c r="B4430" s="7">
        <v>44531</v>
      </c>
      <c r="C4430" s="3">
        <f t="shared" si="138"/>
        <v>2021</v>
      </c>
      <c r="D4430" s="3">
        <f t="shared" si="139"/>
        <v>202112</v>
      </c>
      <c r="E4430" s="5" t="s">
        <v>6</v>
      </c>
      <c r="F4430" s="5" t="s">
        <v>10</v>
      </c>
      <c r="G4430" s="5" t="s">
        <v>30</v>
      </c>
      <c r="H4430">
        <v>9</v>
      </c>
      <c r="I4430" s="4">
        <v>385650</v>
      </c>
      <c r="J4430" s="4">
        <v>162540</v>
      </c>
    </row>
    <row r="4431" spans="2:10" x14ac:dyDescent="0.3">
      <c r="B4431" s="7">
        <v>44562</v>
      </c>
      <c r="C4431" s="3">
        <f t="shared" si="138"/>
        <v>2022</v>
      </c>
      <c r="D4431" s="3">
        <f t="shared" si="139"/>
        <v>202201</v>
      </c>
      <c r="E4431" s="5" t="s">
        <v>6</v>
      </c>
      <c r="F4431" s="5" t="s">
        <v>10</v>
      </c>
      <c r="G4431" s="5" t="s">
        <v>30</v>
      </c>
      <c r="H4431">
        <v>13</v>
      </c>
      <c r="I4431" s="4">
        <v>557466</v>
      </c>
      <c r="J4431" s="4">
        <v>234780</v>
      </c>
    </row>
    <row r="4432" spans="2:10" x14ac:dyDescent="0.3">
      <c r="B4432" s="7">
        <v>44593</v>
      </c>
      <c r="C4432" s="3">
        <f t="shared" si="138"/>
        <v>2022</v>
      </c>
      <c r="D4432" s="3">
        <f t="shared" si="139"/>
        <v>202202</v>
      </c>
      <c r="E4432" s="5" t="s">
        <v>6</v>
      </c>
      <c r="F4432" s="5" t="s">
        <v>10</v>
      </c>
      <c r="G4432" s="5" t="s">
        <v>30</v>
      </c>
      <c r="H4432">
        <v>8</v>
      </c>
      <c r="I4432" s="4">
        <v>345360</v>
      </c>
      <c r="J4432" s="4">
        <v>144480</v>
      </c>
    </row>
    <row r="4433" spans="2:10" x14ac:dyDescent="0.3">
      <c r="B4433" s="7">
        <v>44621</v>
      </c>
      <c r="C4433" s="3">
        <f t="shared" si="138"/>
        <v>2022</v>
      </c>
      <c r="D4433" s="3">
        <f t="shared" si="139"/>
        <v>202203</v>
      </c>
      <c r="E4433" s="5" t="s">
        <v>6</v>
      </c>
      <c r="F4433" s="5" t="s">
        <v>10</v>
      </c>
      <c r="G4433" s="5" t="s">
        <v>30</v>
      </c>
      <c r="H4433">
        <v>7</v>
      </c>
      <c r="I4433" s="4">
        <v>300034</v>
      </c>
      <c r="J4433" s="4">
        <v>126420</v>
      </c>
    </row>
    <row r="4434" spans="2:10" x14ac:dyDescent="0.3">
      <c r="B4434" s="7">
        <v>44652</v>
      </c>
      <c r="C4434" s="3">
        <f t="shared" si="138"/>
        <v>2022</v>
      </c>
      <c r="D4434" s="3">
        <f t="shared" si="139"/>
        <v>202204</v>
      </c>
      <c r="E4434" s="5" t="s">
        <v>6</v>
      </c>
      <c r="F4434" s="5" t="s">
        <v>10</v>
      </c>
      <c r="G4434" s="5" t="s">
        <v>30</v>
      </c>
      <c r="H4434">
        <v>12</v>
      </c>
      <c r="I4434" s="4">
        <v>525804</v>
      </c>
      <c r="J4434" s="4">
        <v>216720</v>
      </c>
    </row>
    <row r="4435" spans="2:10" x14ac:dyDescent="0.3">
      <c r="B4435" s="7">
        <v>44682</v>
      </c>
      <c r="C4435" s="3">
        <f t="shared" si="138"/>
        <v>2022</v>
      </c>
      <c r="D4435" s="3">
        <f t="shared" si="139"/>
        <v>202205</v>
      </c>
      <c r="E4435" s="5" t="s">
        <v>6</v>
      </c>
      <c r="F4435" s="5" t="s">
        <v>10</v>
      </c>
      <c r="G4435" s="5" t="s">
        <v>30</v>
      </c>
      <c r="H4435">
        <v>16</v>
      </c>
      <c r="I4435" s="4">
        <v>700160</v>
      </c>
      <c r="J4435" s="4">
        <v>288960</v>
      </c>
    </row>
    <row r="4436" spans="2:10" x14ac:dyDescent="0.3">
      <c r="B4436" s="7">
        <v>44713</v>
      </c>
      <c r="C4436" s="3">
        <f t="shared" si="138"/>
        <v>2022</v>
      </c>
      <c r="D4436" s="3">
        <f t="shared" si="139"/>
        <v>202206</v>
      </c>
      <c r="E4436" s="5" t="s">
        <v>6</v>
      </c>
      <c r="F4436" s="5" t="s">
        <v>10</v>
      </c>
      <c r="G4436" s="5" t="s">
        <v>30</v>
      </c>
      <c r="H4436">
        <v>15</v>
      </c>
      <c r="I4436" s="4">
        <v>653385</v>
      </c>
      <c r="J4436" s="4">
        <v>270900</v>
      </c>
    </row>
    <row r="4437" spans="2:10" x14ac:dyDescent="0.3">
      <c r="B4437" s="7">
        <v>44743</v>
      </c>
      <c r="C4437" s="3">
        <f t="shared" si="138"/>
        <v>2022</v>
      </c>
      <c r="D4437" s="3">
        <f t="shared" si="139"/>
        <v>202207</v>
      </c>
      <c r="E4437" s="5" t="s">
        <v>6</v>
      </c>
      <c r="F4437" s="5" t="s">
        <v>10</v>
      </c>
      <c r="G4437" s="5" t="s">
        <v>30</v>
      </c>
      <c r="H4437">
        <v>16</v>
      </c>
      <c r="I4437" s="4">
        <v>676240</v>
      </c>
      <c r="J4437" s="4">
        <v>288960</v>
      </c>
    </row>
    <row r="4438" spans="2:10" x14ac:dyDescent="0.3">
      <c r="B4438" s="7">
        <v>44774</v>
      </c>
      <c r="C4438" s="3">
        <f t="shared" si="138"/>
        <v>2022</v>
      </c>
      <c r="D4438" s="3">
        <f t="shared" si="139"/>
        <v>202208</v>
      </c>
      <c r="E4438" s="5" t="s">
        <v>6</v>
      </c>
      <c r="F4438" s="5" t="s">
        <v>10</v>
      </c>
      <c r="G4438" s="5" t="s">
        <v>30</v>
      </c>
      <c r="H4438">
        <v>13</v>
      </c>
      <c r="I4438" s="4">
        <v>555919</v>
      </c>
      <c r="J4438" s="4">
        <v>234780</v>
      </c>
    </row>
    <row r="4439" spans="2:10" x14ac:dyDescent="0.3">
      <c r="B4439" s="7">
        <v>44805</v>
      </c>
      <c r="C4439" s="3">
        <f t="shared" si="138"/>
        <v>2022</v>
      </c>
      <c r="D4439" s="3">
        <f t="shared" si="139"/>
        <v>202209</v>
      </c>
      <c r="E4439" s="5" t="s">
        <v>6</v>
      </c>
      <c r="F4439" s="5" t="s">
        <v>10</v>
      </c>
      <c r="G4439" s="5" t="s">
        <v>30</v>
      </c>
      <c r="H4439">
        <v>14</v>
      </c>
      <c r="I4439" s="4">
        <v>596792</v>
      </c>
      <c r="J4439" s="4">
        <v>252840</v>
      </c>
    </row>
    <row r="4440" spans="2:10" x14ac:dyDescent="0.3">
      <c r="B4440" s="7">
        <v>44835</v>
      </c>
      <c r="C4440" s="3">
        <f t="shared" si="138"/>
        <v>2022</v>
      </c>
      <c r="D4440" s="3">
        <f t="shared" si="139"/>
        <v>202210</v>
      </c>
      <c r="E4440" s="5" t="s">
        <v>6</v>
      </c>
      <c r="F4440" s="5" t="s">
        <v>10</v>
      </c>
      <c r="G4440" s="5" t="s">
        <v>30</v>
      </c>
      <c r="H4440">
        <v>12</v>
      </c>
      <c r="I4440" s="4">
        <v>517320</v>
      </c>
      <c r="J4440" s="4">
        <v>216720</v>
      </c>
    </row>
    <row r="4441" spans="2:10" x14ac:dyDescent="0.3">
      <c r="B4441" s="7">
        <v>44866</v>
      </c>
      <c r="C4441" s="3">
        <f t="shared" si="138"/>
        <v>2022</v>
      </c>
      <c r="D4441" s="3">
        <f t="shared" si="139"/>
        <v>202211</v>
      </c>
      <c r="E4441" s="5" t="s">
        <v>6</v>
      </c>
      <c r="F4441" s="5" t="s">
        <v>10</v>
      </c>
      <c r="G4441" s="5" t="s">
        <v>30</v>
      </c>
      <c r="H4441">
        <v>8</v>
      </c>
      <c r="I4441" s="4">
        <v>342304</v>
      </c>
      <c r="J4441" s="4">
        <v>144480</v>
      </c>
    </row>
    <row r="4442" spans="2:10" x14ac:dyDescent="0.3">
      <c r="B4442" s="7">
        <v>44896</v>
      </c>
      <c r="C4442" s="3">
        <f t="shared" si="138"/>
        <v>2022</v>
      </c>
      <c r="D4442" s="3">
        <f t="shared" si="139"/>
        <v>202212</v>
      </c>
      <c r="E4442" s="5" t="s">
        <v>6</v>
      </c>
      <c r="F4442" s="5" t="s">
        <v>10</v>
      </c>
      <c r="G4442" s="5" t="s">
        <v>30</v>
      </c>
      <c r="H4442">
        <v>10</v>
      </c>
      <c r="I4442" s="4">
        <v>429560</v>
      </c>
      <c r="J4442" s="4">
        <v>180600</v>
      </c>
    </row>
    <row r="4443" spans="2:10" x14ac:dyDescent="0.3">
      <c r="B4443" s="7">
        <v>44197</v>
      </c>
      <c r="C4443" s="3">
        <f t="shared" si="138"/>
        <v>2021</v>
      </c>
      <c r="D4443" s="3">
        <f t="shared" si="139"/>
        <v>202101</v>
      </c>
      <c r="E4443" s="5" t="s">
        <v>6</v>
      </c>
      <c r="F4443" s="5" t="s">
        <v>10</v>
      </c>
      <c r="G4443" s="5" t="s">
        <v>31</v>
      </c>
      <c r="H4443">
        <v>11</v>
      </c>
      <c r="I4443" s="4">
        <v>320331</v>
      </c>
      <c r="J4443" s="4">
        <v>123200</v>
      </c>
    </row>
    <row r="4444" spans="2:10" x14ac:dyDescent="0.3">
      <c r="B4444" s="7">
        <v>44228</v>
      </c>
      <c r="C4444" s="3">
        <f t="shared" si="138"/>
        <v>2021</v>
      </c>
      <c r="D4444" s="3">
        <f t="shared" si="139"/>
        <v>202102</v>
      </c>
      <c r="E4444" s="5" t="s">
        <v>6</v>
      </c>
      <c r="F4444" s="5" t="s">
        <v>10</v>
      </c>
      <c r="G4444" s="5" t="s">
        <v>31</v>
      </c>
      <c r="H4444">
        <v>7</v>
      </c>
      <c r="I4444" s="4">
        <v>204715</v>
      </c>
      <c r="J4444" s="4">
        <v>78400</v>
      </c>
    </row>
    <row r="4445" spans="2:10" x14ac:dyDescent="0.3">
      <c r="B4445" s="7">
        <v>44256</v>
      </c>
      <c r="C4445" s="3">
        <f t="shared" si="138"/>
        <v>2021</v>
      </c>
      <c r="D4445" s="3">
        <f t="shared" si="139"/>
        <v>202103</v>
      </c>
      <c r="E4445" s="5" t="s">
        <v>6</v>
      </c>
      <c r="F4445" s="5" t="s">
        <v>10</v>
      </c>
      <c r="G4445" s="5" t="s">
        <v>31</v>
      </c>
      <c r="H4445">
        <v>6</v>
      </c>
      <c r="I4445" s="4">
        <v>170868</v>
      </c>
      <c r="J4445" s="4">
        <v>67200</v>
      </c>
    </row>
    <row r="4446" spans="2:10" x14ac:dyDescent="0.3">
      <c r="B4446" s="7">
        <v>44287</v>
      </c>
      <c r="C4446" s="3">
        <f t="shared" si="138"/>
        <v>2021</v>
      </c>
      <c r="D4446" s="3">
        <f t="shared" si="139"/>
        <v>202104</v>
      </c>
      <c r="E4446" s="5" t="s">
        <v>6</v>
      </c>
      <c r="F4446" s="5" t="s">
        <v>10</v>
      </c>
      <c r="G4446" s="5" t="s">
        <v>31</v>
      </c>
      <c r="H4446">
        <v>10</v>
      </c>
      <c r="I4446" s="4">
        <v>293940</v>
      </c>
      <c r="J4446" s="4">
        <v>112000</v>
      </c>
    </row>
    <row r="4447" spans="2:10" x14ac:dyDescent="0.3">
      <c r="B4447" s="7">
        <v>44317</v>
      </c>
      <c r="C4447" s="3">
        <f t="shared" si="138"/>
        <v>2021</v>
      </c>
      <c r="D4447" s="3">
        <f t="shared" si="139"/>
        <v>202105</v>
      </c>
      <c r="E4447" s="5" t="s">
        <v>6</v>
      </c>
      <c r="F4447" s="5" t="s">
        <v>10</v>
      </c>
      <c r="G4447" s="5" t="s">
        <v>31</v>
      </c>
      <c r="H4447">
        <v>13</v>
      </c>
      <c r="I4447" s="4">
        <v>388037</v>
      </c>
      <c r="J4447" s="4">
        <v>145600</v>
      </c>
    </row>
    <row r="4448" spans="2:10" x14ac:dyDescent="0.3">
      <c r="B4448" s="7">
        <v>44348</v>
      </c>
      <c r="C4448" s="3">
        <f t="shared" si="138"/>
        <v>2021</v>
      </c>
      <c r="D4448" s="3">
        <f t="shared" si="139"/>
        <v>202106</v>
      </c>
      <c r="E4448" s="5" t="s">
        <v>6</v>
      </c>
      <c r="F4448" s="5" t="s">
        <v>10</v>
      </c>
      <c r="G4448" s="5" t="s">
        <v>31</v>
      </c>
      <c r="H4448">
        <v>12</v>
      </c>
      <c r="I4448" s="4">
        <v>352824</v>
      </c>
      <c r="J4448" s="4">
        <v>134400</v>
      </c>
    </row>
    <row r="4449" spans="2:10" x14ac:dyDescent="0.3">
      <c r="B4449" s="7">
        <v>44378</v>
      </c>
      <c r="C4449" s="3">
        <f t="shared" si="138"/>
        <v>2021</v>
      </c>
      <c r="D4449" s="3">
        <f t="shared" si="139"/>
        <v>202107</v>
      </c>
      <c r="E4449" s="5" t="s">
        <v>6</v>
      </c>
      <c r="F4449" s="5" t="s">
        <v>10</v>
      </c>
      <c r="G4449" s="5" t="s">
        <v>31</v>
      </c>
      <c r="H4449">
        <v>13</v>
      </c>
      <c r="I4449" s="4">
        <v>354614</v>
      </c>
      <c r="J4449" s="4">
        <v>145600</v>
      </c>
    </row>
    <row r="4450" spans="2:10" x14ac:dyDescent="0.3">
      <c r="B4450" s="7">
        <v>44409</v>
      </c>
      <c r="C4450" s="3">
        <f t="shared" si="138"/>
        <v>2021</v>
      </c>
      <c r="D4450" s="3">
        <f t="shared" si="139"/>
        <v>202108</v>
      </c>
      <c r="E4450" s="5" t="s">
        <v>6</v>
      </c>
      <c r="F4450" s="5" t="s">
        <v>10</v>
      </c>
      <c r="G4450" s="5" t="s">
        <v>31</v>
      </c>
      <c r="H4450">
        <v>11</v>
      </c>
      <c r="I4450" s="4">
        <v>319242</v>
      </c>
      <c r="J4450" s="4">
        <v>123200</v>
      </c>
    </row>
    <row r="4451" spans="2:10" x14ac:dyDescent="0.3">
      <c r="B4451" s="7">
        <v>44440</v>
      </c>
      <c r="C4451" s="3">
        <f t="shared" si="138"/>
        <v>2021</v>
      </c>
      <c r="D4451" s="3">
        <f t="shared" si="139"/>
        <v>202109</v>
      </c>
      <c r="E4451" s="5" t="s">
        <v>6</v>
      </c>
      <c r="F4451" s="5" t="s">
        <v>10</v>
      </c>
      <c r="G4451" s="5" t="s">
        <v>31</v>
      </c>
      <c r="H4451">
        <v>12</v>
      </c>
      <c r="I4451" s="4">
        <v>350088</v>
      </c>
      <c r="J4451" s="4">
        <v>134400</v>
      </c>
    </row>
    <row r="4452" spans="2:10" x14ac:dyDescent="0.3">
      <c r="B4452" s="7">
        <v>44470</v>
      </c>
      <c r="C4452" s="3">
        <f t="shared" si="138"/>
        <v>2021</v>
      </c>
      <c r="D4452" s="3">
        <f t="shared" si="139"/>
        <v>202110</v>
      </c>
      <c r="E4452" s="5" t="s">
        <v>6</v>
      </c>
      <c r="F4452" s="5" t="s">
        <v>10</v>
      </c>
      <c r="G4452" s="5" t="s">
        <v>31</v>
      </c>
      <c r="H4452">
        <v>10</v>
      </c>
      <c r="I4452" s="4">
        <v>290900</v>
      </c>
      <c r="J4452" s="4">
        <v>112000</v>
      </c>
    </row>
    <row r="4453" spans="2:10" x14ac:dyDescent="0.3">
      <c r="B4453" s="7">
        <v>44501</v>
      </c>
      <c r="C4453" s="3">
        <f t="shared" si="138"/>
        <v>2021</v>
      </c>
      <c r="D4453" s="3">
        <f t="shared" si="139"/>
        <v>202111</v>
      </c>
      <c r="E4453" s="5" t="s">
        <v>6</v>
      </c>
      <c r="F4453" s="5" t="s">
        <v>10</v>
      </c>
      <c r="G4453" s="5" t="s">
        <v>31</v>
      </c>
      <c r="H4453">
        <v>7</v>
      </c>
      <c r="I4453" s="4">
        <v>202503</v>
      </c>
      <c r="J4453" s="4">
        <v>78400</v>
      </c>
    </row>
    <row r="4454" spans="2:10" x14ac:dyDescent="0.3">
      <c r="B4454" s="7">
        <v>44531</v>
      </c>
      <c r="C4454" s="3">
        <f t="shared" si="138"/>
        <v>2021</v>
      </c>
      <c r="D4454" s="3">
        <f t="shared" si="139"/>
        <v>202112</v>
      </c>
      <c r="E4454" s="5" t="s">
        <v>6</v>
      </c>
      <c r="F4454" s="5" t="s">
        <v>10</v>
      </c>
      <c r="G4454" s="5" t="s">
        <v>31</v>
      </c>
      <c r="H4454">
        <v>8</v>
      </c>
      <c r="I4454" s="4">
        <v>229352</v>
      </c>
      <c r="J4454" s="4">
        <v>89600</v>
      </c>
    </row>
    <row r="4455" spans="2:10" x14ac:dyDescent="0.3">
      <c r="B4455" s="7">
        <v>44562</v>
      </c>
      <c r="C4455" s="3">
        <f t="shared" si="138"/>
        <v>2022</v>
      </c>
      <c r="D4455" s="3">
        <f t="shared" si="139"/>
        <v>202201</v>
      </c>
      <c r="E4455" s="5" t="s">
        <v>6</v>
      </c>
      <c r="F4455" s="5" t="s">
        <v>10</v>
      </c>
      <c r="G4455" s="5" t="s">
        <v>31</v>
      </c>
      <c r="H4455">
        <v>12</v>
      </c>
      <c r="I4455" s="4">
        <v>353784</v>
      </c>
      <c r="J4455" s="4">
        <v>134400</v>
      </c>
    </row>
    <row r="4456" spans="2:10" x14ac:dyDescent="0.3">
      <c r="B4456" s="7">
        <v>44593</v>
      </c>
      <c r="C4456" s="3">
        <f t="shared" si="138"/>
        <v>2022</v>
      </c>
      <c r="D4456" s="3">
        <f t="shared" si="139"/>
        <v>202202</v>
      </c>
      <c r="E4456" s="5" t="s">
        <v>6</v>
      </c>
      <c r="F4456" s="5" t="s">
        <v>10</v>
      </c>
      <c r="G4456" s="5" t="s">
        <v>31</v>
      </c>
      <c r="H4456">
        <v>8</v>
      </c>
      <c r="I4456" s="4">
        <v>241184</v>
      </c>
      <c r="J4456" s="4">
        <v>89600</v>
      </c>
    </row>
    <row r="4457" spans="2:10" x14ac:dyDescent="0.3">
      <c r="B4457" s="7">
        <v>44621</v>
      </c>
      <c r="C4457" s="3">
        <f t="shared" si="138"/>
        <v>2022</v>
      </c>
      <c r="D4457" s="3">
        <f t="shared" si="139"/>
        <v>202203</v>
      </c>
      <c r="E4457" s="5" t="s">
        <v>6</v>
      </c>
      <c r="F4457" s="5" t="s">
        <v>10</v>
      </c>
      <c r="G4457" s="5" t="s">
        <v>31</v>
      </c>
      <c r="H4457">
        <v>6</v>
      </c>
      <c r="I4457" s="4">
        <v>171132</v>
      </c>
      <c r="J4457" s="4">
        <v>67200</v>
      </c>
    </row>
    <row r="4458" spans="2:10" x14ac:dyDescent="0.3">
      <c r="B4458" s="7">
        <v>44652</v>
      </c>
      <c r="C4458" s="3">
        <f t="shared" si="138"/>
        <v>2022</v>
      </c>
      <c r="D4458" s="3">
        <f t="shared" si="139"/>
        <v>202204</v>
      </c>
      <c r="E4458" s="5" t="s">
        <v>6</v>
      </c>
      <c r="F4458" s="5" t="s">
        <v>10</v>
      </c>
      <c r="G4458" s="5" t="s">
        <v>31</v>
      </c>
      <c r="H4458">
        <v>11</v>
      </c>
      <c r="I4458" s="4">
        <v>328185</v>
      </c>
      <c r="J4458" s="4">
        <v>123200</v>
      </c>
    </row>
    <row r="4459" spans="2:10" x14ac:dyDescent="0.3">
      <c r="B4459" s="7">
        <v>44682</v>
      </c>
      <c r="C4459" s="3">
        <f t="shared" si="138"/>
        <v>2022</v>
      </c>
      <c r="D4459" s="3">
        <f t="shared" si="139"/>
        <v>202205</v>
      </c>
      <c r="E4459" s="5" t="s">
        <v>6</v>
      </c>
      <c r="F4459" s="5" t="s">
        <v>10</v>
      </c>
      <c r="G4459" s="5" t="s">
        <v>31</v>
      </c>
      <c r="H4459">
        <v>14</v>
      </c>
      <c r="I4459" s="4">
        <v>428456</v>
      </c>
      <c r="J4459" s="4">
        <v>156800</v>
      </c>
    </row>
    <row r="4460" spans="2:10" x14ac:dyDescent="0.3">
      <c r="B4460" s="7">
        <v>44713</v>
      </c>
      <c r="C4460" s="3">
        <f t="shared" si="138"/>
        <v>2022</v>
      </c>
      <c r="D4460" s="3">
        <f t="shared" si="139"/>
        <v>202206</v>
      </c>
      <c r="E4460" s="5" t="s">
        <v>6</v>
      </c>
      <c r="F4460" s="5" t="s">
        <v>10</v>
      </c>
      <c r="G4460" s="5" t="s">
        <v>31</v>
      </c>
      <c r="H4460">
        <v>13</v>
      </c>
      <c r="I4460" s="4">
        <v>378001</v>
      </c>
      <c r="J4460" s="4">
        <v>145600</v>
      </c>
    </row>
    <row r="4461" spans="2:10" x14ac:dyDescent="0.3">
      <c r="B4461" s="7">
        <v>44743</v>
      </c>
      <c r="C4461" s="3">
        <f t="shared" si="138"/>
        <v>2022</v>
      </c>
      <c r="D4461" s="3">
        <f t="shared" si="139"/>
        <v>202207</v>
      </c>
      <c r="E4461" s="5" t="s">
        <v>6</v>
      </c>
      <c r="F4461" s="5" t="s">
        <v>10</v>
      </c>
      <c r="G4461" s="5" t="s">
        <v>31</v>
      </c>
      <c r="H4461">
        <v>14</v>
      </c>
      <c r="I4461" s="4">
        <v>392658</v>
      </c>
      <c r="J4461" s="4">
        <v>156800</v>
      </c>
    </row>
    <row r="4462" spans="2:10" x14ac:dyDescent="0.3">
      <c r="B4462" s="7">
        <v>44774</v>
      </c>
      <c r="C4462" s="3">
        <f t="shared" si="138"/>
        <v>2022</v>
      </c>
      <c r="D4462" s="3">
        <f t="shared" si="139"/>
        <v>202208</v>
      </c>
      <c r="E4462" s="5" t="s">
        <v>6</v>
      </c>
      <c r="F4462" s="5" t="s">
        <v>10</v>
      </c>
      <c r="G4462" s="5" t="s">
        <v>31</v>
      </c>
      <c r="H4462">
        <v>12</v>
      </c>
      <c r="I4462" s="4">
        <v>339576</v>
      </c>
      <c r="J4462" s="4">
        <v>134400</v>
      </c>
    </row>
    <row r="4463" spans="2:10" x14ac:dyDescent="0.3">
      <c r="B4463" s="7">
        <v>44805</v>
      </c>
      <c r="C4463" s="3">
        <f t="shared" si="138"/>
        <v>2022</v>
      </c>
      <c r="D4463" s="3">
        <f t="shared" si="139"/>
        <v>202209</v>
      </c>
      <c r="E4463" s="5" t="s">
        <v>6</v>
      </c>
      <c r="F4463" s="5" t="s">
        <v>10</v>
      </c>
      <c r="G4463" s="5" t="s">
        <v>31</v>
      </c>
      <c r="H4463">
        <v>13</v>
      </c>
      <c r="I4463" s="4">
        <v>379236</v>
      </c>
      <c r="J4463" s="4">
        <v>145600</v>
      </c>
    </row>
    <row r="4464" spans="2:10" x14ac:dyDescent="0.3">
      <c r="B4464" s="7">
        <v>44835</v>
      </c>
      <c r="C4464" s="3">
        <f t="shared" si="138"/>
        <v>2022</v>
      </c>
      <c r="D4464" s="3">
        <f t="shared" si="139"/>
        <v>202210</v>
      </c>
      <c r="E4464" s="5" t="s">
        <v>6</v>
      </c>
      <c r="F4464" s="5" t="s">
        <v>10</v>
      </c>
      <c r="G4464" s="5" t="s">
        <v>31</v>
      </c>
      <c r="H4464">
        <v>11</v>
      </c>
      <c r="I4464" s="4">
        <v>321893</v>
      </c>
      <c r="J4464" s="4">
        <v>123200</v>
      </c>
    </row>
    <row r="4465" spans="2:10" x14ac:dyDescent="0.3">
      <c r="B4465" s="7">
        <v>44866</v>
      </c>
      <c r="C4465" s="3">
        <f t="shared" si="138"/>
        <v>2022</v>
      </c>
      <c r="D4465" s="3">
        <f t="shared" si="139"/>
        <v>202211</v>
      </c>
      <c r="E4465" s="5" t="s">
        <v>6</v>
      </c>
      <c r="F4465" s="5" t="s">
        <v>10</v>
      </c>
      <c r="G4465" s="5" t="s">
        <v>31</v>
      </c>
      <c r="H4465">
        <v>8</v>
      </c>
      <c r="I4465" s="4">
        <v>234936</v>
      </c>
      <c r="J4465" s="4">
        <v>89600</v>
      </c>
    </row>
    <row r="4466" spans="2:10" x14ac:dyDescent="0.3">
      <c r="B4466" s="7">
        <v>44896</v>
      </c>
      <c r="C4466" s="3">
        <f t="shared" si="138"/>
        <v>2022</v>
      </c>
      <c r="D4466" s="3">
        <f t="shared" si="139"/>
        <v>202212</v>
      </c>
      <c r="E4466" s="5" t="s">
        <v>6</v>
      </c>
      <c r="F4466" s="5" t="s">
        <v>10</v>
      </c>
      <c r="G4466" s="5" t="s">
        <v>31</v>
      </c>
      <c r="H4466">
        <v>9</v>
      </c>
      <c r="I4466" s="4">
        <v>258705</v>
      </c>
      <c r="J4466" s="4">
        <v>100800</v>
      </c>
    </row>
    <row r="4467" spans="2:10" x14ac:dyDescent="0.3">
      <c r="B4467" s="7">
        <v>44197</v>
      </c>
      <c r="C4467" s="3">
        <f t="shared" si="138"/>
        <v>2021</v>
      </c>
      <c r="D4467" s="3">
        <f t="shared" si="139"/>
        <v>202101</v>
      </c>
      <c r="E4467" s="5" t="s">
        <v>6</v>
      </c>
      <c r="F4467" s="5" t="s">
        <v>10</v>
      </c>
      <c r="G4467" s="5" t="s">
        <v>32</v>
      </c>
      <c r="H4467">
        <v>14</v>
      </c>
      <c r="I4467" s="4">
        <v>643342</v>
      </c>
      <c r="J4467" s="4">
        <v>352800.00000000006</v>
      </c>
    </row>
    <row r="4468" spans="2:10" x14ac:dyDescent="0.3">
      <c r="B4468" s="7">
        <v>44228</v>
      </c>
      <c r="C4468" s="3">
        <f t="shared" si="138"/>
        <v>2021</v>
      </c>
      <c r="D4468" s="3">
        <f t="shared" si="139"/>
        <v>202102</v>
      </c>
      <c r="E4468" s="5" t="s">
        <v>6</v>
      </c>
      <c r="F4468" s="5" t="s">
        <v>10</v>
      </c>
      <c r="G4468" s="5" t="s">
        <v>32</v>
      </c>
      <c r="H4468">
        <v>9</v>
      </c>
      <c r="I4468" s="4">
        <v>422451</v>
      </c>
      <c r="J4468" s="4">
        <v>226800.00000000003</v>
      </c>
    </row>
    <row r="4469" spans="2:10" x14ac:dyDescent="0.3">
      <c r="B4469" s="7">
        <v>44256</v>
      </c>
      <c r="C4469" s="3">
        <f t="shared" si="138"/>
        <v>2021</v>
      </c>
      <c r="D4469" s="3">
        <f t="shared" si="139"/>
        <v>202103</v>
      </c>
      <c r="E4469" s="5" t="s">
        <v>6</v>
      </c>
      <c r="F4469" s="5" t="s">
        <v>10</v>
      </c>
      <c r="G4469" s="5" t="s">
        <v>32</v>
      </c>
      <c r="H4469">
        <v>7</v>
      </c>
      <c r="I4469" s="4">
        <v>321867</v>
      </c>
      <c r="J4469" s="4">
        <v>176400.00000000003</v>
      </c>
    </row>
    <row r="4470" spans="2:10" x14ac:dyDescent="0.3">
      <c r="B4470" s="7">
        <v>44287</v>
      </c>
      <c r="C4470" s="3">
        <f t="shared" si="138"/>
        <v>2021</v>
      </c>
      <c r="D4470" s="3">
        <f t="shared" si="139"/>
        <v>202104</v>
      </c>
      <c r="E4470" s="5" t="s">
        <v>6</v>
      </c>
      <c r="F4470" s="5" t="s">
        <v>10</v>
      </c>
      <c r="G4470" s="5" t="s">
        <v>32</v>
      </c>
      <c r="H4470">
        <v>13</v>
      </c>
      <c r="I4470" s="4">
        <v>613314</v>
      </c>
      <c r="J4470" s="4">
        <v>327600.00000000006</v>
      </c>
    </row>
    <row r="4471" spans="2:10" x14ac:dyDescent="0.3">
      <c r="B4471" s="7">
        <v>44317</v>
      </c>
      <c r="C4471" s="3">
        <f t="shared" si="138"/>
        <v>2021</v>
      </c>
      <c r="D4471" s="3">
        <f t="shared" si="139"/>
        <v>202105</v>
      </c>
      <c r="E4471" s="5" t="s">
        <v>6</v>
      </c>
      <c r="F4471" s="5" t="s">
        <v>10</v>
      </c>
      <c r="G4471" s="5" t="s">
        <v>32</v>
      </c>
      <c r="H4471">
        <v>16</v>
      </c>
      <c r="I4471" s="4">
        <v>748992</v>
      </c>
      <c r="J4471" s="4">
        <v>403200.00000000006</v>
      </c>
    </row>
    <row r="4472" spans="2:10" x14ac:dyDescent="0.3">
      <c r="B4472" s="7">
        <v>44348</v>
      </c>
      <c r="C4472" s="3">
        <f t="shared" si="138"/>
        <v>2021</v>
      </c>
      <c r="D4472" s="3">
        <f t="shared" si="139"/>
        <v>202106</v>
      </c>
      <c r="E4472" s="5" t="s">
        <v>6</v>
      </c>
      <c r="F4472" s="5" t="s">
        <v>10</v>
      </c>
      <c r="G4472" s="5" t="s">
        <v>32</v>
      </c>
      <c r="H4472">
        <v>15</v>
      </c>
      <c r="I4472" s="4">
        <v>688650</v>
      </c>
      <c r="J4472" s="4">
        <v>378000.00000000006</v>
      </c>
    </row>
    <row r="4473" spans="2:10" x14ac:dyDescent="0.3">
      <c r="B4473" s="7">
        <v>44378</v>
      </c>
      <c r="C4473" s="3">
        <f t="shared" si="138"/>
        <v>2021</v>
      </c>
      <c r="D4473" s="3">
        <f t="shared" si="139"/>
        <v>202107</v>
      </c>
      <c r="E4473" s="5" t="s">
        <v>6</v>
      </c>
      <c r="F4473" s="5" t="s">
        <v>10</v>
      </c>
      <c r="G4473" s="5" t="s">
        <v>32</v>
      </c>
      <c r="H4473">
        <v>16</v>
      </c>
      <c r="I4473" s="4">
        <v>718720</v>
      </c>
      <c r="J4473" s="4">
        <v>403200.00000000006</v>
      </c>
    </row>
    <row r="4474" spans="2:10" x14ac:dyDescent="0.3">
      <c r="B4474" s="7">
        <v>44409</v>
      </c>
      <c r="C4474" s="3">
        <f t="shared" si="138"/>
        <v>2021</v>
      </c>
      <c r="D4474" s="3">
        <f t="shared" si="139"/>
        <v>202108</v>
      </c>
      <c r="E4474" s="5" t="s">
        <v>6</v>
      </c>
      <c r="F4474" s="5" t="s">
        <v>10</v>
      </c>
      <c r="G4474" s="5" t="s">
        <v>32</v>
      </c>
      <c r="H4474">
        <v>14</v>
      </c>
      <c r="I4474" s="4">
        <v>645540</v>
      </c>
      <c r="J4474" s="4">
        <v>352800.00000000006</v>
      </c>
    </row>
    <row r="4475" spans="2:10" x14ac:dyDescent="0.3">
      <c r="B4475" s="7">
        <v>44440</v>
      </c>
      <c r="C4475" s="3">
        <f t="shared" si="138"/>
        <v>2021</v>
      </c>
      <c r="D4475" s="3">
        <f t="shared" si="139"/>
        <v>202109</v>
      </c>
      <c r="E4475" s="5" t="s">
        <v>6</v>
      </c>
      <c r="F4475" s="5" t="s">
        <v>10</v>
      </c>
      <c r="G4475" s="5" t="s">
        <v>32</v>
      </c>
      <c r="H4475">
        <v>15</v>
      </c>
      <c r="I4475" s="4">
        <v>678885</v>
      </c>
      <c r="J4475" s="4">
        <v>378000.00000000006</v>
      </c>
    </row>
    <row r="4476" spans="2:10" x14ac:dyDescent="0.3">
      <c r="B4476" s="7">
        <v>44470</v>
      </c>
      <c r="C4476" s="3">
        <f t="shared" si="138"/>
        <v>2021</v>
      </c>
      <c r="D4476" s="3">
        <f t="shared" si="139"/>
        <v>202110</v>
      </c>
      <c r="E4476" s="5" t="s">
        <v>6</v>
      </c>
      <c r="F4476" s="5" t="s">
        <v>10</v>
      </c>
      <c r="G4476" s="5" t="s">
        <v>32</v>
      </c>
      <c r="H4476">
        <v>12</v>
      </c>
      <c r="I4476" s="4">
        <v>550932</v>
      </c>
      <c r="J4476" s="4">
        <v>302400.00000000006</v>
      </c>
    </row>
    <row r="4477" spans="2:10" x14ac:dyDescent="0.3">
      <c r="B4477" s="7">
        <v>44501</v>
      </c>
      <c r="C4477" s="3">
        <f t="shared" si="138"/>
        <v>2021</v>
      </c>
      <c r="D4477" s="3">
        <f t="shared" si="139"/>
        <v>202111</v>
      </c>
      <c r="E4477" s="5" t="s">
        <v>6</v>
      </c>
      <c r="F4477" s="5" t="s">
        <v>10</v>
      </c>
      <c r="G4477" s="5" t="s">
        <v>32</v>
      </c>
      <c r="H4477">
        <v>9</v>
      </c>
      <c r="I4477" s="4">
        <v>415188</v>
      </c>
      <c r="J4477" s="4">
        <v>226800.00000000003</v>
      </c>
    </row>
    <row r="4478" spans="2:10" x14ac:dyDescent="0.3">
      <c r="B4478" s="7">
        <v>44531</v>
      </c>
      <c r="C4478" s="3">
        <f t="shared" si="138"/>
        <v>2021</v>
      </c>
      <c r="D4478" s="3">
        <f t="shared" si="139"/>
        <v>202112</v>
      </c>
      <c r="E4478" s="5" t="s">
        <v>6</v>
      </c>
      <c r="F4478" s="5" t="s">
        <v>10</v>
      </c>
      <c r="G4478" s="5" t="s">
        <v>32</v>
      </c>
      <c r="H4478">
        <v>10</v>
      </c>
      <c r="I4478" s="4">
        <v>455800</v>
      </c>
      <c r="J4478" s="4">
        <v>252000.00000000003</v>
      </c>
    </row>
    <row r="4479" spans="2:10" x14ac:dyDescent="0.3">
      <c r="B4479" s="7">
        <v>44562</v>
      </c>
      <c r="C4479" s="3">
        <f t="shared" si="138"/>
        <v>2022</v>
      </c>
      <c r="D4479" s="3">
        <f t="shared" si="139"/>
        <v>202201</v>
      </c>
      <c r="E4479" s="5" t="s">
        <v>6</v>
      </c>
      <c r="F4479" s="5" t="s">
        <v>10</v>
      </c>
      <c r="G4479" s="5" t="s">
        <v>32</v>
      </c>
      <c r="H4479">
        <v>15</v>
      </c>
      <c r="I4479" s="4">
        <v>696045</v>
      </c>
      <c r="J4479" s="4">
        <v>378000.00000000006</v>
      </c>
    </row>
    <row r="4480" spans="2:10" x14ac:dyDescent="0.3">
      <c r="B4480" s="7">
        <v>44593</v>
      </c>
      <c r="C4480" s="3">
        <f t="shared" si="138"/>
        <v>2022</v>
      </c>
      <c r="D4480" s="3">
        <f t="shared" si="139"/>
        <v>202202</v>
      </c>
      <c r="E4480" s="5" t="s">
        <v>6</v>
      </c>
      <c r="F4480" s="5" t="s">
        <v>10</v>
      </c>
      <c r="G4480" s="5" t="s">
        <v>32</v>
      </c>
      <c r="H4480">
        <v>10</v>
      </c>
      <c r="I4480" s="4">
        <v>463540</v>
      </c>
      <c r="J4480" s="4">
        <v>252000.00000000003</v>
      </c>
    </row>
    <row r="4481" spans="2:10" x14ac:dyDescent="0.3">
      <c r="B4481" s="7">
        <v>44621</v>
      </c>
      <c r="C4481" s="3">
        <f t="shared" si="138"/>
        <v>2022</v>
      </c>
      <c r="D4481" s="3">
        <f t="shared" si="139"/>
        <v>202203</v>
      </c>
      <c r="E4481" s="5" t="s">
        <v>6</v>
      </c>
      <c r="F4481" s="5" t="s">
        <v>10</v>
      </c>
      <c r="G4481" s="5" t="s">
        <v>32</v>
      </c>
      <c r="H4481">
        <v>8</v>
      </c>
      <c r="I4481" s="4">
        <v>361824</v>
      </c>
      <c r="J4481" s="4">
        <v>201600.00000000003</v>
      </c>
    </row>
    <row r="4482" spans="2:10" x14ac:dyDescent="0.3">
      <c r="B4482" s="7">
        <v>44652</v>
      </c>
      <c r="C4482" s="3">
        <f t="shared" si="138"/>
        <v>2022</v>
      </c>
      <c r="D4482" s="3">
        <f t="shared" si="139"/>
        <v>202204</v>
      </c>
      <c r="E4482" s="5" t="s">
        <v>6</v>
      </c>
      <c r="F4482" s="5" t="s">
        <v>10</v>
      </c>
      <c r="G4482" s="5" t="s">
        <v>32</v>
      </c>
      <c r="H4482">
        <v>14</v>
      </c>
      <c r="I4482" s="4">
        <v>656810</v>
      </c>
      <c r="J4482" s="4">
        <v>352800.00000000006</v>
      </c>
    </row>
    <row r="4483" spans="2:10" x14ac:dyDescent="0.3">
      <c r="B4483" s="7">
        <v>44682</v>
      </c>
      <c r="C4483" s="3">
        <f t="shared" ref="C4483:C4546" si="140">YEAR(B4483)</f>
        <v>2022</v>
      </c>
      <c r="D4483" s="3">
        <f t="shared" ref="D4483:D4546" si="141">VALUE(TEXT(B4483,"ГГГГММ"))</f>
        <v>202205</v>
      </c>
      <c r="E4483" s="5" t="s">
        <v>6</v>
      </c>
      <c r="F4483" s="5" t="s">
        <v>10</v>
      </c>
      <c r="G4483" s="5" t="s">
        <v>32</v>
      </c>
      <c r="H4483">
        <v>18</v>
      </c>
      <c r="I4483" s="4">
        <v>845874</v>
      </c>
      <c r="J4483" s="4">
        <v>453600.00000000006</v>
      </c>
    </row>
    <row r="4484" spans="2:10" x14ac:dyDescent="0.3">
      <c r="B4484" s="7">
        <v>44713</v>
      </c>
      <c r="C4484" s="3">
        <f t="shared" si="140"/>
        <v>2022</v>
      </c>
      <c r="D4484" s="3">
        <f t="shared" si="141"/>
        <v>202206</v>
      </c>
      <c r="E4484" s="5" t="s">
        <v>6</v>
      </c>
      <c r="F4484" s="5" t="s">
        <v>10</v>
      </c>
      <c r="G4484" s="5" t="s">
        <v>32</v>
      </c>
      <c r="H4484">
        <v>17</v>
      </c>
      <c r="I4484" s="4">
        <v>791588</v>
      </c>
      <c r="J4484" s="4">
        <v>428400.00000000006</v>
      </c>
    </row>
    <row r="4485" spans="2:10" x14ac:dyDescent="0.3">
      <c r="B4485" s="7">
        <v>44743</v>
      </c>
      <c r="C4485" s="3">
        <f t="shared" si="140"/>
        <v>2022</v>
      </c>
      <c r="D4485" s="3">
        <f t="shared" si="141"/>
        <v>202207</v>
      </c>
      <c r="E4485" s="5" t="s">
        <v>6</v>
      </c>
      <c r="F4485" s="5" t="s">
        <v>10</v>
      </c>
      <c r="G4485" s="5" t="s">
        <v>32</v>
      </c>
      <c r="H4485">
        <v>18</v>
      </c>
      <c r="I4485" s="4">
        <v>815058</v>
      </c>
      <c r="J4485" s="4">
        <v>453600.00000000006</v>
      </c>
    </row>
    <row r="4486" spans="2:10" x14ac:dyDescent="0.3">
      <c r="B4486" s="7">
        <v>44774</v>
      </c>
      <c r="C4486" s="3">
        <f t="shared" si="140"/>
        <v>2022</v>
      </c>
      <c r="D4486" s="3">
        <f t="shared" si="141"/>
        <v>202208</v>
      </c>
      <c r="E4486" s="5" t="s">
        <v>6</v>
      </c>
      <c r="F4486" s="5" t="s">
        <v>10</v>
      </c>
      <c r="G4486" s="5" t="s">
        <v>32</v>
      </c>
      <c r="H4486">
        <v>15</v>
      </c>
      <c r="I4486" s="4">
        <v>689685</v>
      </c>
      <c r="J4486" s="4">
        <v>378000.00000000006</v>
      </c>
    </row>
    <row r="4487" spans="2:10" x14ac:dyDescent="0.3">
      <c r="B4487" s="7">
        <v>44805</v>
      </c>
      <c r="C4487" s="3">
        <f t="shared" si="140"/>
        <v>2022</v>
      </c>
      <c r="D4487" s="3">
        <f t="shared" si="141"/>
        <v>202209</v>
      </c>
      <c r="E4487" s="5" t="s">
        <v>6</v>
      </c>
      <c r="F4487" s="5" t="s">
        <v>10</v>
      </c>
      <c r="G4487" s="5" t="s">
        <v>32</v>
      </c>
      <c r="H4487">
        <v>16</v>
      </c>
      <c r="I4487" s="4">
        <v>728528</v>
      </c>
      <c r="J4487" s="4">
        <v>403200.00000000006</v>
      </c>
    </row>
    <row r="4488" spans="2:10" x14ac:dyDescent="0.3">
      <c r="B4488" s="7">
        <v>44835</v>
      </c>
      <c r="C4488" s="3">
        <f t="shared" si="140"/>
        <v>2022</v>
      </c>
      <c r="D4488" s="3">
        <f t="shared" si="141"/>
        <v>202210</v>
      </c>
      <c r="E4488" s="5" t="s">
        <v>6</v>
      </c>
      <c r="F4488" s="5" t="s">
        <v>10</v>
      </c>
      <c r="G4488" s="5" t="s">
        <v>32</v>
      </c>
      <c r="H4488">
        <v>13</v>
      </c>
      <c r="I4488" s="4">
        <v>608257</v>
      </c>
      <c r="J4488" s="4">
        <v>327600.00000000006</v>
      </c>
    </row>
    <row r="4489" spans="2:10" x14ac:dyDescent="0.3">
      <c r="B4489" s="7">
        <v>44866</v>
      </c>
      <c r="C4489" s="3">
        <f t="shared" si="140"/>
        <v>2022</v>
      </c>
      <c r="D4489" s="3">
        <f t="shared" si="141"/>
        <v>202211</v>
      </c>
      <c r="E4489" s="5" t="s">
        <v>6</v>
      </c>
      <c r="F4489" s="5" t="s">
        <v>10</v>
      </c>
      <c r="G4489" s="5" t="s">
        <v>32</v>
      </c>
      <c r="H4489">
        <v>10</v>
      </c>
      <c r="I4489" s="4">
        <v>461340</v>
      </c>
      <c r="J4489" s="4">
        <v>252000.00000000003</v>
      </c>
    </row>
    <row r="4490" spans="2:10" x14ac:dyDescent="0.3">
      <c r="B4490" s="7">
        <v>44896</v>
      </c>
      <c r="C4490" s="3">
        <f t="shared" si="140"/>
        <v>2022</v>
      </c>
      <c r="D4490" s="3">
        <f t="shared" si="141"/>
        <v>202212</v>
      </c>
      <c r="E4490" s="5" t="s">
        <v>6</v>
      </c>
      <c r="F4490" s="5" t="s">
        <v>10</v>
      </c>
      <c r="G4490" s="5" t="s">
        <v>32</v>
      </c>
      <c r="H4490">
        <v>11</v>
      </c>
      <c r="I4490" s="4">
        <v>497200</v>
      </c>
      <c r="J4490" s="4">
        <v>277200.00000000006</v>
      </c>
    </row>
    <row r="4491" spans="2:10" x14ac:dyDescent="0.3">
      <c r="B4491" s="7">
        <v>44197</v>
      </c>
      <c r="C4491" s="3">
        <f t="shared" si="140"/>
        <v>2021</v>
      </c>
      <c r="D4491" s="3">
        <f t="shared" si="141"/>
        <v>202101</v>
      </c>
      <c r="E4491" s="5" t="s">
        <v>6</v>
      </c>
      <c r="F4491" s="5" t="s">
        <v>10</v>
      </c>
      <c r="G4491" s="5" t="s">
        <v>33</v>
      </c>
      <c r="H4491">
        <v>14</v>
      </c>
      <c r="I4491" s="4">
        <v>254226</v>
      </c>
      <c r="J4491" s="4">
        <v>133280</v>
      </c>
    </row>
    <row r="4492" spans="2:10" x14ac:dyDescent="0.3">
      <c r="B4492" s="7">
        <v>44228</v>
      </c>
      <c r="C4492" s="3">
        <f t="shared" si="140"/>
        <v>2021</v>
      </c>
      <c r="D4492" s="3">
        <f t="shared" si="141"/>
        <v>202102</v>
      </c>
      <c r="E4492" s="5" t="s">
        <v>6</v>
      </c>
      <c r="F4492" s="5" t="s">
        <v>10</v>
      </c>
      <c r="G4492" s="5" t="s">
        <v>33</v>
      </c>
      <c r="H4492">
        <v>9</v>
      </c>
      <c r="I4492" s="4">
        <v>168453</v>
      </c>
      <c r="J4492" s="4">
        <v>85680</v>
      </c>
    </row>
    <row r="4493" spans="2:10" x14ac:dyDescent="0.3">
      <c r="B4493" s="7">
        <v>44256</v>
      </c>
      <c r="C4493" s="3">
        <f t="shared" si="140"/>
        <v>2021</v>
      </c>
      <c r="D4493" s="3">
        <f t="shared" si="141"/>
        <v>202103</v>
      </c>
      <c r="E4493" s="5" t="s">
        <v>6</v>
      </c>
      <c r="F4493" s="5" t="s">
        <v>10</v>
      </c>
      <c r="G4493" s="5" t="s">
        <v>33</v>
      </c>
      <c r="H4493">
        <v>7</v>
      </c>
      <c r="I4493" s="4">
        <v>125622</v>
      </c>
      <c r="J4493" s="4">
        <v>66640</v>
      </c>
    </row>
    <row r="4494" spans="2:10" x14ac:dyDescent="0.3">
      <c r="B4494" s="7">
        <v>44287</v>
      </c>
      <c r="C4494" s="3">
        <f t="shared" si="140"/>
        <v>2021</v>
      </c>
      <c r="D4494" s="3">
        <f t="shared" si="141"/>
        <v>202104</v>
      </c>
      <c r="E4494" s="5" t="s">
        <v>6</v>
      </c>
      <c r="F4494" s="5" t="s">
        <v>10</v>
      </c>
      <c r="G4494" s="5" t="s">
        <v>33</v>
      </c>
      <c r="H4494">
        <v>13</v>
      </c>
      <c r="I4494" s="4">
        <v>236457</v>
      </c>
      <c r="J4494" s="4">
        <v>123760</v>
      </c>
    </row>
    <row r="4495" spans="2:10" x14ac:dyDescent="0.3">
      <c r="B4495" s="7">
        <v>44317</v>
      </c>
      <c r="C4495" s="3">
        <f t="shared" si="140"/>
        <v>2021</v>
      </c>
      <c r="D4495" s="3">
        <f t="shared" si="141"/>
        <v>202105</v>
      </c>
      <c r="E4495" s="5" t="s">
        <v>6</v>
      </c>
      <c r="F4495" s="5" t="s">
        <v>10</v>
      </c>
      <c r="G4495" s="5" t="s">
        <v>33</v>
      </c>
      <c r="H4495">
        <v>16</v>
      </c>
      <c r="I4495" s="4">
        <v>305760</v>
      </c>
      <c r="J4495" s="4">
        <v>152320</v>
      </c>
    </row>
    <row r="4496" spans="2:10" x14ac:dyDescent="0.3">
      <c r="B4496" s="7">
        <v>44348</v>
      </c>
      <c r="C4496" s="3">
        <f t="shared" si="140"/>
        <v>2021</v>
      </c>
      <c r="D4496" s="3">
        <f t="shared" si="141"/>
        <v>202106</v>
      </c>
      <c r="E4496" s="5" t="s">
        <v>6</v>
      </c>
      <c r="F4496" s="5" t="s">
        <v>10</v>
      </c>
      <c r="G4496" s="5" t="s">
        <v>33</v>
      </c>
      <c r="H4496">
        <v>15</v>
      </c>
      <c r="I4496" s="4">
        <v>268890</v>
      </c>
      <c r="J4496" s="4">
        <v>142800</v>
      </c>
    </row>
    <row r="4497" spans="2:10" x14ac:dyDescent="0.3">
      <c r="B4497" s="7">
        <v>44378</v>
      </c>
      <c r="C4497" s="3">
        <f t="shared" si="140"/>
        <v>2021</v>
      </c>
      <c r="D4497" s="3">
        <f t="shared" si="141"/>
        <v>202107</v>
      </c>
      <c r="E4497" s="5" t="s">
        <v>6</v>
      </c>
      <c r="F4497" s="5" t="s">
        <v>10</v>
      </c>
      <c r="G4497" s="5" t="s">
        <v>33</v>
      </c>
      <c r="H4497">
        <v>16</v>
      </c>
      <c r="I4497" s="4">
        <v>273408</v>
      </c>
      <c r="J4497" s="4">
        <v>152320</v>
      </c>
    </row>
    <row r="4498" spans="2:10" x14ac:dyDescent="0.3">
      <c r="B4498" s="7">
        <v>44409</v>
      </c>
      <c r="C4498" s="3">
        <f t="shared" si="140"/>
        <v>2021</v>
      </c>
      <c r="D4498" s="3">
        <f t="shared" si="141"/>
        <v>202108</v>
      </c>
      <c r="E4498" s="5" t="s">
        <v>6</v>
      </c>
      <c r="F4498" s="5" t="s">
        <v>10</v>
      </c>
      <c r="G4498" s="5" t="s">
        <v>33</v>
      </c>
      <c r="H4498">
        <v>14</v>
      </c>
      <c r="I4498" s="4">
        <v>247380</v>
      </c>
      <c r="J4498" s="4">
        <v>133280</v>
      </c>
    </row>
    <row r="4499" spans="2:10" x14ac:dyDescent="0.3">
      <c r="B4499" s="7">
        <v>44440</v>
      </c>
      <c r="C4499" s="3">
        <f t="shared" si="140"/>
        <v>2021</v>
      </c>
      <c r="D4499" s="3">
        <f t="shared" si="141"/>
        <v>202109</v>
      </c>
      <c r="E4499" s="5" t="s">
        <v>6</v>
      </c>
      <c r="F4499" s="5" t="s">
        <v>10</v>
      </c>
      <c r="G4499" s="5" t="s">
        <v>33</v>
      </c>
      <c r="H4499">
        <v>15</v>
      </c>
      <c r="I4499" s="4">
        <v>270000</v>
      </c>
      <c r="J4499" s="4">
        <v>142800</v>
      </c>
    </row>
    <row r="4500" spans="2:10" x14ac:dyDescent="0.3">
      <c r="B4500" s="7">
        <v>44470</v>
      </c>
      <c r="C4500" s="3">
        <f t="shared" si="140"/>
        <v>2021</v>
      </c>
      <c r="D4500" s="3">
        <f t="shared" si="141"/>
        <v>202110</v>
      </c>
      <c r="E4500" s="5" t="s">
        <v>6</v>
      </c>
      <c r="F4500" s="5" t="s">
        <v>10</v>
      </c>
      <c r="G4500" s="5" t="s">
        <v>33</v>
      </c>
      <c r="H4500">
        <v>12</v>
      </c>
      <c r="I4500" s="4">
        <v>221196</v>
      </c>
      <c r="J4500" s="4">
        <v>114240</v>
      </c>
    </row>
    <row r="4501" spans="2:10" x14ac:dyDescent="0.3">
      <c r="B4501" s="7">
        <v>44501</v>
      </c>
      <c r="C4501" s="3">
        <f t="shared" si="140"/>
        <v>2021</v>
      </c>
      <c r="D4501" s="3">
        <f t="shared" si="141"/>
        <v>202111</v>
      </c>
      <c r="E4501" s="5" t="s">
        <v>6</v>
      </c>
      <c r="F4501" s="5" t="s">
        <v>10</v>
      </c>
      <c r="G4501" s="5" t="s">
        <v>33</v>
      </c>
      <c r="H4501">
        <v>9</v>
      </c>
      <c r="I4501" s="4">
        <v>161253</v>
      </c>
      <c r="J4501" s="4">
        <v>85680</v>
      </c>
    </row>
    <row r="4502" spans="2:10" x14ac:dyDescent="0.3">
      <c r="B4502" s="7">
        <v>44531</v>
      </c>
      <c r="C4502" s="3">
        <f t="shared" si="140"/>
        <v>2021</v>
      </c>
      <c r="D4502" s="3">
        <f t="shared" si="141"/>
        <v>202112</v>
      </c>
      <c r="E4502" s="5" t="s">
        <v>6</v>
      </c>
      <c r="F4502" s="5" t="s">
        <v>10</v>
      </c>
      <c r="G4502" s="5" t="s">
        <v>33</v>
      </c>
      <c r="H4502">
        <v>10</v>
      </c>
      <c r="I4502" s="4">
        <v>180360</v>
      </c>
      <c r="J4502" s="4">
        <v>95200</v>
      </c>
    </row>
    <row r="4503" spans="2:10" x14ac:dyDescent="0.3">
      <c r="B4503" s="7">
        <v>44562</v>
      </c>
      <c r="C4503" s="3">
        <f t="shared" si="140"/>
        <v>2022</v>
      </c>
      <c r="D4503" s="3">
        <f t="shared" si="141"/>
        <v>202201</v>
      </c>
      <c r="E4503" s="5" t="s">
        <v>6</v>
      </c>
      <c r="F4503" s="5" t="s">
        <v>10</v>
      </c>
      <c r="G4503" s="5" t="s">
        <v>33</v>
      </c>
      <c r="H4503">
        <v>15</v>
      </c>
      <c r="I4503" s="4">
        <v>273420</v>
      </c>
      <c r="J4503" s="4">
        <v>142800</v>
      </c>
    </row>
    <row r="4504" spans="2:10" x14ac:dyDescent="0.3">
      <c r="B4504" s="7">
        <v>44593</v>
      </c>
      <c r="C4504" s="3">
        <f t="shared" si="140"/>
        <v>2022</v>
      </c>
      <c r="D4504" s="3">
        <f t="shared" si="141"/>
        <v>202202</v>
      </c>
      <c r="E4504" s="5" t="s">
        <v>6</v>
      </c>
      <c r="F4504" s="5" t="s">
        <v>10</v>
      </c>
      <c r="G4504" s="5" t="s">
        <v>33</v>
      </c>
      <c r="H4504">
        <v>10</v>
      </c>
      <c r="I4504" s="4">
        <v>179030</v>
      </c>
      <c r="J4504" s="4">
        <v>95200</v>
      </c>
    </row>
    <row r="4505" spans="2:10" x14ac:dyDescent="0.3">
      <c r="B4505" s="7">
        <v>44621</v>
      </c>
      <c r="C4505" s="3">
        <f t="shared" si="140"/>
        <v>2022</v>
      </c>
      <c r="D4505" s="3">
        <f t="shared" si="141"/>
        <v>202203</v>
      </c>
      <c r="E4505" s="5" t="s">
        <v>6</v>
      </c>
      <c r="F4505" s="5" t="s">
        <v>10</v>
      </c>
      <c r="G4505" s="5" t="s">
        <v>33</v>
      </c>
      <c r="H4505">
        <v>8</v>
      </c>
      <c r="I4505" s="4">
        <v>142968</v>
      </c>
      <c r="J4505" s="4">
        <v>76160</v>
      </c>
    </row>
    <row r="4506" spans="2:10" x14ac:dyDescent="0.3">
      <c r="B4506" s="7">
        <v>44652</v>
      </c>
      <c r="C4506" s="3">
        <f t="shared" si="140"/>
        <v>2022</v>
      </c>
      <c r="D4506" s="3">
        <f t="shared" si="141"/>
        <v>202204</v>
      </c>
      <c r="E4506" s="5" t="s">
        <v>6</v>
      </c>
      <c r="F4506" s="5" t="s">
        <v>10</v>
      </c>
      <c r="G4506" s="5" t="s">
        <v>33</v>
      </c>
      <c r="H4506">
        <v>14</v>
      </c>
      <c r="I4506" s="4">
        <v>265664</v>
      </c>
      <c r="J4506" s="4">
        <v>133280</v>
      </c>
    </row>
    <row r="4507" spans="2:10" x14ac:dyDescent="0.3">
      <c r="B4507" s="7">
        <v>44682</v>
      </c>
      <c r="C4507" s="3">
        <f t="shared" si="140"/>
        <v>2022</v>
      </c>
      <c r="D4507" s="3">
        <f t="shared" si="141"/>
        <v>202205</v>
      </c>
      <c r="E4507" s="5" t="s">
        <v>6</v>
      </c>
      <c r="F4507" s="5" t="s">
        <v>10</v>
      </c>
      <c r="G4507" s="5" t="s">
        <v>33</v>
      </c>
      <c r="H4507">
        <v>18</v>
      </c>
      <c r="I4507" s="4">
        <v>347112</v>
      </c>
      <c r="J4507" s="4">
        <v>171360</v>
      </c>
    </row>
    <row r="4508" spans="2:10" x14ac:dyDescent="0.3">
      <c r="B4508" s="7">
        <v>44713</v>
      </c>
      <c r="C4508" s="3">
        <f t="shared" si="140"/>
        <v>2022</v>
      </c>
      <c r="D4508" s="3">
        <f t="shared" si="141"/>
        <v>202206</v>
      </c>
      <c r="E4508" s="5" t="s">
        <v>6</v>
      </c>
      <c r="F4508" s="5" t="s">
        <v>10</v>
      </c>
      <c r="G4508" s="5" t="s">
        <v>33</v>
      </c>
      <c r="H4508">
        <v>17</v>
      </c>
      <c r="I4508" s="4">
        <v>304436</v>
      </c>
      <c r="J4508" s="4">
        <v>161840</v>
      </c>
    </row>
    <row r="4509" spans="2:10" x14ac:dyDescent="0.3">
      <c r="B4509" s="7">
        <v>44743</v>
      </c>
      <c r="C4509" s="3">
        <f t="shared" si="140"/>
        <v>2022</v>
      </c>
      <c r="D4509" s="3">
        <f t="shared" si="141"/>
        <v>202207</v>
      </c>
      <c r="E4509" s="5" t="s">
        <v>6</v>
      </c>
      <c r="F4509" s="5" t="s">
        <v>10</v>
      </c>
      <c r="G4509" s="5" t="s">
        <v>33</v>
      </c>
      <c r="H4509">
        <v>18</v>
      </c>
      <c r="I4509" s="4">
        <v>302400</v>
      </c>
      <c r="J4509" s="4">
        <v>171360</v>
      </c>
    </row>
    <row r="4510" spans="2:10" x14ac:dyDescent="0.3">
      <c r="B4510" s="7">
        <v>44774</v>
      </c>
      <c r="C4510" s="3">
        <f t="shared" si="140"/>
        <v>2022</v>
      </c>
      <c r="D4510" s="3">
        <f t="shared" si="141"/>
        <v>202208</v>
      </c>
      <c r="E4510" s="5" t="s">
        <v>6</v>
      </c>
      <c r="F4510" s="5" t="s">
        <v>10</v>
      </c>
      <c r="G4510" s="5" t="s">
        <v>33</v>
      </c>
      <c r="H4510">
        <v>15</v>
      </c>
      <c r="I4510" s="4">
        <v>260655</v>
      </c>
      <c r="J4510" s="4">
        <v>142800</v>
      </c>
    </row>
    <row r="4511" spans="2:10" x14ac:dyDescent="0.3">
      <c r="B4511" s="7">
        <v>44805</v>
      </c>
      <c r="C4511" s="3">
        <f t="shared" si="140"/>
        <v>2022</v>
      </c>
      <c r="D4511" s="3">
        <f t="shared" si="141"/>
        <v>202209</v>
      </c>
      <c r="E4511" s="5" t="s">
        <v>6</v>
      </c>
      <c r="F4511" s="5" t="s">
        <v>10</v>
      </c>
      <c r="G4511" s="5" t="s">
        <v>33</v>
      </c>
      <c r="H4511">
        <v>16</v>
      </c>
      <c r="I4511" s="4">
        <v>292416</v>
      </c>
      <c r="J4511" s="4">
        <v>152320</v>
      </c>
    </row>
    <row r="4512" spans="2:10" x14ac:dyDescent="0.3">
      <c r="B4512" s="7">
        <v>44835</v>
      </c>
      <c r="C4512" s="3">
        <f t="shared" si="140"/>
        <v>2022</v>
      </c>
      <c r="D4512" s="3">
        <f t="shared" si="141"/>
        <v>202210</v>
      </c>
      <c r="E4512" s="5" t="s">
        <v>6</v>
      </c>
      <c r="F4512" s="5" t="s">
        <v>10</v>
      </c>
      <c r="G4512" s="5" t="s">
        <v>33</v>
      </c>
      <c r="H4512">
        <v>13</v>
      </c>
      <c r="I4512" s="4">
        <v>245583</v>
      </c>
      <c r="J4512" s="4">
        <v>123760</v>
      </c>
    </row>
    <row r="4513" spans="2:10" x14ac:dyDescent="0.3">
      <c r="B4513" s="7">
        <v>44866</v>
      </c>
      <c r="C4513" s="3">
        <f t="shared" si="140"/>
        <v>2022</v>
      </c>
      <c r="D4513" s="3">
        <f t="shared" si="141"/>
        <v>202211</v>
      </c>
      <c r="E4513" s="5" t="s">
        <v>6</v>
      </c>
      <c r="F4513" s="5" t="s">
        <v>10</v>
      </c>
      <c r="G4513" s="5" t="s">
        <v>33</v>
      </c>
      <c r="H4513">
        <v>10</v>
      </c>
      <c r="I4513" s="4">
        <v>183130</v>
      </c>
      <c r="J4513" s="4">
        <v>95200</v>
      </c>
    </row>
    <row r="4514" spans="2:10" x14ac:dyDescent="0.3">
      <c r="B4514" s="7">
        <v>44896</v>
      </c>
      <c r="C4514" s="3">
        <f t="shared" si="140"/>
        <v>2022</v>
      </c>
      <c r="D4514" s="3">
        <f t="shared" si="141"/>
        <v>202212</v>
      </c>
      <c r="E4514" s="5" t="s">
        <v>6</v>
      </c>
      <c r="F4514" s="5" t="s">
        <v>10</v>
      </c>
      <c r="G4514" s="5" t="s">
        <v>33</v>
      </c>
      <c r="H4514">
        <v>11</v>
      </c>
      <c r="I4514" s="4">
        <v>199925</v>
      </c>
      <c r="J4514" s="4">
        <v>104720</v>
      </c>
    </row>
    <row r="4515" spans="2:10" x14ac:dyDescent="0.3">
      <c r="B4515" s="7">
        <v>44197</v>
      </c>
      <c r="C4515" s="3">
        <f t="shared" si="140"/>
        <v>2021</v>
      </c>
      <c r="D4515" s="3">
        <f t="shared" si="141"/>
        <v>202101</v>
      </c>
      <c r="E4515" s="5" t="s">
        <v>6</v>
      </c>
      <c r="F4515" s="5" t="s">
        <v>10</v>
      </c>
      <c r="G4515" s="5" t="s">
        <v>34</v>
      </c>
      <c r="H4515">
        <v>11</v>
      </c>
      <c r="I4515" s="4">
        <v>440968</v>
      </c>
      <c r="J4515" s="4">
        <v>180180</v>
      </c>
    </row>
    <row r="4516" spans="2:10" x14ac:dyDescent="0.3">
      <c r="B4516" s="7">
        <v>44228</v>
      </c>
      <c r="C4516" s="3">
        <f t="shared" si="140"/>
        <v>2021</v>
      </c>
      <c r="D4516" s="3">
        <f t="shared" si="141"/>
        <v>202102</v>
      </c>
      <c r="E4516" s="5" t="s">
        <v>6</v>
      </c>
      <c r="F4516" s="5" t="s">
        <v>10</v>
      </c>
      <c r="G4516" s="5" t="s">
        <v>34</v>
      </c>
      <c r="H4516">
        <v>7</v>
      </c>
      <c r="I4516" s="4">
        <v>282002</v>
      </c>
      <c r="J4516" s="4">
        <v>114660</v>
      </c>
    </row>
    <row r="4517" spans="2:10" x14ac:dyDescent="0.3">
      <c r="B4517" s="7">
        <v>44256</v>
      </c>
      <c r="C4517" s="3">
        <f t="shared" si="140"/>
        <v>2021</v>
      </c>
      <c r="D4517" s="3">
        <f t="shared" si="141"/>
        <v>202103</v>
      </c>
      <c r="E4517" s="5" t="s">
        <v>6</v>
      </c>
      <c r="F4517" s="5" t="s">
        <v>10</v>
      </c>
      <c r="G4517" s="5" t="s">
        <v>34</v>
      </c>
      <c r="H4517">
        <v>6</v>
      </c>
      <c r="I4517" s="4">
        <v>237474</v>
      </c>
      <c r="J4517" s="4">
        <v>98280</v>
      </c>
    </row>
    <row r="4518" spans="2:10" x14ac:dyDescent="0.3">
      <c r="B4518" s="7">
        <v>44287</v>
      </c>
      <c r="C4518" s="3">
        <f t="shared" si="140"/>
        <v>2021</v>
      </c>
      <c r="D4518" s="3">
        <f t="shared" si="141"/>
        <v>202104</v>
      </c>
      <c r="E4518" s="5" t="s">
        <v>6</v>
      </c>
      <c r="F4518" s="5" t="s">
        <v>10</v>
      </c>
      <c r="G4518" s="5" t="s">
        <v>34</v>
      </c>
      <c r="H4518">
        <v>10</v>
      </c>
      <c r="I4518" s="4">
        <v>407960</v>
      </c>
      <c r="J4518" s="4">
        <v>163800</v>
      </c>
    </row>
    <row r="4519" spans="2:10" x14ac:dyDescent="0.3">
      <c r="B4519" s="7">
        <v>44317</v>
      </c>
      <c r="C4519" s="3">
        <f t="shared" si="140"/>
        <v>2021</v>
      </c>
      <c r="D4519" s="3">
        <f t="shared" si="141"/>
        <v>202105</v>
      </c>
      <c r="E4519" s="5" t="s">
        <v>6</v>
      </c>
      <c r="F4519" s="5" t="s">
        <v>10</v>
      </c>
      <c r="G4519" s="5" t="s">
        <v>34</v>
      </c>
      <c r="H4519">
        <v>13</v>
      </c>
      <c r="I4519" s="4">
        <v>525109</v>
      </c>
      <c r="J4519" s="4">
        <v>212940</v>
      </c>
    </row>
    <row r="4520" spans="2:10" x14ac:dyDescent="0.3">
      <c r="B4520" s="7">
        <v>44348</v>
      </c>
      <c r="C4520" s="3">
        <f t="shared" si="140"/>
        <v>2021</v>
      </c>
      <c r="D4520" s="3">
        <f t="shared" si="141"/>
        <v>202106</v>
      </c>
      <c r="E4520" s="5" t="s">
        <v>6</v>
      </c>
      <c r="F4520" s="5" t="s">
        <v>10</v>
      </c>
      <c r="G4520" s="5" t="s">
        <v>34</v>
      </c>
      <c r="H4520">
        <v>12</v>
      </c>
      <c r="I4520" s="4">
        <v>478416</v>
      </c>
      <c r="J4520" s="4">
        <v>196560</v>
      </c>
    </row>
    <row r="4521" spans="2:10" x14ac:dyDescent="0.3">
      <c r="B4521" s="7">
        <v>44378</v>
      </c>
      <c r="C4521" s="3">
        <f t="shared" si="140"/>
        <v>2021</v>
      </c>
      <c r="D4521" s="3">
        <f t="shared" si="141"/>
        <v>202107</v>
      </c>
      <c r="E4521" s="5" t="s">
        <v>6</v>
      </c>
      <c r="F4521" s="5" t="s">
        <v>10</v>
      </c>
      <c r="G4521" s="5" t="s">
        <v>34</v>
      </c>
      <c r="H4521">
        <v>13</v>
      </c>
      <c r="I4521" s="4">
        <v>502788</v>
      </c>
      <c r="J4521" s="4">
        <v>212940</v>
      </c>
    </row>
    <row r="4522" spans="2:10" x14ac:dyDescent="0.3">
      <c r="B4522" s="7">
        <v>44409</v>
      </c>
      <c r="C4522" s="3">
        <f t="shared" si="140"/>
        <v>2021</v>
      </c>
      <c r="D4522" s="3">
        <f t="shared" si="141"/>
        <v>202108</v>
      </c>
      <c r="E4522" s="5" t="s">
        <v>6</v>
      </c>
      <c r="F4522" s="5" t="s">
        <v>10</v>
      </c>
      <c r="G4522" s="5" t="s">
        <v>34</v>
      </c>
      <c r="H4522">
        <v>11</v>
      </c>
      <c r="I4522" s="4">
        <v>438207</v>
      </c>
      <c r="J4522" s="4">
        <v>180180</v>
      </c>
    </row>
    <row r="4523" spans="2:10" x14ac:dyDescent="0.3">
      <c r="B4523" s="7">
        <v>44440</v>
      </c>
      <c r="C4523" s="3">
        <f t="shared" si="140"/>
        <v>2021</v>
      </c>
      <c r="D4523" s="3">
        <f t="shared" si="141"/>
        <v>202109</v>
      </c>
      <c r="E4523" s="5" t="s">
        <v>6</v>
      </c>
      <c r="F4523" s="5" t="s">
        <v>10</v>
      </c>
      <c r="G4523" s="5" t="s">
        <v>34</v>
      </c>
      <c r="H4523">
        <v>12</v>
      </c>
      <c r="I4523" s="4">
        <v>481116</v>
      </c>
      <c r="J4523" s="4">
        <v>196560</v>
      </c>
    </row>
    <row r="4524" spans="2:10" x14ac:dyDescent="0.3">
      <c r="B4524" s="7">
        <v>44470</v>
      </c>
      <c r="C4524" s="3">
        <f t="shared" si="140"/>
        <v>2021</v>
      </c>
      <c r="D4524" s="3">
        <f t="shared" si="141"/>
        <v>202110</v>
      </c>
      <c r="E4524" s="5" t="s">
        <v>6</v>
      </c>
      <c r="F4524" s="5" t="s">
        <v>10</v>
      </c>
      <c r="G4524" s="5" t="s">
        <v>34</v>
      </c>
      <c r="H4524">
        <v>10</v>
      </c>
      <c r="I4524" s="4">
        <v>408570</v>
      </c>
      <c r="J4524" s="4">
        <v>163800</v>
      </c>
    </row>
    <row r="4525" spans="2:10" x14ac:dyDescent="0.3">
      <c r="B4525" s="7">
        <v>44501</v>
      </c>
      <c r="C4525" s="3">
        <f t="shared" si="140"/>
        <v>2021</v>
      </c>
      <c r="D4525" s="3">
        <f t="shared" si="141"/>
        <v>202111</v>
      </c>
      <c r="E4525" s="5" t="s">
        <v>6</v>
      </c>
      <c r="F4525" s="5" t="s">
        <v>10</v>
      </c>
      <c r="G4525" s="5" t="s">
        <v>34</v>
      </c>
      <c r="H4525">
        <v>7</v>
      </c>
      <c r="I4525" s="4">
        <v>280378</v>
      </c>
      <c r="J4525" s="4">
        <v>114660</v>
      </c>
    </row>
    <row r="4526" spans="2:10" x14ac:dyDescent="0.3">
      <c r="B4526" s="7">
        <v>44531</v>
      </c>
      <c r="C4526" s="3">
        <f t="shared" si="140"/>
        <v>2021</v>
      </c>
      <c r="D4526" s="3">
        <f t="shared" si="141"/>
        <v>202112</v>
      </c>
      <c r="E4526" s="5" t="s">
        <v>6</v>
      </c>
      <c r="F4526" s="5" t="s">
        <v>10</v>
      </c>
      <c r="G4526" s="5" t="s">
        <v>34</v>
      </c>
      <c r="H4526">
        <v>8</v>
      </c>
      <c r="I4526" s="4">
        <v>316832</v>
      </c>
      <c r="J4526" s="4">
        <v>131040</v>
      </c>
    </row>
    <row r="4527" spans="2:10" x14ac:dyDescent="0.3">
      <c r="B4527" s="7">
        <v>44562</v>
      </c>
      <c r="C4527" s="3">
        <f t="shared" si="140"/>
        <v>2022</v>
      </c>
      <c r="D4527" s="3">
        <f t="shared" si="141"/>
        <v>202201</v>
      </c>
      <c r="E4527" s="5" t="s">
        <v>6</v>
      </c>
      <c r="F4527" s="5" t="s">
        <v>10</v>
      </c>
      <c r="G4527" s="5" t="s">
        <v>34</v>
      </c>
      <c r="H4527">
        <v>12</v>
      </c>
      <c r="I4527" s="4">
        <v>484296</v>
      </c>
      <c r="J4527" s="4">
        <v>196560</v>
      </c>
    </row>
    <row r="4528" spans="2:10" x14ac:dyDescent="0.3">
      <c r="B4528" s="7">
        <v>44593</v>
      </c>
      <c r="C4528" s="3">
        <f t="shared" si="140"/>
        <v>2022</v>
      </c>
      <c r="D4528" s="3">
        <f t="shared" si="141"/>
        <v>202202</v>
      </c>
      <c r="E4528" s="5" t="s">
        <v>6</v>
      </c>
      <c r="F4528" s="5" t="s">
        <v>10</v>
      </c>
      <c r="G4528" s="5" t="s">
        <v>34</v>
      </c>
      <c r="H4528">
        <v>8</v>
      </c>
      <c r="I4528" s="4">
        <v>321240</v>
      </c>
      <c r="J4528" s="4">
        <v>131040</v>
      </c>
    </row>
    <row r="4529" spans="2:10" x14ac:dyDescent="0.3">
      <c r="B4529" s="7">
        <v>44621</v>
      </c>
      <c r="C4529" s="3">
        <f t="shared" si="140"/>
        <v>2022</v>
      </c>
      <c r="D4529" s="3">
        <f t="shared" si="141"/>
        <v>202203</v>
      </c>
      <c r="E4529" s="5" t="s">
        <v>6</v>
      </c>
      <c r="F4529" s="5" t="s">
        <v>10</v>
      </c>
      <c r="G4529" s="5" t="s">
        <v>34</v>
      </c>
      <c r="H4529">
        <v>6</v>
      </c>
      <c r="I4529" s="4">
        <v>237174</v>
      </c>
      <c r="J4529" s="4">
        <v>98280</v>
      </c>
    </row>
    <row r="4530" spans="2:10" x14ac:dyDescent="0.3">
      <c r="B4530" s="7">
        <v>44652</v>
      </c>
      <c r="C4530" s="3">
        <f t="shared" si="140"/>
        <v>2022</v>
      </c>
      <c r="D4530" s="3">
        <f t="shared" si="141"/>
        <v>202204</v>
      </c>
      <c r="E4530" s="5" t="s">
        <v>6</v>
      </c>
      <c r="F4530" s="5" t="s">
        <v>10</v>
      </c>
      <c r="G4530" s="5" t="s">
        <v>34</v>
      </c>
      <c r="H4530">
        <v>11</v>
      </c>
      <c r="I4530" s="4">
        <v>451451</v>
      </c>
      <c r="J4530" s="4">
        <v>180180</v>
      </c>
    </row>
    <row r="4531" spans="2:10" x14ac:dyDescent="0.3">
      <c r="B4531" s="7">
        <v>44682</v>
      </c>
      <c r="C4531" s="3">
        <f t="shared" si="140"/>
        <v>2022</v>
      </c>
      <c r="D4531" s="3">
        <f t="shared" si="141"/>
        <v>202205</v>
      </c>
      <c r="E4531" s="5" t="s">
        <v>6</v>
      </c>
      <c r="F4531" s="5" t="s">
        <v>10</v>
      </c>
      <c r="G4531" s="5" t="s">
        <v>34</v>
      </c>
      <c r="H4531">
        <v>14</v>
      </c>
      <c r="I4531" s="4">
        <v>572950</v>
      </c>
      <c r="J4531" s="4">
        <v>229320</v>
      </c>
    </row>
    <row r="4532" spans="2:10" x14ac:dyDescent="0.3">
      <c r="B4532" s="7">
        <v>44713</v>
      </c>
      <c r="C4532" s="3">
        <f t="shared" si="140"/>
        <v>2022</v>
      </c>
      <c r="D4532" s="3">
        <f t="shared" si="141"/>
        <v>202206</v>
      </c>
      <c r="E4532" s="5" t="s">
        <v>6</v>
      </c>
      <c r="F4532" s="5" t="s">
        <v>10</v>
      </c>
      <c r="G4532" s="5" t="s">
        <v>34</v>
      </c>
      <c r="H4532">
        <v>14</v>
      </c>
      <c r="I4532" s="4">
        <v>574854</v>
      </c>
      <c r="J4532" s="4">
        <v>229320</v>
      </c>
    </row>
    <row r="4533" spans="2:10" x14ac:dyDescent="0.3">
      <c r="B4533" s="7">
        <v>44743</v>
      </c>
      <c r="C4533" s="3">
        <f t="shared" si="140"/>
        <v>2022</v>
      </c>
      <c r="D4533" s="3">
        <f t="shared" si="141"/>
        <v>202207</v>
      </c>
      <c r="E4533" s="5" t="s">
        <v>6</v>
      </c>
      <c r="F4533" s="5" t="s">
        <v>10</v>
      </c>
      <c r="G4533" s="5" t="s">
        <v>34</v>
      </c>
      <c r="H4533">
        <v>14</v>
      </c>
      <c r="I4533" s="4">
        <v>551194</v>
      </c>
      <c r="J4533" s="4">
        <v>229320</v>
      </c>
    </row>
    <row r="4534" spans="2:10" x14ac:dyDescent="0.3">
      <c r="B4534" s="7">
        <v>44774</v>
      </c>
      <c r="C4534" s="3">
        <f t="shared" si="140"/>
        <v>2022</v>
      </c>
      <c r="D4534" s="3">
        <f t="shared" si="141"/>
        <v>202208</v>
      </c>
      <c r="E4534" s="5" t="s">
        <v>6</v>
      </c>
      <c r="F4534" s="5" t="s">
        <v>10</v>
      </c>
      <c r="G4534" s="5" t="s">
        <v>34</v>
      </c>
      <c r="H4534">
        <v>12</v>
      </c>
      <c r="I4534" s="4">
        <v>476520</v>
      </c>
      <c r="J4534" s="4">
        <v>196560</v>
      </c>
    </row>
    <row r="4535" spans="2:10" x14ac:dyDescent="0.3">
      <c r="B4535" s="7">
        <v>44805</v>
      </c>
      <c r="C4535" s="3">
        <f t="shared" si="140"/>
        <v>2022</v>
      </c>
      <c r="D4535" s="3">
        <f t="shared" si="141"/>
        <v>202209</v>
      </c>
      <c r="E4535" s="5" t="s">
        <v>6</v>
      </c>
      <c r="F4535" s="5" t="s">
        <v>10</v>
      </c>
      <c r="G4535" s="5" t="s">
        <v>34</v>
      </c>
      <c r="H4535">
        <v>13</v>
      </c>
      <c r="I4535" s="4">
        <v>517322</v>
      </c>
      <c r="J4535" s="4">
        <v>212940</v>
      </c>
    </row>
    <row r="4536" spans="2:10" x14ac:dyDescent="0.3">
      <c r="B4536" s="7">
        <v>44835</v>
      </c>
      <c r="C4536" s="3">
        <f t="shared" si="140"/>
        <v>2022</v>
      </c>
      <c r="D4536" s="3">
        <f t="shared" si="141"/>
        <v>202210</v>
      </c>
      <c r="E4536" s="5" t="s">
        <v>6</v>
      </c>
      <c r="F4536" s="5" t="s">
        <v>10</v>
      </c>
      <c r="G4536" s="5" t="s">
        <v>34</v>
      </c>
      <c r="H4536">
        <v>11</v>
      </c>
      <c r="I4536" s="4">
        <v>440935</v>
      </c>
      <c r="J4536" s="4">
        <v>180180</v>
      </c>
    </row>
    <row r="4537" spans="2:10" x14ac:dyDescent="0.3">
      <c r="B4537" s="7">
        <v>44866</v>
      </c>
      <c r="C4537" s="3">
        <f t="shared" si="140"/>
        <v>2022</v>
      </c>
      <c r="D4537" s="3">
        <f t="shared" si="141"/>
        <v>202211</v>
      </c>
      <c r="E4537" s="5" t="s">
        <v>6</v>
      </c>
      <c r="F4537" s="5" t="s">
        <v>10</v>
      </c>
      <c r="G4537" s="5" t="s">
        <v>34</v>
      </c>
      <c r="H4537">
        <v>8</v>
      </c>
      <c r="I4537" s="4">
        <v>321056</v>
      </c>
      <c r="J4537" s="4">
        <v>131040</v>
      </c>
    </row>
    <row r="4538" spans="2:10" x14ac:dyDescent="0.3">
      <c r="B4538" s="7">
        <v>44896</v>
      </c>
      <c r="C4538" s="3">
        <f t="shared" si="140"/>
        <v>2022</v>
      </c>
      <c r="D4538" s="3">
        <f t="shared" si="141"/>
        <v>202212</v>
      </c>
      <c r="E4538" s="5" t="s">
        <v>6</v>
      </c>
      <c r="F4538" s="5" t="s">
        <v>10</v>
      </c>
      <c r="G4538" s="5" t="s">
        <v>34</v>
      </c>
      <c r="H4538">
        <v>9</v>
      </c>
      <c r="I4538" s="4">
        <v>357471</v>
      </c>
      <c r="J4538" s="4">
        <v>147420</v>
      </c>
    </row>
    <row r="4539" spans="2:10" x14ac:dyDescent="0.3">
      <c r="B4539" s="7">
        <v>44197</v>
      </c>
      <c r="C4539" s="3">
        <f t="shared" si="140"/>
        <v>2021</v>
      </c>
      <c r="D4539" s="3">
        <f t="shared" si="141"/>
        <v>202101</v>
      </c>
      <c r="E4539" s="5" t="s">
        <v>6</v>
      </c>
      <c r="F4539" s="5" t="s">
        <v>11</v>
      </c>
      <c r="G4539" s="5" t="s">
        <v>35</v>
      </c>
      <c r="H4539">
        <v>33</v>
      </c>
      <c r="I4539" s="4">
        <v>211431</v>
      </c>
      <c r="J4539" s="4">
        <v>75900</v>
      </c>
    </row>
    <row r="4540" spans="2:10" x14ac:dyDescent="0.3">
      <c r="B4540" s="7">
        <v>44228</v>
      </c>
      <c r="C4540" s="3">
        <f t="shared" si="140"/>
        <v>2021</v>
      </c>
      <c r="D4540" s="3">
        <f t="shared" si="141"/>
        <v>202102</v>
      </c>
      <c r="E4540" s="5" t="s">
        <v>6</v>
      </c>
      <c r="F4540" s="5" t="s">
        <v>11</v>
      </c>
      <c r="G4540" s="5" t="s">
        <v>35</v>
      </c>
      <c r="H4540">
        <v>21</v>
      </c>
      <c r="I4540" s="4">
        <v>132258</v>
      </c>
      <c r="J4540" s="4">
        <v>48300</v>
      </c>
    </row>
    <row r="4541" spans="2:10" x14ac:dyDescent="0.3">
      <c r="B4541" s="7">
        <v>44256</v>
      </c>
      <c r="C4541" s="3">
        <f t="shared" si="140"/>
        <v>2021</v>
      </c>
      <c r="D4541" s="3">
        <f t="shared" si="141"/>
        <v>202103</v>
      </c>
      <c r="E4541" s="5" t="s">
        <v>6</v>
      </c>
      <c r="F4541" s="5" t="s">
        <v>11</v>
      </c>
      <c r="G4541" s="5" t="s">
        <v>35</v>
      </c>
      <c r="H4541">
        <v>17</v>
      </c>
      <c r="I4541" s="4">
        <v>100011</v>
      </c>
      <c r="J4541" s="4">
        <v>39100</v>
      </c>
    </row>
    <row r="4542" spans="2:10" x14ac:dyDescent="0.3">
      <c r="B4542" s="7">
        <v>44287</v>
      </c>
      <c r="C4542" s="3">
        <f t="shared" si="140"/>
        <v>2021</v>
      </c>
      <c r="D4542" s="3">
        <f t="shared" si="141"/>
        <v>202104</v>
      </c>
      <c r="E4542" s="5" t="s">
        <v>6</v>
      </c>
      <c r="F4542" s="5" t="s">
        <v>11</v>
      </c>
      <c r="G4542" s="5" t="s">
        <v>35</v>
      </c>
      <c r="H4542">
        <v>31</v>
      </c>
      <c r="I4542" s="4">
        <v>226858</v>
      </c>
      <c r="J4542" s="4">
        <v>71300</v>
      </c>
    </row>
    <row r="4543" spans="2:10" x14ac:dyDescent="0.3">
      <c r="B4543" s="7">
        <v>44317</v>
      </c>
      <c r="C4543" s="3">
        <f t="shared" si="140"/>
        <v>2021</v>
      </c>
      <c r="D4543" s="3">
        <f t="shared" si="141"/>
        <v>202105</v>
      </c>
      <c r="E4543" s="5" t="s">
        <v>6</v>
      </c>
      <c r="F4543" s="5" t="s">
        <v>11</v>
      </c>
      <c r="G4543" s="5" t="s">
        <v>35</v>
      </c>
      <c r="H4543">
        <v>40</v>
      </c>
      <c r="I4543" s="4">
        <v>258280</v>
      </c>
      <c r="J4543" s="4">
        <v>92000</v>
      </c>
    </row>
    <row r="4544" spans="2:10" x14ac:dyDescent="0.3">
      <c r="B4544" s="7">
        <v>44348</v>
      </c>
      <c r="C4544" s="3">
        <f t="shared" si="140"/>
        <v>2021</v>
      </c>
      <c r="D4544" s="3">
        <f t="shared" si="141"/>
        <v>202106</v>
      </c>
      <c r="E4544" s="5" t="s">
        <v>6</v>
      </c>
      <c r="F4544" s="5" t="s">
        <v>11</v>
      </c>
      <c r="G4544" s="5" t="s">
        <v>35</v>
      </c>
      <c r="H4544">
        <v>38</v>
      </c>
      <c r="I4544" s="4">
        <v>233396</v>
      </c>
      <c r="J4544" s="4">
        <v>87400</v>
      </c>
    </row>
    <row r="4545" spans="2:10" x14ac:dyDescent="0.3">
      <c r="B4545" s="7">
        <v>44378</v>
      </c>
      <c r="C4545" s="3">
        <f t="shared" si="140"/>
        <v>2021</v>
      </c>
      <c r="D4545" s="3">
        <f t="shared" si="141"/>
        <v>202107</v>
      </c>
      <c r="E4545" s="5" t="s">
        <v>6</v>
      </c>
      <c r="F4545" s="5" t="s">
        <v>11</v>
      </c>
      <c r="G4545" s="5" t="s">
        <v>35</v>
      </c>
      <c r="H4545">
        <v>40</v>
      </c>
      <c r="I4545" s="4">
        <v>167600</v>
      </c>
      <c r="J4545" s="4">
        <v>92000</v>
      </c>
    </row>
    <row r="4546" spans="2:10" x14ac:dyDescent="0.3">
      <c r="B4546" s="7">
        <v>44409</v>
      </c>
      <c r="C4546" s="3">
        <f t="shared" si="140"/>
        <v>2021</v>
      </c>
      <c r="D4546" s="3">
        <f t="shared" si="141"/>
        <v>202108</v>
      </c>
      <c r="E4546" s="5" t="s">
        <v>6</v>
      </c>
      <c r="F4546" s="5" t="s">
        <v>11</v>
      </c>
      <c r="G4546" s="5" t="s">
        <v>35</v>
      </c>
      <c r="H4546">
        <v>33</v>
      </c>
      <c r="I4546" s="4">
        <v>186648</v>
      </c>
      <c r="J4546" s="4">
        <v>75900</v>
      </c>
    </row>
    <row r="4547" spans="2:10" x14ac:dyDescent="0.3">
      <c r="B4547" s="7">
        <v>44440</v>
      </c>
      <c r="C4547" s="3">
        <f t="shared" ref="C4547:C4610" si="142">YEAR(B4547)</f>
        <v>2021</v>
      </c>
      <c r="D4547" s="3">
        <f t="shared" ref="D4547:D4610" si="143">VALUE(TEXT(B4547,"ГГГГММ"))</f>
        <v>202109</v>
      </c>
      <c r="E4547" s="5" t="s">
        <v>6</v>
      </c>
      <c r="F4547" s="5" t="s">
        <v>11</v>
      </c>
      <c r="G4547" s="5" t="s">
        <v>35</v>
      </c>
      <c r="H4547">
        <v>36</v>
      </c>
      <c r="I4547" s="4">
        <v>191592</v>
      </c>
      <c r="J4547" s="4">
        <v>82800</v>
      </c>
    </row>
    <row r="4548" spans="2:10" x14ac:dyDescent="0.3">
      <c r="B4548" s="7">
        <v>44470</v>
      </c>
      <c r="C4548" s="3">
        <f t="shared" si="142"/>
        <v>2021</v>
      </c>
      <c r="D4548" s="3">
        <f t="shared" si="143"/>
        <v>202110</v>
      </c>
      <c r="E4548" s="5" t="s">
        <v>6</v>
      </c>
      <c r="F4548" s="5" t="s">
        <v>11</v>
      </c>
      <c r="G4548" s="5" t="s">
        <v>35</v>
      </c>
      <c r="H4548">
        <v>29</v>
      </c>
      <c r="I4548" s="4">
        <v>195895</v>
      </c>
      <c r="J4548" s="4">
        <v>66700</v>
      </c>
    </row>
    <row r="4549" spans="2:10" x14ac:dyDescent="0.3">
      <c r="B4549" s="7">
        <v>44501</v>
      </c>
      <c r="C4549" s="3">
        <f t="shared" si="142"/>
        <v>2021</v>
      </c>
      <c r="D4549" s="3">
        <f t="shared" si="143"/>
        <v>202111</v>
      </c>
      <c r="E4549" s="5" t="s">
        <v>6</v>
      </c>
      <c r="F4549" s="5" t="s">
        <v>11</v>
      </c>
      <c r="G4549" s="5" t="s">
        <v>35</v>
      </c>
      <c r="H4549">
        <v>21</v>
      </c>
      <c r="I4549" s="4">
        <v>139272</v>
      </c>
      <c r="J4549" s="4">
        <v>48300</v>
      </c>
    </row>
    <row r="4550" spans="2:10" x14ac:dyDescent="0.3">
      <c r="B4550" s="7">
        <v>44531</v>
      </c>
      <c r="C4550" s="3">
        <f t="shared" si="142"/>
        <v>2021</v>
      </c>
      <c r="D4550" s="3">
        <f t="shared" si="143"/>
        <v>202112</v>
      </c>
      <c r="E4550" s="5" t="s">
        <v>6</v>
      </c>
      <c r="F4550" s="5" t="s">
        <v>11</v>
      </c>
      <c r="G4550" s="5" t="s">
        <v>35</v>
      </c>
      <c r="H4550">
        <v>25</v>
      </c>
      <c r="I4550" s="4">
        <v>142650</v>
      </c>
      <c r="J4550" s="4">
        <v>57500</v>
      </c>
    </row>
    <row r="4551" spans="2:10" x14ac:dyDescent="0.3">
      <c r="B4551" s="7">
        <v>44562</v>
      </c>
      <c r="C4551" s="3">
        <f t="shared" si="142"/>
        <v>2022</v>
      </c>
      <c r="D4551" s="3">
        <f t="shared" si="143"/>
        <v>202201</v>
      </c>
      <c r="E4551" s="5" t="s">
        <v>6</v>
      </c>
      <c r="F4551" s="5" t="s">
        <v>11</v>
      </c>
      <c r="G4551" s="5" t="s">
        <v>35</v>
      </c>
      <c r="H4551">
        <v>37</v>
      </c>
      <c r="I4551" s="4">
        <v>222259</v>
      </c>
      <c r="J4551" s="4">
        <v>85100</v>
      </c>
    </row>
    <row r="4552" spans="2:10" x14ac:dyDescent="0.3">
      <c r="B4552" s="7">
        <v>44593</v>
      </c>
      <c r="C4552" s="3">
        <f t="shared" si="142"/>
        <v>2022</v>
      </c>
      <c r="D4552" s="3">
        <f t="shared" si="143"/>
        <v>202202</v>
      </c>
      <c r="E4552" s="5" t="s">
        <v>6</v>
      </c>
      <c r="F4552" s="5" t="s">
        <v>11</v>
      </c>
      <c r="G4552" s="5" t="s">
        <v>35</v>
      </c>
      <c r="H4552">
        <v>23</v>
      </c>
      <c r="I4552" s="4">
        <v>147292</v>
      </c>
      <c r="J4552" s="4">
        <v>52900</v>
      </c>
    </row>
    <row r="4553" spans="2:10" x14ac:dyDescent="0.3">
      <c r="B4553" s="7">
        <v>44621</v>
      </c>
      <c r="C4553" s="3">
        <f t="shared" si="142"/>
        <v>2022</v>
      </c>
      <c r="D4553" s="3">
        <f t="shared" si="143"/>
        <v>202203</v>
      </c>
      <c r="E4553" s="5" t="s">
        <v>6</v>
      </c>
      <c r="F4553" s="5" t="s">
        <v>11</v>
      </c>
      <c r="G4553" s="5" t="s">
        <v>35</v>
      </c>
      <c r="H4553">
        <v>19</v>
      </c>
      <c r="I4553" s="4">
        <v>118199</v>
      </c>
      <c r="J4553" s="4">
        <v>43700</v>
      </c>
    </row>
    <row r="4554" spans="2:10" x14ac:dyDescent="0.3">
      <c r="B4554" s="7">
        <v>44652</v>
      </c>
      <c r="C4554" s="3">
        <f t="shared" si="142"/>
        <v>2022</v>
      </c>
      <c r="D4554" s="3">
        <f t="shared" si="143"/>
        <v>202204</v>
      </c>
      <c r="E4554" s="5" t="s">
        <v>6</v>
      </c>
      <c r="F4554" s="5" t="s">
        <v>11</v>
      </c>
      <c r="G4554" s="5" t="s">
        <v>35</v>
      </c>
      <c r="H4554">
        <v>34</v>
      </c>
      <c r="I4554" s="4">
        <v>211038</v>
      </c>
      <c r="J4554" s="4">
        <v>78200</v>
      </c>
    </row>
    <row r="4555" spans="2:10" x14ac:dyDescent="0.3">
      <c r="B4555" s="7">
        <v>44682</v>
      </c>
      <c r="C4555" s="3">
        <f t="shared" si="142"/>
        <v>2022</v>
      </c>
      <c r="D4555" s="3">
        <f t="shared" si="143"/>
        <v>202205</v>
      </c>
      <c r="E4555" s="5" t="s">
        <v>6</v>
      </c>
      <c r="F4555" s="5" t="s">
        <v>11</v>
      </c>
      <c r="G4555" s="5" t="s">
        <v>35</v>
      </c>
      <c r="H4555">
        <v>44</v>
      </c>
      <c r="I4555" s="4">
        <v>278212</v>
      </c>
      <c r="J4555" s="4">
        <v>101200</v>
      </c>
    </row>
    <row r="4556" spans="2:10" x14ac:dyDescent="0.3">
      <c r="B4556" s="7">
        <v>44713</v>
      </c>
      <c r="C4556" s="3">
        <f t="shared" si="142"/>
        <v>2022</v>
      </c>
      <c r="D4556" s="3">
        <f t="shared" si="143"/>
        <v>202206</v>
      </c>
      <c r="E4556" s="5" t="s">
        <v>6</v>
      </c>
      <c r="F4556" s="5" t="s">
        <v>11</v>
      </c>
      <c r="G4556" s="5" t="s">
        <v>35</v>
      </c>
      <c r="H4556">
        <v>41</v>
      </c>
      <c r="I4556" s="4">
        <v>256742</v>
      </c>
      <c r="J4556" s="4">
        <v>94300</v>
      </c>
    </row>
    <row r="4557" spans="2:10" x14ac:dyDescent="0.3">
      <c r="B4557" s="7">
        <v>44743</v>
      </c>
      <c r="C4557" s="3">
        <f t="shared" si="142"/>
        <v>2022</v>
      </c>
      <c r="D4557" s="3">
        <f t="shared" si="143"/>
        <v>202207</v>
      </c>
      <c r="E4557" s="5" t="s">
        <v>6</v>
      </c>
      <c r="F4557" s="5" t="s">
        <v>11</v>
      </c>
      <c r="G4557" s="5" t="s">
        <v>35</v>
      </c>
      <c r="H4557">
        <v>44</v>
      </c>
      <c r="I4557" s="4">
        <v>181148</v>
      </c>
      <c r="J4557" s="4">
        <v>101200</v>
      </c>
    </row>
    <row r="4558" spans="2:10" x14ac:dyDescent="0.3">
      <c r="B4558" s="7">
        <v>44774</v>
      </c>
      <c r="C4558" s="3">
        <f t="shared" si="142"/>
        <v>2022</v>
      </c>
      <c r="D4558" s="3">
        <f t="shared" si="143"/>
        <v>202208</v>
      </c>
      <c r="E4558" s="5" t="s">
        <v>6</v>
      </c>
      <c r="F4558" s="5" t="s">
        <v>11</v>
      </c>
      <c r="G4558" s="5" t="s">
        <v>35</v>
      </c>
      <c r="H4558">
        <v>37</v>
      </c>
      <c r="I4558" s="4">
        <v>220816</v>
      </c>
      <c r="J4558" s="4">
        <v>85100</v>
      </c>
    </row>
    <row r="4559" spans="2:10" x14ac:dyDescent="0.3">
      <c r="B4559" s="7">
        <v>44805</v>
      </c>
      <c r="C4559" s="3">
        <f t="shared" si="142"/>
        <v>2022</v>
      </c>
      <c r="D4559" s="3">
        <f t="shared" si="143"/>
        <v>202209</v>
      </c>
      <c r="E4559" s="5" t="s">
        <v>6</v>
      </c>
      <c r="F4559" s="5" t="s">
        <v>11</v>
      </c>
      <c r="G4559" s="5" t="s">
        <v>35</v>
      </c>
      <c r="H4559">
        <v>39</v>
      </c>
      <c r="I4559" s="4">
        <v>217893</v>
      </c>
      <c r="J4559" s="4">
        <v>89700</v>
      </c>
    </row>
    <row r="4560" spans="2:10" x14ac:dyDescent="0.3">
      <c r="B4560" s="7">
        <v>44835</v>
      </c>
      <c r="C4560" s="3">
        <f t="shared" si="142"/>
        <v>2022</v>
      </c>
      <c r="D4560" s="3">
        <f t="shared" si="143"/>
        <v>202210</v>
      </c>
      <c r="E4560" s="5" t="s">
        <v>6</v>
      </c>
      <c r="F4560" s="5" t="s">
        <v>11</v>
      </c>
      <c r="G4560" s="5" t="s">
        <v>35</v>
      </c>
      <c r="H4560">
        <v>32</v>
      </c>
      <c r="I4560" s="4">
        <v>204864</v>
      </c>
      <c r="J4560" s="4">
        <v>73600</v>
      </c>
    </row>
    <row r="4561" spans="2:10" x14ac:dyDescent="0.3">
      <c r="B4561" s="7">
        <v>44866</v>
      </c>
      <c r="C4561" s="3">
        <f t="shared" si="142"/>
        <v>2022</v>
      </c>
      <c r="D4561" s="3">
        <f t="shared" si="143"/>
        <v>202211</v>
      </c>
      <c r="E4561" s="5" t="s">
        <v>6</v>
      </c>
      <c r="F4561" s="5" t="s">
        <v>11</v>
      </c>
      <c r="G4561" s="5" t="s">
        <v>35</v>
      </c>
      <c r="H4561">
        <v>23</v>
      </c>
      <c r="I4561" s="4">
        <v>144555</v>
      </c>
      <c r="J4561" s="4">
        <v>52900</v>
      </c>
    </row>
    <row r="4562" spans="2:10" x14ac:dyDescent="0.3">
      <c r="B4562" s="7">
        <v>44896</v>
      </c>
      <c r="C4562" s="3">
        <f t="shared" si="142"/>
        <v>2022</v>
      </c>
      <c r="D4562" s="3">
        <f t="shared" si="143"/>
        <v>202212</v>
      </c>
      <c r="E4562" s="5" t="s">
        <v>6</v>
      </c>
      <c r="F4562" s="5" t="s">
        <v>11</v>
      </c>
      <c r="G4562" s="5" t="s">
        <v>35</v>
      </c>
      <c r="H4562">
        <v>28</v>
      </c>
      <c r="I4562" s="4">
        <v>176288</v>
      </c>
      <c r="J4562" s="4">
        <v>64400</v>
      </c>
    </row>
    <row r="4563" spans="2:10" x14ac:dyDescent="0.3">
      <c r="B4563" s="7">
        <v>44197</v>
      </c>
      <c r="C4563" s="3">
        <f t="shared" si="142"/>
        <v>2021</v>
      </c>
      <c r="D4563" s="3">
        <f t="shared" si="143"/>
        <v>202101</v>
      </c>
      <c r="E4563" s="5" t="s">
        <v>6</v>
      </c>
      <c r="F4563" s="5" t="s">
        <v>11</v>
      </c>
      <c r="G4563" s="5" t="s">
        <v>36</v>
      </c>
      <c r="H4563">
        <v>30</v>
      </c>
      <c r="I4563" s="4">
        <v>313710</v>
      </c>
      <c r="J4563" s="4">
        <v>121500</v>
      </c>
    </row>
    <row r="4564" spans="2:10" x14ac:dyDescent="0.3">
      <c r="B4564" s="7">
        <v>44228</v>
      </c>
      <c r="C4564" s="3">
        <f t="shared" si="142"/>
        <v>2021</v>
      </c>
      <c r="D4564" s="3">
        <f t="shared" si="143"/>
        <v>202102</v>
      </c>
      <c r="E4564" s="5" t="s">
        <v>6</v>
      </c>
      <c r="F4564" s="5" t="s">
        <v>11</v>
      </c>
      <c r="G4564" s="5" t="s">
        <v>36</v>
      </c>
      <c r="H4564">
        <v>19</v>
      </c>
      <c r="I4564" s="4">
        <v>192413</v>
      </c>
      <c r="J4564" s="4">
        <v>76950</v>
      </c>
    </row>
    <row r="4565" spans="2:10" x14ac:dyDescent="0.3">
      <c r="B4565" s="7">
        <v>44256</v>
      </c>
      <c r="C4565" s="3">
        <f t="shared" si="142"/>
        <v>2021</v>
      </c>
      <c r="D4565" s="3">
        <f t="shared" si="143"/>
        <v>202103</v>
      </c>
      <c r="E4565" s="5" t="s">
        <v>6</v>
      </c>
      <c r="F4565" s="5" t="s">
        <v>11</v>
      </c>
      <c r="G4565" s="5" t="s">
        <v>36</v>
      </c>
      <c r="H4565">
        <v>15</v>
      </c>
      <c r="I4565" s="4">
        <v>150495</v>
      </c>
      <c r="J4565" s="4">
        <v>60750</v>
      </c>
    </row>
    <row r="4566" spans="2:10" x14ac:dyDescent="0.3">
      <c r="B4566" s="7">
        <v>44287</v>
      </c>
      <c r="C4566" s="3">
        <f t="shared" si="142"/>
        <v>2021</v>
      </c>
      <c r="D4566" s="3">
        <f t="shared" si="143"/>
        <v>202104</v>
      </c>
      <c r="E4566" s="5" t="s">
        <v>6</v>
      </c>
      <c r="F4566" s="5" t="s">
        <v>11</v>
      </c>
      <c r="G4566" s="5" t="s">
        <v>36</v>
      </c>
      <c r="H4566">
        <v>28</v>
      </c>
      <c r="I4566" s="4">
        <v>314216</v>
      </c>
      <c r="J4566" s="4">
        <v>113400</v>
      </c>
    </row>
    <row r="4567" spans="2:10" x14ac:dyDescent="0.3">
      <c r="B4567" s="7">
        <v>44317</v>
      </c>
      <c r="C4567" s="3">
        <f t="shared" si="142"/>
        <v>2021</v>
      </c>
      <c r="D4567" s="3">
        <f t="shared" si="143"/>
        <v>202105</v>
      </c>
      <c r="E4567" s="5" t="s">
        <v>6</v>
      </c>
      <c r="F4567" s="5" t="s">
        <v>11</v>
      </c>
      <c r="G4567" s="5" t="s">
        <v>36</v>
      </c>
      <c r="H4567">
        <v>35</v>
      </c>
      <c r="I4567" s="4">
        <v>392735</v>
      </c>
      <c r="J4567" s="4">
        <v>141750</v>
      </c>
    </row>
    <row r="4568" spans="2:10" x14ac:dyDescent="0.3">
      <c r="B4568" s="7">
        <v>44348</v>
      </c>
      <c r="C4568" s="3">
        <f t="shared" si="142"/>
        <v>2021</v>
      </c>
      <c r="D4568" s="3">
        <f t="shared" si="143"/>
        <v>202106</v>
      </c>
      <c r="E4568" s="5" t="s">
        <v>6</v>
      </c>
      <c r="F4568" s="5" t="s">
        <v>11</v>
      </c>
      <c r="G4568" s="5" t="s">
        <v>36</v>
      </c>
      <c r="H4568">
        <v>33</v>
      </c>
      <c r="I4568" s="4">
        <v>334554</v>
      </c>
      <c r="J4568" s="4">
        <v>133650</v>
      </c>
    </row>
    <row r="4569" spans="2:10" x14ac:dyDescent="0.3">
      <c r="B4569" s="7">
        <v>44378</v>
      </c>
      <c r="C4569" s="3">
        <f t="shared" si="142"/>
        <v>2021</v>
      </c>
      <c r="D4569" s="3">
        <f t="shared" si="143"/>
        <v>202107</v>
      </c>
      <c r="E4569" s="5" t="s">
        <v>6</v>
      </c>
      <c r="F4569" s="5" t="s">
        <v>11</v>
      </c>
      <c r="G4569" s="5" t="s">
        <v>36</v>
      </c>
      <c r="H4569">
        <v>35</v>
      </c>
      <c r="I4569" s="4">
        <v>316435</v>
      </c>
      <c r="J4569" s="4">
        <v>141750</v>
      </c>
    </row>
    <row r="4570" spans="2:10" x14ac:dyDescent="0.3">
      <c r="B4570" s="7">
        <v>44409</v>
      </c>
      <c r="C4570" s="3">
        <f t="shared" si="142"/>
        <v>2021</v>
      </c>
      <c r="D4570" s="3">
        <f t="shared" si="143"/>
        <v>202108</v>
      </c>
      <c r="E4570" s="5" t="s">
        <v>6</v>
      </c>
      <c r="F4570" s="5" t="s">
        <v>11</v>
      </c>
      <c r="G4570" s="5" t="s">
        <v>36</v>
      </c>
      <c r="H4570">
        <v>30</v>
      </c>
      <c r="I4570" s="4">
        <v>304170</v>
      </c>
      <c r="J4570" s="4">
        <v>121500</v>
      </c>
    </row>
    <row r="4571" spans="2:10" x14ac:dyDescent="0.3">
      <c r="B4571" s="7">
        <v>44440</v>
      </c>
      <c r="C4571" s="3">
        <f t="shared" si="142"/>
        <v>2021</v>
      </c>
      <c r="D4571" s="3">
        <f t="shared" si="143"/>
        <v>202109</v>
      </c>
      <c r="E4571" s="5" t="s">
        <v>6</v>
      </c>
      <c r="F4571" s="5" t="s">
        <v>11</v>
      </c>
      <c r="G4571" s="5" t="s">
        <v>36</v>
      </c>
      <c r="H4571">
        <v>31</v>
      </c>
      <c r="I4571" s="4">
        <v>299522</v>
      </c>
      <c r="J4571" s="4">
        <v>125550</v>
      </c>
    </row>
    <row r="4572" spans="2:10" x14ac:dyDescent="0.3">
      <c r="B4572" s="7">
        <v>44470</v>
      </c>
      <c r="C4572" s="3">
        <f t="shared" si="142"/>
        <v>2021</v>
      </c>
      <c r="D4572" s="3">
        <f t="shared" si="143"/>
        <v>202110</v>
      </c>
      <c r="E4572" s="5" t="s">
        <v>6</v>
      </c>
      <c r="F4572" s="5" t="s">
        <v>11</v>
      </c>
      <c r="G4572" s="5" t="s">
        <v>36</v>
      </c>
      <c r="H4572">
        <v>26</v>
      </c>
      <c r="I4572" s="4">
        <v>258934</v>
      </c>
      <c r="J4572" s="4">
        <v>105300</v>
      </c>
    </row>
    <row r="4573" spans="2:10" x14ac:dyDescent="0.3">
      <c r="B4573" s="7">
        <v>44501</v>
      </c>
      <c r="C4573" s="3">
        <f t="shared" si="142"/>
        <v>2021</v>
      </c>
      <c r="D4573" s="3">
        <f t="shared" si="143"/>
        <v>202111</v>
      </c>
      <c r="E4573" s="5" t="s">
        <v>6</v>
      </c>
      <c r="F4573" s="5" t="s">
        <v>11</v>
      </c>
      <c r="G4573" s="5" t="s">
        <v>36</v>
      </c>
      <c r="H4573">
        <v>19</v>
      </c>
      <c r="I4573" s="4">
        <v>197923</v>
      </c>
      <c r="J4573" s="4">
        <v>76950</v>
      </c>
    </row>
    <row r="4574" spans="2:10" x14ac:dyDescent="0.3">
      <c r="B4574" s="7">
        <v>44531</v>
      </c>
      <c r="C4574" s="3">
        <f t="shared" si="142"/>
        <v>2021</v>
      </c>
      <c r="D4574" s="3">
        <f t="shared" si="143"/>
        <v>202112</v>
      </c>
      <c r="E4574" s="5" t="s">
        <v>6</v>
      </c>
      <c r="F4574" s="5" t="s">
        <v>11</v>
      </c>
      <c r="G4574" s="5" t="s">
        <v>36</v>
      </c>
      <c r="H4574">
        <v>22</v>
      </c>
      <c r="I4574" s="4">
        <v>211156</v>
      </c>
      <c r="J4574" s="4">
        <v>89100</v>
      </c>
    </row>
    <row r="4575" spans="2:10" x14ac:dyDescent="0.3">
      <c r="B4575" s="7">
        <v>44562</v>
      </c>
      <c r="C4575" s="3">
        <f t="shared" si="142"/>
        <v>2022</v>
      </c>
      <c r="D4575" s="3">
        <f t="shared" si="143"/>
        <v>202201</v>
      </c>
      <c r="E4575" s="5" t="s">
        <v>6</v>
      </c>
      <c r="F4575" s="5" t="s">
        <v>11</v>
      </c>
      <c r="G4575" s="5" t="s">
        <v>36</v>
      </c>
      <c r="H4575">
        <v>33</v>
      </c>
      <c r="I4575" s="4">
        <v>316107</v>
      </c>
      <c r="J4575" s="4">
        <v>133650</v>
      </c>
    </row>
    <row r="4576" spans="2:10" x14ac:dyDescent="0.3">
      <c r="B4576" s="7">
        <v>44593</v>
      </c>
      <c r="C4576" s="3">
        <f t="shared" si="142"/>
        <v>2022</v>
      </c>
      <c r="D4576" s="3">
        <f t="shared" si="143"/>
        <v>202202</v>
      </c>
      <c r="E4576" s="5" t="s">
        <v>6</v>
      </c>
      <c r="F4576" s="5" t="s">
        <v>11</v>
      </c>
      <c r="G4576" s="5" t="s">
        <v>36</v>
      </c>
      <c r="H4576">
        <v>21</v>
      </c>
      <c r="I4576" s="4">
        <v>217434</v>
      </c>
      <c r="J4576" s="4">
        <v>85050</v>
      </c>
    </row>
    <row r="4577" spans="2:10" x14ac:dyDescent="0.3">
      <c r="B4577" s="7">
        <v>44621</v>
      </c>
      <c r="C4577" s="3">
        <f t="shared" si="142"/>
        <v>2022</v>
      </c>
      <c r="D4577" s="3">
        <f t="shared" si="143"/>
        <v>202203</v>
      </c>
      <c r="E4577" s="5" t="s">
        <v>6</v>
      </c>
      <c r="F4577" s="5" t="s">
        <v>11</v>
      </c>
      <c r="G4577" s="5" t="s">
        <v>36</v>
      </c>
      <c r="H4577">
        <v>17</v>
      </c>
      <c r="I4577" s="4">
        <v>163319</v>
      </c>
      <c r="J4577" s="4">
        <v>68850</v>
      </c>
    </row>
    <row r="4578" spans="2:10" x14ac:dyDescent="0.3">
      <c r="B4578" s="7">
        <v>44652</v>
      </c>
      <c r="C4578" s="3">
        <f t="shared" si="142"/>
        <v>2022</v>
      </c>
      <c r="D4578" s="3">
        <f t="shared" si="143"/>
        <v>202204</v>
      </c>
      <c r="E4578" s="5" t="s">
        <v>6</v>
      </c>
      <c r="F4578" s="5" t="s">
        <v>11</v>
      </c>
      <c r="G4578" s="5" t="s">
        <v>36</v>
      </c>
      <c r="H4578">
        <v>31</v>
      </c>
      <c r="I4578" s="4">
        <v>335637</v>
      </c>
      <c r="J4578" s="4">
        <v>125550</v>
      </c>
    </row>
    <row r="4579" spans="2:10" x14ac:dyDescent="0.3">
      <c r="B4579" s="7">
        <v>44682</v>
      </c>
      <c r="C4579" s="3">
        <f t="shared" si="142"/>
        <v>2022</v>
      </c>
      <c r="D4579" s="3">
        <f t="shared" si="143"/>
        <v>202205</v>
      </c>
      <c r="E4579" s="5" t="s">
        <v>6</v>
      </c>
      <c r="F4579" s="5" t="s">
        <v>11</v>
      </c>
      <c r="G4579" s="5" t="s">
        <v>36</v>
      </c>
      <c r="H4579">
        <v>39</v>
      </c>
      <c r="I4579" s="4">
        <v>421239</v>
      </c>
      <c r="J4579" s="4">
        <v>157950</v>
      </c>
    </row>
    <row r="4580" spans="2:10" x14ac:dyDescent="0.3">
      <c r="B4580" s="7">
        <v>44713</v>
      </c>
      <c r="C4580" s="3">
        <f t="shared" si="142"/>
        <v>2022</v>
      </c>
      <c r="D4580" s="3">
        <f t="shared" si="143"/>
        <v>202206</v>
      </c>
      <c r="E4580" s="5" t="s">
        <v>6</v>
      </c>
      <c r="F4580" s="5" t="s">
        <v>11</v>
      </c>
      <c r="G4580" s="5" t="s">
        <v>36</v>
      </c>
      <c r="H4580">
        <v>37</v>
      </c>
      <c r="I4580" s="4">
        <v>369741</v>
      </c>
      <c r="J4580" s="4">
        <v>149850</v>
      </c>
    </row>
    <row r="4581" spans="2:10" x14ac:dyDescent="0.3">
      <c r="B4581" s="7">
        <v>44743</v>
      </c>
      <c r="C4581" s="3">
        <f t="shared" si="142"/>
        <v>2022</v>
      </c>
      <c r="D4581" s="3">
        <f t="shared" si="143"/>
        <v>202207</v>
      </c>
      <c r="E4581" s="5" t="s">
        <v>6</v>
      </c>
      <c r="F4581" s="5" t="s">
        <v>11</v>
      </c>
      <c r="G4581" s="5" t="s">
        <v>36</v>
      </c>
      <c r="H4581">
        <v>39</v>
      </c>
      <c r="I4581" s="4">
        <v>334971</v>
      </c>
      <c r="J4581" s="4">
        <v>157950</v>
      </c>
    </row>
    <row r="4582" spans="2:10" x14ac:dyDescent="0.3">
      <c r="B4582" s="7">
        <v>44774</v>
      </c>
      <c r="C4582" s="3">
        <f t="shared" si="142"/>
        <v>2022</v>
      </c>
      <c r="D4582" s="3">
        <f t="shared" si="143"/>
        <v>202208</v>
      </c>
      <c r="E4582" s="5" t="s">
        <v>6</v>
      </c>
      <c r="F4582" s="5" t="s">
        <v>11</v>
      </c>
      <c r="G4582" s="5" t="s">
        <v>36</v>
      </c>
      <c r="H4582">
        <v>33</v>
      </c>
      <c r="I4582" s="4">
        <v>319770</v>
      </c>
      <c r="J4582" s="4">
        <v>133650</v>
      </c>
    </row>
    <row r="4583" spans="2:10" x14ac:dyDescent="0.3">
      <c r="B4583" s="7">
        <v>44805</v>
      </c>
      <c r="C4583" s="3">
        <f t="shared" si="142"/>
        <v>2022</v>
      </c>
      <c r="D4583" s="3">
        <f t="shared" si="143"/>
        <v>202209</v>
      </c>
      <c r="E4583" s="5" t="s">
        <v>6</v>
      </c>
      <c r="F4583" s="5" t="s">
        <v>11</v>
      </c>
      <c r="G4583" s="5" t="s">
        <v>36</v>
      </c>
      <c r="H4583">
        <v>35</v>
      </c>
      <c r="I4583" s="4">
        <v>324135</v>
      </c>
      <c r="J4583" s="4">
        <v>141750</v>
      </c>
    </row>
    <row r="4584" spans="2:10" x14ac:dyDescent="0.3">
      <c r="B4584" s="7">
        <v>44835</v>
      </c>
      <c r="C4584" s="3">
        <f t="shared" si="142"/>
        <v>2022</v>
      </c>
      <c r="D4584" s="3">
        <f t="shared" si="143"/>
        <v>202210</v>
      </c>
      <c r="E4584" s="5" t="s">
        <v>6</v>
      </c>
      <c r="F4584" s="5" t="s">
        <v>11</v>
      </c>
      <c r="G4584" s="5" t="s">
        <v>36</v>
      </c>
      <c r="H4584">
        <v>29</v>
      </c>
      <c r="I4584" s="4">
        <v>311982</v>
      </c>
      <c r="J4584" s="4">
        <v>117450</v>
      </c>
    </row>
    <row r="4585" spans="2:10" x14ac:dyDescent="0.3">
      <c r="B4585" s="7">
        <v>44866</v>
      </c>
      <c r="C4585" s="3">
        <f t="shared" si="142"/>
        <v>2022</v>
      </c>
      <c r="D4585" s="3">
        <f t="shared" si="143"/>
        <v>202211</v>
      </c>
      <c r="E4585" s="5" t="s">
        <v>6</v>
      </c>
      <c r="F4585" s="5" t="s">
        <v>11</v>
      </c>
      <c r="G4585" s="5" t="s">
        <v>36</v>
      </c>
      <c r="H4585">
        <v>21</v>
      </c>
      <c r="I4585" s="4">
        <v>216783</v>
      </c>
      <c r="J4585" s="4">
        <v>85050</v>
      </c>
    </row>
    <row r="4586" spans="2:10" x14ac:dyDescent="0.3">
      <c r="B4586" s="7">
        <v>44896</v>
      </c>
      <c r="C4586" s="3">
        <f t="shared" si="142"/>
        <v>2022</v>
      </c>
      <c r="D4586" s="3">
        <f t="shared" si="143"/>
        <v>202212</v>
      </c>
      <c r="E4586" s="5" t="s">
        <v>6</v>
      </c>
      <c r="F4586" s="5" t="s">
        <v>11</v>
      </c>
      <c r="G4586" s="5" t="s">
        <v>36</v>
      </c>
      <c r="H4586">
        <v>25</v>
      </c>
      <c r="I4586" s="4">
        <v>236950</v>
      </c>
      <c r="J4586" s="4">
        <v>101250</v>
      </c>
    </row>
    <row r="4587" spans="2:10" x14ac:dyDescent="0.3">
      <c r="B4587" s="7">
        <v>44197</v>
      </c>
      <c r="C4587" s="3">
        <f t="shared" si="142"/>
        <v>2021</v>
      </c>
      <c r="D4587" s="3">
        <f t="shared" si="143"/>
        <v>202101</v>
      </c>
      <c r="E4587" s="5" t="s">
        <v>6</v>
      </c>
      <c r="F4587" s="5" t="s">
        <v>11</v>
      </c>
      <c r="G4587" s="5" t="s">
        <v>37</v>
      </c>
      <c r="H4587">
        <v>33</v>
      </c>
      <c r="I4587" s="4">
        <v>254100</v>
      </c>
      <c r="J4587" s="4">
        <v>131669.99999999997</v>
      </c>
    </row>
    <row r="4588" spans="2:10" x14ac:dyDescent="0.3">
      <c r="B4588" s="7">
        <v>44228</v>
      </c>
      <c r="C4588" s="3">
        <f t="shared" si="142"/>
        <v>2021</v>
      </c>
      <c r="D4588" s="3">
        <f t="shared" si="143"/>
        <v>202102</v>
      </c>
      <c r="E4588" s="5" t="s">
        <v>6</v>
      </c>
      <c r="F4588" s="5" t="s">
        <v>11</v>
      </c>
      <c r="G4588" s="5" t="s">
        <v>37</v>
      </c>
      <c r="H4588">
        <v>21</v>
      </c>
      <c r="I4588" s="4">
        <v>177996</v>
      </c>
      <c r="J4588" s="4">
        <v>83789.999999999985</v>
      </c>
    </row>
    <row r="4589" spans="2:10" x14ac:dyDescent="0.3">
      <c r="B4589" s="7">
        <v>44256</v>
      </c>
      <c r="C4589" s="3">
        <f t="shared" si="142"/>
        <v>2021</v>
      </c>
      <c r="D4589" s="3">
        <f t="shared" si="143"/>
        <v>202103</v>
      </c>
      <c r="E4589" s="5" t="s">
        <v>6</v>
      </c>
      <c r="F4589" s="5" t="s">
        <v>11</v>
      </c>
      <c r="G4589" s="5" t="s">
        <v>37</v>
      </c>
      <c r="H4589">
        <v>17</v>
      </c>
      <c r="I4589" s="4">
        <v>132141</v>
      </c>
      <c r="J4589" s="4">
        <v>67829.999999999985</v>
      </c>
    </row>
    <row r="4590" spans="2:10" x14ac:dyDescent="0.3">
      <c r="B4590" s="7">
        <v>44287</v>
      </c>
      <c r="C4590" s="3">
        <f t="shared" si="142"/>
        <v>2021</v>
      </c>
      <c r="D4590" s="3">
        <f t="shared" si="143"/>
        <v>202104</v>
      </c>
      <c r="E4590" s="5" t="s">
        <v>6</v>
      </c>
      <c r="F4590" s="5" t="s">
        <v>11</v>
      </c>
      <c r="G4590" s="5" t="s">
        <v>37</v>
      </c>
      <c r="H4590">
        <v>31</v>
      </c>
      <c r="I4590" s="4">
        <v>275869</v>
      </c>
      <c r="J4590" s="4">
        <v>123689.99999999999</v>
      </c>
    </row>
    <row r="4591" spans="2:10" x14ac:dyDescent="0.3">
      <c r="B4591" s="7">
        <v>44317</v>
      </c>
      <c r="C4591" s="3">
        <f t="shared" si="142"/>
        <v>2021</v>
      </c>
      <c r="D4591" s="3">
        <f t="shared" si="143"/>
        <v>202105</v>
      </c>
      <c r="E4591" s="5" t="s">
        <v>6</v>
      </c>
      <c r="F4591" s="5" t="s">
        <v>11</v>
      </c>
      <c r="G4591" s="5" t="s">
        <v>37</v>
      </c>
      <c r="H4591">
        <v>40</v>
      </c>
      <c r="I4591" s="4">
        <v>340240</v>
      </c>
      <c r="J4591" s="4">
        <v>159599.99999999997</v>
      </c>
    </row>
    <row r="4592" spans="2:10" x14ac:dyDescent="0.3">
      <c r="B4592" s="7">
        <v>44348</v>
      </c>
      <c r="C4592" s="3">
        <f t="shared" si="142"/>
        <v>2021</v>
      </c>
      <c r="D4592" s="3">
        <f t="shared" si="143"/>
        <v>202106</v>
      </c>
      <c r="E4592" s="5" t="s">
        <v>6</v>
      </c>
      <c r="F4592" s="5" t="s">
        <v>11</v>
      </c>
      <c r="G4592" s="5" t="s">
        <v>37</v>
      </c>
      <c r="H4592">
        <v>38</v>
      </c>
      <c r="I4592" s="4">
        <v>311828</v>
      </c>
      <c r="J4592" s="4">
        <v>151619.99999999997</v>
      </c>
    </row>
    <row r="4593" spans="2:10" x14ac:dyDescent="0.3">
      <c r="B4593" s="7">
        <v>44378</v>
      </c>
      <c r="C4593" s="3">
        <f t="shared" si="142"/>
        <v>2021</v>
      </c>
      <c r="D4593" s="3">
        <f t="shared" si="143"/>
        <v>202107</v>
      </c>
      <c r="E4593" s="5" t="s">
        <v>6</v>
      </c>
      <c r="F4593" s="5" t="s">
        <v>11</v>
      </c>
      <c r="G4593" s="5" t="s">
        <v>37</v>
      </c>
      <c r="H4593">
        <v>40</v>
      </c>
      <c r="I4593" s="4">
        <v>286960</v>
      </c>
      <c r="J4593" s="4">
        <v>159599.99999999997</v>
      </c>
    </row>
    <row r="4594" spans="2:10" x14ac:dyDescent="0.3">
      <c r="B4594" s="7">
        <v>44409</v>
      </c>
      <c r="C4594" s="3">
        <f t="shared" si="142"/>
        <v>2021</v>
      </c>
      <c r="D4594" s="3">
        <f t="shared" si="143"/>
        <v>202108</v>
      </c>
      <c r="E4594" s="5" t="s">
        <v>6</v>
      </c>
      <c r="F4594" s="5" t="s">
        <v>11</v>
      </c>
      <c r="G4594" s="5" t="s">
        <v>37</v>
      </c>
      <c r="H4594">
        <v>33</v>
      </c>
      <c r="I4594" s="4">
        <v>238623</v>
      </c>
      <c r="J4594" s="4">
        <v>131669.99999999997</v>
      </c>
    </row>
    <row r="4595" spans="2:10" x14ac:dyDescent="0.3">
      <c r="B4595" s="7">
        <v>44440</v>
      </c>
      <c r="C4595" s="3">
        <f t="shared" si="142"/>
        <v>2021</v>
      </c>
      <c r="D4595" s="3">
        <f t="shared" si="143"/>
        <v>202109</v>
      </c>
      <c r="E4595" s="5" t="s">
        <v>6</v>
      </c>
      <c r="F4595" s="5" t="s">
        <v>11</v>
      </c>
      <c r="G4595" s="5" t="s">
        <v>37</v>
      </c>
      <c r="H4595">
        <v>36</v>
      </c>
      <c r="I4595" s="4">
        <v>286236</v>
      </c>
      <c r="J4595" s="4">
        <v>143639.99999999997</v>
      </c>
    </row>
    <row r="4596" spans="2:10" x14ac:dyDescent="0.3">
      <c r="B4596" s="7">
        <v>44470</v>
      </c>
      <c r="C4596" s="3">
        <f t="shared" si="142"/>
        <v>2021</v>
      </c>
      <c r="D4596" s="3">
        <f t="shared" si="143"/>
        <v>202110</v>
      </c>
      <c r="E4596" s="5" t="s">
        <v>6</v>
      </c>
      <c r="F4596" s="5" t="s">
        <v>11</v>
      </c>
      <c r="G4596" s="5" t="s">
        <v>37</v>
      </c>
      <c r="H4596">
        <v>29</v>
      </c>
      <c r="I4596" s="4">
        <v>250502</v>
      </c>
      <c r="J4596" s="4">
        <v>115709.99999999999</v>
      </c>
    </row>
    <row r="4597" spans="2:10" x14ac:dyDescent="0.3">
      <c r="B4597" s="7">
        <v>44501</v>
      </c>
      <c r="C4597" s="3">
        <f t="shared" si="142"/>
        <v>2021</v>
      </c>
      <c r="D4597" s="3">
        <f t="shared" si="143"/>
        <v>202111</v>
      </c>
      <c r="E4597" s="5" t="s">
        <v>6</v>
      </c>
      <c r="F4597" s="5" t="s">
        <v>11</v>
      </c>
      <c r="G4597" s="5" t="s">
        <v>37</v>
      </c>
      <c r="H4597">
        <v>21</v>
      </c>
      <c r="I4597" s="4">
        <v>185703</v>
      </c>
      <c r="J4597" s="4">
        <v>83789.999999999985</v>
      </c>
    </row>
    <row r="4598" spans="2:10" x14ac:dyDescent="0.3">
      <c r="B4598" s="7">
        <v>44531</v>
      </c>
      <c r="C4598" s="3">
        <f t="shared" si="142"/>
        <v>2021</v>
      </c>
      <c r="D4598" s="3">
        <f t="shared" si="143"/>
        <v>202112</v>
      </c>
      <c r="E4598" s="5" t="s">
        <v>6</v>
      </c>
      <c r="F4598" s="5" t="s">
        <v>11</v>
      </c>
      <c r="G4598" s="5" t="s">
        <v>37</v>
      </c>
      <c r="H4598">
        <v>25</v>
      </c>
      <c r="I4598" s="4">
        <v>186200</v>
      </c>
      <c r="J4598" s="4">
        <v>99749.999999999985</v>
      </c>
    </row>
    <row r="4599" spans="2:10" x14ac:dyDescent="0.3">
      <c r="B4599" s="7">
        <v>44562</v>
      </c>
      <c r="C4599" s="3">
        <f t="shared" si="142"/>
        <v>2022</v>
      </c>
      <c r="D4599" s="3">
        <f t="shared" si="143"/>
        <v>202201</v>
      </c>
      <c r="E4599" s="5" t="s">
        <v>6</v>
      </c>
      <c r="F4599" s="5" t="s">
        <v>11</v>
      </c>
      <c r="G4599" s="5" t="s">
        <v>37</v>
      </c>
      <c r="H4599">
        <v>37</v>
      </c>
      <c r="I4599" s="4">
        <v>307063</v>
      </c>
      <c r="J4599" s="4">
        <v>147629.99999999997</v>
      </c>
    </row>
    <row r="4600" spans="2:10" x14ac:dyDescent="0.3">
      <c r="B4600" s="7">
        <v>44593</v>
      </c>
      <c r="C4600" s="3">
        <f t="shared" si="142"/>
        <v>2022</v>
      </c>
      <c r="D4600" s="3">
        <f t="shared" si="143"/>
        <v>202202</v>
      </c>
      <c r="E4600" s="5" t="s">
        <v>6</v>
      </c>
      <c r="F4600" s="5" t="s">
        <v>11</v>
      </c>
      <c r="G4600" s="5" t="s">
        <v>37</v>
      </c>
      <c r="H4600">
        <v>23</v>
      </c>
      <c r="I4600" s="4">
        <v>183724</v>
      </c>
      <c r="J4600" s="4">
        <v>91769.999999999985</v>
      </c>
    </row>
    <row r="4601" spans="2:10" x14ac:dyDescent="0.3">
      <c r="B4601" s="7">
        <v>44621</v>
      </c>
      <c r="C4601" s="3">
        <f t="shared" si="142"/>
        <v>2022</v>
      </c>
      <c r="D4601" s="3">
        <f t="shared" si="143"/>
        <v>202203</v>
      </c>
      <c r="E4601" s="5" t="s">
        <v>6</v>
      </c>
      <c r="F4601" s="5" t="s">
        <v>11</v>
      </c>
      <c r="G4601" s="5" t="s">
        <v>37</v>
      </c>
      <c r="H4601">
        <v>19</v>
      </c>
      <c r="I4601" s="4">
        <v>143412</v>
      </c>
      <c r="J4601" s="4">
        <v>75809.999999999985</v>
      </c>
    </row>
    <row r="4602" spans="2:10" x14ac:dyDescent="0.3">
      <c r="B4602" s="7">
        <v>44652</v>
      </c>
      <c r="C4602" s="3">
        <f t="shared" si="142"/>
        <v>2022</v>
      </c>
      <c r="D4602" s="3">
        <f t="shared" si="143"/>
        <v>202204</v>
      </c>
      <c r="E4602" s="5" t="s">
        <v>6</v>
      </c>
      <c r="F4602" s="5" t="s">
        <v>11</v>
      </c>
      <c r="G4602" s="5" t="s">
        <v>37</v>
      </c>
      <c r="H4602">
        <v>34</v>
      </c>
      <c r="I4602" s="4">
        <v>275298</v>
      </c>
      <c r="J4602" s="4">
        <v>135659.99999999997</v>
      </c>
    </row>
    <row r="4603" spans="2:10" x14ac:dyDescent="0.3">
      <c r="B4603" s="7">
        <v>44682</v>
      </c>
      <c r="C4603" s="3">
        <f t="shared" si="142"/>
        <v>2022</v>
      </c>
      <c r="D4603" s="3">
        <f t="shared" si="143"/>
        <v>202205</v>
      </c>
      <c r="E4603" s="5" t="s">
        <v>6</v>
      </c>
      <c r="F4603" s="5" t="s">
        <v>11</v>
      </c>
      <c r="G4603" s="5" t="s">
        <v>37</v>
      </c>
      <c r="H4603">
        <v>44</v>
      </c>
      <c r="I4603" s="4">
        <v>393272</v>
      </c>
      <c r="J4603" s="4">
        <v>175559.99999999997</v>
      </c>
    </row>
    <row r="4604" spans="2:10" x14ac:dyDescent="0.3">
      <c r="B4604" s="7">
        <v>44713</v>
      </c>
      <c r="C4604" s="3">
        <f t="shared" si="142"/>
        <v>2022</v>
      </c>
      <c r="D4604" s="3">
        <f t="shared" si="143"/>
        <v>202206</v>
      </c>
      <c r="E4604" s="5" t="s">
        <v>6</v>
      </c>
      <c r="F4604" s="5" t="s">
        <v>11</v>
      </c>
      <c r="G4604" s="5" t="s">
        <v>37</v>
      </c>
      <c r="H4604">
        <v>41</v>
      </c>
      <c r="I4604" s="4">
        <v>336077</v>
      </c>
      <c r="J4604" s="4">
        <v>163589.99999999997</v>
      </c>
    </row>
    <row r="4605" spans="2:10" x14ac:dyDescent="0.3">
      <c r="B4605" s="7">
        <v>44743</v>
      </c>
      <c r="C4605" s="3">
        <f t="shared" si="142"/>
        <v>2022</v>
      </c>
      <c r="D4605" s="3">
        <f t="shared" si="143"/>
        <v>202207</v>
      </c>
      <c r="E4605" s="5" t="s">
        <v>6</v>
      </c>
      <c r="F4605" s="5" t="s">
        <v>11</v>
      </c>
      <c r="G4605" s="5" t="s">
        <v>37</v>
      </c>
      <c r="H4605">
        <v>44</v>
      </c>
      <c r="I4605" s="4">
        <v>292644</v>
      </c>
      <c r="J4605" s="4">
        <v>175559.99999999997</v>
      </c>
    </row>
    <row r="4606" spans="2:10" x14ac:dyDescent="0.3">
      <c r="B4606" s="7">
        <v>44774</v>
      </c>
      <c r="C4606" s="3">
        <f t="shared" si="142"/>
        <v>2022</v>
      </c>
      <c r="D4606" s="3">
        <f t="shared" si="143"/>
        <v>202208</v>
      </c>
      <c r="E4606" s="5" t="s">
        <v>6</v>
      </c>
      <c r="F4606" s="5" t="s">
        <v>11</v>
      </c>
      <c r="G4606" s="5" t="s">
        <v>37</v>
      </c>
      <c r="H4606">
        <v>37</v>
      </c>
      <c r="I4606" s="4">
        <v>298923</v>
      </c>
      <c r="J4606" s="4">
        <v>147629.99999999997</v>
      </c>
    </row>
    <row r="4607" spans="2:10" x14ac:dyDescent="0.3">
      <c r="B4607" s="7">
        <v>44805</v>
      </c>
      <c r="C4607" s="3">
        <f t="shared" si="142"/>
        <v>2022</v>
      </c>
      <c r="D4607" s="3">
        <f t="shared" si="143"/>
        <v>202209</v>
      </c>
      <c r="E4607" s="5" t="s">
        <v>6</v>
      </c>
      <c r="F4607" s="5" t="s">
        <v>11</v>
      </c>
      <c r="G4607" s="5" t="s">
        <v>37</v>
      </c>
      <c r="H4607">
        <v>39</v>
      </c>
      <c r="I4607" s="4">
        <v>319098</v>
      </c>
      <c r="J4607" s="4">
        <v>155609.99999999997</v>
      </c>
    </row>
    <row r="4608" spans="2:10" x14ac:dyDescent="0.3">
      <c r="B4608" s="7">
        <v>44835</v>
      </c>
      <c r="C4608" s="3">
        <f t="shared" si="142"/>
        <v>2022</v>
      </c>
      <c r="D4608" s="3">
        <f t="shared" si="143"/>
        <v>202210</v>
      </c>
      <c r="E4608" s="5" t="s">
        <v>6</v>
      </c>
      <c r="F4608" s="5" t="s">
        <v>11</v>
      </c>
      <c r="G4608" s="5" t="s">
        <v>37</v>
      </c>
      <c r="H4608">
        <v>32</v>
      </c>
      <c r="I4608" s="4">
        <v>277760</v>
      </c>
      <c r="J4608" s="4">
        <v>127679.99999999999</v>
      </c>
    </row>
    <row r="4609" spans="2:10" x14ac:dyDescent="0.3">
      <c r="B4609" s="7">
        <v>44866</v>
      </c>
      <c r="C4609" s="3">
        <f t="shared" si="142"/>
        <v>2022</v>
      </c>
      <c r="D4609" s="3">
        <f t="shared" si="143"/>
        <v>202211</v>
      </c>
      <c r="E4609" s="5" t="s">
        <v>6</v>
      </c>
      <c r="F4609" s="5" t="s">
        <v>11</v>
      </c>
      <c r="G4609" s="5" t="s">
        <v>37</v>
      </c>
      <c r="H4609">
        <v>23</v>
      </c>
      <c r="I4609" s="4">
        <v>204585</v>
      </c>
      <c r="J4609" s="4">
        <v>91769.999999999985</v>
      </c>
    </row>
    <row r="4610" spans="2:10" x14ac:dyDescent="0.3">
      <c r="B4610" s="7">
        <v>44896</v>
      </c>
      <c r="C4610" s="3">
        <f t="shared" si="142"/>
        <v>2022</v>
      </c>
      <c r="D4610" s="3">
        <f t="shared" si="143"/>
        <v>202212</v>
      </c>
      <c r="E4610" s="5" t="s">
        <v>6</v>
      </c>
      <c r="F4610" s="5" t="s">
        <v>11</v>
      </c>
      <c r="G4610" s="5" t="s">
        <v>37</v>
      </c>
      <c r="H4610">
        <v>28</v>
      </c>
      <c r="I4610" s="4">
        <v>204708</v>
      </c>
      <c r="J4610" s="4">
        <v>111719.99999999999</v>
      </c>
    </row>
    <row r="4611" spans="2:10" x14ac:dyDescent="0.3">
      <c r="B4611" s="7">
        <v>44197</v>
      </c>
      <c r="C4611" s="3">
        <f t="shared" ref="C4611:C4674" si="144">YEAR(B4611)</f>
        <v>2021</v>
      </c>
      <c r="D4611" s="3">
        <f t="shared" ref="D4611:D4674" si="145">VALUE(TEXT(B4611,"ГГГГММ"))</f>
        <v>202101</v>
      </c>
      <c r="E4611" s="5" t="s">
        <v>6</v>
      </c>
      <c r="F4611" s="5" t="s">
        <v>11</v>
      </c>
      <c r="G4611" s="5" t="s">
        <v>38</v>
      </c>
      <c r="H4611">
        <v>29</v>
      </c>
      <c r="I4611" s="4">
        <v>267525</v>
      </c>
      <c r="J4611" s="4">
        <v>120785</v>
      </c>
    </row>
    <row r="4612" spans="2:10" x14ac:dyDescent="0.3">
      <c r="B4612" s="7">
        <v>44228</v>
      </c>
      <c r="C4612" s="3">
        <f t="shared" si="144"/>
        <v>2021</v>
      </c>
      <c r="D4612" s="3">
        <f t="shared" si="145"/>
        <v>202102</v>
      </c>
      <c r="E4612" s="5" t="s">
        <v>6</v>
      </c>
      <c r="F4612" s="5" t="s">
        <v>11</v>
      </c>
      <c r="G4612" s="5" t="s">
        <v>38</v>
      </c>
      <c r="H4612">
        <v>18</v>
      </c>
      <c r="I4612" s="4">
        <v>169380</v>
      </c>
      <c r="J4612" s="4">
        <v>74970</v>
      </c>
    </row>
    <row r="4613" spans="2:10" x14ac:dyDescent="0.3">
      <c r="B4613" s="7">
        <v>44256</v>
      </c>
      <c r="C4613" s="3">
        <f t="shared" si="144"/>
        <v>2021</v>
      </c>
      <c r="D4613" s="3">
        <f t="shared" si="145"/>
        <v>202103</v>
      </c>
      <c r="E4613" s="5" t="s">
        <v>6</v>
      </c>
      <c r="F4613" s="5" t="s">
        <v>11</v>
      </c>
      <c r="G4613" s="5" t="s">
        <v>38</v>
      </c>
      <c r="H4613">
        <v>15</v>
      </c>
      <c r="I4613" s="4">
        <v>133605</v>
      </c>
      <c r="J4613" s="4">
        <v>62475</v>
      </c>
    </row>
    <row r="4614" spans="2:10" x14ac:dyDescent="0.3">
      <c r="B4614" s="7">
        <v>44287</v>
      </c>
      <c r="C4614" s="3">
        <f t="shared" si="144"/>
        <v>2021</v>
      </c>
      <c r="D4614" s="3">
        <f t="shared" si="145"/>
        <v>202104</v>
      </c>
      <c r="E4614" s="5" t="s">
        <v>6</v>
      </c>
      <c r="F4614" s="5" t="s">
        <v>11</v>
      </c>
      <c r="G4614" s="5" t="s">
        <v>38</v>
      </c>
      <c r="H4614">
        <v>27</v>
      </c>
      <c r="I4614" s="4">
        <v>290250</v>
      </c>
      <c r="J4614" s="4">
        <v>112455</v>
      </c>
    </row>
    <row r="4615" spans="2:10" x14ac:dyDescent="0.3">
      <c r="B4615" s="7">
        <v>44317</v>
      </c>
      <c r="C4615" s="3">
        <f t="shared" si="144"/>
        <v>2021</v>
      </c>
      <c r="D4615" s="3">
        <f t="shared" si="145"/>
        <v>202105</v>
      </c>
      <c r="E4615" s="5" t="s">
        <v>6</v>
      </c>
      <c r="F4615" s="5" t="s">
        <v>11</v>
      </c>
      <c r="G4615" s="5" t="s">
        <v>38</v>
      </c>
      <c r="H4615">
        <v>35</v>
      </c>
      <c r="I4615" s="4">
        <v>369005</v>
      </c>
      <c r="J4615" s="4">
        <v>145775</v>
      </c>
    </row>
    <row r="4616" spans="2:10" x14ac:dyDescent="0.3">
      <c r="B4616" s="7">
        <v>44348</v>
      </c>
      <c r="C4616" s="3">
        <f t="shared" si="144"/>
        <v>2021</v>
      </c>
      <c r="D4616" s="3">
        <f t="shared" si="145"/>
        <v>202106</v>
      </c>
      <c r="E4616" s="5" t="s">
        <v>6</v>
      </c>
      <c r="F4616" s="5" t="s">
        <v>11</v>
      </c>
      <c r="G4616" s="5" t="s">
        <v>38</v>
      </c>
      <c r="H4616">
        <v>33</v>
      </c>
      <c r="I4616" s="4">
        <v>335511</v>
      </c>
      <c r="J4616" s="4">
        <v>137445</v>
      </c>
    </row>
    <row r="4617" spans="2:10" x14ac:dyDescent="0.3">
      <c r="B4617" s="7">
        <v>44378</v>
      </c>
      <c r="C4617" s="3">
        <f t="shared" si="144"/>
        <v>2021</v>
      </c>
      <c r="D4617" s="3">
        <f t="shared" si="145"/>
        <v>202107</v>
      </c>
      <c r="E4617" s="5" t="s">
        <v>6</v>
      </c>
      <c r="F4617" s="5" t="s">
        <v>11</v>
      </c>
      <c r="G4617" s="5" t="s">
        <v>38</v>
      </c>
      <c r="H4617">
        <v>35</v>
      </c>
      <c r="I4617" s="4">
        <v>281610</v>
      </c>
      <c r="J4617" s="4">
        <v>145775</v>
      </c>
    </row>
    <row r="4618" spans="2:10" x14ac:dyDescent="0.3">
      <c r="B4618" s="7">
        <v>44409</v>
      </c>
      <c r="C4618" s="3">
        <f t="shared" si="144"/>
        <v>2021</v>
      </c>
      <c r="D4618" s="3">
        <f t="shared" si="145"/>
        <v>202108</v>
      </c>
      <c r="E4618" s="5" t="s">
        <v>6</v>
      </c>
      <c r="F4618" s="5" t="s">
        <v>11</v>
      </c>
      <c r="G4618" s="5" t="s">
        <v>38</v>
      </c>
      <c r="H4618">
        <v>29</v>
      </c>
      <c r="I4618" s="4">
        <v>269932</v>
      </c>
      <c r="J4618" s="4">
        <v>120785</v>
      </c>
    </row>
    <row r="4619" spans="2:10" x14ac:dyDescent="0.3">
      <c r="B4619" s="7">
        <v>44440</v>
      </c>
      <c r="C4619" s="3">
        <f t="shared" si="144"/>
        <v>2021</v>
      </c>
      <c r="D4619" s="3">
        <f t="shared" si="145"/>
        <v>202109</v>
      </c>
      <c r="E4619" s="5" t="s">
        <v>6</v>
      </c>
      <c r="F4619" s="5" t="s">
        <v>11</v>
      </c>
      <c r="G4619" s="5" t="s">
        <v>38</v>
      </c>
      <c r="H4619">
        <v>31</v>
      </c>
      <c r="I4619" s="4">
        <v>298561</v>
      </c>
      <c r="J4619" s="4">
        <v>129115</v>
      </c>
    </row>
    <row r="4620" spans="2:10" x14ac:dyDescent="0.3">
      <c r="B4620" s="7">
        <v>44470</v>
      </c>
      <c r="C4620" s="3">
        <f t="shared" si="144"/>
        <v>2021</v>
      </c>
      <c r="D4620" s="3">
        <f t="shared" si="145"/>
        <v>202110</v>
      </c>
      <c r="E4620" s="5" t="s">
        <v>6</v>
      </c>
      <c r="F4620" s="5" t="s">
        <v>11</v>
      </c>
      <c r="G4620" s="5" t="s">
        <v>38</v>
      </c>
      <c r="H4620">
        <v>26</v>
      </c>
      <c r="I4620" s="4">
        <v>264134</v>
      </c>
      <c r="J4620" s="4">
        <v>108290</v>
      </c>
    </row>
    <row r="4621" spans="2:10" x14ac:dyDescent="0.3">
      <c r="B4621" s="7">
        <v>44501</v>
      </c>
      <c r="C4621" s="3">
        <f t="shared" si="144"/>
        <v>2021</v>
      </c>
      <c r="D4621" s="3">
        <f t="shared" si="145"/>
        <v>202111</v>
      </c>
      <c r="E4621" s="5" t="s">
        <v>6</v>
      </c>
      <c r="F4621" s="5" t="s">
        <v>11</v>
      </c>
      <c r="G4621" s="5" t="s">
        <v>38</v>
      </c>
      <c r="H4621">
        <v>18</v>
      </c>
      <c r="I4621" s="4">
        <v>180054</v>
      </c>
      <c r="J4621" s="4">
        <v>74970</v>
      </c>
    </row>
    <row r="4622" spans="2:10" x14ac:dyDescent="0.3">
      <c r="B4622" s="7">
        <v>44531</v>
      </c>
      <c r="C4622" s="3">
        <f t="shared" si="144"/>
        <v>2021</v>
      </c>
      <c r="D4622" s="3">
        <f t="shared" si="145"/>
        <v>202112</v>
      </c>
      <c r="E4622" s="5" t="s">
        <v>6</v>
      </c>
      <c r="F4622" s="5" t="s">
        <v>11</v>
      </c>
      <c r="G4622" s="5" t="s">
        <v>38</v>
      </c>
      <c r="H4622">
        <v>22</v>
      </c>
      <c r="I4622" s="4">
        <v>205612</v>
      </c>
      <c r="J4622" s="4">
        <v>91630</v>
      </c>
    </row>
    <row r="4623" spans="2:10" x14ac:dyDescent="0.3">
      <c r="B4623" s="7">
        <v>44562</v>
      </c>
      <c r="C4623" s="3">
        <f t="shared" si="144"/>
        <v>2022</v>
      </c>
      <c r="D4623" s="3">
        <f t="shared" si="145"/>
        <v>202201</v>
      </c>
      <c r="E4623" s="5" t="s">
        <v>6</v>
      </c>
      <c r="F4623" s="5" t="s">
        <v>11</v>
      </c>
      <c r="G4623" s="5" t="s">
        <v>38</v>
      </c>
      <c r="H4623">
        <v>32</v>
      </c>
      <c r="I4623" s="4">
        <v>299232</v>
      </c>
      <c r="J4623" s="4">
        <v>133280</v>
      </c>
    </row>
    <row r="4624" spans="2:10" x14ac:dyDescent="0.3">
      <c r="B4624" s="7">
        <v>44593</v>
      </c>
      <c r="C4624" s="3">
        <f t="shared" si="144"/>
        <v>2022</v>
      </c>
      <c r="D4624" s="3">
        <f t="shared" si="145"/>
        <v>202202</v>
      </c>
      <c r="E4624" s="5" t="s">
        <v>6</v>
      </c>
      <c r="F4624" s="5" t="s">
        <v>11</v>
      </c>
      <c r="G4624" s="5" t="s">
        <v>38</v>
      </c>
      <c r="H4624">
        <v>20</v>
      </c>
      <c r="I4624" s="4">
        <v>196940</v>
      </c>
      <c r="J4624" s="4">
        <v>83300</v>
      </c>
    </row>
    <row r="4625" spans="2:10" x14ac:dyDescent="0.3">
      <c r="B4625" s="7">
        <v>44621</v>
      </c>
      <c r="C4625" s="3">
        <f t="shared" si="144"/>
        <v>2022</v>
      </c>
      <c r="D4625" s="3">
        <f t="shared" si="145"/>
        <v>202203</v>
      </c>
      <c r="E4625" s="5" t="s">
        <v>6</v>
      </c>
      <c r="F4625" s="5" t="s">
        <v>11</v>
      </c>
      <c r="G4625" s="5" t="s">
        <v>38</v>
      </c>
      <c r="H4625">
        <v>16</v>
      </c>
      <c r="I4625" s="4">
        <v>148144</v>
      </c>
      <c r="J4625" s="4">
        <v>66640</v>
      </c>
    </row>
    <row r="4626" spans="2:10" x14ac:dyDescent="0.3">
      <c r="B4626" s="7">
        <v>44652</v>
      </c>
      <c r="C4626" s="3">
        <f t="shared" si="144"/>
        <v>2022</v>
      </c>
      <c r="D4626" s="3">
        <f t="shared" si="145"/>
        <v>202204</v>
      </c>
      <c r="E4626" s="5" t="s">
        <v>6</v>
      </c>
      <c r="F4626" s="5" t="s">
        <v>11</v>
      </c>
      <c r="G4626" s="5" t="s">
        <v>38</v>
      </c>
      <c r="H4626">
        <v>30</v>
      </c>
      <c r="I4626" s="4">
        <v>292320</v>
      </c>
      <c r="J4626" s="4">
        <v>124950</v>
      </c>
    </row>
    <row r="4627" spans="2:10" x14ac:dyDescent="0.3">
      <c r="B4627" s="7">
        <v>44682</v>
      </c>
      <c r="C4627" s="3">
        <f t="shared" si="144"/>
        <v>2022</v>
      </c>
      <c r="D4627" s="3">
        <f t="shared" si="145"/>
        <v>202205</v>
      </c>
      <c r="E4627" s="5" t="s">
        <v>6</v>
      </c>
      <c r="F4627" s="5" t="s">
        <v>11</v>
      </c>
      <c r="G4627" s="5" t="s">
        <v>38</v>
      </c>
      <c r="H4627">
        <v>38</v>
      </c>
      <c r="I4627" s="4">
        <v>399114</v>
      </c>
      <c r="J4627" s="4">
        <v>158270</v>
      </c>
    </row>
    <row r="4628" spans="2:10" x14ac:dyDescent="0.3">
      <c r="B4628" s="7">
        <v>44713</v>
      </c>
      <c r="C4628" s="3">
        <f t="shared" si="144"/>
        <v>2022</v>
      </c>
      <c r="D4628" s="3">
        <f t="shared" si="145"/>
        <v>202206</v>
      </c>
      <c r="E4628" s="5" t="s">
        <v>6</v>
      </c>
      <c r="F4628" s="5" t="s">
        <v>11</v>
      </c>
      <c r="G4628" s="5" t="s">
        <v>38</v>
      </c>
      <c r="H4628">
        <v>36</v>
      </c>
      <c r="I4628" s="4">
        <v>333252</v>
      </c>
      <c r="J4628" s="4">
        <v>149940</v>
      </c>
    </row>
    <row r="4629" spans="2:10" x14ac:dyDescent="0.3">
      <c r="B4629" s="7">
        <v>44743</v>
      </c>
      <c r="C4629" s="3">
        <f t="shared" si="144"/>
        <v>2022</v>
      </c>
      <c r="D4629" s="3">
        <f t="shared" si="145"/>
        <v>202207</v>
      </c>
      <c r="E4629" s="5" t="s">
        <v>6</v>
      </c>
      <c r="F4629" s="5" t="s">
        <v>11</v>
      </c>
      <c r="G4629" s="5" t="s">
        <v>38</v>
      </c>
      <c r="H4629">
        <v>38</v>
      </c>
      <c r="I4629" s="4">
        <v>333070</v>
      </c>
      <c r="J4629" s="4">
        <v>158270</v>
      </c>
    </row>
    <row r="4630" spans="2:10" x14ac:dyDescent="0.3">
      <c r="B4630" s="7">
        <v>44774</v>
      </c>
      <c r="C4630" s="3">
        <f t="shared" si="144"/>
        <v>2022</v>
      </c>
      <c r="D4630" s="3">
        <f t="shared" si="145"/>
        <v>202208</v>
      </c>
      <c r="E4630" s="5" t="s">
        <v>6</v>
      </c>
      <c r="F4630" s="5" t="s">
        <v>11</v>
      </c>
      <c r="G4630" s="5" t="s">
        <v>38</v>
      </c>
      <c r="H4630">
        <v>32</v>
      </c>
      <c r="I4630" s="4">
        <v>303872</v>
      </c>
      <c r="J4630" s="4">
        <v>133280</v>
      </c>
    </row>
    <row r="4631" spans="2:10" x14ac:dyDescent="0.3">
      <c r="B4631" s="7">
        <v>44805</v>
      </c>
      <c r="C4631" s="3">
        <f t="shared" si="144"/>
        <v>2022</v>
      </c>
      <c r="D4631" s="3">
        <f t="shared" si="145"/>
        <v>202209</v>
      </c>
      <c r="E4631" s="5" t="s">
        <v>6</v>
      </c>
      <c r="F4631" s="5" t="s">
        <v>11</v>
      </c>
      <c r="G4631" s="5" t="s">
        <v>38</v>
      </c>
      <c r="H4631">
        <v>34</v>
      </c>
      <c r="I4631" s="4">
        <v>326468</v>
      </c>
      <c r="J4631" s="4">
        <v>141610</v>
      </c>
    </row>
    <row r="4632" spans="2:10" x14ac:dyDescent="0.3">
      <c r="B4632" s="7">
        <v>44835</v>
      </c>
      <c r="C4632" s="3">
        <f t="shared" si="144"/>
        <v>2022</v>
      </c>
      <c r="D4632" s="3">
        <f t="shared" si="145"/>
        <v>202210</v>
      </c>
      <c r="E4632" s="5" t="s">
        <v>6</v>
      </c>
      <c r="F4632" s="5" t="s">
        <v>11</v>
      </c>
      <c r="G4632" s="5" t="s">
        <v>38</v>
      </c>
      <c r="H4632">
        <v>28</v>
      </c>
      <c r="I4632" s="4">
        <v>271208</v>
      </c>
      <c r="J4632" s="4">
        <v>116620</v>
      </c>
    </row>
    <row r="4633" spans="2:10" x14ac:dyDescent="0.3">
      <c r="B4633" s="7">
        <v>44866</v>
      </c>
      <c r="C4633" s="3">
        <f t="shared" si="144"/>
        <v>2022</v>
      </c>
      <c r="D4633" s="3">
        <f t="shared" si="145"/>
        <v>202211</v>
      </c>
      <c r="E4633" s="5" t="s">
        <v>6</v>
      </c>
      <c r="F4633" s="5" t="s">
        <v>11</v>
      </c>
      <c r="G4633" s="5" t="s">
        <v>38</v>
      </c>
      <c r="H4633">
        <v>20</v>
      </c>
      <c r="I4633" s="4">
        <v>186360</v>
      </c>
      <c r="J4633" s="4">
        <v>83300</v>
      </c>
    </row>
    <row r="4634" spans="2:10" x14ac:dyDescent="0.3">
      <c r="B4634" s="7">
        <v>44896</v>
      </c>
      <c r="C4634" s="3">
        <f t="shared" si="144"/>
        <v>2022</v>
      </c>
      <c r="D4634" s="3">
        <f t="shared" si="145"/>
        <v>202212</v>
      </c>
      <c r="E4634" s="5" t="s">
        <v>6</v>
      </c>
      <c r="F4634" s="5" t="s">
        <v>11</v>
      </c>
      <c r="G4634" s="5" t="s">
        <v>38</v>
      </c>
      <c r="H4634">
        <v>24</v>
      </c>
      <c r="I4634" s="4">
        <v>211512</v>
      </c>
      <c r="J4634" s="4">
        <v>99960</v>
      </c>
    </row>
    <row r="4635" spans="2:10" x14ac:dyDescent="0.3">
      <c r="B4635" s="7">
        <v>44197</v>
      </c>
      <c r="C4635" s="3">
        <f t="shared" si="144"/>
        <v>2021</v>
      </c>
      <c r="D4635" s="3">
        <f t="shared" si="145"/>
        <v>202101</v>
      </c>
      <c r="E4635" s="5" t="s">
        <v>6</v>
      </c>
      <c r="F4635" s="5" t="s">
        <v>11</v>
      </c>
      <c r="G4635" s="5" t="s">
        <v>39</v>
      </c>
      <c r="H4635">
        <v>29</v>
      </c>
      <c r="I4635" s="4">
        <v>223880</v>
      </c>
      <c r="J4635" s="4">
        <v>88740</v>
      </c>
    </row>
    <row r="4636" spans="2:10" x14ac:dyDescent="0.3">
      <c r="B4636" s="7">
        <v>44228</v>
      </c>
      <c r="C4636" s="3">
        <f t="shared" si="144"/>
        <v>2021</v>
      </c>
      <c r="D4636" s="3">
        <f t="shared" si="145"/>
        <v>202102</v>
      </c>
      <c r="E4636" s="5" t="s">
        <v>6</v>
      </c>
      <c r="F4636" s="5" t="s">
        <v>11</v>
      </c>
      <c r="G4636" s="5" t="s">
        <v>39</v>
      </c>
      <c r="H4636">
        <v>18</v>
      </c>
      <c r="I4636" s="4">
        <v>142290</v>
      </c>
      <c r="J4636" s="4">
        <v>55080</v>
      </c>
    </row>
    <row r="4637" spans="2:10" x14ac:dyDescent="0.3">
      <c r="B4637" s="7">
        <v>44256</v>
      </c>
      <c r="C4637" s="3">
        <f t="shared" si="144"/>
        <v>2021</v>
      </c>
      <c r="D4637" s="3">
        <f t="shared" si="145"/>
        <v>202103</v>
      </c>
      <c r="E4637" s="5" t="s">
        <v>6</v>
      </c>
      <c r="F4637" s="5" t="s">
        <v>11</v>
      </c>
      <c r="G4637" s="5" t="s">
        <v>39</v>
      </c>
      <c r="H4637">
        <v>15</v>
      </c>
      <c r="I4637" s="4">
        <v>103470</v>
      </c>
      <c r="J4637" s="4">
        <v>45900</v>
      </c>
    </row>
    <row r="4638" spans="2:10" x14ac:dyDescent="0.3">
      <c r="B4638" s="7">
        <v>44287</v>
      </c>
      <c r="C4638" s="3">
        <f t="shared" si="144"/>
        <v>2021</v>
      </c>
      <c r="D4638" s="3">
        <f t="shared" si="145"/>
        <v>202104</v>
      </c>
      <c r="E4638" s="5" t="s">
        <v>6</v>
      </c>
      <c r="F4638" s="5" t="s">
        <v>11</v>
      </c>
      <c r="G4638" s="5" t="s">
        <v>39</v>
      </c>
      <c r="H4638">
        <v>27</v>
      </c>
      <c r="I4638" s="4">
        <v>216324</v>
      </c>
      <c r="J4638" s="4">
        <v>82620</v>
      </c>
    </row>
    <row r="4639" spans="2:10" x14ac:dyDescent="0.3">
      <c r="B4639" s="7">
        <v>44317</v>
      </c>
      <c r="C4639" s="3">
        <f t="shared" si="144"/>
        <v>2021</v>
      </c>
      <c r="D4639" s="3">
        <f t="shared" si="145"/>
        <v>202105</v>
      </c>
      <c r="E4639" s="5" t="s">
        <v>6</v>
      </c>
      <c r="F4639" s="5" t="s">
        <v>11</v>
      </c>
      <c r="G4639" s="5" t="s">
        <v>39</v>
      </c>
      <c r="H4639">
        <v>35</v>
      </c>
      <c r="I4639" s="4">
        <v>283850</v>
      </c>
      <c r="J4639" s="4">
        <v>107100</v>
      </c>
    </row>
    <row r="4640" spans="2:10" x14ac:dyDescent="0.3">
      <c r="B4640" s="7">
        <v>44348</v>
      </c>
      <c r="C4640" s="3">
        <f t="shared" si="144"/>
        <v>2021</v>
      </c>
      <c r="D4640" s="3">
        <f t="shared" si="145"/>
        <v>202106</v>
      </c>
      <c r="E4640" s="5" t="s">
        <v>6</v>
      </c>
      <c r="F4640" s="5" t="s">
        <v>11</v>
      </c>
      <c r="G4640" s="5" t="s">
        <v>39</v>
      </c>
      <c r="H4640">
        <v>33</v>
      </c>
      <c r="I4640" s="4">
        <v>232452</v>
      </c>
      <c r="J4640" s="4">
        <v>100980</v>
      </c>
    </row>
    <row r="4641" spans="2:10" x14ac:dyDescent="0.3">
      <c r="B4641" s="7">
        <v>44378</v>
      </c>
      <c r="C4641" s="3">
        <f t="shared" si="144"/>
        <v>2021</v>
      </c>
      <c r="D4641" s="3">
        <f t="shared" si="145"/>
        <v>202107</v>
      </c>
      <c r="E4641" s="5" t="s">
        <v>6</v>
      </c>
      <c r="F4641" s="5" t="s">
        <v>11</v>
      </c>
      <c r="G4641" s="5" t="s">
        <v>39</v>
      </c>
      <c r="H4641">
        <v>35</v>
      </c>
      <c r="I4641" s="4">
        <v>211680</v>
      </c>
      <c r="J4641" s="4">
        <v>107100</v>
      </c>
    </row>
    <row r="4642" spans="2:10" x14ac:dyDescent="0.3">
      <c r="B4642" s="7">
        <v>44409</v>
      </c>
      <c r="C4642" s="3">
        <f t="shared" si="144"/>
        <v>2021</v>
      </c>
      <c r="D4642" s="3">
        <f t="shared" si="145"/>
        <v>202108</v>
      </c>
      <c r="E4642" s="5" t="s">
        <v>6</v>
      </c>
      <c r="F4642" s="5" t="s">
        <v>11</v>
      </c>
      <c r="G4642" s="5" t="s">
        <v>39</v>
      </c>
      <c r="H4642">
        <v>29</v>
      </c>
      <c r="I4642" s="4">
        <v>196562</v>
      </c>
      <c r="J4642" s="4">
        <v>88740</v>
      </c>
    </row>
    <row r="4643" spans="2:10" x14ac:dyDescent="0.3">
      <c r="B4643" s="7">
        <v>44440</v>
      </c>
      <c r="C4643" s="3">
        <f t="shared" si="144"/>
        <v>2021</v>
      </c>
      <c r="D4643" s="3">
        <f t="shared" si="145"/>
        <v>202109</v>
      </c>
      <c r="E4643" s="5" t="s">
        <v>6</v>
      </c>
      <c r="F4643" s="5" t="s">
        <v>11</v>
      </c>
      <c r="G4643" s="5" t="s">
        <v>39</v>
      </c>
      <c r="H4643">
        <v>31</v>
      </c>
      <c r="I4643" s="4">
        <v>221960</v>
      </c>
      <c r="J4643" s="4">
        <v>94860</v>
      </c>
    </row>
    <row r="4644" spans="2:10" x14ac:dyDescent="0.3">
      <c r="B4644" s="7">
        <v>44470</v>
      </c>
      <c r="C4644" s="3">
        <f t="shared" si="144"/>
        <v>2021</v>
      </c>
      <c r="D4644" s="3">
        <f t="shared" si="145"/>
        <v>202110</v>
      </c>
      <c r="E4644" s="5" t="s">
        <v>6</v>
      </c>
      <c r="F4644" s="5" t="s">
        <v>11</v>
      </c>
      <c r="G4644" s="5" t="s">
        <v>39</v>
      </c>
      <c r="H4644">
        <v>26</v>
      </c>
      <c r="I4644" s="4">
        <v>197002</v>
      </c>
      <c r="J4644" s="4">
        <v>79560</v>
      </c>
    </row>
    <row r="4645" spans="2:10" x14ac:dyDescent="0.3">
      <c r="B4645" s="7">
        <v>44501</v>
      </c>
      <c r="C4645" s="3">
        <f t="shared" si="144"/>
        <v>2021</v>
      </c>
      <c r="D4645" s="3">
        <f t="shared" si="145"/>
        <v>202111</v>
      </c>
      <c r="E4645" s="5" t="s">
        <v>6</v>
      </c>
      <c r="F4645" s="5" t="s">
        <v>11</v>
      </c>
      <c r="G4645" s="5" t="s">
        <v>39</v>
      </c>
      <c r="H4645">
        <v>18</v>
      </c>
      <c r="I4645" s="4">
        <v>135828</v>
      </c>
      <c r="J4645" s="4">
        <v>55080</v>
      </c>
    </row>
    <row r="4646" spans="2:10" x14ac:dyDescent="0.3">
      <c r="B4646" s="7">
        <v>44531</v>
      </c>
      <c r="C4646" s="3">
        <f t="shared" si="144"/>
        <v>2021</v>
      </c>
      <c r="D4646" s="3">
        <f t="shared" si="145"/>
        <v>202112</v>
      </c>
      <c r="E4646" s="5" t="s">
        <v>6</v>
      </c>
      <c r="F4646" s="5" t="s">
        <v>11</v>
      </c>
      <c r="G4646" s="5" t="s">
        <v>39</v>
      </c>
      <c r="H4646">
        <v>22</v>
      </c>
      <c r="I4646" s="4">
        <v>156310</v>
      </c>
      <c r="J4646" s="4">
        <v>67320</v>
      </c>
    </row>
    <row r="4647" spans="2:10" x14ac:dyDescent="0.3">
      <c r="B4647" s="7">
        <v>44562</v>
      </c>
      <c r="C4647" s="3">
        <f t="shared" si="144"/>
        <v>2022</v>
      </c>
      <c r="D4647" s="3">
        <f t="shared" si="145"/>
        <v>202201</v>
      </c>
      <c r="E4647" s="5" t="s">
        <v>6</v>
      </c>
      <c r="F4647" s="5" t="s">
        <v>11</v>
      </c>
      <c r="G4647" s="5" t="s">
        <v>39</v>
      </c>
      <c r="H4647">
        <v>32</v>
      </c>
      <c r="I4647" s="4">
        <v>237632</v>
      </c>
      <c r="J4647" s="4">
        <v>97920</v>
      </c>
    </row>
    <row r="4648" spans="2:10" x14ac:dyDescent="0.3">
      <c r="B4648" s="7">
        <v>44593</v>
      </c>
      <c r="C4648" s="3">
        <f t="shared" si="144"/>
        <v>2022</v>
      </c>
      <c r="D4648" s="3">
        <f t="shared" si="145"/>
        <v>202202</v>
      </c>
      <c r="E4648" s="5" t="s">
        <v>6</v>
      </c>
      <c r="F4648" s="5" t="s">
        <v>11</v>
      </c>
      <c r="G4648" s="5" t="s">
        <v>39</v>
      </c>
      <c r="H4648">
        <v>20</v>
      </c>
      <c r="I4648" s="4">
        <v>157700</v>
      </c>
      <c r="J4648" s="4">
        <v>61200</v>
      </c>
    </row>
    <row r="4649" spans="2:10" x14ac:dyDescent="0.3">
      <c r="B4649" s="7">
        <v>44621</v>
      </c>
      <c r="C4649" s="3">
        <f t="shared" si="144"/>
        <v>2022</v>
      </c>
      <c r="D4649" s="3">
        <f t="shared" si="145"/>
        <v>202203</v>
      </c>
      <c r="E4649" s="5" t="s">
        <v>6</v>
      </c>
      <c r="F4649" s="5" t="s">
        <v>11</v>
      </c>
      <c r="G4649" s="5" t="s">
        <v>39</v>
      </c>
      <c r="H4649">
        <v>16</v>
      </c>
      <c r="I4649" s="4">
        <v>106016</v>
      </c>
      <c r="J4649" s="4">
        <v>48960</v>
      </c>
    </row>
    <row r="4650" spans="2:10" x14ac:dyDescent="0.3">
      <c r="B4650" s="7">
        <v>44652</v>
      </c>
      <c r="C4650" s="3">
        <f t="shared" si="144"/>
        <v>2022</v>
      </c>
      <c r="D4650" s="3">
        <f t="shared" si="145"/>
        <v>202204</v>
      </c>
      <c r="E4650" s="5" t="s">
        <v>6</v>
      </c>
      <c r="F4650" s="5" t="s">
        <v>11</v>
      </c>
      <c r="G4650" s="5" t="s">
        <v>39</v>
      </c>
      <c r="H4650">
        <v>30</v>
      </c>
      <c r="I4650" s="4">
        <v>246960</v>
      </c>
      <c r="J4650" s="4">
        <v>91800</v>
      </c>
    </row>
    <row r="4651" spans="2:10" x14ac:dyDescent="0.3">
      <c r="B4651" s="7">
        <v>44682</v>
      </c>
      <c r="C4651" s="3">
        <f t="shared" si="144"/>
        <v>2022</v>
      </c>
      <c r="D4651" s="3">
        <f t="shared" si="145"/>
        <v>202205</v>
      </c>
      <c r="E4651" s="5" t="s">
        <v>6</v>
      </c>
      <c r="F4651" s="5" t="s">
        <v>11</v>
      </c>
      <c r="G4651" s="5" t="s">
        <v>39</v>
      </c>
      <c r="H4651">
        <v>38</v>
      </c>
      <c r="I4651" s="4">
        <v>303126</v>
      </c>
      <c r="J4651" s="4">
        <v>116280</v>
      </c>
    </row>
    <row r="4652" spans="2:10" x14ac:dyDescent="0.3">
      <c r="B4652" s="7">
        <v>44713</v>
      </c>
      <c r="C4652" s="3">
        <f t="shared" si="144"/>
        <v>2022</v>
      </c>
      <c r="D4652" s="3">
        <f t="shared" si="145"/>
        <v>202206</v>
      </c>
      <c r="E4652" s="5" t="s">
        <v>6</v>
      </c>
      <c r="F4652" s="5" t="s">
        <v>11</v>
      </c>
      <c r="G4652" s="5" t="s">
        <v>39</v>
      </c>
      <c r="H4652">
        <v>36</v>
      </c>
      <c r="I4652" s="4">
        <v>281124</v>
      </c>
      <c r="J4652" s="4">
        <v>110160</v>
      </c>
    </row>
    <row r="4653" spans="2:10" x14ac:dyDescent="0.3">
      <c r="B4653" s="7">
        <v>44743</v>
      </c>
      <c r="C4653" s="3">
        <f t="shared" si="144"/>
        <v>2022</v>
      </c>
      <c r="D4653" s="3">
        <f t="shared" si="145"/>
        <v>202207</v>
      </c>
      <c r="E4653" s="5" t="s">
        <v>6</v>
      </c>
      <c r="F4653" s="5" t="s">
        <v>11</v>
      </c>
      <c r="G4653" s="5" t="s">
        <v>39</v>
      </c>
      <c r="H4653">
        <v>38</v>
      </c>
      <c r="I4653" s="4">
        <v>212116</v>
      </c>
      <c r="J4653" s="4">
        <v>116280</v>
      </c>
    </row>
    <row r="4654" spans="2:10" x14ac:dyDescent="0.3">
      <c r="B4654" s="7">
        <v>44774</v>
      </c>
      <c r="C4654" s="3">
        <f t="shared" si="144"/>
        <v>2022</v>
      </c>
      <c r="D4654" s="3">
        <f t="shared" si="145"/>
        <v>202208</v>
      </c>
      <c r="E4654" s="5" t="s">
        <v>6</v>
      </c>
      <c r="F4654" s="5" t="s">
        <v>11</v>
      </c>
      <c r="G4654" s="5" t="s">
        <v>39</v>
      </c>
      <c r="H4654">
        <v>32</v>
      </c>
      <c r="I4654" s="4">
        <v>233344</v>
      </c>
      <c r="J4654" s="4">
        <v>97920</v>
      </c>
    </row>
    <row r="4655" spans="2:10" x14ac:dyDescent="0.3">
      <c r="B4655" s="7">
        <v>44805</v>
      </c>
      <c r="C4655" s="3">
        <f t="shared" si="144"/>
        <v>2022</v>
      </c>
      <c r="D4655" s="3">
        <f t="shared" si="145"/>
        <v>202209</v>
      </c>
      <c r="E4655" s="5" t="s">
        <v>6</v>
      </c>
      <c r="F4655" s="5" t="s">
        <v>11</v>
      </c>
      <c r="G4655" s="5" t="s">
        <v>39</v>
      </c>
      <c r="H4655">
        <v>34</v>
      </c>
      <c r="I4655" s="4">
        <v>218756</v>
      </c>
      <c r="J4655" s="4">
        <v>104040</v>
      </c>
    </row>
    <row r="4656" spans="2:10" x14ac:dyDescent="0.3">
      <c r="B4656" s="7">
        <v>44835</v>
      </c>
      <c r="C4656" s="3">
        <f t="shared" si="144"/>
        <v>2022</v>
      </c>
      <c r="D4656" s="3">
        <f t="shared" si="145"/>
        <v>202210</v>
      </c>
      <c r="E4656" s="5" t="s">
        <v>6</v>
      </c>
      <c r="F4656" s="5" t="s">
        <v>11</v>
      </c>
      <c r="G4656" s="5" t="s">
        <v>39</v>
      </c>
      <c r="H4656">
        <v>28</v>
      </c>
      <c r="I4656" s="4">
        <v>207984</v>
      </c>
      <c r="J4656" s="4">
        <v>85680</v>
      </c>
    </row>
    <row r="4657" spans="2:10" x14ac:dyDescent="0.3">
      <c r="B4657" s="7">
        <v>44866</v>
      </c>
      <c r="C4657" s="3">
        <f t="shared" si="144"/>
        <v>2022</v>
      </c>
      <c r="D4657" s="3">
        <f t="shared" si="145"/>
        <v>202211</v>
      </c>
      <c r="E4657" s="5" t="s">
        <v>6</v>
      </c>
      <c r="F4657" s="5" t="s">
        <v>11</v>
      </c>
      <c r="G4657" s="5" t="s">
        <v>39</v>
      </c>
      <c r="H4657">
        <v>20</v>
      </c>
      <c r="I4657" s="4">
        <v>149420</v>
      </c>
      <c r="J4657" s="4">
        <v>61200</v>
      </c>
    </row>
    <row r="4658" spans="2:10" x14ac:dyDescent="0.3">
      <c r="B4658" s="7">
        <v>44896</v>
      </c>
      <c r="C4658" s="3">
        <f t="shared" si="144"/>
        <v>2022</v>
      </c>
      <c r="D4658" s="3">
        <f t="shared" si="145"/>
        <v>202212</v>
      </c>
      <c r="E4658" s="5" t="s">
        <v>6</v>
      </c>
      <c r="F4658" s="5" t="s">
        <v>11</v>
      </c>
      <c r="G4658" s="5" t="s">
        <v>39</v>
      </c>
      <c r="H4658">
        <v>24</v>
      </c>
      <c r="I4658" s="4">
        <v>160176</v>
      </c>
      <c r="J4658" s="4">
        <v>73440</v>
      </c>
    </row>
    <row r="4659" spans="2:10" x14ac:dyDescent="0.3">
      <c r="B4659" s="7">
        <v>44197</v>
      </c>
      <c r="C4659" s="3">
        <f t="shared" si="144"/>
        <v>2021</v>
      </c>
      <c r="D4659" s="3">
        <f t="shared" si="145"/>
        <v>202101</v>
      </c>
      <c r="E4659" s="5" t="s">
        <v>6</v>
      </c>
      <c r="F4659" s="5" t="s">
        <v>11</v>
      </c>
      <c r="G4659" s="5" t="s">
        <v>40</v>
      </c>
      <c r="H4659">
        <v>31</v>
      </c>
      <c r="I4659" s="4">
        <v>275404</v>
      </c>
      <c r="J4659" s="4">
        <v>107136</v>
      </c>
    </row>
    <row r="4660" spans="2:10" x14ac:dyDescent="0.3">
      <c r="B4660" s="7">
        <v>44228</v>
      </c>
      <c r="C4660" s="3">
        <f t="shared" si="144"/>
        <v>2021</v>
      </c>
      <c r="D4660" s="3">
        <f t="shared" si="145"/>
        <v>202102</v>
      </c>
      <c r="E4660" s="5" t="s">
        <v>6</v>
      </c>
      <c r="F4660" s="5" t="s">
        <v>11</v>
      </c>
      <c r="G4660" s="5" t="s">
        <v>40</v>
      </c>
      <c r="H4660">
        <v>19</v>
      </c>
      <c r="I4660" s="4">
        <v>170392</v>
      </c>
      <c r="J4660" s="4">
        <v>65664</v>
      </c>
    </row>
    <row r="4661" spans="2:10" x14ac:dyDescent="0.3">
      <c r="B4661" s="7">
        <v>44256</v>
      </c>
      <c r="C4661" s="3">
        <f t="shared" si="144"/>
        <v>2021</v>
      </c>
      <c r="D4661" s="3">
        <f t="shared" si="145"/>
        <v>202103</v>
      </c>
      <c r="E4661" s="5" t="s">
        <v>6</v>
      </c>
      <c r="F4661" s="5" t="s">
        <v>11</v>
      </c>
      <c r="G4661" s="5" t="s">
        <v>40</v>
      </c>
      <c r="H4661">
        <v>16</v>
      </c>
      <c r="I4661" s="4">
        <v>134640</v>
      </c>
      <c r="J4661" s="4">
        <v>55296</v>
      </c>
    </row>
    <row r="4662" spans="2:10" x14ac:dyDescent="0.3">
      <c r="B4662" s="7">
        <v>44287</v>
      </c>
      <c r="C4662" s="3">
        <f t="shared" si="144"/>
        <v>2021</v>
      </c>
      <c r="D4662" s="3">
        <f t="shared" si="145"/>
        <v>202104</v>
      </c>
      <c r="E4662" s="5" t="s">
        <v>6</v>
      </c>
      <c r="F4662" s="5" t="s">
        <v>11</v>
      </c>
      <c r="G4662" s="5" t="s">
        <v>40</v>
      </c>
      <c r="H4662">
        <v>29</v>
      </c>
      <c r="I4662" s="4">
        <v>256650</v>
      </c>
      <c r="J4662" s="4">
        <v>100224</v>
      </c>
    </row>
    <row r="4663" spans="2:10" x14ac:dyDescent="0.3">
      <c r="B4663" s="7">
        <v>44317</v>
      </c>
      <c r="C4663" s="3">
        <f t="shared" si="144"/>
        <v>2021</v>
      </c>
      <c r="D4663" s="3">
        <f t="shared" si="145"/>
        <v>202105</v>
      </c>
      <c r="E4663" s="5" t="s">
        <v>6</v>
      </c>
      <c r="F4663" s="5" t="s">
        <v>11</v>
      </c>
      <c r="G4663" s="5" t="s">
        <v>40</v>
      </c>
      <c r="H4663">
        <v>36</v>
      </c>
      <c r="I4663" s="4">
        <v>350028</v>
      </c>
      <c r="J4663" s="4">
        <v>124416</v>
      </c>
    </row>
    <row r="4664" spans="2:10" x14ac:dyDescent="0.3">
      <c r="B4664" s="7">
        <v>44348</v>
      </c>
      <c r="C4664" s="3">
        <f t="shared" si="144"/>
        <v>2021</v>
      </c>
      <c r="D4664" s="3">
        <f t="shared" si="145"/>
        <v>202106</v>
      </c>
      <c r="E4664" s="5" t="s">
        <v>6</v>
      </c>
      <c r="F4664" s="5" t="s">
        <v>11</v>
      </c>
      <c r="G4664" s="5" t="s">
        <v>40</v>
      </c>
      <c r="H4664">
        <v>34</v>
      </c>
      <c r="I4664" s="4">
        <v>301818</v>
      </c>
      <c r="J4664" s="4">
        <v>117504</v>
      </c>
    </row>
    <row r="4665" spans="2:10" x14ac:dyDescent="0.3">
      <c r="B4665" s="7">
        <v>44378</v>
      </c>
      <c r="C4665" s="3">
        <f t="shared" si="144"/>
        <v>2021</v>
      </c>
      <c r="D4665" s="3">
        <f t="shared" si="145"/>
        <v>202107</v>
      </c>
      <c r="E4665" s="5" t="s">
        <v>6</v>
      </c>
      <c r="F4665" s="5" t="s">
        <v>11</v>
      </c>
      <c r="G4665" s="5" t="s">
        <v>40</v>
      </c>
      <c r="H4665">
        <v>36</v>
      </c>
      <c r="I4665" s="4">
        <v>247824</v>
      </c>
      <c r="J4665" s="4">
        <v>124416</v>
      </c>
    </row>
    <row r="4666" spans="2:10" x14ac:dyDescent="0.3">
      <c r="B4666" s="7">
        <v>44409</v>
      </c>
      <c r="C4666" s="3">
        <f t="shared" si="144"/>
        <v>2021</v>
      </c>
      <c r="D4666" s="3">
        <f t="shared" si="145"/>
        <v>202108</v>
      </c>
      <c r="E4666" s="5" t="s">
        <v>6</v>
      </c>
      <c r="F4666" s="5" t="s">
        <v>11</v>
      </c>
      <c r="G4666" s="5" t="s">
        <v>40</v>
      </c>
      <c r="H4666">
        <v>31</v>
      </c>
      <c r="I4666" s="4">
        <v>262074</v>
      </c>
      <c r="J4666" s="4">
        <v>107136</v>
      </c>
    </row>
    <row r="4667" spans="2:10" x14ac:dyDescent="0.3">
      <c r="B4667" s="7">
        <v>44440</v>
      </c>
      <c r="C4667" s="3">
        <f t="shared" si="144"/>
        <v>2021</v>
      </c>
      <c r="D4667" s="3">
        <f t="shared" si="145"/>
        <v>202109</v>
      </c>
      <c r="E4667" s="5" t="s">
        <v>6</v>
      </c>
      <c r="F4667" s="5" t="s">
        <v>11</v>
      </c>
      <c r="G4667" s="5" t="s">
        <v>40</v>
      </c>
      <c r="H4667">
        <v>32</v>
      </c>
      <c r="I4667" s="4">
        <v>260096</v>
      </c>
      <c r="J4667" s="4">
        <v>110592</v>
      </c>
    </row>
    <row r="4668" spans="2:10" x14ac:dyDescent="0.3">
      <c r="B4668" s="7">
        <v>44470</v>
      </c>
      <c r="C4668" s="3">
        <f t="shared" si="144"/>
        <v>2021</v>
      </c>
      <c r="D4668" s="3">
        <f t="shared" si="145"/>
        <v>202110</v>
      </c>
      <c r="E4668" s="5" t="s">
        <v>6</v>
      </c>
      <c r="F4668" s="5" t="s">
        <v>11</v>
      </c>
      <c r="G4668" s="5" t="s">
        <v>40</v>
      </c>
      <c r="H4668">
        <v>27</v>
      </c>
      <c r="I4668" s="4">
        <v>239841</v>
      </c>
      <c r="J4668" s="4">
        <v>93312</v>
      </c>
    </row>
    <row r="4669" spans="2:10" x14ac:dyDescent="0.3">
      <c r="B4669" s="7">
        <v>44501</v>
      </c>
      <c r="C4669" s="3">
        <f t="shared" si="144"/>
        <v>2021</v>
      </c>
      <c r="D4669" s="3">
        <f t="shared" si="145"/>
        <v>202111</v>
      </c>
      <c r="E4669" s="5" t="s">
        <v>6</v>
      </c>
      <c r="F4669" s="5" t="s">
        <v>11</v>
      </c>
      <c r="G4669" s="5" t="s">
        <v>40</v>
      </c>
      <c r="H4669">
        <v>19</v>
      </c>
      <c r="I4669" s="4">
        <v>169689</v>
      </c>
      <c r="J4669" s="4">
        <v>65664</v>
      </c>
    </row>
    <row r="4670" spans="2:10" x14ac:dyDescent="0.3">
      <c r="B4670" s="7">
        <v>44531</v>
      </c>
      <c r="C4670" s="3">
        <f t="shared" si="144"/>
        <v>2021</v>
      </c>
      <c r="D4670" s="3">
        <f t="shared" si="145"/>
        <v>202112</v>
      </c>
      <c r="E4670" s="5" t="s">
        <v>6</v>
      </c>
      <c r="F4670" s="5" t="s">
        <v>11</v>
      </c>
      <c r="G4670" s="5" t="s">
        <v>40</v>
      </c>
      <c r="H4670">
        <v>23</v>
      </c>
      <c r="I4670" s="4">
        <v>173098</v>
      </c>
      <c r="J4670" s="4">
        <v>79488</v>
      </c>
    </row>
    <row r="4671" spans="2:10" x14ac:dyDescent="0.3">
      <c r="B4671" s="7">
        <v>44562</v>
      </c>
      <c r="C4671" s="3">
        <f t="shared" si="144"/>
        <v>2022</v>
      </c>
      <c r="D4671" s="3">
        <f t="shared" si="145"/>
        <v>202201</v>
      </c>
      <c r="E4671" s="5" t="s">
        <v>6</v>
      </c>
      <c r="F4671" s="5" t="s">
        <v>11</v>
      </c>
      <c r="G4671" s="5" t="s">
        <v>40</v>
      </c>
      <c r="H4671">
        <v>34</v>
      </c>
      <c r="I4671" s="4">
        <v>297500</v>
      </c>
      <c r="J4671" s="4">
        <v>117504</v>
      </c>
    </row>
    <row r="4672" spans="2:10" x14ac:dyDescent="0.3">
      <c r="B4672" s="7">
        <v>44593</v>
      </c>
      <c r="C4672" s="3">
        <f t="shared" si="144"/>
        <v>2022</v>
      </c>
      <c r="D4672" s="3">
        <f t="shared" si="145"/>
        <v>202202</v>
      </c>
      <c r="E4672" s="5" t="s">
        <v>6</v>
      </c>
      <c r="F4672" s="5" t="s">
        <v>11</v>
      </c>
      <c r="G4672" s="5" t="s">
        <v>40</v>
      </c>
      <c r="H4672">
        <v>21</v>
      </c>
      <c r="I4672" s="4">
        <v>174699</v>
      </c>
      <c r="J4672" s="4">
        <v>72576</v>
      </c>
    </row>
    <row r="4673" spans="2:10" x14ac:dyDescent="0.3">
      <c r="B4673" s="7">
        <v>44621</v>
      </c>
      <c r="C4673" s="3">
        <f t="shared" si="144"/>
        <v>2022</v>
      </c>
      <c r="D4673" s="3">
        <f t="shared" si="145"/>
        <v>202203</v>
      </c>
      <c r="E4673" s="5" t="s">
        <v>6</v>
      </c>
      <c r="F4673" s="5" t="s">
        <v>11</v>
      </c>
      <c r="G4673" s="5" t="s">
        <v>40</v>
      </c>
      <c r="H4673">
        <v>17</v>
      </c>
      <c r="I4673" s="4">
        <v>126259</v>
      </c>
      <c r="J4673" s="4">
        <v>58752</v>
      </c>
    </row>
    <row r="4674" spans="2:10" x14ac:dyDescent="0.3">
      <c r="B4674" s="7">
        <v>44652</v>
      </c>
      <c r="C4674" s="3">
        <f t="shared" si="144"/>
        <v>2022</v>
      </c>
      <c r="D4674" s="3">
        <f t="shared" si="145"/>
        <v>202204</v>
      </c>
      <c r="E4674" s="5" t="s">
        <v>6</v>
      </c>
      <c r="F4674" s="5" t="s">
        <v>11</v>
      </c>
      <c r="G4674" s="5" t="s">
        <v>40</v>
      </c>
      <c r="H4674">
        <v>32</v>
      </c>
      <c r="I4674" s="4">
        <v>284896</v>
      </c>
      <c r="J4674" s="4">
        <v>110592</v>
      </c>
    </row>
    <row r="4675" spans="2:10" x14ac:dyDescent="0.3">
      <c r="B4675" s="7">
        <v>44682</v>
      </c>
      <c r="C4675" s="3">
        <f t="shared" ref="C4675:C4738" si="146">YEAR(B4675)</f>
        <v>2022</v>
      </c>
      <c r="D4675" s="3">
        <f t="shared" ref="D4675:D4738" si="147">VALUE(TEXT(B4675,"ГГГГММ"))</f>
        <v>202205</v>
      </c>
      <c r="E4675" s="5" t="s">
        <v>6</v>
      </c>
      <c r="F4675" s="5" t="s">
        <v>11</v>
      </c>
      <c r="G4675" s="5" t="s">
        <v>40</v>
      </c>
      <c r="H4675">
        <v>40</v>
      </c>
      <c r="I4675" s="4">
        <v>372120</v>
      </c>
      <c r="J4675" s="4">
        <v>138240</v>
      </c>
    </row>
    <row r="4676" spans="2:10" x14ac:dyDescent="0.3">
      <c r="B4676" s="7">
        <v>44713</v>
      </c>
      <c r="C4676" s="3">
        <f t="shared" si="146"/>
        <v>2022</v>
      </c>
      <c r="D4676" s="3">
        <f t="shared" si="147"/>
        <v>202206</v>
      </c>
      <c r="E4676" s="5" t="s">
        <v>6</v>
      </c>
      <c r="F4676" s="5" t="s">
        <v>11</v>
      </c>
      <c r="G4676" s="5" t="s">
        <v>40</v>
      </c>
      <c r="H4676">
        <v>38</v>
      </c>
      <c r="I4676" s="4">
        <v>350740</v>
      </c>
      <c r="J4676" s="4">
        <v>131328</v>
      </c>
    </row>
    <row r="4677" spans="2:10" x14ac:dyDescent="0.3">
      <c r="B4677" s="7">
        <v>44743</v>
      </c>
      <c r="C4677" s="3">
        <f t="shared" si="146"/>
        <v>2022</v>
      </c>
      <c r="D4677" s="3">
        <f t="shared" si="147"/>
        <v>202207</v>
      </c>
      <c r="E4677" s="5" t="s">
        <v>6</v>
      </c>
      <c r="F4677" s="5" t="s">
        <v>11</v>
      </c>
      <c r="G4677" s="5" t="s">
        <v>40</v>
      </c>
      <c r="H4677">
        <v>40</v>
      </c>
      <c r="I4677" s="4">
        <v>252680</v>
      </c>
      <c r="J4677" s="4">
        <v>138240</v>
      </c>
    </row>
    <row r="4678" spans="2:10" x14ac:dyDescent="0.3">
      <c r="B4678" s="7">
        <v>44774</v>
      </c>
      <c r="C4678" s="3">
        <f t="shared" si="146"/>
        <v>2022</v>
      </c>
      <c r="D4678" s="3">
        <f t="shared" si="147"/>
        <v>202208</v>
      </c>
      <c r="E4678" s="5" t="s">
        <v>6</v>
      </c>
      <c r="F4678" s="5" t="s">
        <v>11</v>
      </c>
      <c r="G4678" s="5" t="s">
        <v>40</v>
      </c>
      <c r="H4678">
        <v>34</v>
      </c>
      <c r="I4678" s="4">
        <v>273836</v>
      </c>
      <c r="J4678" s="4">
        <v>117504</v>
      </c>
    </row>
    <row r="4679" spans="2:10" x14ac:dyDescent="0.3">
      <c r="B4679" s="7">
        <v>44805</v>
      </c>
      <c r="C4679" s="3">
        <f t="shared" si="146"/>
        <v>2022</v>
      </c>
      <c r="D4679" s="3">
        <f t="shared" si="147"/>
        <v>202209</v>
      </c>
      <c r="E4679" s="5" t="s">
        <v>6</v>
      </c>
      <c r="F4679" s="5" t="s">
        <v>11</v>
      </c>
      <c r="G4679" s="5" t="s">
        <v>40</v>
      </c>
      <c r="H4679">
        <v>36</v>
      </c>
      <c r="I4679" s="4">
        <v>302976</v>
      </c>
      <c r="J4679" s="4">
        <v>124416</v>
      </c>
    </row>
    <row r="4680" spans="2:10" x14ac:dyDescent="0.3">
      <c r="B4680" s="7">
        <v>44835</v>
      </c>
      <c r="C4680" s="3">
        <f t="shared" si="146"/>
        <v>2022</v>
      </c>
      <c r="D4680" s="3">
        <f t="shared" si="147"/>
        <v>202210</v>
      </c>
      <c r="E4680" s="5" t="s">
        <v>6</v>
      </c>
      <c r="F4680" s="5" t="s">
        <v>11</v>
      </c>
      <c r="G4680" s="5" t="s">
        <v>40</v>
      </c>
      <c r="H4680">
        <v>29</v>
      </c>
      <c r="I4680" s="4">
        <v>263436</v>
      </c>
      <c r="J4680" s="4">
        <v>100224</v>
      </c>
    </row>
    <row r="4681" spans="2:10" x14ac:dyDescent="0.3">
      <c r="B4681" s="7">
        <v>44866</v>
      </c>
      <c r="C4681" s="3">
        <f t="shared" si="146"/>
        <v>2022</v>
      </c>
      <c r="D4681" s="3">
        <f t="shared" si="147"/>
        <v>202211</v>
      </c>
      <c r="E4681" s="5" t="s">
        <v>6</v>
      </c>
      <c r="F4681" s="5" t="s">
        <v>11</v>
      </c>
      <c r="G4681" s="5" t="s">
        <v>40</v>
      </c>
      <c r="H4681">
        <v>21</v>
      </c>
      <c r="I4681" s="4">
        <v>178647</v>
      </c>
      <c r="J4681" s="4">
        <v>72576</v>
      </c>
    </row>
    <row r="4682" spans="2:10" x14ac:dyDescent="0.3">
      <c r="B4682" s="7">
        <v>44896</v>
      </c>
      <c r="C4682" s="3">
        <f t="shared" si="146"/>
        <v>2022</v>
      </c>
      <c r="D4682" s="3">
        <f t="shared" si="147"/>
        <v>202212</v>
      </c>
      <c r="E4682" s="5" t="s">
        <v>6</v>
      </c>
      <c r="F4682" s="5" t="s">
        <v>11</v>
      </c>
      <c r="G4682" s="5" t="s">
        <v>40</v>
      </c>
      <c r="H4682">
        <v>25</v>
      </c>
      <c r="I4682" s="4">
        <v>209050</v>
      </c>
      <c r="J4682" s="4">
        <v>86400</v>
      </c>
    </row>
    <row r="4683" spans="2:10" x14ac:dyDescent="0.3">
      <c r="B4683" s="7">
        <v>44197</v>
      </c>
      <c r="C4683" s="3">
        <f t="shared" si="146"/>
        <v>2021</v>
      </c>
      <c r="D4683" s="3">
        <f t="shared" si="147"/>
        <v>202101</v>
      </c>
      <c r="E4683" s="5" t="s">
        <v>6</v>
      </c>
      <c r="F4683" s="5" t="s">
        <v>11</v>
      </c>
      <c r="G4683" s="5" t="s">
        <v>41</v>
      </c>
      <c r="H4683">
        <v>32</v>
      </c>
      <c r="I4683" s="4">
        <v>337120</v>
      </c>
      <c r="J4683" s="4">
        <v>165984</v>
      </c>
    </row>
    <row r="4684" spans="2:10" x14ac:dyDescent="0.3">
      <c r="B4684" s="7">
        <v>44228</v>
      </c>
      <c r="C4684" s="3">
        <f t="shared" si="146"/>
        <v>2021</v>
      </c>
      <c r="D4684" s="3">
        <f t="shared" si="147"/>
        <v>202102</v>
      </c>
      <c r="E4684" s="5" t="s">
        <v>6</v>
      </c>
      <c r="F4684" s="5" t="s">
        <v>11</v>
      </c>
      <c r="G4684" s="5" t="s">
        <v>41</v>
      </c>
      <c r="H4684">
        <v>20</v>
      </c>
      <c r="I4684" s="4">
        <v>212860</v>
      </c>
      <c r="J4684" s="4">
        <v>103740</v>
      </c>
    </row>
    <row r="4685" spans="2:10" x14ac:dyDescent="0.3">
      <c r="B4685" s="7">
        <v>44256</v>
      </c>
      <c r="C4685" s="3">
        <f t="shared" si="146"/>
        <v>2021</v>
      </c>
      <c r="D4685" s="3">
        <f t="shared" si="147"/>
        <v>202103</v>
      </c>
      <c r="E4685" s="5" t="s">
        <v>6</v>
      </c>
      <c r="F4685" s="5" t="s">
        <v>11</v>
      </c>
      <c r="G4685" s="5" t="s">
        <v>41</v>
      </c>
      <c r="H4685">
        <v>16</v>
      </c>
      <c r="I4685" s="4">
        <v>159936</v>
      </c>
      <c r="J4685" s="4">
        <v>82992</v>
      </c>
    </row>
    <row r="4686" spans="2:10" x14ac:dyDescent="0.3">
      <c r="B4686" s="7">
        <v>44287</v>
      </c>
      <c r="C4686" s="3">
        <f t="shared" si="146"/>
        <v>2021</v>
      </c>
      <c r="D4686" s="3">
        <f t="shared" si="147"/>
        <v>202104</v>
      </c>
      <c r="E4686" s="5" t="s">
        <v>6</v>
      </c>
      <c r="F4686" s="5" t="s">
        <v>11</v>
      </c>
      <c r="G4686" s="5" t="s">
        <v>41</v>
      </c>
      <c r="H4686">
        <v>30</v>
      </c>
      <c r="I4686" s="4">
        <v>321840</v>
      </c>
      <c r="J4686" s="4">
        <v>155610</v>
      </c>
    </row>
    <row r="4687" spans="2:10" x14ac:dyDescent="0.3">
      <c r="B4687" s="7">
        <v>44317</v>
      </c>
      <c r="C4687" s="3">
        <f t="shared" si="146"/>
        <v>2021</v>
      </c>
      <c r="D4687" s="3">
        <f t="shared" si="147"/>
        <v>202105</v>
      </c>
      <c r="E4687" s="5" t="s">
        <v>6</v>
      </c>
      <c r="F4687" s="5" t="s">
        <v>11</v>
      </c>
      <c r="G4687" s="5" t="s">
        <v>41</v>
      </c>
      <c r="H4687">
        <v>37</v>
      </c>
      <c r="I4687" s="4">
        <v>430828</v>
      </c>
      <c r="J4687" s="4">
        <v>191919</v>
      </c>
    </row>
    <row r="4688" spans="2:10" x14ac:dyDescent="0.3">
      <c r="B4688" s="7">
        <v>44348</v>
      </c>
      <c r="C4688" s="3">
        <f t="shared" si="146"/>
        <v>2021</v>
      </c>
      <c r="D4688" s="3">
        <f t="shared" si="147"/>
        <v>202106</v>
      </c>
      <c r="E4688" s="5" t="s">
        <v>6</v>
      </c>
      <c r="F4688" s="5" t="s">
        <v>11</v>
      </c>
      <c r="G4688" s="5" t="s">
        <v>41</v>
      </c>
      <c r="H4688">
        <v>35</v>
      </c>
      <c r="I4688" s="4">
        <v>372540</v>
      </c>
      <c r="J4688" s="4">
        <v>181545</v>
      </c>
    </row>
    <row r="4689" spans="2:10" x14ac:dyDescent="0.3">
      <c r="B4689" s="7">
        <v>44378</v>
      </c>
      <c r="C4689" s="3">
        <f t="shared" si="146"/>
        <v>2021</v>
      </c>
      <c r="D4689" s="3">
        <f t="shared" si="147"/>
        <v>202107</v>
      </c>
      <c r="E4689" s="5" t="s">
        <v>6</v>
      </c>
      <c r="F4689" s="5" t="s">
        <v>11</v>
      </c>
      <c r="G4689" s="5" t="s">
        <v>41</v>
      </c>
      <c r="H4689">
        <v>37</v>
      </c>
      <c r="I4689" s="4">
        <v>328634</v>
      </c>
      <c r="J4689" s="4">
        <v>191919</v>
      </c>
    </row>
    <row r="4690" spans="2:10" x14ac:dyDescent="0.3">
      <c r="B4690" s="7">
        <v>44409</v>
      </c>
      <c r="C4690" s="3">
        <f t="shared" si="146"/>
        <v>2021</v>
      </c>
      <c r="D4690" s="3">
        <f t="shared" si="147"/>
        <v>202108</v>
      </c>
      <c r="E4690" s="5" t="s">
        <v>6</v>
      </c>
      <c r="F4690" s="5" t="s">
        <v>11</v>
      </c>
      <c r="G4690" s="5" t="s">
        <v>41</v>
      </c>
      <c r="H4690">
        <v>32</v>
      </c>
      <c r="I4690" s="4">
        <v>306368</v>
      </c>
      <c r="J4690" s="4">
        <v>165984</v>
      </c>
    </row>
    <row r="4691" spans="2:10" x14ac:dyDescent="0.3">
      <c r="B4691" s="7">
        <v>44440</v>
      </c>
      <c r="C4691" s="3">
        <f t="shared" si="146"/>
        <v>2021</v>
      </c>
      <c r="D4691" s="3">
        <f t="shared" si="147"/>
        <v>202109</v>
      </c>
      <c r="E4691" s="5" t="s">
        <v>6</v>
      </c>
      <c r="F4691" s="5" t="s">
        <v>11</v>
      </c>
      <c r="G4691" s="5" t="s">
        <v>41</v>
      </c>
      <c r="H4691">
        <v>33</v>
      </c>
      <c r="I4691" s="4">
        <v>339009</v>
      </c>
      <c r="J4691" s="4">
        <v>171171</v>
      </c>
    </row>
    <row r="4692" spans="2:10" x14ac:dyDescent="0.3">
      <c r="B4692" s="7">
        <v>44470</v>
      </c>
      <c r="C4692" s="3">
        <f t="shared" si="146"/>
        <v>2021</v>
      </c>
      <c r="D4692" s="3">
        <f t="shared" si="147"/>
        <v>202110</v>
      </c>
      <c r="E4692" s="5" t="s">
        <v>6</v>
      </c>
      <c r="F4692" s="5" t="s">
        <v>11</v>
      </c>
      <c r="G4692" s="5" t="s">
        <v>41</v>
      </c>
      <c r="H4692">
        <v>28</v>
      </c>
      <c r="I4692" s="4">
        <v>293468</v>
      </c>
      <c r="J4692" s="4">
        <v>145236</v>
      </c>
    </row>
    <row r="4693" spans="2:10" x14ac:dyDescent="0.3">
      <c r="B4693" s="7">
        <v>44501</v>
      </c>
      <c r="C4693" s="3">
        <f t="shared" si="146"/>
        <v>2021</v>
      </c>
      <c r="D4693" s="3">
        <f t="shared" si="147"/>
        <v>202111</v>
      </c>
      <c r="E4693" s="5" t="s">
        <v>6</v>
      </c>
      <c r="F4693" s="5" t="s">
        <v>11</v>
      </c>
      <c r="G4693" s="5" t="s">
        <v>41</v>
      </c>
      <c r="H4693">
        <v>20</v>
      </c>
      <c r="I4693" s="4">
        <v>202220</v>
      </c>
      <c r="J4693" s="4">
        <v>103740</v>
      </c>
    </row>
    <row r="4694" spans="2:10" x14ac:dyDescent="0.3">
      <c r="B4694" s="7">
        <v>44531</v>
      </c>
      <c r="C4694" s="3">
        <f t="shared" si="146"/>
        <v>2021</v>
      </c>
      <c r="D4694" s="3">
        <f t="shared" si="147"/>
        <v>202112</v>
      </c>
      <c r="E4694" s="5" t="s">
        <v>6</v>
      </c>
      <c r="F4694" s="5" t="s">
        <v>11</v>
      </c>
      <c r="G4694" s="5" t="s">
        <v>41</v>
      </c>
      <c r="H4694">
        <v>24</v>
      </c>
      <c r="I4694" s="4">
        <v>222408</v>
      </c>
      <c r="J4694" s="4">
        <v>124488</v>
      </c>
    </row>
    <row r="4695" spans="2:10" x14ac:dyDescent="0.3">
      <c r="B4695" s="7">
        <v>44562</v>
      </c>
      <c r="C4695" s="3">
        <f t="shared" si="146"/>
        <v>2022</v>
      </c>
      <c r="D4695" s="3">
        <f t="shared" si="147"/>
        <v>202201</v>
      </c>
      <c r="E4695" s="5" t="s">
        <v>6</v>
      </c>
      <c r="F4695" s="5" t="s">
        <v>11</v>
      </c>
      <c r="G4695" s="5" t="s">
        <v>41</v>
      </c>
      <c r="H4695">
        <v>35</v>
      </c>
      <c r="I4695" s="4">
        <v>376845</v>
      </c>
      <c r="J4695" s="4">
        <v>181545</v>
      </c>
    </row>
    <row r="4696" spans="2:10" x14ac:dyDescent="0.3">
      <c r="B4696" s="7">
        <v>44593</v>
      </c>
      <c r="C4696" s="3">
        <f t="shared" si="146"/>
        <v>2022</v>
      </c>
      <c r="D4696" s="3">
        <f t="shared" si="147"/>
        <v>202202</v>
      </c>
      <c r="E4696" s="5" t="s">
        <v>6</v>
      </c>
      <c r="F4696" s="5" t="s">
        <v>11</v>
      </c>
      <c r="G4696" s="5" t="s">
        <v>41</v>
      </c>
      <c r="H4696">
        <v>22</v>
      </c>
      <c r="I4696" s="4">
        <v>237886</v>
      </c>
      <c r="J4696" s="4">
        <v>114114</v>
      </c>
    </row>
    <row r="4697" spans="2:10" x14ac:dyDescent="0.3">
      <c r="B4697" s="7">
        <v>44621</v>
      </c>
      <c r="C4697" s="3">
        <f t="shared" si="146"/>
        <v>2022</v>
      </c>
      <c r="D4697" s="3">
        <f t="shared" si="147"/>
        <v>202203</v>
      </c>
      <c r="E4697" s="5" t="s">
        <v>6</v>
      </c>
      <c r="F4697" s="5" t="s">
        <v>11</v>
      </c>
      <c r="G4697" s="5" t="s">
        <v>41</v>
      </c>
      <c r="H4697">
        <v>18</v>
      </c>
      <c r="I4697" s="4">
        <v>169956</v>
      </c>
      <c r="J4697" s="4">
        <v>93366</v>
      </c>
    </row>
    <row r="4698" spans="2:10" x14ac:dyDescent="0.3">
      <c r="B4698" s="7">
        <v>44652</v>
      </c>
      <c r="C4698" s="3">
        <f t="shared" si="146"/>
        <v>2022</v>
      </c>
      <c r="D4698" s="3">
        <f t="shared" si="147"/>
        <v>202204</v>
      </c>
      <c r="E4698" s="5" t="s">
        <v>6</v>
      </c>
      <c r="F4698" s="5" t="s">
        <v>11</v>
      </c>
      <c r="G4698" s="5" t="s">
        <v>41</v>
      </c>
      <c r="H4698">
        <v>33</v>
      </c>
      <c r="I4698" s="4">
        <v>350394</v>
      </c>
      <c r="J4698" s="4">
        <v>171171</v>
      </c>
    </row>
    <row r="4699" spans="2:10" x14ac:dyDescent="0.3">
      <c r="B4699" s="7">
        <v>44682</v>
      </c>
      <c r="C4699" s="3">
        <f t="shared" si="146"/>
        <v>2022</v>
      </c>
      <c r="D4699" s="3">
        <f t="shared" si="147"/>
        <v>202205</v>
      </c>
      <c r="E4699" s="5" t="s">
        <v>6</v>
      </c>
      <c r="F4699" s="5" t="s">
        <v>11</v>
      </c>
      <c r="G4699" s="5" t="s">
        <v>41</v>
      </c>
      <c r="H4699">
        <v>41</v>
      </c>
      <c r="I4699" s="4">
        <v>465186</v>
      </c>
      <c r="J4699" s="4">
        <v>212667</v>
      </c>
    </row>
    <row r="4700" spans="2:10" x14ac:dyDescent="0.3">
      <c r="B4700" s="7">
        <v>44713</v>
      </c>
      <c r="C4700" s="3">
        <f t="shared" si="146"/>
        <v>2022</v>
      </c>
      <c r="D4700" s="3">
        <f t="shared" si="147"/>
        <v>202206</v>
      </c>
      <c r="E4700" s="5" t="s">
        <v>6</v>
      </c>
      <c r="F4700" s="5" t="s">
        <v>11</v>
      </c>
      <c r="G4700" s="5" t="s">
        <v>41</v>
      </c>
      <c r="H4700">
        <v>39</v>
      </c>
      <c r="I4700" s="4">
        <v>407862</v>
      </c>
      <c r="J4700" s="4">
        <v>202293</v>
      </c>
    </row>
    <row r="4701" spans="2:10" x14ac:dyDescent="0.3">
      <c r="B4701" s="7">
        <v>44743</v>
      </c>
      <c r="C4701" s="3">
        <f t="shared" si="146"/>
        <v>2022</v>
      </c>
      <c r="D4701" s="3">
        <f t="shared" si="147"/>
        <v>202207</v>
      </c>
      <c r="E4701" s="5" t="s">
        <v>6</v>
      </c>
      <c r="F4701" s="5" t="s">
        <v>11</v>
      </c>
      <c r="G4701" s="5" t="s">
        <v>41</v>
      </c>
      <c r="H4701">
        <v>41</v>
      </c>
      <c r="I4701" s="4">
        <v>375396</v>
      </c>
      <c r="J4701" s="4">
        <v>212667</v>
      </c>
    </row>
    <row r="4702" spans="2:10" x14ac:dyDescent="0.3">
      <c r="B4702" s="7">
        <v>44774</v>
      </c>
      <c r="C4702" s="3">
        <f t="shared" si="146"/>
        <v>2022</v>
      </c>
      <c r="D4702" s="3">
        <f t="shared" si="147"/>
        <v>202208</v>
      </c>
      <c r="E4702" s="5" t="s">
        <v>6</v>
      </c>
      <c r="F4702" s="5" t="s">
        <v>11</v>
      </c>
      <c r="G4702" s="5" t="s">
        <v>41</v>
      </c>
      <c r="H4702">
        <v>35</v>
      </c>
      <c r="I4702" s="4">
        <v>327075</v>
      </c>
      <c r="J4702" s="4">
        <v>181545</v>
      </c>
    </row>
    <row r="4703" spans="2:10" x14ac:dyDescent="0.3">
      <c r="B4703" s="7">
        <v>44805</v>
      </c>
      <c r="C4703" s="3">
        <f t="shared" si="146"/>
        <v>2022</v>
      </c>
      <c r="D4703" s="3">
        <f t="shared" si="147"/>
        <v>202209</v>
      </c>
      <c r="E4703" s="5" t="s">
        <v>6</v>
      </c>
      <c r="F4703" s="5" t="s">
        <v>11</v>
      </c>
      <c r="G4703" s="5" t="s">
        <v>41</v>
      </c>
      <c r="H4703">
        <v>37</v>
      </c>
      <c r="I4703" s="4">
        <v>390905</v>
      </c>
      <c r="J4703" s="4">
        <v>191919</v>
      </c>
    </row>
    <row r="4704" spans="2:10" x14ac:dyDescent="0.3">
      <c r="B4704" s="7">
        <v>44835</v>
      </c>
      <c r="C4704" s="3">
        <f t="shared" si="146"/>
        <v>2022</v>
      </c>
      <c r="D4704" s="3">
        <f t="shared" si="147"/>
        <v>202210</v>
      </c>
      <c r="E4704" s="5" t="s">
        <v>6</v>
      </c>
      <c r="F4704" s="5" t="s">
        <v>11</v>
      </c>
      <c r="G4704" s="5" t="s">
        <v>41</v>
      </c>
      <c r="H4704">
        <v>30</v>
      </c>
      <c r="I4704" s="4">
        <v>328680</v>
      </c>
      <c r="J4704" s="4">
        <v>155610</v>
      </c>
    </row>
    <row r="4705" spans="2:10" x14ac:dyDescent="0.3">
      <c r="B4705" s="7">
        <v>44866</v>
      </c>
      <c r="C4705" s="3">
        <f t="shared" si="146"/>
        <v>2022</v>
      </c>
      <c r="D4705" s="3">
        <f t="shared" si="147"/>
        <v>202211</v>
      </c>
      <c r="E4705" s="5" t="s">
        <v>6</v>
      </c>
      <c r="F4705" s="5" t="s">
        <v>11</v>
      </c>
      <c r="G4705" s="5" t="s">
        <v>41</v>
      </c>
      <c r="H4705">
        <v>22</v>
      </c>
      <c r="I4705" s="4">
        <v>225830</v>
      </c>
      <c r="J4705" s="4">
        <v>114114</v>
      </c>
    </row>
    <row r="4706" spans="2:10" x14ac:dyDescent="0.3">
      <c r="B4706" s="7">
        <v>44896</v>
      </c>
      <c r="C4706" s="3">
        <f t="shared" si="146"/>
        <v>2022</v>
      </c>
      <c r="D4706" s="3">
        <f t="shared" si="147"/>
        <v>202212</v>
      </c>
      <c r="E4706" s="5" t="s">
        <v>6</v>
      </c>
      <c r="F4706" s="5" t="s">
        <v>11</v>
      </c>
      <c r="G4706" s="5" t="s">
        <v>41</v>
      </c>
      <c r="H4706">
        <v>26</v>
      </c>
      <c r="I4706" s="4">
        <v>274924</v>
      </c>
      <c r="J4706" s="4">
        <v>134862</v>
      </c>
    </row>
    <row r="4707" spans="2:10" x14ac:dyDescent="0.3">
      <c r="B4707" s="7">
        <v>44197</v>
      </c>
      <c r="C4707" s="3">
        <f t="shared" si="146"/>
        <v>2021</v>
      </c>
      <c r="D4707" s="3">
        <f t="shared" si="147"/>
        <v>202101</v>
      </c>
      <c r="E4707" s="5" t="s">
        <v>6</v>
      </c>
      <c r="F4707" s="5" t="s">
        <v>12</v>
      </c>
      <c r="G4707" s="5" t="s">
        <v>42</v>
      </c>
      <c r="H4707">
        <v>34</v>
      </c>
      <c r="I4707" s="4">
        <v>439688</v>
      </c>
      <c r="J4707" s="4">
        <v>204000</v>
      </c>
    </row>
    <row r="4708" spans="2:10" x14ac:dyDescent="0.3">
      <c r="B4708" s="7">
        <v>44228</v>
      </c>
      <c r="C4708" s="3">
        <f t="shared" si="146"/>
        <v>2021</v>
      </c>
      <c r="D4708" s="3">
        <f t="shared" si="147"/>
        <v>202102</v>
      </c>
      <c r="E4708" s="5" t="s">
        <v>6</v>
      </c>
      <c r="F4708" s="5" t="s">
        <v>12</v>
      </c>
      <c r="G4708" s="5" t="s">
        <v>42</v>
      </c>
      <c r="H4708">
        <v>21</v>
      </c>
      <c r="I4708" s="4">
        <v>284928</v>
      </c>
      <c r="J4708" s="4">
        <v>126000</v>
      </c>
    </row>
    <row r="4709" spans="2:10" x14ac:dyDescent="0.3">
      <c r="B4709" s="7">
        <v>44256</v>
      </c>
      <c r="C4709" s="3">
        <f t="shared" si="146"/>
        <v>2021</v>
      </c>
      <c r="D4709" s="3">
        <f t="shared" si="147"/>
        <v>202103</v>
      </c>
      <c r="E4709" s="5" t="s">
        <v>6</v>
      </c>
      <c r="F4709" s="5" t="s">
        <v>12</v>
      </c>
      <c r="G4709" s="5" t="s">
        <v>42</v>
      </c>
      <c r="H4709">
        <v>17</v>
      </c>
      <c r="I4709" s="4">
        <v>213639</v>
      </c>
      <c r="J4709" s="4">
        <v>102000</v>
      </c>
    </row>
    <row r="4710" spans="2:10" x14ac:dyDescent="0.3">
      <c r="B4710" s="7">
        <v>44287</v>
      </c>
      <c r="C4710" s="3">
        <f t="shared" si="146"/>
        <v>2021</v>
      </c>
      <c r="D4710" s="3">
        <f t="shared" si="147"/>
        <v>202104</v>
      </c>
      <c r="E4710" s="5" t="s">
        <v>6</v>
      </c>
      <c r="F4710" s="5" t="s">
        <v>12</v>
      </c>
      <c r="G4710" s="5" t="s">
        <v>42</v>
      </c>
      <c r="H4710">
        <v>32</v>
      </c>
      <c r="I4710" s="4">
        <v>436192</v>
      </c>
      <c r="J4710" s="4">
        <v>192000</v>
      </c>
    </row>
    <row r="4711" spans="2:10" x14ac:dyDescent="0.3">
      <c r="B4711" s="7">
        <v>44317</v>
      </c>
      <c r="C4711" s="3">
        <f t="shared" si="146"/>
        <v>2021</v>
      </c>
      <c r="D4711" s="3">
        <f t="shared" si="147"/>
        <v>202105</v>
      </c>
      <c r="E4711" s="5" t="s">
        <v>6</v>
      </c>
      <c r="F4711" s="5" t="s">
        <v>12</v>
      </c>
      <c r="G4711" s="5" t="s">
        <v>42</v>
      </c>
      <c r="H4711">
        <v>40</v>
      </c>
      <c r="I4711" s="4">
        <v>544680</v>
      </c>
      <c r="J4711" s="4">
        <v>240000</v>
      </c>
    </row>
    <row r="4712" spans="2:10" x14ac:dyDescent="0.3">
      <c r="B4712" s="7">
        <v>44348</v>
      </c>
      <c r="C4712" s="3">
        <f t="shared" si="146"/>
        <v>2021</v>
      </c>
      <c r="D4712" s="3">
        <f t="shared" si="147"/>
        <v>202106</v>
      </c>
      <c r="E4712" s="5" t="s">
        <v>6</v>
      </c>
      <c r="F4712" s="5" t="s">
        <v>12</v>
      </c>
      <c r="G4712" s="5" t="s">
        <v>42</v>
      </c>
      <c r="H4712">
        <v>38</v>
      </c>
      <c r="I4712" s="4">
        <v>525768</v>
      </c>
      <c r="J4712" s="4">
        <v>228000</v>
      </c>
    </row>
    <row r="4713" spans="2:10" x14ac:dyDescent="0.3">
      <c r="B4713" s="7">
        <v>44378</v>
      </c>
      <c r="C4713" s="3">
        <f t="shared" si="146"/>
        <v>2021</v>
      </c>
      <c r="D4713" s="3">
        <f t="shared" si="147"/>
        <v>202107</v>
      </c>
      <c r="E4713" s="5" t="s">
        <v>6</v>
      </c>
      <c r="F4713" s="5" t="s">
        <v>12</v>
      </c>
      <c r="G4713" s="5" t="s">
        <v>42</v>
      </c>
      <c r="H4713">
        <v>40</v>
      </c>
      <c r="I4713" s="4">
        <v>460000</v>
      </c>
      <c r="J4713" s="4">
        <v>240000</v>
      </c>
    </row>
    <row r="4714" spans="2:10" x14ac:dyDescent="0.3">
      <c r="B4714" s="7">
        <v>44409</v>
      </c>
      <c r="C4714" s="3">
        <f t="shared" si="146"/>
        <v>2021</v>
      </c>
      <c r="D4714" s="3">
        <f t="shared" si="147"/>
        <v>202108</v>
      </c>
      <c r="E4714" s="5" t="s">
        <v>6</v>
      </c>
      <c r="F4714" s="5" t="s">
        <v>12</v>
      </c>
      <c r="G4714" s="5" t="s">
        <v>42</v>
      </c>
      <c r="H4714">
        <v>34</v>
      </c>
      <c r="I4714" s="4">
        <v>451010</v>
      </c>
      <c r="J4714" s="4">
        <v>204000</v>
      </c>
    </row>
    <row r="4715" spans="2:10" x14ac:dyDescent="0.3">
      <c r="B4715" s="7">
        <v>44440</v>
      </c>
      <c r="C4715" s="3">
        <f t="shared" si="146"/>
        <v>2021</v>
      </c>
      <c r="D4715" s="3">
        <f t="shared" si="147"/>
        <v>202109</v>
      </c>
      <c r="E4715" s="5" t="s">
        <v>6</v>
      </c>
      <c r="F4715" s="5" t="s">
        <v>12</v>
      </c>
      <c r="G4715" s="5" t="s">
        <v>42</v>
      </c>
      <c r="H4715">
        <v>36</v>
      </c>
      <c r="I4715" s="4">
        <v>449604</v>
      </c>
      <c r="J4715" s="4">
        <v>216000</v>
      </c>
    </row>
    <row r="4716" spans="2:10" x14ac:dyDescent="0.3">
      <c r="B4716" s="7">
        <v>44470</v>
      </c>
      <c r="C4716" s="3">
        <f t="shared" si="146"/>
        <v>2021</v>
      </c>
      <c r="D4716" s="3">
        <f t="shared" si="147"/>
        <v>202110</v>
      </c>
      <c r="E4716" s="5" t="s">
        <v>6</v>
      </c>
      <c r="F4716" s="5" t="s">
        <v>12</v>
      </c>
      <c r="G4716" s="5" t="s">
        <v>42</v>
      </c>
      <c r="H4716">
        <v>30</v>
      </c>
      <c r="I4716" s="4">
        <v>422130</v>
      </c>
      <c r="J4716" s="4">
        <v>180000</v>
      </c>
    </row>
    <row r="4717" spans="2:10" x14ac:dyDescent="0.3">
      <c r="B4717" s="7">
        <v>44501</v>
      </c>
      <c r="C4717" s="3">
        <f t="shared" si="146"/>
        <v>2021</v>
      </c>
      <c r="D4717" s="3">
        <f t="shared" si="147"/>
        <v>202111</v>
      </c>
      <c r="E4717" s="5" t="s">
        <v>6</v>
      </c>
      <c r="F4717" s="5" t="s">
        <v>12</v>
      </c>
      <c r="G4717" s="5" t="s">
        <v>42</v>
      </c>
      <c r="H4717">
        <v>21</v>
      </c>
      <c r="I4717" s="4">
        <v>265440</v>
      </c>
      <c r="J4717" s="4">
        <v>126000</v>
      </c>
    </row>
    <row r="4718" spans="2:10" x14ac:dyDescent="0.3">
      <c r="B4718" s="7">
        <v>44531</v>
      </c>
      <c r="C4718" s="3">
        <f t="shared" si="146"/>
        <v>2021</v>
      </c>
      <c r="D4718" s="3">
        <f t="shared" si="147"/>
        <v>202112</v>
      </c>
      <c r="E4718" s="5" t="s">
        <v>6</v>
      </c>
      <c r="F4718" s="5" t="s">
        <v>12</v>
      </c>
      <c r="G4718" s="5" t="s">
        <v>42</v>
      </c>
      <c r="H4718">
        <v>25</v>
      </c>
      <c r="I4718" s="4">
        <v>310650</v>
      </c>
      <c r="J4718" s="4">
        <v>150000</v>
      </c>
    </row>
    <row r="4719" spans="2:10" x14ac:dyDescent="0.3">
      <c r="B4719" s="7">
        <v>44562</v>
      </c>
      <c r="C4719" s="3">
        <f t="shared" si="146"/>
        <v>2022</v>
      </c>
      <c r="D4719" s="3">
        <f t="shared" si="147"/>
        <v>202201</v>
      </c>
      <c r="E4719" s="5" t="s">
        <v>6</v>
      </c>
      <c r="F4719" s="5" t="s">
        <v>12</v>
      </c>
      <c r="G4719" s="5" t="s">
        <v>42</v>
      </c>
      <c r="H4719">
        <v>37</v>
      </c>
      <c r="I4719" s="4">
        <v>506234</v>
      </c>
      <c r="J4719" s="4">
        <v>222000</v>
      </c>
    </row>
    <row r="4720" spans="2:10" x14ac:dyDescent="0.3">
      <c r="B4720" s="7">
        <v>44593</v>
      </c>
      <c r="C4720" s="3">
        <f t="shared" si="146"/>
        <v>2022</v>
      </c>
      <c r="D4720" s="3">
        <f t="shared" si="147"/>
        <v>202202</v>
      </c>
      <c r="E4720" s="5" t="s">
        <v>6</v>
      </c>
      <c r="F4720" s="5" t="s">
        <v>12</v>
      </c>
      <c r="G4720" s="5" t="s">
        <v>42</v>
      </c>
      <c r="H4720">
        <v>23</v>
      </c>
      <c r="I4720" s="4">
        <v>298310</v>
      </c>
      <c r="J4720" s="4">
        <v>138000</v>
      </c>
    </row>
    <row r="4721" spans="2:10" x14ac:dyDescent="0.3">
      <c r="B4721" s="7">
        <v>44621</v>
      </c>
      <c r="C4721" s="3">
        <f t="shared" si="146"/>
        <v>2022</v>
      </c>
      <c r="D4721" s="3">
        <f t="shared" si="147"/>
        <v>202203</v>
      </c>
      <c r="E4721" s="5" t="s">
        <v>6</v>
      </c>
      <c r="F4721" s="5" t="s">
        <v>12</v>
      </c>
      <c r="G4721" s="5" t="s">
        <v>42</v>
      </c>
      <c r="H4721">
        <v>19</v>
      </c>
      <c r="I4721" s="4">
        <v>242953</v>
      </c>
      <c r="J4721" s="4">
        <v>114000</v>
      </c>
    </row>
    <row r="4722" spans="2:10" x14ac:dyDescent="0.3">
      <c r="B4722" s="7">
        <v>44652</v>
      </c>
      <c r="C4722" s="3">
        <f t="shared" si="146"/>
        <v>2022</v>
      </c>
      <c r="D4722" s="3">
        <f t="shared" si="147"/>
        <v>202204</v>
      </c>
      <c r="E4722" s="5" t="s">
        <v>6</v>
      </c>
      <c r="F4722" s="5" t="s">
        <v>12</v>
      </c>
      <c r="G4722" s="5" t="s">
        <v>42</v>
      </c>
      <c r="H4722">
        <v>35</v>
      </c>
      <c r="I4722" s="4">
        <v>492380</v>
      </c>
      <c r="J4722" s="4">
        <v>210000</v>
      </c>
    </row>
    <row r="4723" spans="2:10" x14ac:dyDescent="0.3">
      <c r="B4723" s="7">
        <v>44682</v>
      </c>
      <c r="C4723" s="3">
        <f t="shared" si="146"/>
        <v>2022</v>
      </c>
      <c r="D4723" s="3">
        <f t="shared" si="147"/>
        <v>202205</v>
      </c>
      <c r="E4723" s="5" t="s">
        <v>6</v>
      </c>
      <c r="F4723" s="5" t="s">
        <v>12</v>
      </c>
      <c r="G4723" s="5" t="s">
        <v>42</v>
      </c>
      <c r="H4723">
        <v>44</v>
      </c>
      <c r="I4723" s="4">
        <v>600864</v>
      </c>
      <c r="J4723" s="4">
        <v>264000</v>
      </c>
    </row>
    <row r="4724" spans="2:10" x14ac:dyDescent="0.3">
      <c r="B4724" s="7">
        <v>44713</v>
      </c>
      <c r="C4724" s="3">
        <f t="shared" si="146"/>
        <v>2022</v>
      </c>
      <c r="D4724" s="3">
        <f t="shared" si="147"/>
        <v>202206</v>
      </c>
      <c r="E4724" s="5" t="s">
        <v>6</v>
      </c>
      <c r="F4724" s="5" t="s">
        <v>12</v>
      </c>
      <c r="G4724" s="5" t="s">
        <v>42</v>
      </c>
      <c r="H4724">
        <v>42</v>
      </c>
      <c r="I4724" s="4">
        <v>561750</v>
      </c>
      <c r="J4724" s="4">
        <v>252000</v>
      </c>
    </row>
    <row r="4725" spans="2:10" x14ac:dyDescent="0.3">
      <c r="B4725" s="7">
        <v>44743</v>
      </c>
      <c r="C4725" s="3">
        <f t="shared" si="146"/>
        <v>2022</v>
      </c>
      <c r="D4725" s="3">
        <f t="shared" si="147"/>
        <v>202207</v>
      </c>
      <c r="E4725" s="5" t="s">
        <v>6</v>
      </c>
      <c r="F4725" s="5" t="s">
        <v>12</v>
      </c>
      <c r="G4725" s="5" t="s">
        <v>42</v>
      </c>
      <c r="H4725">
        <v>44</v>
      </c>
      <c r="I4725" s="4">
        <v>528352</v>
      </c>
      <c r="J4725" s="4">
        <v>264000</v>
      </c>
    </row>
    <row r="4726" spans="2:10" x14ac:dyDescent="0.3">
      <c r="B4726" s="7">
        <v>44774</v>
      </c>
      <c r="C4726" s="3">
        <f t="shared" si="146"/>
        <v>2022</v>
      </c>
      <c r="D4726" s="3">
        <f t="shared" si="147"/>
        <v>202208</v>
      </c>
      <c r="E4726" s="5" t="s">
        <v>6</v>
      </c>
      <c r="F4726" s="5" t="s">
        <v>12</v>
      </c>
      <c r="G4726" s="5" t="s">
        <v>42</v>
      </c>
      <c r="H4726">
        <v>37</v>
      </c>
      <c r="I4726" s="4">
        <v>468494</v>
      </c>
      <c r="J4726" s="4">
        <v>222000</v>
      </c>
    </row>
    <row r="4727" spans="2:10" x14ac:dyDescent="0.3">
      <c r="B4727" s="7">
        <v>44805</v>
      </c>
      <c r="C4727" s="3">
        <f t="shared" si="146"/>
        <v>2022</v>
      </c>
      <c r="D4727" s="3">
        <f t="shared" si="147"/>
        <v>202209</v>
      </c>
      <c r="E4727" s="5" t="s">
        <v>6</v>
      </c>
      <c r="F4727" s="5" t="s">
        <v>12</v>
      </c>
      <c r="G4727" s="5" t="s">
        <v>42</v>
      </c>
      <c r="H4727">
        <v>39</v>
      </c>
      <c r="I4727" s="4">
        <v>505908</v>
      </c>
      <c r="J4727" s="4">
        <v>234000</v>
      </c>
    </row>
    <row r="4728" spans="2:10" x14ac:dyDescent="0.3">
      <c r="B4728" s="7">
        <v>44835</v>
      </c>
      <c r="C4728" s="3">
        <f t="shared" si="146"/>
        <v>2022</v>
      </c>
      <c r="D4728" s="3">
        <f t="shared" si="147"/>
        <v>202210</v>
      </c>
      <c r="E4728" s="5" t="s">
        <v>6</v>
      </c>
      <c r="F4728" s="5" t="s">
        <v>12</v>
      </c>
      <c r="G4728" s="5" t="s">
        <v>42</v>
      </c>
      <c r="H4728">
        <v>33</v>
      </c>
      <c r="I4728" s="4">
        <v>446721</v>
      </c>
      <c r="J4728" s="4">
        <v>198000</v>
      </c>
    </row>
    <row r="4729" spans="2:10" x14ac:dyDescent="0.3">
      <c r="B4729" s="7">
        <v>44866</v>
      </c>
      <c r="C4729" s="3">
        <f t="shared" si="146"/>
        <v>2022</v>
      </c>
      <c r="D4729" s="3">
        <f t="shared" si="147"/>
        <v>202211</v>
      </c>
      <c r="E4729" s="5" t="s">
        <v>6</v>
      </c>
      <c r="F4729" s="5" t="s">
        <v>12</v>
      </c>
      <c r="G4729" s="5" t="s">
        <v>42</v>
      </c>
      <c r="H4729">
        <v>23</v>
      </c>
      <c r="I4729" s="4">
        <v>298586</v>
      </c>
      <c r="J4729" s="4">
        <v>138000</v>
      </c>
    </row>
    <row r="4730" spans="2:10" x14ac:dyDescent="0.3">
      <c r="B4730" s="7">
        <v>44896</v>
      </c>
      <c r="C4730" s="3">
        <f t="shared" si="146"/>
        <v>2022</v>
      </c>
      <c r="D4730" s="3">
        <f t="shared" si="147"/>
        <v>202212</v>
      </c>
      <c r="E4730" s="5" t="s">
        <v>6</v>
      </c>
      <c r="F4730" s="5" t="s">
        <v>12</v>
      </c>
      <c r="G4730" s="5" t="s">
        <v>42</v>
      </c>
      <c r="H4730">
        <v>28</v>
      </c>
      <c r="I4730" s="4">
        <v>356608</v>
      </c>
      <c r="J4730" s="4">
        <v>168000</v>
      </c>
    </row>
    <row r="4731" spans="2:10" x14ac:dyDescent="0.3">
      <c r="B4731" s="7">
        <v>44197</v>
      </c>
      <c r="C4731" s="3">
        <f t="shared" si="146"/>
        <v>2021</v>
      </c>
      <c r="D4731" s="3">
        <f t="shared" si="147"/>
        <v>202101</v>
      </c>
      <c r="E4731" s="5" t="s">
        <v>6</v>
      </c>
      <c r="F4731" s="5" t="s">
        <v>12</v>
      </c>
      <c r="G4731" s="5" t="s">
        <v>43</v>
      </c>
      <c r="H4731">
        <v>25</v>
      </c>
      <c r="I4731" s="4">
        <v>267250</v>
      </c>
      <c r="J4731" s="4">
        <v>132750</v>
      </c>
    </row>
    <row r="4732" spans="2:10" x14ac:dyDescent="0.3">
      <c r="B4732" s="7">
        <v>44228</v>
      </c>
      <c r="C4732" s="3">
        <f t="shared" si="146"/>
        <v>2021</v>
      </c>
      <c r="D4732" s="3">
        <f t="shared" si="147"/>
        <v>202102</v>
      </c>
      <c r="E4732" s="5" t="s">
        <v>6</v>
      </c>
      <c r="F4732" s="5" t="s">
        <v>12</v>
      </c>
      <c r="G4732" s="5" t="s">
        <v>43</v>
      </c>
      <c r="H4732">
        <v>16</v>
      </c>
      <c r="I4732" s="4">
        <v>171232</v>
      </c>
      <c r="J4732" s="4">
        <v>84960</v>
      </c>
    </row>
    <row r="4733" spans="2:10" x14ac:dyDescent="0.3">
      <c r="B4733" s="7">
        <v>44256</v>
      </c>
      <c r="C4733" s="3">
        <f t="shared" si="146"/>
        <v>2021</v>
      </c>
      <c r="D4733" s="3">
        <f t="shared" si="147"/>
        <v>202103</v>
      </c>
      <c r="E4733" s="5" t="s">
        <v>6</v>
      </c>
      <c r="F4733" s="5" t="s">
        <v>12</v>
      </c>
      <c r="G4733" s="5" t="s">
        <v>43</v>
      </c>
      <c r="H4733">
        <v>13</v>
      </c>
      <c r="I4733" s="4">
        <v>128921</v>
      </c>
      <c r="J4733" s="4">
        <v>69030</v>
      </c>
    </row>
    <row r="4734" spans="2:10" x14ac:dyDescent="0.3">
      <c r="B4734" s="7">
        <v>44287</v>
      </c>
      <c r="C4734" s="3">
        <f t="shared" si="146"/>
        <v>2021</v>
      </c>
      <c r="D4734" s="3">
        <f t="shared" si="147"/>
        <v>202104</v>
      </c>
      <c r="E4734" s="5" t="s">
        <v>6</v>
      </c>
      <c r="F4734" s="5" t="s">
        <v>12</v>
      </c>
      <c r="G4734" s="5" t="s">
        <v>43</v>
      </c>
      <c r="H4734">
        <v>23</v>
      </c>
      <c r="I4734" s="4">
        <v>247089</v>
      </c>
      <c r="J4734" s="4">
        <v>122130</v>
      </c>
    </row>
    <row r="4735" spans="2:10" x14ac:dyDescent="0.3">
      <c r="B4735" s="7">
        <v>44317</v>
      </c>
      <c r="C4735" s="3">
        <f t="shared" si="146"/>
        <v>2021</v>
      </c>
      <c r="D4735" s="3">
        <f t="shared" si="147"/>
        <v>202105</v>
      </c>
      <c r="E4735" s="5" t="s">
        <v>6</v>
      </c>
      <c r="F4735" s="5" t="s">
        <v>12</v>
      </c>
      <c r="G4735" s="5" t="s">
        <v>43</v>
      </c>
      <c r="H4735">
        <v>29</v>
      </c>
      <c r="I4735" s="4">
        <v>333587</v>
      </c>
      <c r="J4735" s="4">
        <v>153990</v>
      </c>
    </row>
    <row r="4736" spans="2:10" x14ac:dyDescent="0.3">
      <c r="B4736" s="7">
        <v>44348</v>
      </c>
      <c r="C4736" s="3">
        <f t="shared" si="146"/>
        <v>2021</v>
      </c>
      <c r="D4736" s="3">
        <f t="shared" si="147"/>
        <v>202106</v>
      </c>
      <c r="E4736" s="5" t="s">
        <v>6</v>
      </c>
      <c r="F4736" s="5" t="s">
        <v>12</v>
      </c>
      <c r="G4736" s="5" t="s">
        <v>43</v>
      </c>
      <c r="H4736">
        <v>28</v>
      </c>
      <c r="I4736" s="4">
        <v>291536</v>
      </c>
      <c r="J4736" s="4">
        <v>148680</v>
      </c>
    </row>
    <row r="4737" spans="2:10" x14ac:dyDescent="0.3">
      <c r="B4737" s="7">
        <v>44378</v>
      </c>
      <c r="C4737" s="3">
        <f t="shared" si="146"/>
        <v>2021</v>
      </c>
      <c r="D4737" s="3">
        <f t="shared" si="147"/>
        <v>202107</v>
      </c>
      <c r="E4737" s="5" t="s">
        <v>6</v>
      </c>
      <c r="F4737" s="5" t="s">
        <v>12</v>
      </c>
      <c r="G4737" s="5" t="s">
        <v>43</v>
      </c>
      <c r="H4737">
        <v>29</v>
      </c>
      <c r="I4737" s="4">
        <v>258042</v>
      </c>
      <c r="J4737" s="4">
        <v>153990</v>
      </c>
    </row>
    <row r="4738" spans="2:10" x14ac:dyDescent="0.3">
      <c r="B4738" s="7">
        <v>44409</v>
      </c>
      <c r="C4738" s="3">
        <f t="shared" si="146"/>
        <v>2021</v>
      </c>
      <c r="D4738" s="3">
        <f t="shared" si="147"/>
        <v>202108</v>
      </c>
      <c r="E4738" s="5" t="s">
        <v>6</v>
      </c>
      <c r="F4738" s="5" t="s">
        <v>12</v>
      </c>
      <c r="G4738" s="5" t="s">
        <v>43</v>
      </c>
      <c r="H4738">
        <v>25</v>
      </c>
      <c r="I4738" s="4">
        <v>239225</v>
      </c>
      <c r="J4738" s="4">
        <v>132750</v>
      </c>
    </row>
    <row r="4739" spans="2:10" x14ac:dyDescent="0.3">
      <c r="B4739" s="7">
        <v>44440</v>
      </c>
      <c r="C4739" s="3">
        <f t="shared" ref="C4739:C4802" si="148">YEAR(B4739)</f>
        <v>2021</v>
      </c>
      <c r="D4739" s="3">
        <f t="shared" ref="D4739:D4802" si="149">VALUE(TEXT(B4739,"ГГГГММ"))</f>
        <v>202109</v>
      </c>
      <c r="E4739" s="5" t="s">
        <v>6</v>
      </c>
      <c r="F4739" s="5" t="s">
        <v>12</v>
      </c>
      <c r="G4739" s="5" t="s">
        <v>43</v>
      </c>
      <c r="H4739">
        <v>26</v>
      </c>
      <c r="I4739" s="4">
        <v>260000</v>
      </c>
      <c r="J4739" s="4">
        <v>138060</v>
      </c>
    </row>
    <row r="4740" spans="2:10" x14ac:dyDescent="0.3">
      <c r="B4740" s="7">
        <v>44470</v>
      </c>
      <c r="C4740" s="3">
        <f t="shared" si="148"/>
        <v>2021</v>
      </c>
      <c r="D4740" s="3">
        <f t="shared" si="149"/>
        <v>202110</v>
      </c>
      <c r="E4740" s="5" t="s">
        <v>6</v>
      </c>
      <c r="F4740" s="5" t="s">
        <v>12</v>
      </c>
      <c r="G4740" s="5" t="s">
        <v>43</v>
      </c>
      <c r="H4740">
        <v>22</v>
      </c>
      <c r="I4740" s="4">
        <v>225126</v>
      </c>
      <c r="J4740" s="4">
        <v>116820</v>
      </c>
    </row>
    <row r="4741" spans="2:10" x14ac:dyDescent="0.3">
      <c r="B4741" s="7">
        <v>44501</v>
      </c>
      <c r="C4741" s="3">
        <f t="shared" si="148"/>
        <v>2021</v>
      </c>
      <c r="D4741" s="3">
        <f t="shared" si="149"/>
        <v>202111</v>
      </c>
      <c r="E4741" s="5" t="s">
        <v>6</v>
      </c>
      <c r="F4741" s="5" t="s">
        <v>12</v>
      </c>
      <c r="G4741" s="5" t="s">
        <v>43</v>
      </c>
      <c r="H4741">
        <v>16</v>
      </c>
      <c r="I4741" s="4">
        <v>168784</v>
      </c>
      <c r="J4741" s="4">
        <v>84960</v>
      </c>
    </row>
    <row r="4742" spans="2:10" x14ac:dyDescent="0.3">
      <c r="B4742" s="7">
        <v>44531</v>
      </c>
      <c r="C4742" s="3">
        <f t="shared" si="148"/>
        <v>2021</v>
      </c>
      <c r="D4742" s="3">
        <f t="shared" si="149"/>
        <v>202112</v>
      </c>
      <c r="E4742" s="5" t="s">
        <v>6</v>
      </c>
      <c r="F4742" s="5" t="s">
        <v>12</v>
      </c>
      <c r="G4742" s="5" t="s">
        <v>43</v>
      </c>
      <c r="H4742">
        <v>19</v>
      </c>
      <c r="I4742" s="4">
        <v>185326</v>
      </c>
      <c r="J4742" s="4">
        <v>100890</v>
      </c>
    </row>
    <row r="4743" spans="2:10" x14ac:dyDescent="0.3">
      <c r="B4743" s="7">
        <v>44562</v>
      </c>
      <c r="C4743" s="3">
        <f t="shared" si="148"/>
        <v>2022</v>
      </c>
      <c r="D4743" s="3">
        <f t="shared" si="149"/>
        <v>202201</v>
      </c>
      <c r="E4743" s="5" t="s">
        <v>6</v>
      </c>
      <c r="F4743" s="5" t="s">
        <v>12</v>
      </c>
      <c r="G4743" s="5" t="s">
        <v>43</v>
      </c>
      <c r="H4743">
        <v>27</v>
      </c>
      <c r="I4743" s="4">
        <v>273537</v>
      </c>
      <c r="J4743" s="4">
        <v>143370</v>
      </c>
    </row>
    <row r="4744" spans="2:10" x14ac:dyDescent="0.3">
      <c r="B4744" s="7">
        <v>44593</v>
      </c>
      <c r="C4744" s="3">
        <f t="shared" si="148"/>
        <v>2022</v>
      </c>
      <c r="D4744" s="3">
        <f t="shared" si="149"/>
        <v>202202</v>
      </c>
      <c r="E4744" s="5" t="s">
        <v>6</v>
      </c>
      <c r="F4744" s="5" t="s">
        <v>12</v>
      </c>
      <c r="G4744" s="5" t="s">
        <v>43</v>
      </c>
      <c r="H4744">
        <v>17</v>
      </c>
      <c r="I4744" s="4">
        <v>175100</v>
      </c>
      <c r="J4744" s="4">
        <v>90270</v>
      </c>
    </row>
    <row r="4745" spans="2:10" x14ac:dyDescent="0.3">
      <c r="B4745" s="7">
        <v>44621</v>
      </c>
      <c r="C4745" s="3">
        <f t="shared" si="148"/>
        <v>2022</v>
      </c>
      <c r="D4745" s="3">
        <f t="shared" si="149"/>
        <v>202203</v>
      </c>
      <c r="E4745" s="5" t="s">
        <v>6</v>
      </c>
      <c r="F4745" s="5" t="s">
        <v>12</v>
      </c>
      <c r="G4745" s="5" t="s">
        <v>43</v>
      </c>
      <c r="H4745">
        <v>14</v>
      </c>
      <c r="I4745" s="4">
        <v>138194</v>
      </c>
      <c r="J4745" s="4">
        <v>74340</v>
      </c>
    </row>
    <row r="4746" spans="2:10" x14ac:dyDescent="0.3">
      <c r="B4746" s="7">
        <v>44652</v>
      </c>
      <c r="C4746" s="3">
        <f t="shared" si="148"/>
        <v>2022</v>
      </c>
      <c r="D4746" s="3">
        <f t="shared" si="149"/>
        <v>202204</v>
      </c>
      <c r="E4746" s="5" t="s">
        <v>6</v>
      </c>
      <c r="F4746" s="5" t="s">
        <v>12</v>
      </c>
      <c r="G4746" s="5" t="s">
        <v>43</v>
      </c>
      <c r="H4746">
        <v>25</v>
      </c>
      <c r="I4746" s="4">
        <v>278900</v>
      </c>
      <c r="J4746" s="4">
        <v>132750</v>
      </c>
    </row>
    <row r="4747" spans="2:10" x14ac:dyDescent="0.3">
      <c r="B4747" s="7">
        <v>44682</v>
      </c>
      <c r="C4747" s="3">
        <f t="shared" si="148"/>
        <v>2022</v>
      </c>
      <c r="D4747" s="3">
        <f t="shared" si="149"/>
        <v>202205</v>
      </c>
      <c r="E4747" s="5" t="s">
        <v>6</v>
      </c>
      <c r="F4747" s="5" t="s">
        <v>12</v>
      </c>
      <c r="G4747" s="5" t="s">
        <v>43</v>
      </c>
      <c r="H4747">
        <v>32</v>
      </c>
      <c r="I4747" s="4">
        <v>351168</v>
      </c>
      <c r="J4747" s="4">
        <v>169920</v>
      </c>
    </row>
    <row r="4748" spans="2:10" x14ac:dyDescent="0.3">
      <c r="B4748" s="7">
        <v>44713</v>
      </c>
      <c r="C4748" s="3">
        <f t="shared" si="148"/>
        <v>2022</v>
      </c>
      <c r="D4748" s="3">
        <f t="shared" si="149"/>
        <v>202206</v>
      </c>
      <c r="E4748" s="5" t="s">
        <v>6</v>
      </c>
      <c r="F4748" s="5" t="s">
        <v>12</v>
      </c>
      <c r="G4748" s="5" t="s">
        <v>43</v>
      </c>
      <c r="H4748">
        <v>30</v>
      </c>
      <c r="I4748" s="4">
        <v>322410</v>
      </c>
      <c r="J4748" s="4">
        <v>159300</v>
      </c>
    </row>
    <row r="4749" spans="2:10" x14ac:dyDescent="0.3">
      <c r="B4749" s="7">
        <v>44743</v>
      </c>
      <c r="C4749" s="3">
        <f t="shared" si="148"/>
        <v>2022</v>
      </c>
      <c r="D4749" s="3">
        <f t="shared" si="149"/>
        <v>202207</v>
      </c>
      <c r="E4749" s="5" t="s">
        <v>6</v>
      </c>
      <c r="F4749" s="5" t="s">
        <v>12</v>
      </c>
      <c r="G4749" s="5" t="s">
        <v>43</v>
      </c>
      <c r="H4749">
        <v>32</v>
      </c>
      <c r="I4749" s="4">
        <v>272672</v>
      </c>
      <c r="J4749" s="4">
        <v>169920</v>
      </c>
    </row>
    <row r="4750" spans="2:10" x14ac:dyDescent="0.3">
      <c r="B4750" s="7">
        <v>44774</v>
      </c>
      <c r="C4750" s="3">
        <f t="shared" si="148"/>
        <v>2022</v>
      </c>
      <c r="D4750" s="3">
        <f t="shared" si="149"/>
        <v>202208</v>
      </c>
      <c r="E4750" s="5" t="s">
        <v>6</v>
      </c>
      <c r="F4750" s="5" t="s">
        <v>12</v>
      </c>
      <c r="G4750" s="5" t="s">
        <v>43</v>
      </c>
      <c r="H4750">
        <v>27</v>
      </c>
      <c r="I4750" s="4">
        <v>258201</v>
      </c>
      <c r="J4750" s="4">
        <v>143370</v>
      </c>
    </row>
    <row r="4751" spans="2:10" x14ac:dyDescent="0.3">
      <c r="B4751" s="7">
        <v>44805</v>
      </c>
      <c r="C4751" s="3">
        <f t="shared" si="148"/>
        <v>2022</v>
      </c>
      <c r="D4751" s="3">
        <f t="shared" si="149"/>
        <v>202209</v>
      </c>
      <c r="E4751" s="5" t="s">
        <v>6</v>
      </c>
      <c r="F4751" s="5" t="s">
        <v>12</v>
      </c>
      <c r="G4751" s="5" t="s">
        <v>43</v>
      </c>
      <c r="H4751">
        <v>29</v>
      </c>
      <c r="I4751" s="4">
        <v>295162</v>
      </c>
      <c r="J4751" s="4">
        <v>153990</v>
      </c>
    </row>
    <row r="4752" spans="2:10" x14ac:dyDescent="0.3">
      <c r="B4752" s="7">
        <v>44835</v>
      </c>
      <c r="C4752" s="3">
        <f t="shared" si="148"/>
        <v>2022</v>
      </c>
      <c r="D4752" s="3">
        <f t="shared" si="149"/>
        <v>202210</v>
      </c>
      <c r="E4752" s="5" t="s">
        <v>6</v>
      </c>
      <c r="F4752" s="5" t="s">
        <v>12</v>
      </c>
      <c r="G4752" s="5" t="s">
        <v>43</v>
      </c>
      <c r="H4752">
        <v>24</v>
      </c>
      <c r="I4752" s="4">
        <v>237792</v>
      </c>
      <c r="J4752" s="4">
        <v>127440</v>
      </c>
    </row>
    <row r="4753" spans="2:10" x14ac:dyDescent="0.3">
      <c r="B4753" s="7">
        <v>44866</v>
      </c>
      <c r="C4753" s="3">
        <f t="shared" si="148"/>
        <v>2022</v>
      </c>
      <c r="D4753" s="3">
        <f t="shared" si="149"/>
        <v>202211</v>
      </c>
      <c r="E4753" s="5" t="s">
        <v>6</v>
      </c>
      <c r="F4753" s="5" t="s">
        <v>12</v>
      </c>
      <c r="G4753" s="5" t="s">
        <v>43</v>
      </c>
      <c r="H4753">
        <v>17</v>
      </c>
      <c r="I4753" s="4">
        <v>178738</v>
      </c>
      <c r="J4753" s="4">
        <v>90270</v>
      </c>
    </row>
    <row r="4754" spans="2:10" x14ac:dyDescent="0.3">
      <c r="B4754" s="7">
        <v>44896</v>
      </c>
      <c r="C4754" s="3">
        <f t="shared" si="148"/>
        <v>2022</v>
      </c>
      <c r="D4754" s="3">
        <f t="shared" si="149"/>
        <v>202212</v>
      </c>
      <c r="E4754" s="5" t="s">
        <v>6</v>
      </c>
      <c r="F4754" s="5" t="s">
        <v>12</v>
      </c>
      <c r="G4754" s="5" t="s">
        <v>43</v>
      </c>
      <c r="H4754">
        <v>20</v>
      </c>
      <c r="I4754" s="4">
        <v>184980</v>
      </c>
      <c r="J4754" s="4">
        <v>106200</v>
      </c>
    </row>
    <row r="4755" spans="2:10" x14ac:dyDescent="0.3">
      <c r="B4755" s="7">
        <v>44197</v>
      </c>
      <c r="C4755" s="3">
        <f t="shared" si="148"/>
        <v>2021</v>
      </c>
      <c r="D4755" s="3">
        <f t="shared" si="149"/>
        <v>202101</v>
      </c>
      <c r="E4755" s="5" t="s">
        <v>6</v>
      </c>
      <c r="F4755" s="5" t="s">
        <v>12</v>
      </c>
      <c r="G4755" s="5" t="s">
        <v>44</v>
      </c>
      <c r="H4755">
        <v>23</v>
      </c>
      <c r="I4755" s="4">
        <v>187818</v>
      </c>
      <c r="J4755" s="4">
        <v>74060</v>
      </c>
    </row>
    <row r="4756" spans="2:10" x14ac:dyDescent="0.3">
      <c r="B4756" s="7">
        <v>44228</v>
      </c>
      <c r="C4756" s="3">
        <f t="shared" si="148"/>
        <v>2021</v>
      </c>
      <c r="D4756" s="3">
        <f t="shared" si="149"/>
        <v>202102</v>
      </c>
      <c r="E4756" s="5" t="s">
        <v>6</v>
      </c>
      <c r="F4756" s="5" t="s">
        <v>12</v>
      </c>
      <c r="G4756" s="5" t="s">
        <v>44</v>
      </c>
      <c r="H4756">
        <v>15</v>
      </c>
      <c r="I4756" s="4">
        <v>137400</v>
      </c>
      <c r="J4756" s="4">
        <v>48300</v>
      </c>
    </row>
    <row r="4757" spans="2:10" x14ac:dyDescent="0.3">
      <c r="B4757" s="7">
        <v>44256</v>
      </c>
      <c r="C4757" s="3">
        <f t="shared" si="148"/>
        <v>2021</v>
      </c>
      <c r="D4757" s="3">
        <f t="shared" si="149"/>
        <v>202103</v>
      </c>
      <c r="E4757" s="5" t="s">
        <v>6</v>
      </c>
      <c r="F4757" s="5" t="s">
        <v>12</v>
      </c>
      <c r="G4757" s="5" t="s">
        <v>44</v>
      </c>
      <c r="H4757">
        <v>12</v>
      </c>
      <c r="I4757" s="4">
        <v>98892</v>
      </c>
      <c r="J4757" s="4">
        <v>38640</v>
      </c>
    </row>
    <row r="4758" spans="2:10" x14ac:dyDescent="0.3">
      <c r="B4758" s="7">
        <v>44287</v>
      </c>
      <c r="C4758" s="3">
        <f t="shared" si="148"/>
        <v>2021</v>
      </c>
      <c r="D4758" s="3">
        <f t="shared" si="149"/>
        <v>202104</v>
      </c>
      <c r="E4758" s="5" t="s">
        <v>6</v>
      </c>
      <c r="F4758" s="5" t="s">
        <v>12</v>
      </c>
      <c r="G4758" s="5" t="s">
        <v>44</v>
      </c>
      <c r="H4758">
        <v>22</v>
      </c>
      <c r="I4758" s="4">
        <v>200310</v>
      </c>
      <c r="J4758" s="4">
        <v>70840</v>
      </c>
    </row>
    <row r="4759" spans="2:10" x14ac:dyDescent="0.3">
      <c r="B4759" s="7">
        <v>44317</v>
      </c>
      <c r="C4759" s="3">
        <f t="shared" si="148"/>
        <v>2021</v>
      </c>
      <c r="D4759" s="3">
        <f t="shared" si="149"/>
        <v>202105</v>
      </c>
      <c r="E4759" s="5" t="s">
        <v>6</v>
      </c>
      <c r="F4759" s="5" t="s">
        <v>12</v>
      </c>
      <c r="G4759" s="5" t="s">
        <v>44</v>
      </c>
      <c r="H4759">
        <v>28</v>
      </c>
      <c r="I4759" s="4">
        <v>248192</v>
      </c>
      <c r="J4759" s="4">
        <v>90160</v>
      </c>
    </row>
    <row r="4760" spans="2:10" x14ac:dyDescent="0.3">
      <c r="B4760" s="7">
        <v>44348</v>
      </c>
      <c r="C4760" s="3">
        <f t="shared" si="148"/>
        <v>2021</v>
      </c>
      <c r="D4760" s="3">
        <f t="shared" si="149"/>
        <v>202106</v>
      </c>
      <c r="E4760" s="5" t="s">
        <v>6</v>
      </c>
      <c r="F4760" s="5" t="s">
        <v>12</v>
      </c>
      <c r="G4760" s="5" t="s">
        <v>44</v>
      </c>
      <c r="H4760">
        <v>26</v>
      </c>
      <c r="I4760" s="4">
        <v>221390</v>
      </c>
      <c r="J4760" s="4">
        <v>83720</v>
      </c>
    </row>
    <row r="4761" spans="2:10" x14ac:dyDescent="0.3">
      <c r="B4761" s="7">
        <v>44378</v>
      </c>
      <c r="C4761" s="3">
        <f t="shared" si="148"/>
        <v>2021</v>
      </c>
      <c r="D4761" s="3">
        <f t="shared" si="149"/>
        <v>202107</v>
      </c>
      <c r="E4761" s="5" t="s">
        <v>6</v>
      </c>
      <c r="F4761" s="5" t="s">
        <v>12</v>
      </c>
      <c r="G4761" s="5" t="s">
        <v>44</v>
      </c>
      <c r="H4761">
        <v>28</v>
      </c>
      <c r="I4761" s="4">
        <v>193872</v>
      </c>
      <c r="J4761" s="4">
        <v>90160</v>
      </c>
    </row>
    <row r="4762" spans="2:10" x14ac:dyDescent="0.3">
      <c r="B4762" s="7">
        <v>44409</v>
      </c>
      <c r="C4762" s="3">
        <f t="shared" si="148"/>
        <v>2021</v>
      </c>
      <c r="D4762" s="3">
        <f t="shared" si="149"/>
        <v>202108</v>
      </c>
      <c r="E4762" s="5" t="s">
        <v>6</v>
      </c>
      <c r="F4762" s="5" t="s">
        <v>12</v>
      </c>
      <c r="G4762" s="5" t="s">
        <v>44</v>
      </c>
      <c r="H4762">
        <v>23</v>
      </c>
      <c r="I4762" s="4">
        <v>177008</v>
      </c>
      <c r="J4762" s="4">
        <v>74060</v>
      </c>
    </row>
    <row r="4763" spans="2:10" x14ac:dyDescent="0.3">
      <c r="B4763" s="7">
        <v>44440</v>
      </c>
      <c r="C4763" s="3">
        <f t="shared" si="148"/>
        <v>2021</v>
      </c>
      <c r="D4763" s="3">
        <f t="shared" si="149"/>
        <v>202109</v>
      </c>
      <c r="E4763" s="5" t="s">
        <v>6</v>
      </c>
      <c r="F4763" s="5" t="s">
        <v>12</v>
      </c>
      <c r="G4763" s="5" t="s">
        <v>44</v>
      </c>
      <c r="H4763">
        <v>25</v>
      </c>
      <c r="I4763" s="4">
        <v>196475</v>
      </c>
      <c r="J4763" s="4">
        <v>80500</v>
      </c>
    </row>
    <row r="4764" spans="2:10" x14ac:dyDescent="0.3">
      <c r="B4764" s="7">
        <v>44470</v>
      </c>
      <c r="C4764" s="3">
        <f t="shared" si="148"/>
        <v>2021</v>
      </c>
      <c r="D4764" s="3">
        <f t="shared" si="149"/>
        <v>202110</v>
      </c>
      <c r="E4764" s="5" t="s">
        <v>6</v>
      </c>
      <c r="F4764" s="5" t="s">
        <v>12</v>
      </c>
      <c r="G4764" s="5" t="s">
        <v>44</v>
      </c>
      <c r="H4764">
        <v>21</v>
      </c>
      <c r="I4764" s="4">
        <v>187467</v>
      </c>
      <c r="J4764" s="4">
        <v>67620</v>
      </c>
    </row>
    <row r="4765" spans="2:10" x14ac:dyDescent="0.3">
      <c r="B4765" s="7">
        <v>44501</v>
      </c>
      <c r="C4765" s="3">
        <f t="shared" si="148"/>
        <v>2021</v>
      </c>
      <c r="D4765" s="3">
        <f t="shared" si="149"/>
        <v>202111</v>
      </c>
      <c r="E4765" s="5" t="s">
        <v>6</v>
      </c>
      <c r="F4765" s="5" t="s">
        <v>12</v>
      </c>
      <c r="G4765" s="5" t="s">
        <v>44</v>
      </c>
      <c r="H4765">
        <v>15</v>
      </c>
      <c r="I4765" s="4">
        <v>116880</v>
      </c>
      <c r="J4765" s="4">
        <v>48300</v>
      </c>
    </row>
    <row r="4766" spans="2:10" x14ac:dyDescent="0.3">
      <c r="B4766" s="7">
        <v>44531</v>
      </c>
      <c r="C4766" s="3">
        <f t="shared" si="148"/>
        <v>2021</v>
      </c>
      <c r="D4766" s="3">
        <f t="shared" si="149"/>
        <v>202112</v>
      </c>
      <c r="E4766" s="5" t="s">
        <v>6</v>
      </c>
      <c r="F4766" s="5" t="s">
        <v>12</v>
      </c>
      <c r="G4766" s="5" t="s">
        <v>44</v>
      </c>
      <c r="H4766">
        <v>18</v>
      </c>
      <c r="I4766" s="4">
        <v>136098</v>
      </c>
      <c r="J4766" s="4">
        <v>57960</v>
      </c>
    </row>
    <row r="4767" spans="2:10" x14ac:dyDescent="0.3">
      <c r="B4767" s="7">
        <v>44562</v>
      </c>
      <c r="C4767" s="3">
        <f t="shared" si="148"/>
        <v>2022</v>
      </c>
      <c r="D4767" s="3">
        <f t="shared" si="149"/>
        <v>202201</v>
      </c>
      <c r="E4767" s="5" t="s">
        <v>6</v>
      </c>
      <c r="F4767" s="5" t="s">
        <v>12</v>
      </c>
      <c r="G4767" s="5" t="s">
        <v>44</v>
      </c>
      <c r="H4767">
        <v>26</v>
      </c>
      <c r="I4767" s="4">
        <v>228410</v>
      </c>
      <c r="J4767" s="4">
        <v>83720</v>
      </c>
    </row>
    <row r="4768" spans="2:10" x14ac:dyDescent="0.3">
      <c r="B4768" s="7">
        <v>44593</v>
      </c>
      <c r="C4768" s="3">
        <f t="shared" si="148"/>
        <v>2022</v>
      </c>
      <c r="D4768" s="3">
        <f t="shared" si="149"/>
        <v>202202</v>
      </c>
      <c r="E4768" s="5" t="s">
        <v>6</v>
      </c>
      <c r="F4768" s="5" t="s">
        <v>12</v>
      </c>
      <c r="G4768" s="5" t="s">
        <v>44</v>
      </c>
      <c r="H4768">
        <v>16</v>
      </c>
      <c r="I4768" s="4">
        <v>129680</v>
      </c>
      <c r="J4768" s="4">
        <v>51520</v>
      </c>
    </row>
    <row r="4769" spans="2:10" x14ac:dyDescent="0.3">
      <c r="B4769" s="7">
        <v>44621</v>
      </c>
      <c r="C4769" s="3">
        <f t="shared" si="148"/>
        <v>2022</v>
      </c>
      <c r="D4769" s="3">
        <f t="shared" si="149"/>
        <v>202203</v>
      </c>
      <c r="E4769" s="5" t="s">
        <v>6</v>
      </c>
      <c r="F4769" s="5" t="s">
        <v>12</v>
      </c>
      <c r="G4769" s="5" t="s">
        <v>44</v>
      </c>
      <c r="H4769">
        <v>13</v>
      </c>
      <c r="I4769" s="4">
        <v>99021</v>
      </c>
      <c r="J4769" s="4">
        <v>41860</v>
      </c>
    </row>
    <row r="4770" spans="2:10" x14ac:dyDescent="0.3">
      <c r="B4770" s="7">
        <v>44652</v>
      </c>
      <c r="C4770" s="3">
        <f t="shared" si="148"/>
        <v>2022</v>
      </c>
      <c r="D4770" s="3">
        <f t="shared" si="149"/>
        <v>202204</v>
      </c>
      <c r="E4770" s="5" t="s">
        <v>6</v>
      </c>
      <c r="F4770" s="5" t="s">
        <v>12</v>
      </c>
      <c r="G4770" s="5" t="s">
        <v>44</v>
      </c>
      <c r="H4770">
        <v>24</v>
      </c>
      <c r="I4770" s="4">
        <v>195552</v>
      </c>
      <c r="J4770" s="4">
        <v>77280</v>
      </c>
    </row>
    <row r="4771" spans="2:10" x14ac:dyDescent="0.3">
      <c r="B4771" s="7">
        <v>44682</v>
      </c>
      <c r="C4771" s="3">
        <f t="shared" si="148"/>
        <v>2022</v>
      </c>
      <c r="D4771" s="3">
        <f t="shared" si="149"/>
        <v>202205</v>
      </c>
      <c r="E4771" s="5" t="s">
        <v>6</v>
      </c>
      <c r="F4771" s="5" t="s">
        <v>12</v>
      </c>
      <c r="G4771" s="5" t="s">
        <v>44</v>
      </c>
      <c r="H4771">
        <v>30</v>
      </c>
      <c r="I4771" s="4">
        <v>276360</v>
      </c>
      <c r="J4771" s="4">
        <v>96600</v>
      </c>
    </row>
    <row r="4772" spans="2:10" x14ac:dyDescent="0.3">
      <c r="B4772" s="7">
        <v>44713</v>
      </c>
      <c r="C4772" s="3">
        <f t="shared" si="148"/>
        <v>2022</v>
      </c>
      <c r="D4772" s="3">
        <f t="shared" si="149"/>
        <v>202206</v>
      </c>
      <c r="E4772" s="5" t="s">
        <v>6</v>
      </c>
      <c r="F4772" s="5" t="s">
        <v>12</v>
      </c>
      <c r="G4772" s="5" t="s">
        <v>44</v>
      </c>
      <c r="H4772">
        <v>29</v>
      </c>
      <c r="I4772" s="4">
        <v>224083</v>
      </c>
      <c r="J4772" s="4">
        <v>93380</v>
      </c>
    </row>
    <row r="4773" spans="2:10" x14ac:dyDescent="0.3">
      <c r="B4773" s="7">
        <v>44743</v>
      </c>
      <c r="C4773" s="3">
        <f t="shared" si="148"/>
        <v>2022</v>
      </c>
      <c r="D4773" s="3">
        <f t="shared" si="149"/>
        <v>202207</v>
      </c>
      <c r="E4773" s="5" t="s">
        <v>6</v>
      </c>
      <c r="F4773" s="5" t="s">
        <v>12</v>
      </c>
      <c r="G4773" s="5" t="s">
        <v>44</v>
      </c>
      <c r="H4773">
        <v>30</v>
      </c>
      <c r="I4773" s="4">
        <v>200130</v>
      </c>
      <c r="J4773" s="4">
        <v>96600</v>
      </c>
    </row>
    <row r="4774" spans="2:10" x14ac:dyDescent="0.3">
      <c r="B4774" s="7">
        <v>44774</v>
      </c>
      <c r="C4774" s="3">
        <f t="shared" si="148"/>
        <v>2022</v>
      </c>
      <c r="D4774" s="3">
        <f t="shared" si="149"/>
        <v>202208</v>
      </c>
      <c r="E4774" s="5" t="s">
        <v>6</v>
      </c>
      <c r="F4774" s="5" t="s">
        <v>12</v>
      </c>
      <c r="G4774" s="5" t="s">
        <v>44</v>
      </c>
      <c r="H4774">
        <v>26</v>
      </c>
      <c r="I4774" s="4">
        <v>195468</v>
      </c>
      <c r="J4774" s="4">
        <v>83720</v>
      </c>
    </row>
    <row r="4775" spans="2:10" x14ac:dyDescent="0.3">
      <c r="B4775" s="7">
        <v>44805</v>
      </c>
      <c r="C4775" s="3">
        <f t="shared" si="148"/>
        <v>2022</v>
      </c>
      <c r="D4775" s="3">
        <f t="shared" si="149"/>
        <v>202209</v>
      </c>
      <c r="E4775" s="5" t="s">
        <v>6</v>
      </c>
      <c r="F4775" s="5" t="s">
        <v>12</v>
      </c>
      <c r="G4775" s="5" t="s">
        <v>44</v>
      </c>
      <c r="H4775">
        <v>27</v>
      </c>
      <c r="I4775" s="4">
        <v>211626</v>
      </c>
      <c r="J4775" s="4">
        <v>86940</v>
      </c>
    </row>
    <row r="4776" spans="2:10" x14ac:dyDescent="0.3">
      <c r="B4776" s="7">
        <v>44835</v>
      </c>
      <c r="C4776" s="3">
        <f t="shared" si="148"/>
        <v>2022</v>
      </c>
      <c r="D4776" s="3">
        <f t="shared" si="149"/>
        <v>202210</v>
      </c>
      <c r="E4776" s="5" t="s">
        <v>6</v>
      </c>
      <c r="F4776" s="5" t="s">
        <v>12</v>
      </c>
      <c r="G4776" s="5" t="s">
        <v>44</v>
      </c>
      <c r="H4776">
        <v>23</v>
      </c>
      <c r="I4776" s="4">
        <v>195569</v>
      </c>
      <c r="J4776" s="4">
        <v>74060</v>
      </c>
    </row>
    <row r="4777" spans="2:10" x14ac:dyDescent="0.3">
      <c r="B4777" s="7">
        <v>44866</v>
      </c>
      <c r="C4777" s="3">
        <f t="shared" si="148"/>
        <v>2022</v>
      </c>
      <c r="D4777" s="3">
        <f t="shared" si="149"/>
        <v>202211</v>
      </c>
      <c r="E4777" s="5" t="s">
        <v>6</v>
      </c>
      <c r="F4777" s="5" t="s">
        <v>12</v>
      </c>
      <c r="G4777" s="5" t="s">
        <v>44</v>
      </c>
      <c r="H4777">
        <v>16</v>
      </c>
      <c r="I4777" s="4">
        <v>137616</v>
      </c>
      <c r="J4777" s="4">
        <v>51520</v>
      </c>
    </row>
    <row r="4778" spans="2:10" x14ac:dyDescent="0.3">
      <c r="B4778" s="7">
        <v>44896</v>
      </c>
      <c r="C4778" s="3">
        <f t="shared" si="148"/>
        <v>2022</v>
      </c>
      <c r="D4778" s="3">
        <f t="shared" si="149"/>
        <v>202212</v>
      </c>
      <c r="E4778" s="5" t="s">
        <v>6</v>
      </c>
      <c r="F4778" s="5" t="s">
        <v>12</v>
      </c>
      <c r="G4778" s="5" t="s">
        <v>44</v>
      </c>
      <c r="H4778">
        <v>19</v>
      </c>
      <c r="I4778" s="4">
        <v>153691</v>
      </c>
      <c r="J4778" s="4">
        <v>61180</v>
      </c>
    </row>
    <row r="4779" spans="2:10" x14ac:dyDescent="0.3">
      <c r="B4779" s="7">
        <v>44197</v>
      </c>
      <c r="C4779" s="3">
        <f t="shared" si="148"/>
        <v>2021</v>
      </c>
      <c r="D4779" s="3">
        <f t="shared" si="149"/>
        <v>202101</v>
      </c>
      <c r="E4779" s="5" t="s">
        <v>6</v>
      </c>
      <c r="F4779" s="5" t="s">
        <v>12</v>
      </c>
      <c r="G4779" s="5" t="s">
        <v>45</v>
      </c>
      <c r="H4779">
        <v>29</v>
      </c>
      <c r="I4779" s="4">
        <v>218109</v>
      </c>
      <c r="J4779" s="4">
        <v>96135</v>
      </c>
    </row>
    <row r="4780" spans="2:10" x14ac:dyDescent="0.3">
      <c r="B4780" s="7">
        <v>44228</v>
      </c>
      <c r="C4780" s="3">
        <f t="shared" si="148"/>
        <v>2021</v>
      </c>
      <c r="D4780" s="3">
        <f t="shared" si="149"/>
        <v>202102</v>
      </c>
      <c r="E4780" s="5" t="s">
        <v>6</v>
      </c>
      <c r="F4780" s="5" t="s">
        <v>12</v>
      </c>
      <c r="G4780" s="5" t="s">
        <v>45</v>
      </c>
      <c r="H4780">
        <v>18</v>
      </c>
      <c r="I4780" s="4">
        <v>131706</v>
      </c>
      <c r="J4780" s="4">
        <v>59670</v>
      </c>
    </row>
    <row r="4781" spans="2:10" x14ac:dyDescent="0.3">
      <c r="B4781" s="7">
        <v>44256</v>
      </c>
      <c r="C4781" s="3">
        <f t="shared" si="148"/>
        <v>2021</v>
      </c>
      <c r="D4781" s="3">
        <f t="shared" si="149"/>
        <v>202103</v>
      </c>
      <c r="E4781" s="5" t="s">
        <v>6</v>
      </c>
      <c r="F4781" s="5" t="s">
        <v>12</v>
      </c>
      <c r="G4781" s="5" t="s">
        <v>45</v>
      </c>
      <c r="H4781">
        <v>15</v>
      </c>
      <c r="I4781" s="4">
        <v>97710</v>
      </c>
      <c r="J4781" s="4">
        <v>49725</v>
      </c>
    </row>
    <row r="4782" spans="2:10" x14ac:dyDescent="0.3">
      <c r="B4782" s="7">
        <v>44287</v>
      </c>
      <c r="C4782" s="3">
        <f t="shared" si="148"/>
        <v>2021</v>
      </c>
      <c r="D4782" s="3">
        <f t="shared" si="149"/>
        <v>202104</v>
      </c>
      <c r="E4782" s="5" t="s">
        <v>6</v>
      </c>
      <c r="F4782" s="5" t="s">
        <v>12</v>
      </c>
      <c r="G4782" s="5" t="s">
        <v>45</v>
      </c>
      <c r="H4782">
        <v>27</v>
      </c>
      <c r="I4782" s="4">
        <v>222723</v>
      </c>
      <c r="J4782" s="4">
        <v>89505</v>
      </c>
    </row>
    <row r="4783" spans="2:10" x14ac:dyDescent="0.3">
      <c r="B4783" s="7">
        <v>44317</v>
      </c>
      <c r="C4783" s="3">
        <f t="shared" si="148"/>
        <v>2021</v>
      </c>
      <c r="D4783" s="3">
        <f t="shared" si="149"/>
        <v>202105</v>
      </c>
      <c r="E4783" s="5" t="s">
        <v>6</v>
      </c>
      <c r="F4783" s="5" t="s">
        <v>12</v>
      </c>
      <c r="G4783" s="5" t="s">
        <v>45</v>
      </c>
      <c r="H4783">
        <v>34</v>
      </c>
      <c r="I4783" s="4">
        <v>268430</v>
      </c>
      <c r="J4783" s="4">
        <v>112710</v>
      </c>
    </row>
    <row r="4784" spans="2:10" x14ac:dyDescent="0.3">
      <c r="B4784" s="7">
        <v>44348</v>
      </c>
      <c r="C4784" s="3">
        <f t="shared" si="148"/>
        <v>2021</v>
      </c>
      <c r="D4784" s="3">
        <f t="shared" si="149"/>
        <v>202106</v>
      </c>
      <c r="E4784" s="5" t="s">
        <v>6</v>
      </c>
      <c r="F4784" s="5" t="s">
        <v>12</v>
      </c>
      <c r="G4784" s="5" t="s">
        <v>45</v>
      </c>
      <c r="H4784">
        <v>33</v>
      </c>
      <c r="I4784" s="4">
        <v>254793</v>
      </c>
      <c r="J4784" s="4">
        <v>109395</v>
      </c>
    </row>
    <row r="4785" spans="2:10" x14ac:dyDescent="0.3">
      <c r="B4785" s="7">
        <v>44378</v>
      </c>
      <c r="C4785" s="3">
        <f t="shared" si="148"/>
        <v>2021</v>
      </c>
      <c r="D4785" s="3">
        <f t="shared" si="149"/>
        <v>202107</v>
      </c>
      <c r="E4785" s="5" t="s">
        <v>6</v>
      </c>
      <c r="F4785" s="5" t="s">
        <v>12</v>
      </c>
      <c r="G4785" s="5" t="s">
        <v>45</v>
      </c>
      <c r="H4785">
        <v>34</v>
      </c>
      <c r="I4785" s="4">
        <v>207468</v>
      </c>
      <c r="J4785" s="4">
        <v>112710</v>
      </c>
    </row>
    <row r="4786" spans="2:10" x14ac:dyDescent="0.3">
      <c r="B4786" s="7">
        <v>44409</v>
      </c>
      <c r="C4786" s="3">
        <f t="shared" si="148"/>
        <v>2021</v>
      </c>
      <c r="D4786" s="3">
        <f t="shared" si="149"/>
        <v>202108</v>
      </c>
      <c r="E4786" s="5" t="s">
        <v>6</v>
      </c>
      <c r="F4786" s="5" t="s">
        <v>12</v>
      </c>
      <c r="G4786" s="5" t="s">
        <v>45</v>
      </c>
      <c r="H4786">
        <v>29</v>
      </c>
      <c r="I4786" s="4">
        <v>219385</v>
      </c>
      <c r="J4786" s="4">
        <v>96135</v>
      </c>
    </row>
    <row r="4787" spans="2:10" x14ac:dyDescent="0.3">
      <c r="B4787" s="7">
        <v>44440</v>
      </c>
      <c r="C4787" s="3">
        <f t="shared" si="148"/>
        <v>2021</v>
      </c>
      <c r="D4787" s="3">
        <f t="shared" si="149"/>
        <v>202109</v>
      </c>
      <c r="E4787" s="5" t="s">
        <v>6</v>
      </c>
      <c r="F4787" s="5" t="s">
        <v>12</v>
      </c>
      <c r="G4787" s="5" t="s">
        <v>45</v>
      </c>
      <c r="H4787">
        <v>31</v>
      </c>
      <c r="I4787" s="4">
        <v>245489</v>
      </c>
      <c r="J4787" s="4">
        <v>102765</v>
      </c>
    </row>
    <row r="4788" spans="2:10" x14ac:dyDescent="0.3">
      <c r="B4788" s="7">
        <v>44470</v>
      </c>
      <c r="C4788" s="3">
        <f t="shared" si="148"/>
        <v>2021</v>
      </c>
      <c r="D4788" s="3">
        <f t="shared" si="149"/>
        <v>202110</v>
      </c>
      <c r="E4788" s="5" t="s">
        <v>6</v>
      </c>
      <c r="F4788" s="5" t="s">
        <v>12</v>
      </c>
      <c r="G4788" s="5" t="s">
        <v>45</v>
      </c>
      <c r="H4788">
        <v>25</v>
      </c>
      <c r="I4788" s="4">
        <v>195575</v>
      </c>
      <c r="J4788" s="4">
        <v>82875</v>
      </c>
    </row>
    <row r="4789" spans="2:10" x14ac:dyDescent="0.3">
      <c r="B4789" s="7">
        <v>44501</v>
      </c>
      <c r="C4789" s="3">
        <f t="shared" si="148"/>
        <v>2021</v>
      </c>
      <c r="D4789" s="3">
        <f t="shared" si="149"/>
        <v>202111</v>
      </c>
      <c r="E4789" s="5" t="s">
        <v>6</v>
      </c>
      <c r="F4789" s="5" t="s">
        <v>12</v>
      </c>
      <c r="G4789" s="5" t="s">
        <v>45</v>
      </c>
      <c r="H4789">
        <v>18</v>
      </c>
      <c r="I4789" s="4">
        <v>143856</v>
      </c>
      <c r="J4789" s="4">
        <v>59670</v>
      </c>
    </row>
    <row r="4790" spans="2:10" x14ac:dyDescent="0.3">
      <c r="B4790" s="7">
        <v>44531</v>
      </c>
      <c r="C4790" s="3">
        <f t="shared" si="148"/>
        <v>2021</v>
      </c>
      <c r="D4790" s="3">
        <f t="shared" si="149"/>
        <v>202112</v>
      </c>
      <c r="E4790" s="5" t="s">
        <v>6</v>
      </c>
      <c r="F4790" s="5" t="s">
        <v>12</v>
      </c>
      <c r="G4790" s="5" t="s">
        <v>45</v>
      </c>
      <c r="H4790">
        <v>22</v>
      </c>
      <c r="I4790" s="4">
        <v>154748</v>
      </c>
      <c r="J4790" s="4">
        <v>72930</v>
      </c>
    </row>
    <row r="4791" spans="2:10" x14ac:dyDescent="0.3">
      <c r="B4791" s="7">
        <v>44562</v>
      </c>
      <c r="C4791" s="3">
        <f t="shared" si="148"/>
        <v>2022</v>
      </c>
      <c r="D4791" s="3">
        <f t="shared" si="149"/>
        <v>202201</v>
      </c>
      <c r="E4791" s="5" t="s">
        <v>6</v>
      </c>
      <c r="F4791" s="5" t="s">
        <v>12</v>
      </c>
      <c r="G4791" s="5" t="s">
        <v>45</v>
      </c>
      <c r="H4791">
        <v>32</v>
      </c>
      <c r="I4791" s="4">
        <v>242528</v>
      </c>
      <c r="J4791" s="4">
        <v>106080</v>
      </c>
    </row>
    <row r="4792" spans="2:10" x14ac:dyDescent="0.3">
      <c r="B4792" s="7">
        <v>44593</v>
      </c>
      <c r="C4792" s="3">
        <f t="shared" si="148"/>
        <v>2022</v>
      </c>
      <c r="D4792" s="3">
        <f t="shared" si="149"/>
        <v>202202</v>
      </c>
      <c r="E4792" s="5" t="s">
        <v>6</v>
      </c>
      <c r="F4792" s="5" t="s">
        <v>12</v>
      </c>
      <c r="G4792" s="5" t="s">
        <v>45</v>
      </c>
      <c r="H4792">
        <v>20</v>
      </c>
      <c r="I4792" s="4">
        <v>159600</v>
      </c>
      <c r="J4792" s="4">
        <v>66300</v>
      </c>
    </row>
    <row r="4793" spans="2:10" x14ac:dyDescent="0.3">
      <c r="B4793" s="7">
        <v>44621</v>
      </c>
      <c r="C4793" s="3">
        <f t="shared" si="148"/>
        <v>2022</v>
      </c>
      <c r="D4793" s="3">
        <f t="shared" si="149"/>
        <v>202203</v>
      </c>
      <c r="E4793" s="5" t="s">
        <v>6</v>
      </c>
      <c r="F4793" s="5" t="s">
        <v>12</v>
      </c>
      <c r="G4793" s="5" t="s">
        <v>45</v>
      </c>
      <c r="H4793">
        <v>16</v>
      </c>
      <c r="I4793" s="4">
        <v>117328</v>
      </c>
      <c r="J4793" s="4">
        <v>53040</v>
      </c>
    </row>
    <row r="4794" spans="2:10" x14ac:dyDescent="0.3">
      <c r="B4794" s="7">
        <v>44652</v>
      </c>
      <c r="C4794" s="3">
        <f t="shared" si="148"/>
        <v>2022</v>
      </c>
      <c r="D4794" s="3">
        <f t="shared" si="149"/>
        <v>202204</v>
      </c>
      <c r="E4794" s="5" t="s">
        <v>6</v>
      </c>
      <c r="F4794" s="5" t="s">
        <v>12</v>
      </c>
      <c r="G4794" s="5" t="s">
        <v>45</v>
      </c>
      <c r="H4794">
        <v>30</v>
      </c>
      <c r="I4794" s="4">
        <v>243870</v>
      </c>
      <c r="J4794" s="4">
        <v>99450</v>
      </c>
    </row>
    <row r="4795" spans="2:10" x14ac:dyDescent="0.3">
      <c r="B4795" s="7">
        <v>44682</v>
      </c>
      <c r="C4795" s="3">
        <f t="shared" si="148"/>
        <v>2022</v>
      </c>
      <c r="D4795" s="3">
        <f t="shared" si="149"/>
        <v>202205</v>
      </c>
      <c r="E4795" s="5" t="s">
        <v>6</v>
      </c>
      <c r="F4795" s="5" t="s">
        <v>12</v>
      </c>
      <c r="G4795" s="5" t="s">
        <v>45</v>
      </c>
      <c r="H4795">
        <v>38</v>
      </c>
      <c r="I4795" s="4">
        <v>307116</v>
      </c>
      <c r="J4795" s="4">
        <v>125970</v>
      </c>
    </row>
    <row r="4796" spans="2:10" x14ac:dyDescent="0.3">
      <c r="B4796" s="7">
        <v>44713</v>
      </c>
      <c r="C4796" s="3">
        <f t="shared" si="148"/>
        <v>2022</v>
      </c>
      <c r="D4796" s="3">
        <f t="shared" si="149"/>
        <v>202206</v>
      </c>
      <c r="E4796" s="5" t="s">
        <v>6</v>
      </c>
      <c r="F4796" s="5" t="s">
        <v>12</v>
      </c>
      <c r="G4796" s="5" t="s">
        <v>45</v>
      </c>
      <c r="H4796">
        <v>36</v>
      </c>
      <c r="I4796" s="4">
        <v>277200</v>
      </c>
      <c r="J4796" s="4">
        <v>119340</v>
      </c>
    </row>
    <row r="4797" spans="2:10" x14ac:dyDescent="0.3">
      <c r="B4797" s="7">
        <v>44743</v>
      </c>
      <c r="C4797" s="3">
        <f t="shared" si="148"/>
        <v>2022</v>
      </c>
      <c r="D4797" s="3">
        <f t="shared" si="149"/>
        <v>202207</v>
      </c>
      <c r="E4797" s="5" t="s">
        <v>6</v>
      </c>
      <c r="F4797" s="5" t="s">
        <v>12</v>
      </c>
      <c r="G4797" s="5" t="s">
        <v>45</v>
      </c>
      <c r="H4797">
        <v>38</v>
      </c>
      <c r="I4797" s="4">
        <v>246544</v>
      </c>
      <c r="J4797" s="4">
        <v>125970</v>
      </c>
    </row>
    <row r="4798" spans="2:10" x14ac:dyDescent="0.3">
      <c r="B4798" s="7">
        <v>44774</v>
      </c>
      <c r="C4798" s="3">
        <f t="shared" si="148"/>
        <v>2022</v>
      </c>
      <c r="D4798" s="3">
        <f t="shared" si="149"/>
        <v>202208</v>
      </c>
      <c r="E4798" s="5" t="s">
        <v>6</v>
      </c>
      <c r="F4798" s="5" t="s">
        <v>12</v>
      </c>
      <c r="G4798" s="5" t="s">
        <v>45</v>
      </c>
      <c r="H4798">
        <v>32</v>
      </c>
      <c r="I4798" s="4">
        <v>219168</v>
      </c>
      <c r="J4798" s="4">
        <v>106080</v>
      </c>
    </row>
    <row r="4799" spans="2:10" x14ac:dyDescent="0.3">
      <c r="B4799" s="7">
        <v>44805</v>
      </c>
      <c r="C4799" s="3">
        <f t="shared" si="148"/>
        <v>2022</v>
      </c>
      <c r="D4799" s="3">
        <f t="shared" si="149"/>
        <v>202209</v>
      </c>
      <c r="E4799" s="5" t="s">
        <v>6</v>
      </c>
      <c r="F4799" s="5" t="s">
        <v>12</v>
      </c>
      <c r="G4799" s="5" t="s">
        <v>45</v>
      </c>
      <c r="H4799">
        <v>34</v>
      </c>
      <c r="I4799" s="4">
        <v>247044</v>
      </c>
      <c r="J4799" s="4">
        <v>112710</v>
      </c>
    </row>
    <row r="4800" spans="2:10" x14ac:dyDescent="0.3">
      <c r="B4800" s="7">
        <v>44835</v>
      </c>
      <c r="C4800" s="3">
        <f t="shared" si="148"/>
        <v>2022</v>
      </c>
      <c r="D4800" s="3">
        <f t="shared" si="149"/>
        <v>202210</v>
      </c>
      <c r="E4800" s="5" t="s">
        <v>6</v>
      </c>
      <c r="F4800" s="5" t="s">
        <v>12</v>
      </c>
      <c r="G4800" s="5" t="s">
        <v>45</v>
      </c>
      <c r="H4800">
        <v>28</v>
      </c>
      <c r="I4800" s="4">
        <v>230356</v>
      </c>
      <c r="J4800" s="4">
        <v>92820</v>
      </c>
    </row>
    <row r="4801" spans="2:10" x14ac:dyDescent="0.3">
      <c r="B4801" s="7">
        <v>44866</v>
      </c>
      <c r="C4801" s="3">
        <f t="shared" si="148"/>
        <v>2022</v>
      </c>
      <c r="D4801" s="3">
        <f t="shared" si="149"/>
        <v>202211</v>
      </c>
      <c r="E4801" s="5" t="s">
        <v>6</v>
      </c>
      <c r="F4801" s="5" t="s">
        <v>12</v>
      </c>
      <c r="G4801" s="5" t="s">
        <v>45</v>
      </c>
      <c r="H4801">
        <v>20</v>
      </c>
      <c r="I4801" s="4">
        <v>145840</v>
      </c>
      <c r="J4801" s="4">
        <v>66300</v>
      </c>
    </row>
    <row r="4802" spans="2:10" x14ac:dyDescent="0.3">
      <c r="B4802" s="7">
        <v>44896</v>
      </c>
      <c r="C4802" s="3">
        <f t="shared" si="148"/>
        <v>2022</v>
      </c>
      <c r="D4802" s="3">
        <f t="shared" si="149"/>
        <v>202212</v>
      </c>
      <c r="E4802" s="5" t="s">
        <v>6</v>
      </c>
      <c r="F4802" s="5" t="s">
        <v>12</v>
      </c>
      <c r="G4802" s="5" t="s">
        <v>45</v>
      </c>
      <c r="H4802">
        <v>24</v>
      </c>
      <c r="I4802" s="4">
        <v>182256</v>
      </c>
      <c r="J4802" s="4">
        <v>79560</v>
      </c>
    </row>
    <row r="4803" spans="2:10" x14ac:dyDescent="0.3">
      <c r="B4803" s="7">
        <v>44197</v>
      </c>
      <c r="C4803" s="3">
        <f t="shared" ref="C4803:C4866" si="150">YEAR(B4803)</f>
        <v>2021</v>
      </c>
      <c r="D4803" s="3">
        <f t="shared" ref="D4803:D4866" si="151">VALUE(TEXT(B4803,"ГГГГММ"))</f>
        <v>202101</v>
      </c>
      <c r="E4803" s="5" t="s">
        <v>6</v>
      </c>
      <c r="F4803" s="5" t="s">
        <v>12</v>
      </c>
      <c r="G4803" s="5" t="s">
        <v>46</v>
      </c>
      <c r="H4803">
        <v>32</v>
      </c>
      <c r="I4803" s="4">
        <v>370880</v>
      </c>
      <c r="J4803" s="4">
        <v>150400</v>
      </c>
    </row>
    <row r="4804" spans="2:10" x14ac:dyDescent="0.3">
      <c r="B4804" s="7">
        <v>44228</v>
      </c>
      <c r="C4804" s="3">
        <f t="shared" si="150"/>
        <v>2021</v>
      </c>
      <c r="D4804" s="3">
        <f t="shared" si="151"/>
        <v>202102</v>
      </c>
      <c r="E4804" s="5" t="s">
        <v>6</v>
      </c>
      <c r="F4804" s="5" t="s">
        <v>12</v>
      </c>
      <c r="G4804" s="5" t="s">
        <v>46</v>
      </c>
      <c r="H4804">
        <v>20</v>
      </c>
      <c r="I4804" s="4">
        <v>225980</v>
      </c>
      <c r="J4804" s="4">
        <v>94000</v>
      </c>
    </row>
    <row r="4805" spans="2:10" x14ac:dyDescent="0.3">
      <c r="B4805" s="7">
        <v>44256</v>
      </c>
      <c r="C4805" s="3">
        <f t="shared" si="150"/>
        <v>2021</v>
      </c>
      <c r="D4805" s="3">
        <f t="shared" si="151"/>
        <v>202103</v>
      </c>
      <c r="E4805" s="5" t="s">
        <v>6</v>
      </c>
      <c r="F4805" s="5" t="s">
        <v>12</v>
      </c>
      <c r="G4805" s="5" t="s">
        <v>46</v>
      </c>
      <c r="H4805">
        <v>16</v>
      </c>
      <c r="I4805" s="4">
        <v>175904</v>
      </c>
      <c r="J4805" s="4">
        <v>75200</v>
      </c>
    </row>
    <row r="4806" spans="2:10" x14ac:dyDescent="0.3">
      <c r="B4806" s="7">
        <v>44287</v>
      </c>
      <c r="C4806" s="3">
        <f t="shared" si="150"/>
        <v>2021</v>
      </c>
      <c r="D4806" s="3">
        <f t="shared" si="151"/>
        <v>202104</v>
      </c>
      <c r="E4806" s="5" t="s">
        <v>6</v>
      </c>
      <c r="F4806" s="5" t="s">
        <v>12</v>
      </c>
      <c r="G4806" s="5" t="s">
        <v>46</v>
      </c>
      <c r="H4806">
        <v>30</v>
      </c>
      <c r="I4806" s="4">
        <v>356910</v>
      </c>
      <c r="J4806" s="4">
        <v>141000</v>
      </c>
    </row>
    <row r="4807" spans="2:10" x14ac:dyDescent="0.3">
      <c r="B4807" s="7">
        <v>44317</v>
      </c>
      <c r="C4807" s="3">
        <f t="shared" si="150"/>
        <v>2021</v>
      </c>
      <c r="D4807" s="3">
        <f t="shared" si="151"/>
        <v>202105</v>
      </c>
      <c r="E4807" s="5" t="s">
        <v>6</v>
      </c>
      <c r="F4807" s="5" t="s">
        <v>12</v>
      </c>
      <c r="G4807" s="5" t="s">
        <v>46</v>
      </c>
      <c r="H4807">
        <v>38</v>
      </c>
      <c r="I4807" s="4">
        <v>472188</v>
      </c>
      <c r="J4807" s="4">
        <v>178600</v>
      </c>
    </row>
    <row r="4808" spans="2:10" x14ac:dyDescent="0.3">
      <c r="B4808" s="7">
        <v>44348</v>
      </c>
      <c r="C4808" s="3">
        <f t="shared" si="150"/>
        <v>2021</v>
      </c>
      <c r="D4808" s="3">
        <f t="shared" si="151"/>
        <v>202106</v>
      </c>
      <c r="E4808" s="5" t="s">
        <v>6</v>
      </c>
      <c r="F4808" s="5" t="s">
        <v>12</v>
      </c>
      <c r="G4808" s="5" t="s">
        <v>46</v>
      </c>
      <c r="H4808">
        <v>36</v>
      </c>
      <c r="I4808" s="4">
        <v>427572</v>
      </c>
      <c r="J4808" s="4">
        <v>169200</v>
      </c>
    </row>
    <row r="4809" spans="2:10" x14ac:dyDescent="0.3">
      <c r="B4809" s="7">
        <v>44378</v>
      </c>
      <c r="C4809" s="3">
        <f t="shared" si="150"/>
        <v>2021</v>
      </c>
      <c r="D4809" s="3">
        <f t="shared" si="151"/>
        <v>202107</v>
      </c>
      <c r="E4809" s="5" t="s">
        <v>6</v>
      </c>
      <c r="F4809" s="5" t="s">
        <v>12</v>
      </c>
      <c r="G4809" s="5" t="s">
        <v>46</v>
      </c>
      <c r="H4809">
        <v>38</v>
      </c>
      <c r="I4809" s="4">
        <v>375630</v>
      </c>
      <c r="J4809" s="4">
        <v>178600</v>
      </c>
    </row>
    <row r="4810" spans="2:10" x14ac:dyDescent="0.3">
      <c r="B4810" s="7">
        <v>44409</v>
      </c>
      <c r="C4810" s="3">
        <f t="shared" si="150"/>
        <v>2021</v>
      </c>
      <c r="D4810" s="3">
        <f t="shared" si="151"/>
        <v>202108</v>
      </c>
      <c r="E4810" s="5" t="s">
        <v>6</v>
      </c>
      <c r="F4810" s="5" t="s">
        <v>12</v>
      </c>
      <c r="G4810" s="5" t="s">
        <v>46</v>
      </c>
      <c r="H4810">
        <v>32</v>
      </c>
      <c r="I4810" s="4">
        <v>337184</v>
      </c>
      <c r="J4810" s="4">
        <v>150400</v>
      </c>
    </row>
    <row r="4811" spans="2:10" x14ac:dyDescent="0.3">
      <c r="B4811" s="7">
        <v>44440</v>
      </c>
      <c r="C4811" s="3">
        <f t="shared" si="150"/>
        <v>2021</v>
      </c>
      <c r="D4811" s="3">
        <f t="shared" si="151"/>
        <v>202109</v>
      </c>
      <c r="E4811" s="5" t="s">
        <v>6</v>
      </c>
      <c r="F4811" s="5" t="s">
        <v>12</v>
      </c>
      <c r="G4811" s="5" t="s">
        <v>46</v>
      </c>
      <c r="H4811">
        <v>34</v>
      </c>
      <c r="I4811" s="4">
        <v>350302</v>
      </c>
      <c r="J4811" s="4">
        <v>159800</v>
      </c>
    </row>
    <row r="4812" spans="2:10" x14ac:dyDescent="0.3">
      <c r="B4812" s="7">
        <v>44470</v>
      </c>
      <c r="C4812" s="3">
        <f t="shared" si="150"/>
        <v>2021</v>
      </c>
      <c r="D4812" s="3">
        <f t="shared" si="151"/>
        <v>202110</v>
      </c>
      <c r="E4812" s="5" t="s">
        <v>6</v>
      </c>
      <c r="F4812" s="5" t="s">
        <v>12</v>
      </c>
      <c r="G4812" s="5" t="s">
        <v>46</v>
      </c>
      <c r="H4812">
        <v>28</v>
      </c>
      <c r="I4812" s="4">
        <v>329924</v>
      </c>
      <c r="J4812" s="4">
        <v>131600</v>
      </c>
    </row>
    <row r="4813" spans="2:10" x14ac:dyDescent="0.3">
      <c r="B4813" s="7">
        <v>44501</v>
      </c>
      <c r="C4813" s="3">
        <f t="shared" si="150"/>
        <v>2021</v>
      </c>
      <c r="D4813" s="3">
        <f t="shared" si="151"/>
        <v>202111</v>
      </c>
      <c r="E4813" s="5" t="s">
        <v>6</v>
      </c>
      <c r="F4813" s="5" t="s">
        <v>12</v>
      </c>
      <c r="G4813" s="5" t="s">
        <v>46</v>
      </c>
      <c r="H4813">
        <v>20</v>
      </c>
      <c r="I4813" s="4">
        <v>222180</v>
      </c>
      <c r="J4813" s="4">
        <v>94000</v>
      </c>
    </row>
    <row r="4814" spans="2:10" x14ac:dyDescent="0.3">
      <c r="B4814" s="7">
        <v>44531</v>
      </c>
      <c r="C4814" s="3">
        <f t="shared" si="150"/>
        <v>2021</v>
      </c>
      <c r="D4814" s="3">
        <f t="shared" si="151"/>
        <v>202112</v>
      </c>
      <c r="E4814" s="5" t="s">
        <v>6</v>
      </c>
      <c r="F4814" s="5" t="s">
        <v>12</v>
      </c>
      <c r="G4814" s="5" t="s">
        <v>46</v>
      </c>
      <c r="H4814">
        <v>24</v>
      </c>
      <c r="I4814" s="4">
        <v>251040</v>
      </c>
      <c r="J4814" s="4">
        <v>112800</v>
      </c>
    </row>
    <row r="4815" spans="2:10" x14ac:dyDescent="0.3">
      <c r="B4815" s="7">
        <v>44562</v>
      </c>
      <c r="C4815" s="3">
        <f t="shared" si="150"/>
        <v>2022</v>
      </c>
      <c r="D4815" s="3">
        <f t="shared" si="151"/>
        <v>202201</v>
      </c>
      <c r="E4815" s="5" t="s">
        <v>6</v>
      </c>
      <c r="F4815" s="5" t="s">
        <v>12</v>
      </c>
      <c r="G4815" s="5" t="s">
        <v>46</v>
      </c>
      <c r="H4815">
        <v>35</v>
      </c>
      <c r="I4815" s="4">
        <v>402640</v>
      </c>
      <c r="J4815" s="4">
        <v>164500</v>
      </c>
    </row>
    <row r="4816" spans="2:10" x14ac:dyDescent="0.3">
      <c r="B4816" s="7">
        <v>44593</v>
      </c>
      <c r="C4816" s="3">
        <f t="shared" si="150"/>
        <v>2022</v>
      </c>
      <c r="D4816" s="3">
        <f t="shared" si="151"/>
        <v>202202</v>
      </c>
      <c r="E4816" s="5" t="s">
        <v>6</v>
      </c>
      <c r="F4816" s="5" t="s">
        <v>12</v>
      </c>
      <c r="G4816" s="5" t="s">
        <v>46</v>
      </c>
      <c r="H4816">
        <v>22</v>
      </c>
      <c r="I4816" s="4">
        <v>262834</v>
      </c>
      <c r="J4816" s="4">
        <v>103400</v>
      </c>
    </row>
    <row r="4817" spans="2:10" x14ac:dyDescent="0.3">
      <c r="B4817" s="7">
        <v>44621</v>
      </c>
      <c r="C4817" s="3">
        <f t="shared" si="150"/>
        <v>2022</v>
      </c>
      <c r="D4817" s="3">
        <f t="shared" si="151"/>
        <v>202203</v>
      </c>
      <c r="E4817" s="5" t="s">
        <v>6</v>
      </c>
      <c r="F4817" s="5" t="s">
        <v>12</v>
      </c>
      <c r="G4817" s="5" t="s">
        <v>46</v>
      </c>
      <c r="H4817">
        <v>18</v>
      </c>
      <c r="I4817" s="4">
        <v>189072</v>
      </c>
      <c r="J4817" s="4">
        <v>84600</v>
      </c>
    </row>
    <row r="4818" spans="2:10" x14ac:dyDescent="0.3">
      <c r="B4818" s="7">
        <v>44652</v>
      </c>
      <c r="C4818" s="3">
        <f t="shared" si="150"/>
        <v>2022</v>
      </c>
      <c r="D4818" s="3">
        <f t="shared" si="151"/>
        <v>202204</v>
      </c>
      <c r="E4818" s="5" t="s">
        <v>6</v>
      </c>
      <c r="F4818" s="5" t="s">
        <v>12</v>
      </c>
      <c r="G4818" s="5" t="s">
        <v>46</v>
      </c>
      <c r="H4818">
        <v>33</v>
      </c>
      <c r="I4818" s="4">
        <v>370920</v>
      </c>
      <c r="J4818" s="4">
        <v>155100</v>
      </c>
    </row>
    <row r="4819" spans="2:10" x14ac:dyDescent="0.3">
      <c r="B4819" s="7">
        <v>44682</v>
      </c>
      <c r="C4819" s="3">
        <f t="shared" si="150"/>
        <v>2022</v>
      </c>
      <c r="D4819" s="3">
        <f t="shared" si="151"/>
        <v>202205</v>
      </c>
      <c r="E4819" s="5" t="s">
        <v>6</v>
      </c>
      <c r="F4819" s="5" t="s">
        <v>12</v>
      </c>
      <c r="G4819" s="5" t="s">
        <v>46</v>
      </c>
      <c r="H4819">
        <v>41</v>
      </c>
      <c r="I4819" s="4">
        <v>473140</v>
      </c>
      <c r="J4819" s="4">
        <v>192700</v>
      </c>
    </row>
    <row r="4820" spans="2:10" x14ac:dyDescent="0.3">
      <c r="B4820" s="7">
        <v>44713</v>
      </c>
      <c r="C4820" s="3">
        <f t="shared" si="150"/>
        <v>2022</v>
      </c>
      <c r="D4820" s="3">
        <f t="shared" si="151"/>
        <v>202206</v>
      </c>
      <c r="E4820" s="5" t="s">
        <v>6</v>
      </c>
      <c r="F4820" s="5" t="s">
        <v>12</v>
      </c>
      <c r="G4820" s="5" t="s">
        <v>46</v>
      </c>
      <c r="H4820">
        <v>39</v>
      </c>
      <c r="I4820" s="4">
        <v>451581</v>
      </c>
      <c r="J4820" s="4">
        <v>183300</v>
      </c>
    </row>
    <row r="4821" spans="2:10" x14ac:dyDescent="0.3">
      <c r="B4821" s="7">
        <v>44743</v>
      </c>
      <c r="C4821" s="3">
        <f t="shared" si="150"/>
        <v>2022</v>
      </c>
      <c r="D4821" s="3">
        <f t="shared" si="151"/>
        <v>202207</v>
      </c>
      <c r="E4821" s="5" t="s">
        <v>6</v>
      </c>
      <c r="F4821" s="5" t="s">
        <v>12</v>
      </c>
      <c r="G4821" s="5" t="s">
        <v>46</v>
      </c>
      <c r="H4821">
        <v>41</v>
      </c>
      <c r="I4821" s="4">
        <v>398889</v>
      </c>
      <c r="J4821" s="4">
        <v>192700</v>
      </c>
    </row>
    <row r="4822" spans="2:10" x14ac:dyDescent="0.3">
      <c r="B4822" s="7">
        <v>44774</v>
      </c>
      <c r="C4822" s="3">
        <f t="shared" si="150"/>
        <v>2022</v>
      </c>
      <c r="D4822" s="3">
        <f t="shared" si="151"/>
        <v>202208</v>
      </c>
      <c r="E4822" s="5" t="s">
        <v>6</v>
      </c>
      <c r="F4822" s="5" t="s">
        <v>12</v>
      </c>
      <c r="G4822" s="5" t="s">
        <v>46</v>
      </c>
      <c r="H4822">
        <v>35</v>
      </c>
      <c r="I4822" s="4">
        <v>392455</v>
      </c>
      <c r="J4822" s="4">
        <v>164500</v>
      </c>
    </row>
    <row r="4823" spans="2:10" x14ac:dyDescent="0.3">
      <c r="B4823" s="7">
        <v>44805</v>
      </c>
      <c r="C4823" s="3">
        <f t="shared" si="150"/>
        <v>2022</v>
      </c>
      <c r="D4823" s="3">
        <f t="shared" si="151"/>
        <v>202209</v>
      </c>
      <c r="E4823" s="5" t="s">
        <v>6</v>
      </c>
      <c r="F4823" s="5" t="s">
        <v>12</v>
      </c>
      <c r="G4823" s="5" t="s">
        <v>46</v>
      </c>
      <c r="H4823">
        <v>37</v>
      </c>
      <c r="I4823" s="4">
        <v>418914</v>
      </c>
      <c r="J4823" s="4">
        <v>173900</v>
      </c>
    </row>
    <row r="4824" spans="2:10" x14ac:dyDescent="0.3">
      <c r="B4824" s="7">
        <v>44835</v>
      </c>
      <c r="C4824" s="3">
        <f t="shared" si="150"/>
        <v>2022</v>
      </c>
      <c r="D4824" s="3">
        <f t="shared" si="151"/>
        <v>202210</v>
      </c>
      <c r="E4824" s="5" t="s">
        <v>6</v>
      </c>
      <c r="F4824" s="5" t="s">
        <v>12</v>
      </c>
      <c r="G4824" s="5" t="s">
        <v>46</v>
      </c>
      <c r="H4824">
        <v>31</v>
      </c>
      <c r="I4824" s="4">
        <v>351540</v>
      </c>
      <c r="J4824" s="4">
        <v>145700</v>
      </c>
    </row>
    <row r="4825" spans="2:10" x14ac:dyDescent="0.3">
      <c r="B4825" s="7">
        <v>44866</v>
      </c>
      <c r="C4825" s="3">
        <f t="shared" si="150"/>
        <v>2022</v>
      </c>
      <c r="D4825" s="3">
        <f t="shared" si="151"/>
        <v>202211</v>
      </c>
      <c r="E4825" s="5" t="s">
        <v>6</v>
      </c>
      <c r="F4825" s="5" t="s">
        <v>12</v>
      </c>
      <c r="G4825" s="5" t="s">
        <v>46</v>
      </c>
      <c r="H4825">
        <v>22</v>
      </c>
      <c r="I4825" s="4">
        <v>256718</v>
      </c>
      <c r="J4825" s="4">
        <v>103400</v>
      </c>
    </row>
    <row r="4826" spans="2:10" x14ac:dyDescent="0.3">
      <c r="B4826" s="7">
        <v>44896</v>
      </c>
      <c r="C4826" s="3">
        <f t="shared" si="150"/>
        <v>2022</v>
      </c>
      <c r="D4826" s="3">
        <f t="shared" si="151"/>
        <v>202212</v>
      </c>
      <c r="E4826" s="5" t="s">
        <v>6</v>
      </c>
      <c r="F4826" s="5" t="s">
        <v>12</v>
      </c>
      <c r="G4826" s="5" t="s">
        <v>46</v>
      </c>
      <c r="H4826">
        <v>26</v>
      </c>
      <c r="I4826" s="4">
        <v>275444</v>
      </c>
      <c r="J4826" s="4">
        <v>122200</v>
      </c>
    </row>
    <row r="4827" spans="2:10" x14ac:dyDescent="0.3">
      <c r="B4827" s="7">
        <v>44197</v>
      </c>
      <c r="C4827" s="3">
        <f t="shared" si="150"/>
        <v>2021</v>
      </c>
      <c r="D4827" s="3">
        <f t="shared" si="151"/>
        <v>202101</v>
      </c>
      <c r="E4827" s="5" t="s">
        <v>6</v>
      </c>
      <c r="F4827" s="5" t="s">
        <v>12</v>
      </c>
      <c r="G4827" s="5" t="s">
        <v>47</v>
      </c>
      <c r="H4827">
        <v>34</v>
      </c>
      <c r="I4827" s="4">
        <v>342482</v>
      </c>
      <c r="J4827" s="4">
        <v>182546</v>
      </c>
    </row>
    <row r="4828" spans="2:10" x14ac:dyDescent="0.3">
      <c r="B4828" s="7">
        <v>44228</v>
      </c>
      <c r="C4828" s="3">
        <f t="shared" si="150"/>
        <v>2021</v>
      </c>
      <c r="D4828" s="3">
        <f t="shared" si="151"/>
        <v>202102</v>
      </c>
      <c r="E4828" s="5" t="s">
        <v>6</v>
      </c>
      <c r="F4828" s="5" t="s">
        <v>12</v>
      </c>
      <c r="G4828" s="5" t="s">
        <v>47</v>
      </c>
      <c r="H4828">
        <v>21</v>
      </c>
      <c r="I4828" s="4">
        <v>212289</v>
      </c>
      <c r="J4828" s="4">
        <v>112749</v>
      </c>
    </row>
    <row r="4829" spans="2:10" x14ac:dyDescent="0.3">
      <c r="B4829" s="7">
        <v>44256</v>
      </c>
      <c r="C4829" s="3">
        <f t="shared" si="150"/>
        <v>2021</v>
      </c>
      <c r="D4829" s="3">
        <f t="shared" si="151"/>
        <v>202103</v>
      </c>
      <c r="E4829" s="5" t="s">
        <v>6</v>
      </c>
      <c r="F4829" s="5" t="s">
        <v>12</v>
      </c>
      <c r="G4829" s="5" t="s">
        <v>47</v>
      </c>
      <c r="H4829">
        <v>17</v>
      </c>
      <c r="I4829" s="4">
        <v>163608</v>
      </c>
      <c r="J4829" s="4">
        <v>91273</v>
      </c>
    </row>
    <row r="4830" spans="2:10" x14ac:dyDescent="0.3">
      <c r="B4830" s="7">
        <v>44287</v>
      </c>
      <c r="C4830" s="3">
        <f t="shared" si="150"/>
        <v>2021</v>
      </c>
      <c r="D4830" s="3">
        <f t="shared" si="151"/>
        <v>202104</v>
      </c>
      <c r="E4830" s="5" t="s">
        <v>6</v>
      </c>
      <c r="F4830" s="5" t="s">
        <v>12</v>
      </c>
      <c r="G4830" s="5" t="s">
        <v>47</v>
      </c>
      <c r="H4830">
        <v>31</v>
      </c>
      <c r="I4830" s="4">
        <v>339419</v>
      </c>
      <c r="J4830" s="4">
        <v>166439</v>
      </c>
    </row>
    <row r="4831" spans="2:10" x14ac:dyDescent="0.3">
      <c r="B4831" s="7">
        <v>44317</v>
      </c>
      <c r="C4831" s="3">
        <f t="shared" si="150"/>
        <v>2021</v>
      </c>
      <c r="D4831" s="3">
        <f t="shared" si="151"/>
        <v>202105</v>
      </c>
      <c r="E4831" s="5" t="s">
        <v>6</v>
      </c>
      <c r="F4831" s="5" t="s">
        <v>12</v>
      </c>
      <c r="G4831" s="5" t="s">
        <v>47</v>
      </c>
      <c r="H4831">
        <v>40</v>
      </c>
      <c r="I4831" s="4">
        <v>436560</v>
      </c>
      <c r="J4831" s="4">
        <v>214760</v>
      </c>
    </row>
    <row r="4832" spans="2:10" x14ac:dyDescent="0.3">
      <c r="B4832" s="7">
        <v>44348</v>
      </c>
      <c r="C4832" s="3">
        <f t="shared" si="150"/>
        <v>2021</v>
      </c>
      <c r="D4832" s="3">
        <f t="shared" si="151"/>
        <v>202106</v>
      </c>
      <c r="E4832" s="5" t="s">
        <v>6</v>
      </c>
      <c r="F4832" s="5" t="s">
        <v>12</v>
      </c>
      <c r="G4832" s="5" t="s">
        <v>47</v>
      </c>
      <c r="H4832">
        <v>38</v>
      </c>
      <c r="I4832" s="4">
        <v>385054</v>
      </c>
      <c r="J4832" s="4">
        <v>204022</v>
      </c>
    </row>
    <row r="4833" spans="2:10" x14ac:dyDescent="0.3">
      <c r="B4833" s="7">
        <v>44378</v>
      </c>
      <c r="C4833" s="3">
        <f t="shared" si="150"/>
        <v>2021</v>
      </c>
      <c r="D4833" s="3">
        <f t="shared" si="151"/>
        <v>202107</v>
      </c>
      <c r="E4833" s="5" t="s">
        <v>6</v>
      </c>
      <c r="F4833" s="5" t="s">
        <v>12</v>
      </c>
      <c r="G4833" s="5" t="s">
        <v>47</v>
      </c>
      <c r="H4833">
        <v>40</v>
      </c>
      <c r="I4833" s="4">
        <v>354680</v>
      </c>
      <c r="J4833" s="4">
        <v>214760</v>
      </c>
    </row>
    <row r="4834" spans="2:10" x14ac:dyDescent="0.3">
      <c r="B4834" s="7">
        <v>44409</v>
      </c>
      <c r="C4834" s="3">
        <f t="shared" si="150"/>
        <v>2021</v>
      </c>
      <c r="D4834" s="3">
        <f t="shared" si="151"/>
        <v>202108</v>
      </c>
      <c r="E4834" s="5" t="s">
        <v>6</v>
      </c>
      <c r="F4834" s="5" t="s">
        <v>12</v>
      </c>
      <c r="G4834" s="5" t="s">
        <v>47</v>
      </c>
      <c r="H4834">
        <v>34</v>
      </c>
      <c r="I4834" s="4">
        <v>340136</v>
      </c>
      <c r="J4834" s="4">
        <v>182546</v>
      </c>
    </row>
    <row r="4835" spans="2:10" x14ac:dyDescent="0.3">
      <c r="B4835" s="7">
        <v>44440</v>
      </c>
      <c r="C4835" s="3">
        <f t="shared" si="150"/>
        <v>2021</v>
      </c>
      <c r="D4835" s="3">
        <f t="shared" si="151"/>
        <v>202109</v>
      </c>
      <c r="E4835" s="5" t="s">
        <v>6</v>
      </c>
      <c r="F4835" s="5" t="s">
        <v>12</v>
      </c>
      <c r="G4835" s="5" t="s">
        <v>47</v>
      </c>
      <c r="H4835">
        <v>36</v>
      </c>
      <c r="I4835" s="4">
        <v>365400</v>
      </c>
      <c r="J4835" s="4">
        <v>193284</v>
      </c>
    </row>
    <row r="4836" spans="2:10" x14ac:dyDescent="0.3">
      <c r="B4836" s="7">
        <v>44470</v>
      </c>
      <c r="C4836" s="3">
        <f t="shared" si="150"/>
        <v>2021</v>
      </c>
      <c r="D4836" s="3">
        <f t="shared" si="151"/>
        <v>202110</v>
      </c>
      <c r="E4836" s="5" t="s">
        <v>6</v>
      </c>
      <c r="F4836" s="5" t="s">
        <v>12</v>
      </c>
      <c r="G4836" s="5" t="s">
        <v>47</v>
      </c>
      <c r="H4836">
        <v>29</v>
      </c>
      <c r="I4836" s="4">
        <v>309691</v>
      </c>
      <c r="J4836" s="4">
        <v>155701</v>
      </c>
    </row>
    <row r="4837" spans="2:10" x14ac:dyDescent="0.3">
      <c r="B4837" s="7">
        <v>44501</v>
      </c>
      <c r="C4837" s="3">
        <f t="shared" si="150"/>
        <v>2021</v>
      </c>
      <c r="D4837" s="3">
        <f t="shared" si="151"/>
        <v>202111</v>
      </c>
      <c r="E4837" s="5" t="s">
        <v>6</v>
      </c>
      <c r="F4837" s="5" t="s">
        <v>12</v>
      </c>
      <c r="G4837" s="5" t="s">
        <v>47</v>
      </c>
      <c r="H4837">
        <v>21</v>
      </c>
      <c r="I4837" s="4">
        <v>221172</v>
      </c>
      <c r="J4837" s="4">
        <v>112749</v>
      </c>
    </row>
    <row r="4838" spans="2:10" x14ac:dyDescent="0.3">
      <c r="B4838" s="7">
        <v>44531</v>
      </c>
      <c r="C4838" s="3">
        <f t="shared" si="150"/>
        <v>2021</v>
      </c>
      <c r="D4838" s="3">
        <f t="shared" si="151"/>
        <v>202112</v>
      </c>
      <c r="E4838" s="5" t="s">
        <v>6</v>
      </c>
      <c r="F4838" s="5" t="s">
        <v>12</v>
      </c>
      <c r="G4838" s="5" t="s">
        <v>47</v>
      </c>
      <c r="H4838">
        <v>25</v>
      </c>
      <c r="I4838" s="4">
        <v>252450</v>
      </c>
      <c r="J4838" s="4">
        <v>134225</v>
      </c>
    </row>
    <row r="4839" spans="2:10" x14ac:dyDescent="0.3">
      <c r="B4839" s="7">
        <v>44562</v>
      </c>
      <c r="C4839" s="3">
        <f t="shared" si="150"/>
        <v>2022</v>
      </c>
      <c r="D4839" s="3">
        <f t="shared" si="151"/>
        <v>202201</v>
      </c>
      <c r="E4839" s="5" t="s">
        <v>6</v>
      </c>
      <c r="F4839" s="5" t="s">
        <v>12</v>
      </c>
      <c r="G4839" s="5" t="s">
        <v>47</v>
      </c>
      <c r="H4839">
        <v>37</v>
      </c>
      <c r="I4839" s="4">
        <v>374514</v>
      </c>
      <c r="J4839" s="4">
        <v>198653</v>
      </c>
    </row>
    <row r="4840" spans="2:10" x14ac:dyDescent="0.3">
      <c r="B4840" s="7">
        <v>44593</v>
      </c>
      <c r="C4840" s="3">
        <f t="shared" si="150"/>
        <v>2022</v>
      </c>
      <c r="D4840" s="3">
        <f t="shared" si="151"/>
        <v>202202</v>
      </c>
      <c r="E4840" s="5" t="s">
        <v>6</v>
      </c>
      <c r="F4840" s="5" t="s">
        <v>12</v>
      </c>
      <c r="G4840" s="5" t="s">
        <v>47</v>
      </c>
      <c r="H4840">
        <v>23</v>
      </c>
      <c r="I4840" s="4">
        <v>226481</v>
      </c>
      <c r="J4840" s="4">
        <v>123487</v>
      </c>
    </row>
    <row r="4841" spans="2:10" x14ac:dyDescent="0.3">
      <c r="B4841" s="7">
        <v>44621</v>
      </c>
      <c r="C4841" s="3">
        <f t="shared" si="150"/>
        <v>2022</v>
      </c>
      <c r="D4841" s="3">
        <f t="shared" si="151"/>
        <v>202203</v>
      </c>
      <c r="E4841" s="5" t="s">
        <v>6</v>
      </c>
      <c r="F4841" s="5" t="s">
        <v>12</v>
      </c>
      <c r="G4841" s="5" t="s">
        <v>47</v>
      </c>
      <c r="H4841">
        <v>19</v>
      </c>
      <c r="I4841" s="4">
        <v>182020</v>
      </c>
      <c r="J4841" s="4">
        <v>102011</v>
      </c>
    </row>
    <row r="4842" spans="2:10" x14ac:dyDescent="0.3">
      <c r="B4842" s="7">
        <v>44652</v>
      </c>
      <c r="C4842" s="3">
        <f t="shared" si="150"/>
        <v>2022</v>
      </c>
      <c r="D4842" s="3">
        <f t="shared" si="151"/>
        <v>202204</v>
      </c>
      <c r="E4842" s="5" t="s">
        <v>6</v>
      </c>
      <c r="F4842" s="5" t="s">
        <v>12</v>
      </c>
      <c r="G4842" s="5" t="s">
        <v>47</v>
      </c>
      <c r="H4842">
        <v>35</v>
      </c>
      <c r="I4842" s="4">
        <v>389235</v>
      </c>
      <c r="J4842" s="4">
        <v>187915</v>
      </c>
    </row>
    <row r="4843" spans="2:10" x14ac:dyDescent="0.3">
      <c r="B4843" s="7">
        <v>44682</v>
      </c>
      <c r="C4843" s="3">
        <f t="shared" si="150"/>
        <v>2022</v>
      </c>
      <c r="D4843" s="3">
        <f t="shared" si="151"/>
        <v>202205</v>
      </c>
      <c r="E4843" s="5" t="s">
        <v>6</v>
      </c>
      <c r="F4843" s="5" t="s">
        <v>12</v>
      </c>
      <c r="G4843" s="5" t="s">
        <v>47</v>
      </c>
      <c r="H4843">
        <v>44</v>
      </c>
      <c r="I4843" s="4">
        <v>492184</v>
      </c>
      <c r="J4843" s="4">
        <v>236236</v>
      </c>
    </row>
    <row r="4844" spans="2:10" x14ac:dyDescent="0.3">
      <c r="B4844" s="7">
        <v>44713</v>
      </c>
      <c r="C4844" s="3">
        <f t="shared" si="150"/>
        <v>2022</v>
      </c>
      <c r="D4844" s="3">
        <f t="shared" si="151"/>
        <v>202206</v>
      </c>
      <c r="E4844" s="5" t="s">
        <v>6</v>
      </c>
      <c r="F4844" s="5" t="s">
        <v>12</v>
      </c>
      <c r="G4844" s="5" t="s">
        <v>47</v>
      </c>
      <c r="H4844">
        <v>41</v>
      </c>
      <c r="I4844" s="4">
        <v>415289</v>
      </c>
      <c r="J4844" s="4">
        <v>220129</v>
      </c>
    </row>
    <row r="4845" spans="2:10" x14ac:dyDescent="0.3">
      <c r="B4845" s="7">
        <v>44743</v>
      </c>
      <c r="C4845" s="3">
        <f t="shared" si="150"/>
        <v>2022</v>
      </c>
      <c r="D4845" s="3">
        <f t="shared" si="151"/>
        <v>202207</v>
      </c>
      <c r="E4845" s="5" t="s">
        <v>6</v>
      </c>
      <c r="F4845" s="5" t="s">
        <v>12</v>
      </c>
      <c r="G4845" s="5" t="s">
        <v>47</v>
      </c>
      <c r="H4845">
        <v>44</v>
      </c>
      <c r="I4845" s="4">
        <v>404844</v>
      </c>
      <c r="J4845" s="4">
        <v>236236</v>
      </c>
    </row>
    <row r="4846" spans="2:10" x14ac:dyDescent="0.3">
      <c r="B4846" s="7">
        <v>44774</v>
      </c>
      <c r="C4846" s="3">
        <f t="shared" si="150"/>
        <v>2022</v>
      </c>
      <c r="D4846" s="3">
        <f t="shared" si="151"/>
        <v>202208</v>
      </c>
      <c r="E4846" s="5" t="s">
        <v>6</v>
      </c>
      <c r="F4846" s="5" t="s">
        <v>12</v>
      </c>
      <c r="G4846" s="5" t="s">
        <v>47</v>
      </c>
      <c r="H4846">
        <v>37</v>
      </c>
      <c r="I4846" s="4">
        <v>353905</v>
      </c>
      <c r="J4846" s="4">
        <v>198653</v>
      </c>
    </row>
    <row r="4847" spans="2:10" x14ac:dyDescent="0.3">
      <c r="B4847" s="7">
        <v>44805</v>
      </c>
      <c r="C4847" s="3">
        <f t="shared" si="150"/>
        <v>2022</v>
      </c>
      <c r="D4847" s="3">
        <f t="shared" si="151"/>
        <v>202209</v>
      </c>
      <c r="E4847" s="5" t="s">
        <v>6</v>
      </c>
      <c r="F4847" s="5" t="s">
        <v>12</v>
      </c>
      <c r="G4847" s="5" t="s">
        <v>47</v>
      </c>
      <c r="H4847">
        <v>39</v>
      </c>
      <c r="I4847" s="4">
        <v>371787</v>
      </c>
      <c r="J4847" s="4">
        <v>209391</v>
      </c>
    </row>
    <row r="4848" spans="2:10" x14ac:dyDescent="0.3">
      <c r="B4848" s="7">
        <v>44835</v>
      </c>
      <c r="C4848" s="3">
        <f t="shared" si="150"/>
        <v>2022</v>
      </c>
      <c r="D4848" s="3">
        <f t="shared" si="151"/>
        <v>202210</v>
      </c>
      <c r="E4848" s="5" t="s">
        <v>6</v>
      </c>
      <c r="F4848" s="5" t="s">
        <v>12</v>
      </c>
      <c r="G4848" s="5" t="s">
        <v>47</v>
      </c>
      <c r="H4848">
        <v>32</v>
      </c>
      <c r="I4848" s="4">
        <v>338752</v>
      </c>
      <c r="J4848" s="4">
        <v>171808</v>
      </c>
    </row>
    <row r="4849" spans="2:10" x14ac:dyDescent="0.3">
      <c r="B4849" s="7">
        <v>44866</v>
      </c>
      <c r="C4849" s="3">
        <f t="shared" si="150"/>
        <v>2022</v>
      </c>
      <c r="D4849" s="3">
        <f t="shared" si="151"/>
        <v>202211</v>
      </c>
      <c r="E4849" s="5" t="s">
        <v>6</v>
      </c>
      <c r="F4849" s="5" t="s">
        <v>12</v>
      </c>
      <c r="G4849" s="5" t="s">
        <v>47</v>
      </c>
      <c r="H4849">
        <v>23</v>
      </c>
      <c r="I4849" s="4">
        <v>229379</v>
      </c>
      <c r="J4849" s="4">
        <v>123487</v>
      </c>
    </row>
    <row r="4850" spans="2:10" x14ac:dyDescent="0.3">
      <c r="B4850" s="7">
        <v>44896</v>
      </c>
      <c r="C4850" s="3">
        <f t="shared" si="150"/>
        <v>2022</v>
      </c>
      <c r="D4850" s="3">
        <f t="shared" si="151"/>
        <v>202212</v>
      </c>
      <c r="E4850" s="5" t="s">
        <v>6</v>
      </c>
      <c r="F4850" s="5" t="s">
        <v>12</v>
      </c>
      <c r="G4850" s="5" t="s">
        <v>47</v>
      </c>
      <c r="H4850">
        <v>28</v>
      </c>
      <c r="I4850" s="4">
        <v>274512</v>
      </c>
      <c r="J4850" s="4">
        <v>150332</v>
      </c>
    </row>
    <row r="4851" spans="2:10" x14ac:dyDescent="0.3">
      <c r="B4851" s="7">
        <v>44197</v>
      </c>
      <c r="C4851" s="3">
        <f t="shared" si="150"/>
        <v>2021</v>
      </c>
      <c r="D4851" s="3">
        <f t="shared" si="151"/>
        <v>202101</v>
      </c>
      <c r="E4851" s="5" t="s">
        <v>6</v>
      </c>
      <c r="F4851" s="5" t="s">
        <v>12</v>
      </c>
      <c r="G4851" s="5" t="s">
        <v>48</v>
      </c>
      <c r="H4851">
        <v>24</v>
      </c>
      <c r="I4851" s="4">
        <v>280968</v>
      </c>
      <c r="J4851" s="4">
        <v>132000</v>
      </c>
    </row>
    <row r="4852" spans="2:10" x14ac:dyDescent="0.3">
      <c r="B4852" s="7">
        <v>44228</v>
      </c>
      <c r="C4852" s="3">
        <f t="shared" si="150"/>
        <v>2021</v>
      </c>
      <c r="D4852" s="3">
        <f t="shared" si="151"/>
        <v>202102</v>
      </c>
      <c r="E4852" s="5" t="s">
        <v>6</v>
      </c>
      <c r="F4852" s="5" t="s">
        <v>12</v>
      </c>
      <c r="G4852" s="5" t="s">
        <v>48</v>
      </c>
      <c r="H4852">
        <v>15</v>
      </c>
      <c r="I4852" s="4">
        <v>193620</v>
      </c>
      <c r="J4852" s="4">
        <v>82500</v>
      </c>
    </row>
    <row r="4853" spans="2:10" x14ac:dyDescent="0.3">
      <c r="B4853" s="7">
        <v>44256</v>
      </c>
      <c r="C4853" s="3">
        <f t="shared" si="150"/>
        <v>2021</v>
      </c>
      <c r="D4853" s="3">
        <f t="shared" si="151"/>
        <v>202103</v>
      </c>
      <c r="E4853" s="5" t="s">
        <v>6</v>
      </c>
      <c r="F4853" s="5" t="s">
        <v>12</v>
      </c>
      <c r="G4853" s="5" t="s">
        <v>48</v>
      </c>
      <c r="H4853">
        <v>12</v>
      </c>
      <c r="I4853" s="4">
        <v>142884</v>
      </c>
      <c r="J4853" s="4">
        <v>66000</v>
      </c>
    </row>
    <row r="4854" spans="2:10" x14ac:dyDescent="0.3">
      <c r="B4854" s="7">
        <v>44287</v>
      </c>
      <c r="C4854" s="3">
        <f t="shared" si="150"/>
        <v>2021</v>
      </c>
      <c r="D4854" s="3">
        <f t="shared" si="151"/>
        <v>202104</v>
      </c>
      <c r="E4854" s="5" t="s">
        <v>6</v>
      </c>
      <c r="F4854" s="5" t="s">
        <v>12</v>
      </c>
      <c r="G4854" s="5" t="s">
        <v>48</v>
      </c>
      <c r="H4854">
        <v>23</v>
      </c>
      <c r="I4854" s="4">
        <v>289570</v>
      </c>
      <c r="J4854" s="4">
        <v>126500</v>
      </c>
    </row>
    <row r="4855" spans="2:10" x14ac:dyDescent="0.3">
      <c r="B4855" s="7">
        <v>44317</v>
      </c>
      <c r="C4855" s="3">
        <f t="shared" si="150"/>
        <v>2021</v>
      </c>
      <c r="D4855" s="3">
        <f t="shared" si="151"/>
        <v>202105</v>
      </c>
      <c r="E4855" s="5" t="s">
        <v>6</v>
      </c>
      <c r="F4855" s="5" t="s">
        <v>12</v>
      </c>
      <c r="G4855" s="5" t="s">
        <v>48</v>
      </c>
      <c r="H4855">
        <v>28</v>
      </c>
      <c r="I4855" s="4">
        <v>366240</v>
      </c>
      <c r="J4855" s="4">
        <v>154000</v>
      </c>
    </row>
    <row r="4856" spans="2:10" x14ac:dyDescent="0.3">
      <c r="B4856" s="7">
        <v>44348</v>
      </c>
      <c r="C4856" s="3">
        <f t="shared" si="150"/>
        <v>2021</v>
      </c>
      <c r="D4856" s="3">
        <f t="shared" si="151"/>
        <v>202106</v>
      </c>
      <c r="E4856" s="5" t="s">
        <v>6</v>
      </c>
      <c r="F4856" s="5" t="s">
        <v>12</v>
      </c>
      <c r="G4856" s="5" t="s">
        <v>48</v>
      </c>
      <c r="H4856">
        <v>27</v>
      </c>
      <c r="I4856" s="4">
        <v>340011</v>
      </c>
      <c r="J4856" s="4">
        <v>148500</v>
      </c>
    </row>
    <row r="4857" spans="2:10" x14ac:dyDescent="0.3">
      <c r="B4857" s="7">
        <v>44378</v>
      </c>
      <c r="C4857" s="3">
        <f t="shared" si="150"/>
        <v>2021</v>
      </c>
      <c r="D4857" s="3">
        <f t="shared" si="151"/>
        <v>202107</v>
      </c>
      <c r="E4857" s="5" t="s">
        <v>6</v>
      </c>
      <c r="F4857" s="5" t="s">
        <v>12</v>
      </c>
      <c r="G4857" s="5" t="s">
        <v>48</v>
      </c>
      <c r="H4857">
        <v>28</v>
      </c>
      <c r="I4857" s="4">
        <v>307832</v>
      </c>
      <c r="J4857" s="4">
        <v>154000</v>
      </c>
    </row>
    <row r="4858" spans="2:10" x14ac:dyDescent="0.3">
      <c r="B4858" s="7">
        <v>44409</v>
      </c>
      <c r="C4858" s="3">
        <f t="shared" si="150"/>
        <v>2021</v>
      </c>
      <c r="D4858" s="3">
        <f t="shared" si="151"/>
        <v>202108</v>
      </c>
      <c r="E4858" s="5" t="s">
        <v>6</v>
      </c>
      <c r="F4858" s="5" t="s">
        <v>12</v>
      </c>
      <c r="G4858" s="5" t="s">
        <v>48</v>
      </c>
      <c r="H4858">
        <v>24</v>
      </c>
      <c r="I4858" s="4">
        <v>276864</v>
      </c>
      <c r="J4858" s="4">
        <v>132000</v>
      </c>
    </row>
    <row r="4859" spans="2:10" x14ac:dyDescent="0.3">
      <c r="B4859" s="7">
        <v>44440</v>
      </c>
      <c r="C4859" s="3">
        <f t="shared" si="150"/>
        <v>2021</v>
      </c>
      <c r="D4859" s="3">
        <f t="shared" si="151"/>
        <v>202109</v>
      </c>
      <c r="E4859" s="5" t="s">
        <v>6</v>
      </c>
      <c r="F4859" s="5" t="s">
        <v>12</v>
      </c>
      <c r="G4859" s="5" t="s">
        <v>48</v>
      </c>
      <c r="H4859">
        <v>25</v>
      </c>
      <c r="I4859" s="4">
        <v>295475</v>
      </c>
      <c r="J4859" s="4">
        <v>137500</v>
      </c>
    </row>
    <row r="4860" spans="2:10" x14ac:dyDescent="0.3">
      <c r="B4860" s="7">
        <v>44470</v>
      </c>
      <c r="C4860" s="3">
        <f t="shared" si="150"/>
        <v>2021</v>
      </c>
      <c r="D4860" s="3">
        <f t="shared" si="151"/>
        <v>202110</v>
      </c>
      <c r="E4860" s="5" t="s">
        <v>6</v>
      </c>
      <c r="F4860" s="5" t="s">
        <v>12</v>
      </c>
      <c r="G4860" s="5" t="s">
        <v>48</v>
      </c>
      <c r="H4860">
        <v>21</v>
      </c>
      <c r="I4860" s="4">
        <v>266154</v>
      </c>
      <c r="J4860" s="4">
        <v>115500</v>
      </c>
    </row>
    <row r="4861" spans="2:10" x14ac:dyDescent="0.3">
      <c r="B4861" s="7">
        <v>44501</v>
      </c>
      <c r="C4861" s="3">
        <f t="shared" si="150"/>
        <v>2021</v>
      </c>
      <c r="D4861" s="3">
        <f t="shared" si="151"/>
        <v>202111</v>
      </c>
      <c r="E4861" s="5" t="s">
        <v>6</v>
      </c>
      <c r="F4861" s="5" t="s">
        <v>12</v>
      </c>
      <c r="G4861" s="5" t="s">
        <v>48</v>
      </c>
      <c r="H4861">
        <v>15</v>
      </c>
      <c r="I4861" s="4">
        <v>182055</v>
      </c>
      <c r="J4861" s="4">
        <v>82500</v>
      </c>
    </row>
    <row r="4862" spans="2:10" x14ac:dyDescent="0.3">
      <c r="B4862" s="7">
        <v>44531</v>
      </c>
      <c r="C4862" s="3">
        <f t="shared" si="150"/>
        <v>2021</v>
      </c>
      <c r="D4862" s="3">
        <f t="shared" si="151"/>
        <v>202112</v>
      </c>
      <c r="E4862" s="5" t="s">
        <v>6</v>
      </c>
      <c r="F4862" s="5" t="s">
        <v>12</v>
      </c>
      <c r="G4862" s="5" t="s">
        <v>48</v>
      </c>
      <c r="H4862">
        <v>18</v>
      </c>
      <c r="I4862" s="4">
        <v>215748</v>
      </c>
      <c r="J4862" s="4">
        <v>99000</v>
      </c>
    </row>
    <row r="4863" spans="2:10" x14ac:dyDescent="0.3">
      <c r="B4863" s="7">
        <v>44562</v>
      </c>
      <c r="C4863" s="3">
        <f t="shared" si="150"/>
        <v>2022</v>
      </c>
      <c r="D4863" s="3">
        <f t="shared" si="151"/>
        <v>202201</v>
      </c>
      <c r="E4863" s="5" t="s">
        <v>6</v>
      </c>
      <c r="F4863" s="5" t="s">
        <v>12</v>
      </c>
      <c r="G4863" s="5" t="s">
        <v>48</v>
      </c>
      <c r="H4863">
        <v>26</v>
      </c>
      <c r="I4863" s="4">
        <v>327392</v>
      </c>
      <c r="J4863" s="4">
        <v>143000</v>
      </c>
    </row>
    <row r="4864" spans="2:10" x14ac:dyDescent="0.3">
      <c r="B4864" s="7">
        <v>44593</v>
      </c>
      <c r="C4864" s="3">
        <f t="shared" si="150"/>
        <v>2022</v>
      </c>
      <c r="D4864" s="3">
        <f t="shared" si="151"/>
        <v>202202</v>
      </c>
      <c r="E4864" s="5" t="s">
        <v>6</v>
      </c>
      <c r="F4864" s="5" t="s">
        <v>12</v>
      </c>
      <c r="G4864" s="5" t="s">
        <v>48</v>
      </c>
      <c r="H4864">
        <v>17</v>
      </c>
      <c r="I4864" s="4">
        <v>216410</v>
      </c>
      <c r="J4864" s="4">
        <v>93500</v>
      </c>
    </row>
    <row r="4865" spans="2:10" x14ac:dyDescent="0.3">
      <c r="B4865" s="7">
        <v>44621</v>
      </c>
      <c r="C4865" s="3">
        <f t="shared" si="150"/>
        <v>2022</v>
      </c>
      <c r="D4865" s="3">
        <f t="shared" si="151"/>
        <v>202203</v>
      </c>
      <c r="E4865" s="5" t="s">
        <v>6</v>
      </c>
      <c r="F4865" s="5" t="s">
        <v>12</v>
      </c>
      <c r="G4865" s="5" t="s">
        <v>48</v>
      </c>
      <c r="H4865">
        <v>13</v>
      </c>
      <c r="I4865" s="4">
        <v>143208</v>
      </c>
      <c r="J4865" s="4">
        <v>71500</v>
      </c>
    </row>
    <row r="4866" spans="2:10" x14ac:dyDescent="0.3">
      <c r="B4866" s="7">
        <v>44652</v>
      </c>
      <c r="C4866" s="3">
        <f t="shared" si="150"/>
        <v>2022</v>
      </c>
      <c r="D4866" s="3">
        <f t="shared" si="151"/>
        <v>202204</v>
      </c>
      <c r="E4866" s="5" t="s">
        <v>6</v>
      </c>
      <c r="F4866" s="5" t="s">
        <v>12</v>
      </c>
      <c r="G4866" s="5" t="s">
        <v>48</v>
      </c>
      <c r="H4866">
        <v>25</v>
      </c>
      <c r="I4866" s="4">
        <v>327375</v>
      </c>
      <c r="J4866" s="4">
        <v>137500</v>
      </c>
    </row>
    <row r="4867" spans="2:10" x14ac:dyDescent="0.3">
      <c r="B4867" s="7">
        <v>44682</v>
      </c>
      <c r="C4867" s="3">
        <f t="shared" ref="C4867:C4930" si="152">YEAR(B4867)</f>
        <v>2022</v>
      </c>
      <c r="D4867" s="3">
        <f t="shared" ref="D4867:D4930" si="153">VALUE(TEXT(B4867,"ГГГГММ"))</f>
        <v>202205</v>
      </c>
      <c r="E4867" s="5" t="s">
        <v>6</v>
      </c>
      <c r="F4867" s="5" t="s">
        <v>12</v>
      </c>
      <c r="G4867" s="5" t="s">
        <v>48</v>
      </c>
      <c r="H4867">
        <v>31</v>
      </c>
      <c r="I4867" s="4">
        <v>386291</v>
      </c>
      <c r="J4867" s="4">
        <v>170500</v>
      </c>
    </row>
    <row r="4868" spans="2:10" x14ac:dyDescent="0.3">
      <c r="B4868" s="7">
        <v>44713</v>
      </c>
      <c r="C4868" s="3">
        <f t="shared" si="152"/>
        <v>2022</v>
      </c>
      <c r="D4868" s="3">
        <f t="shared" si="153"/>
        <v>202206</v>
      </c>
      <c r="E4868" s="5" t="s">
        <v>6</v>
      </c>
      <c r="F4868" s="5" t="s">
        <v>12</v>
      </c>
      <c r="G4868" s="5" t="s">
        <v>48</v>
      </c>
      <c r="H4868">
        <v>30</v>
      </c>
      <c r="I4868" s="4">
        <v>361680</v>
      </c>
      <c r="J4868" s="4">
        <v>165000</v>
      </c>
    </row>
    <row r="4869" spans="2:10" x14ac:dyDescent="0.3">
      <c r="B4869" s="7">
        <v>44743</v>
      </c>
      <c r="C4869" s="3">
        <f t="shared" si="152"/>
        <v>2022</v>
      </c>
      <c r="D4869" s="3">
        <f t="shared" si="153"/>
        <v>202207</v>
      </c>
      <c r="E4869" s="5" t="s">
        <v>6</v>
      </c>
      <c r="F4869" s="5" t="s">
        <v>12</v>
      </c>
      <c r="G4869" s="5" t="s">
        <v>48</v>
      </c>
      <c r="H4869">
        <v>31</v>
      </c>
      <c r="I4869" s="4">
        <v>332754</v>
      </c>
      <c r="J4869" s="4">
        <v>170500</v>
      </c>
    </row>
    <row r="4870" spans="2:10" x14ac:dyDescent="0.3">
      <c r="B4870" s="7">
        <v>44774</v>
      </c>
      <c r="C4870" s="3">
        <f t="shared" si="152"/>
        <v>2022</v>
      </c>
      <c r="D4870" s="3">
        <f t="shared" si="153"/>
        <v>202208</v>
      </c>
      <c r="E4870" s="5" t="s">
        <v>6</v>
      </c>
      <c r="F4870" s="5" t="s">
        <v>12</v>
      </c>
      <c r="G4870" s="5" t="s">
        <v>48</v>
      </c>
      <c r="H4870">
        <v>26</v>
      </c>
      <c r="I4870" s="4">
        <v>289718</v>
      </c>
      <c r="J4870" s="4">
        <v>143000</v>
      </c>
    </row>
    <row r="4871" spans="2:10" x14ac:dyDescent="0.3">
      <c r="B4871" s="7">
        <v>44805</v>
      </c>
      <c r="C4871" s="3">
        <f t="shared" si="152"/>
        <v>2022</v>
      </c>
      <c r="D4871" s="3">
        <f t="shared" si="153"/>
        <v>202209</v>
      </c>
      <c r="E4871" s="5" t="s">
        <v>6</v>
      </c>
      <c r="F4871" s="5" t="s">
        <v>12</v>
      </c>
      <c r="G4871" s="5" t="s">
        <v>48</v>
      </c>
      <c r="H4871">
        <v>28</v>
      </c>
      <c r="I4871" s="4">
        <v>345604</v>
      </c>
      <c r="J4871" s="4">
        <v>154000</v>
      </c>
    </row>
    <row r="4872" spans="2:10" x14ac:dyDescent="0.3">
      <c r="B4872" s="7">
        <v>44835</v>
      </c>
      <c r="C4872" s="3">
        <f t="shared" si="152"/>
        <v>2022</v>
      </c>
      <c r="D4872" s="3">
        <f t="shared" si="153"/>
        <v>202210</v>
      </c>
      <c r="E4872" s="5" t="s">
        <v>6</v>
      </c>
      <c r="F4872" s="5" t="s">
        <v>12</v>
      </c>
      <c r="G4872" s="5" t="s">
        <v>48</v>
      </c>
      <c r="H4872">
        <v>23</v>
      </c>
      <c r="I4872" s="4">
        <v>287017</v>
      </c>
      <c r="J4872" s="4">
        <v>126500</v>
      </c>
    </row>
    <row r="4873" spans="2:10" x14ac:dyDescent="0.3">
      <c r="B4873" s="7">
        <v>44866</v>
      </c>
      <c r="C4873" s="3">
        <f t="shared" si="152"/>
        <v>2022</v>
      </c>
      <c r="D4873" s="3">
        <f t="shared" si="153"/>
        <v>202211</v>
      </c>
      <c r="E4873" s="5" t="s">
        <v>6</v>
      </c>
      <c r="F4873" s="5" t="s">
        <v>12</v>
      </c>
      <c r="G4873" s="5" t="s">
        <v>48</v>
      </c>
      <c r="H4873">
        <v>17</v>
      </c>
      <c r="I4873" s="4">
        <v>209916</v>
      </c>
      <c r="J4873" s="4">
        <v>93500</v>
      </c>
    </row>
    <row r="4874" spans="2:10" x14ac:dyDescent="0.3">
      <c r="B4874" s="7">
        <v>44896</v>
      </c>
      <c r="C4874" s="3">
        <f t="shared" si="152"/>
        <v>2022</v>
      </c>
      <c r="D4874" s="3">
        <f t="shared" si="153"/>
        <v>202212</v>
      </c>
      <c r="E4874" s="5" t="s">
        <v>6</v>
      </c>
      <c r="F4874" s="5" t="s">
        <v>12</v>
      </c>
      <c r="G4874" s="5" t="s">
        <v>48</v>
      </c>
      <c r="H4874">
        <v>20</v>
      </c>
      <c r="I4874" s="4">
        <v>240600</v>
      </c>
      <c r="J4874" s="4">
        <v>110000</v>
      </c>
    </row>
    <row r="4875" spans="2:10" x14ac:dyDescent="0.3">
      <c r="B4875" s="7">
        <v>44197</v>
      </c>
      <c r="C4875" s="3">
        <f t="shared" si="152"/>
        <v>2021</v>
      </c>
      <c r="D4875" s="3">
        <f t="shared" si="153"/>
        <v>202101</v>
      </c>
      <c r="E4875" s="5" t="s">
        <v>6</v>
      </c>
      <c r="F4875" s="5" t="s">
        <v>13</v>
      </c>
      <c r="G4875" s="5" t="s">
        <v>49</v>
      </c>
      <c r="H4875">
        <v>8</v>
      </c>
      <c r="I4875" s="4">
        <v>29208</v>
      </c>
      <c r="J4875" s="4">
        <v>12096</v>
      </c>
    </row>
    <row r="4876" spans="2:10" x14ac:dyDescent="0.3">
      <c r="B4876" s="7">
        <v>44228</v>
      </c>
      <c r="C4876" s="3">
        <f t="shared" si="152"/>
        <v>2021</v>
      </c>
      <c r="D4876" s="3">
        <f t="shared" si="153"/>
        <v>202102</v>
      </c>
      <c r="E4876" s="5" t="s">
        <v>6</v>
      </c>
      <c r="F4876" s="5" t="s">
        <v>13</v>
      </c>
      <c r="G4876" s="5" t="s">
        <v>49</v>
      </c>
      <c r="H4876">
        <v>5</v>
      </c>
      <c r="I4876" s="4">
        <v>20170</v>
      </c>
      <c r="J4876" s="4">
        <v>7560</v>
      </c>
    </row>
    <row r="4877" spans="2:10" x14ac:dyDescent="0.3">
      <c r="B4877" s="7">
        <v>44256</v>
      </c>
      <c r="C4877" s="3">
        <f t="shared" si="152"/>
        <v>2021</v>
      </c>
      <c r="D4877" s="3">
        <f t="shared" si="153"/>
        <v>202103</v>
      </c>
      <c r="E4877" s="5" t="s">
        <v>6</v>
      </c>
      <c r="F4877" s="5" t="s">
        <v>13</v>
      </c>
      <c r="G4877" s="5" t="s">
        <v>49</v>
      </c>
      <c r="H4877">
        <v>4</v>
      </c>
      <c r="I4877" s="4">
        <v>14104</v>
      </c>
      <c r="J4877" s="4">
        <v>6048</v>
      </c>
    </row>
    <row r="4878" spans="2:10" x14ac:dyDescent="0.3">
      <c r="B4878" s="7">
        <v>44287</v>
      </c>
      <c r="C4878" s="3">
        <f t="shared" si="152"/>
        <v>2021</v>
      </c>
      <c r="D4878" s="3">
        <f t="shared" si="153"/>
        <v>202104</v>
      </c>
      <c r="E4878" s="5" t="s">
        <v>6</v>
      </c>
      <c r="F4878" s="5" t="s">
        <v>13</v>
      </c>
      <c r="G4878" s="5" t="s">
        <v>49</v>
      </c>
      <c r="H4878">
        <v>7</v>
      </c>
      <c r="I4878" s="4">
        <v>30184</v>
      </c>
      <c r="J4878" s="4">
        <v>10584</v>
      </c>
    </row>
    <row r="4879" spans="2:10" x14ac:dyDescent="0.3">
      <c r="B4879" s="7">
        <v>44317</v>
      </c>
      <c r="C4879" s="3">
        <f t="shared" si="152"/>
        <v>2021</v>
      </c>
      <c r="D4879" s="3">
        <f t="shared" si="153"/>
        <v>202105</v>
      </c>
      <c r="E4879" s="5" t="s">
        <v>6</v>
      </c>
      <c r="F4879" s="5" t="s">
        <v>13</v>
      </c>
      <c r="G4879" s="5" t="s">
        <v>49</v>
      </c>
      <c r="H4879">
        <v>9</v>
      </c>
      <c r="I4879" s="4">
        <v>40212</v>
      </c>
      <c r="J4879" s="4">
        <v>13608</v>
      </c>
    </row>
    <row r="4880" spans="2:10" x14ac:dyDescent="0.3">
      <c r="B4880" s="7">
        <v>44348</v>
      </c>
      <c r="C4880" s="3">
        <f t="shared" si="152"/>
        <v>2021</v>
      </c>
      <c r="D4880" s="3">
        <f t="shared" si="153"/>
        <v>202106</v>
      </c>
      <c r="E4880" s="5" t="s">
        <v>6</v>
      </c>
      <c r="F4880" s="5" t="s">
        <v>13</v>
      </c>
      <c r="G4880" s="5" t="s">
        <v>49</v>
      </c>
      <c r="H4880">
        <v>9</v>
      </c>
      <c r="I4880" s="4">
        <v>34641</v>
      </c>
      <c r="J4880" s="4">
        <v>13608</v>
      </c>
    </row>
    <row r="4881" spans="2:10" x14ac:dyDescent="0.3">
      <c r="B4881" s="7">
        <v>44378</v>
      </c>
      <c r="C4881" s="3">
        <f t="shared" si="152"/>
        <v>2021</v>
      </c>
      <c r="D4881" s="3">
        <f t="shared" si="153"/>
        <v>202107</v>
      </c>
      <c r="E4881" s="5" t="s">
        <v>6</v>
      </c>
      <c r="F4881" s="5" t="s">
        <v>13</v>
      </c>
      <c r="G4881" s="5" t="s">
        <v>49</v>
      </c>
      <c r="H4881">
        <v>9</v>
      </c>
      <c r="I4881" s="4">
        <v>25848</v>
      </c>
      <c r="J4881" s="4">
        <v>13608</v>
      </c>
    </row>
    <row r="4882" spans="2:10" x14ac:dyDescent="0.3">
      <c r="B4882" s="7">
        <v>44409</v>
      </c>
      <c r="C4882" s="3">
        <f t="shared" si="152"/>
        <v>2021</v>
      </c>
      <c r="D4882" s="3">
        <f t="shared" si="153"/>
        <v>202108</v>
      </c>
      <c r="E4882" s="5" t="s">
        <v>6</v>
      </c>
      <c r="F4882" s="5" t="s">
        <v>13</v>
      </c>
      <c r="G4882" s="5" t="s">
        <v>49</v>
      </c>
      <c r="H4882">
        <v>8</v>
      </c>
      <c r="I4882" s="4">
        <v>25984</v>
      </c>
      <c r="J4882" s="4">
        <v>12096</v>
      </c>
    </row>
    <row r="4883" spans="2:10" x14ac:dyDescent="0.3">
      <c r="B4883" s="7">
        <v>44440</v>
      </c>
      <c r="C4883" s="3">
        <f t="shared" si="152"/>
        <v>2021</v>
      </c>
      <c r="D4883" s="3">
        <f t="shared" si="153"/>
        <v>202109</v>
      </c>
      <c r="E4883" s="5" t="s">
        <v>6</v>
      </c>
      <c r="F4883" s="5" t="s">
        <v>13</v>
      </c>
      <c r="G4883" s="5" t="s">
        <v>49</v>
      </c>
      <c r="H4883">
        <v>8</v>
      </c>
      <c r="I4883" s="4">
        <v>30824</v>
      </c>
      <c r="J4883" s="4">
        <v>12096</v>
      </c>
    </row>
    <row r="4884" spans="2:10" x14ac:dyDescent="0.3">
      <c r="B4884" s="7">
        <v>44470</v>
      </c>
      <c r="C4884" s="3">
        <f t="shared" si="152"/>
        <v>2021</v>
      </c>
      <c r="D4884" s="3">
        <f t="shared" si="153"/>
        <v>202110</v>
      </c>
      <c r="E4884" s="5" t="s">
        <v>6</v>
      </c>
      <c r="F4884" s="5" t="s">
        <v>13</v>
      </c>
      <c r="G4884" s="5" t="s">
        <v>49</v>
      </c>
      <c r="H4884">
        <v>7</v>
      </c>
      <c r="I4884" s="4">
        <v>28616</v>
      </c>
      <c r="J4884" s="4">
        <v>10584</v>
      </c>
    </row>
    <row r="4885" spans="2:10" x14ac:dyDescent="0.3">
      <c r="B4885" s="7">
        <v>44501</v>
      </c>
      <c r="C4885" s="3">
        <f t="shared" si="152"/>
        <v>2021</v>
      </c>
      <c r="D4885" s="3">
        <f t="shared" si="153"/>
        <v>202111</v>
      </c>
      <c r="E4885" s="5" t="s">
        <v>6</v>
      </c>
      <c r="F4885" s="5" t="s">
        <v>13</v>
      </c>
      <c r="G4885" s="5" t="s">
        <v>49</v>
      </c>
      <c r="H4885">
        <v>5</v>
      </c>
      <c r="I4885" s="4">
        <v>17810</v>
      </c>
      <c r="J4885" s="4">
        <v>7560</v>
      </c>
    </row>
    <row r="4886" spans="2:10" x14ac:dyDescent="0.3">
      <c r="B4886" s="7">
        <v>44531</v>
      </c>
      <c r="C4886" s="3">
        <f t="shared" si="152"/>
        <v>2021</v>
      </c>
      <c r="D4886" s="3">
        <f t="shared" si="153"/>
        <v>202112</v>
      </c>
      <c r="E4886" s="5" t="s">
        <v>6</v>
      </c>
      <c r="F4886" s="5" t="s">
        <v>13</v>
      </c>
      <c r="G4886" s="5" t="s">
        <v>49</v>
      </c>
      <c r="H4886">
        <v>6</v>
      </c>
      <c r="I4886" s="4">
        <v>21900</v>
      </c>
      <c r="J4886" s="4">
        <v>9072</v>
      </c>
    </row>
    <row r="4887" spans="2:10" x14ac:dyDescent="0.3">
      <c r="B4887" s="7">
        <v>44562</v>
      </c>
      <c r="C4887" s="3">
        <f t="shared" si="152"/>
        <v>2022</v>
      </c>
      <c r="D4887" s="3">
        <f t="shared" si="153"/>
        <v>202201</v>
      </c>
      <c r="E4887" s="5" t="s">
        <v>6</v>
      </c>
      <c r="F4887" s="5" t="s">
        <v>13</v>
      </c>
      <c r="G4887" s="5" t="s">
        <v>49</v>
      </c>
      <c r="H4887">
        <v>8</v>
      </c>
      <c r="I4887" s="4">
        <v>33912</v>
      </c>
      <c r="J4887" s="4">
        <v>12096</v>
      </c>
    </row>
    <row r="4888" spans="2:10" x14ac:dyDescent="0.3">
      <c r="B4888" s="7">
        <v>44593</v>
      </c>
      <c r="C4888" s="3">
        <f t="shared" si="152"/>
        <v>2022</v>
      </c>
      <c r="D4888" s="3">
        <f t="shared" si="153"/>
        <v>202202</v>
      </c>
      <c r="E4888" s="5" t="s">
        <v>6</v>
      </c>
      <c r="F4888" s="5" t="s">
        <v>13</v>
      </c>
      <c r="G4888" s="5" t="s">
        <v>49</v>
      </c>
      <c r="H4888">
        <v>5</v>
      </c>
      <c r="I4888" s="4">
        <v>22045</v>
      </c>
      <c r="J4888" s="4">
        <v>7560</v>
      </c>
    </row>
    <row r="4889" spans="2:10" x14ac:dyDescent="0.3">
      <c r="B4889" s="7">
        <v>44621</v>
      </c>
      <c r="C4889" s="3">
        <f t="shared" si="152"/>
        <v>2022</v>
      </c>
      <c r="D4889" s="3">
        <f t="shared" si="153"/>
        <v>202203</v>
      </c>
      <c r="E4889" s="5" t="s">
        <v>6</v>
      </c>
      <c r="F4889" s="5" t="s">
        <v>13</v>
      </c>
      <c r="G4889" s="5" t="s">
        <v>49</v>
      </c>
      <c r="H4889">
        <v>4</v>
      </c>
      <c r="I4889" s="4">
        <v>13444</v>
      </c>
      <c r="J4889" s="4">
        <v>6048</v>
      </c>
    </row>
    <row r="4890" spans="2:10" x14ac:dyDescent="0.3">
      <c r="B4890" s="7">
        <v>44652</v>
      </c>
      <c r="C4890" s="3">
        <f t="shared" si="152"/>
        <v>2022</v>
      </c>
      <c r="D4890" s="3">
        <f t="shared" si="153"/>
        <v>202204</v>
      </c>
      <c r="E4890" s="5" t="s">
        <v>6</v>
      </c>
      <c r="F4890" s="5" t="s">
        <v>13</v>
      </c>
      <c r="G4890" s="5" t="s">
        <v>49</v>
      </c>
      <c r="H4890">
        <v>8</v>
      </c>
      <c r="I4890" s="4">
        <v>41104</v>
      </c>
      <c r="J4890" s="4">
        <v>12096</v>
      </c>
    </row>
    <row r="4891" spans="2:10" x14ac:dyDescent="0.3">
      <c r="B4891" s="7">
        <v>44682</v>
      </c>
      <c r="C4891" s="3">
        <f t="shared" si="152"/>
        <v>2022</v>
      </c>
      <c r="D4891" s="3">
        <f t="shared" si="153"/>
        <v>202205</v>
      </c>
      <c r="E4891" s="5" t="s">
        <v>6</v>
      </c>
      <c r="F4891" s="5" t="s">
        <v>13</v>
      </c>
      <c r="G4891" s="5" t="s">
        <v>49</v>
      </c>
      <c r="H4891">
        <v>10</v>
      </c>
      <c r="I4891" s="4">
        <v>47990</v>
      </c>
      <c r="J4891" s="4">
        <v>15120</v>
      </c>
    </row>
    <row r="4892" spans="2:10" x14ac:dyDescent="0.3">
      <c r="B4892" s="7">
        <v>44713</v>
      </c>
      <c r="C4892" s="3">
        <f t="shared" si="152"/>
        <v>2022</v>
      </c>
      <c r="D4892" s="3">
        <f t="shared" si="153"/>
        <v>202206</v>
      </c>
      <c r="E4892" s="5" t="s">
        <v>6</v>
      </c>
      <c r="F4892" s="5" t="s">
        <v>13</v>
      </c>
      <c r="G4892" s="5" t="s">
        <v>49</v>
      </c>
      <c r="H4892">
        <v>9</v>
      </c>
      <c r="I4892" s="4">
        <v>39366</v>
      </c>
      <c r="J4892" s="4">
        <v>13608</v>
      </c>
    </row>
    <row r="4893" spans="2:10" x14ac:dyDescent="0.3">
      <c r="B4893" s="7">
        <v>44743</v>
      </c>
      <c r="C4893" s="3">
        <f t="shared" si="152"/>
        <v>2022</v>
      </c>
      <c r="D4893" s="3">
        <f t="shared" si="153"/>
        <v>202207</v>
      </c>
      <c r="E4893" s="5" t="s">
        <v>6</v>
      </c>
      <c r="F4893" s="5" t="s">
        <v>13</v>
      </c>
      <c r="G4893" s="5" t="s">
        <v>49</v>
      </c>
      <c r="H4893">
        <v>10</v>
      </c>
      <c r="I4893" s="4">
        <v>27420</v>
      </c>
      <c r="J4893" s="4">
        <v>15120</v>
      </c>
    </row>
    <row r="4894" spans="2:10" x14ac:dyDescent="0.3">
      <c r="B4894" s="7">
        <v>44774</v>
      </c>
      <c r="C4894" s="3">
        <f t="shared" si="152"/>
        <v>2022</v>
      </c>
      <c r="D4894" s="3">
        <f t="shared" si="153"/>
        <v>202208</v>
      </c>
      <c r="E4894" s="5" t="s">
        <v>6</v>
      </c>
      <c r="F4894" s="5" t="s">
        <v>13</v>
      </c>
      <c r="G4894" s="5" t="s">
        <v>49</v>
      </c>
      <c r="H4894">
        <v>8</v>
      </c>
      <c r="I4894" s="4">
        <v>29112</v>
      </c>
      <c r="J4894" s="4">
        <v>12096</v>
      </c>
    </row>
    <row r="4895" spans="2:10" x14ac:dyDescent="0.3">
      <c r="B4895" s="7">
        <v>44805</v>
      </c>
      <c r="C4895" s="3">
        <f t="shared" si="152"/>
        <v>2022</v>
      </c>
      <c r="D4895" s="3">
        <f t="shared" si="153"/>
        <v>202209</v>
      </c>
      <c r="E4895" s="5" t="s">
        <v>6</v>
      </c>
      <c r="F4895" s="5" t="s">
        <v>13</v>
      </c>
      <c r="G4895" s="5" t="s">
        <v>49</v>
      </c>
      <c r="H4895">
        <v>9</v>
      </c>
      <c r="I4895" s="4">
        <v>30213</v>
      </c>
      <c r="J4895" s="4">
        <v>13608</v>
      </c>
    </row>
    <row r="4896" spans="2:10" x14ac:dyDescent="0.3">
      <c r="B4896" s="7">
        <v>44835</v>
      </c>
      <c r="C4896" s="3">
        <f t="shared" si="152"/>
        <v>2022</v>
      </c>
      <c r="D4896" s="3">
        <f t="shared" si="153"/>
        <v>202210</v>
      </c>
      <c r="E4896" s="5" t="s">
        <v>6</v>
      </c>
      <c r="F4896" s="5" t="s">
        <v>13</v>
      </c>
      <c r="G4896" s="5" t="s">
        <v>49</v>
      </c>
      <c r="H4896">
        <v>7</v>
      </c>
      <c r="I4896" s="4">
        <v>30373</v>
      </c>
      <c r="J4896" s="4">
        <v>10584</v>
      </c>
    </row>
    <row r="4897" spans="2:10" x14ac:dyDescent="0.3">
      <c r="B4897" s="7">
        <v>44866</v>
      </c>
      <c r="C4897" s="3">
        <f t="shared" si="152"/>
        <v>2022</v>
      </c>
      <c r="D4897" s="3">
        <f t="shared" si="153"/>
        <v>202211</v>
      </c>
      <c r="E4897" s="5" t="s">
        <v>6</v>
      </c>
      <c r="F4897" s="5" t="s">
        <v>13</v>
      </c>
      <c r="G4897" s="5" t="s">
        <v>49</v>
      </c>
      <c r="H4897">
        <v>5</v>
      </c>
      <c r="I4897" s="4">
        <v>20190</v>
      </c>
      <c r="J4897" s="4">
        <v>7560</v>
      </c>
    </row>
    <row r="4898" spans="2:10" x14ac:dyDescent="0.3">
      <c r="B4898" s="7">
        <v>44896</v>
      </c>
      <c r="C4898" s="3">
        <f t="shared" si="152"/>
        <v>2022</v>
      </c>
      <c r="D4898" s="3">
        <f t="shared" si="153"/>
        <v>202212</v>
      </c>
      <c r="E4898" s="5" t="s">
        <v>6</v>
      </c>
      <c r="F4898" s="5" t="s">
        <v>13</v>
      </c>
      <c r="G4898" s="5" t="s">
        <v>49</v>
      </c>
      <c r="H4898">
        <v>6</v>
      </c>
      <c r="I4898" s="4">
        <v>19206</v>
      </c>
      <c r="J4898" s="4">
        <v>9072</v>
      </c>
    </row>
    <row r="4899" spans="2:10" x14ac:dyDescent="0.3">
      <c r="B4899" s="7">
        <v>44197</v>
      </c>
      <c r="C4899" s="3">
        <f t="shared" si="152"/>
        <v>2021</v>
      </c>
      <c r="D4899" s="3">
        <f t="shared" si="153"/>
        <v>202101</v>
      </c>
      <c r="E4899" s="5" t="s">
        <v>6</v>
      </c>
      <c r="F4899" s="5" t="s">
        <v>13</v>
      </c>
      <c r="G4899" s="5" t="s">
        <v>50</v>
      </c>
      <c r="H4899">
        <v>9</v>
      </c>
      <c r="I4899" s="4">
        <v>28647</v>
      </c>
      <c r="J4899" s="4">
        <v>7038</v>
      </c>
    </row>
    <row r="4900" spans="2:10" x14ac:dyDescent="0.3">
      <c r="B4900" s="7">
        <v>44228</v>
      </c>
      <c r="C4900" s="3">
        <f t="shared" si="152"/>
        <v>2021</v>
      </c>
      <c r="D4900" s="3">
        <f t="shared" si="153"/>
        <v>202102</v>
      </c>
      <c r="E4900" s="5" t="s">
        <v>6</v>
      </c>
      <c r="F4900" s="5" t="s">
        <v>13</v>
      </c>
      <c r="G4900" s="5" t="s">
        <v>50</v>
      </c>
      <c r="H4900">
        <v>6</v>
      </c>
      <c r="I4900" s="4">
        <v>16170</v>
      </c>
      <c r="J4900" s="4">
        <v>4692</v>
      </c>
    </row>
    <row r="4901" spans="2:10" x14ac:dyDescent="0.3">
      <c r="B4901" s="7">
        <v>44256</v>
      </c>
      <c r="C4901" s="3">
        <f t="shared" si="152"/>
        <v>2021</v>
      </c>
      <c r="D4901" s="3">
        <f t="shared" si="153"/>
        <v>202103</v>
      </c>
      <c r="E4901" s="5" t="s">
        <v>6</v>
      </c>
      <c r="F4901" s="5" t="s">
        <v>13</v>
      </c>
      <c r="G4901" s="5" t="s">
        <v>50</v>
      </c>
      <c r="H4901">
        <v>5</v>
      </c>
      <c r="I4901" s="4">
        <v>11145</v>
      </c>
      <c r="J4901" s="4">
        <v>3910</v>
      </c>
    </row>
    <row r="4902" spans="2:10" x14ac:dyDescent="0.3">
      <c r="B4902" s="7">
        <v>44287</v>
      </c>
      <c r="C4902" s="3">
        <f t="shared" si="152"/>
        <v>2021</v>
      </c>
      <c r="D4902" s="3">
        <f t="shared" si="153"/>
        <v>202104</v>
      </c>
      <c r="E4902" s="5" t="s">
        <v>6</v>
      </c>
      <c r="F4902" s="5" t="s">
        <v>13</v>
      </c>
      <c r="G4902" s="5" t="s">
        <v>50</v>
      </c>
      <c r="H4902">
        <v>9</v>
      </c>
      <c r="I4902" s="4">
        <v>32787</v>
      </c>
      <c r="J4902" s="4">
        <v>7038</v>
      </c>
    </row>
    <row r="4903" spans="2:10" x14ac:dyDescent="0.3">
      <c r="B4903" s="7">
        <v>44317</v>
      </c>
      <c r="C4903" s="3">
        <f t="shared" si="152"/>
        <v>2021</v>
      </c>
      <c r="D4903" s="3">
        <f t="shared" si="153"/>
        <v>202105</v>
      </c>
      <c r="E4903" s="5" t="s">
        <v>6</v>
      </c>
      <c r="F4903" s="5" t="s">
        <v>13</v>
      </c>
      <c r="G4903" s="5" t="s">
        <v>50</v>
      </c>
      <c r="H4903">
        <v>11</v>
      </c>
      <c r="I4903" s="4">
        <v>46926</v>
      </c>
      <c r="J4903" s="4">
        <v>8602</v>
      </c>
    </row>
    <row r="4904" spans="2:10" x14ac:dyDescent="0.3">
      <c r="B4904" s="7">
        <v>44348</v>
      </c>
      <c r="C4904" s="3">
        <f t="shared" si="152"/>
        <v>2021</v>
      </c>
      <c r="D4904" s="3">
        <f t="shared" si="153"/>
        <v>202106</v>
      </c>
      <c r="E4904" s="5" t="s">
        <v>6</v>
      </c>
      <c r="F4904" s="5" t="s">
        <v>13</v>
      </c>
      <c r="G4904" s="5" t="s">
        <v>50</v>
      </c>
      <c r="H4904">
        <v>10</v>
      </c>
      <c r="I4904" s="4">
        <v>37320</v>
      </c>
      <c r="J4904" s="4">
        <v>7820</v>
      </c>
    </row>
    <row r="4905" spans="2:10" x14ac:dyDescent="0.3">
      <c r="B4905" s="7">
        <v>44378</v>
      </c>
      <c r="C4905" s="3">
        <f t="shared" si="152"/>
        <v>2021</v>
      </c>
      <c r="D4905" s="3">
        <f t="shared" si="153"/>
        <v>202107</v>
      </c>
      <c r="E4905" s="5" t="s">
        <v>6</v>
      </c>
      <c r="F4905" s="5" t="s">
        <v>13</v>
      </c>
      <c r="G4905" s="5" t="s">
        <v>50</v>
      </c>
      <c r="H4905">
        <v>11</v>
      </c>
      <c r="I4905" s="4">
        <v>18799</v>
      </c>
      <c r="J4905" s="4">
        <v>8602</v>
      </c>
    </row>
    <row r="4906" spans="2:10" x14ac:dyDescent="0.3">
      <c r="B4906" s="7">
        <v>44409</v>
      </c>
      <c r="C4906" s="3">
        <f t="shared" si="152"/>
        <v>2021</v>
      </c>
      <c r="D4906" s="3">
        <f t="shared" si="153"/>
        <v>202108</v>
      </c>
      <c r="E4906" s="5" t="s">
        <v>6</v>
      </c>
      <c r="F4906" s="5" t="s">
        <v>13</v>
      </c>
      <c r="G4906" s="5" t="s">
        <v>50</v>
      </c>
      <c r="H4906">
        <v>9</v>
      </c>
      <c r="I4906" s="4">
        <v>19575</v>
      </c>
      <c r="J4906" s="4">
        <v>7038</v>
      </c>
    </row>
    <row r="4907" spans="2:10" x14ac:dyDescent="0.3">
      <c r="B4907" s="7">
        <v>44440</v>
      </c>
      <c r="C4907" s="3">
        <f t="shared" si="152"/>
        <v>2021</v>
      </c>
      <c r="D4907" s="3">
        <f t="shared" si="153"/>
        <v>202109</v>
      </c>
      <c r="E4907" s="5" t="s">
        <v>6</v>
      </c>
      <c r="F4907" s="5" t="s">
        <v>13</v>
      </c>
      <c r="G4907" s="5" t="s">
        <v>50</v>
      </c>
      <c r="H4907">
        <v>10</v>
      </c>
      <c r="I4907" s="4">
        <v>26600</v>
      </c>
      <c r="J4907" s="4">
        <v>7820</v>
      </c>
    </row>
    <row r="4908" spans="2:10" x14ac:dyDescent="0.3">
      <c r="B4908" s="7">
        <v>44470</v>
      </c>
      <c r="C4908" s="3">
        <f t="shared" si="152"/>
        <v>2021</v>
      </c>
      <c r="D4908" s="3">
        <f t="shared" si="153"/>
        <v>202110</v>
      </c>
      <c r="E4908" s="5" t="s">
        <v>6</v>
      </c>
      <c r="F4908" s="5" t="s">
        <v>13</v>
      </c>
      <c r="G4908" s="5" t="s">
        <v>50</v>
      </c>
      <c r="H4908">
        <v>8</v>
      </c>
      <c r="I4908" s="4">
        <v>28528</v>
      </c>
      <c r="J4908" s="4">
        <v>6256</v>
      </c>
    </row>
    <row r="4909" spans="2:10" x14ac:dyDescent="0.3">
      <c r="B4909" s="7">
        <v>44501</v>
      </c>
      <c r="C4909" s="3">
        <f t="shared" si="152"/>
        <v>2021</v>
      </c>
      <c r="D4909" s="3">
        <f t="shared" si="153"/>
        <v>202111</v>
      </c>
      <c r="E4909" s="5" t="s">
        <v>6</v>
      </c>
      <c r="F4909" s="5" t="s">
        <v>13</v>
      </c>
      <c r="G4909" s="5" t="s">
        <v>50</v>
      </c>
      <c r="H4909">
        <v>6</v>
      </c>
      <c r="I4909" s="4">
        <v>16866</v>
      </c>
      <c r="J4909" s="4">
        <v>4692</v>
      </c>
    </row>
    <row r="4910" spans="2:10" x14ac:dyDescent="0.3">
      <c r="B4910" s="7">
        <v>44531</v>
      </c>
      <c r="C4910" s="3">
        <f t="shared" si="152"/>
        <v>2021</v>
      </c>
      <c r="D4910" s="3">
        <f t="shared" si="153"/>
        <v>202112</v>
      </c>
      <c r="E4910" s="5" t="s">
        <v>6</v>
      </c>
      <c r="F4910" s="5" t="s">
        <v>13</v>
      </c>
      <c r="G4910" s="5" t="s">
        <v>50</v>
      </c>
      <c r="H4910">
        <v>7</v>
      </c>
      <c r="I4910" s="4">
        <v>14847</v>
      </c>
      <c r="J4910" s="4">
        <v>5474</v>
      </c>
    </row>
    <row r="4911" spans="2:10" x14ac:dyDescent="0.3">
      <c r="B4911" s="7">
        <v>44562</v>
      </c>
      <c r="C4911" s="3">
        <f t="shared" si="152"/>
        <v>2022</v>
      </c>
      <c r="D4911" s="3">
        <f t="shared" si="153"/>
        <v>202201</v>
      </c>
      <c r="E4911" s="5" t="s">
        <v>6</v>
      </c>
      <c r="F4911" s="5" t="s">
        <v>13</v>
      </c>
      <c r="G4911" s="5" t="s">
        <v>50</v>
      </c>
      <c r="H4911">
        <v>10</v>
      </c>
      <c r="I4911" s="4">
        <v>26030</v>
      </c>
      <c r="J4911" s="4">
        <v>7820</v>
      </c>
    </row>
    <row r="4912" spans="2:10" x14ac:dyDescent="0.3">
      <c r="B4912" s="7">
        <v>44593</v>
      </c>
      <c r="C4912" s="3">
        <f t="shared" si="152"/>
        <v>2022</v>
      </c>
      <c r="D4912" s="3">
        <f t="shared" si="153"/>
        <v>202202</v>
      </c>
      <c r="E4912" s="5" t="s">
        <v>6</v>
      </c>
      <c r="F4912" s="5" t="s">
        <v>13</v>
      </c>
      <c r="G4912" s="5" t="s">
        <v>50</v>
      </c>
      <c r="H4912">
        <v>7</v>
      </c>
      <c r="I4912" s="4">
        <v>23828</v>
      </c>
      <c r="J4912" s="4">
        <v>5474</v>
      </c>
    </row>
    <row r="4913" spans="2:10" x14ac:dyDescent="0.3">
      <c r="B4913" s="7">
        <v>44621</v>
      </c>
      <c r="C4913" s="3">
        <f t="shared" si="152"/>
        <v>2022</v>
      </c>
      <c r="D4913" s="3">
        <f t="shared" si="153"/>
        <v>202203</v>
      </c>
      <c r="E4913" s="5" t="s">
        <v>6</v>
      </c>
      <c r="F4913" s="5" t="s">
        <v>13</v>
      </c>
      <c r="G4913" s="5" t="s">
        <v>50</v>
      </c>
      <c r="H4913">
        <v>5</v>
      </c>
      <c r="I4913" s="4">
        <v>12275</v>
      </c>
      <c r="J4913" s="4">
        <v>3910</v>
      </c>
    </row>
    <row r="4914" spans="2:10" x14ac:dyDescent="0.3">
      <c r="B4914" s="7">
        <v>44652</v>
      </c>
      <c r="C4914" s="3">
        <f t="shared" si="152"/>
        <v>2022</v>
      </c>
      <c r="D4914" s="3">
        <f t="shared" si="153"/>
        <v>202204</v>
      </c>
      <c r="E4914" s="5" t="s">
        <v>6</v>
      </c>
      <c r="F4914" s="5" t="s">
        <v>13</v>
      </c>
      <c r="G4914" s="5" t="s">
        <v>50</v>
      </c>
      <c r="H4914">
        <v>10</v>
      </c>
      <c r="I4914" s="4">
        <v>31350</v>
      </c>
      <c r="J4914" s="4">
        <v>7820</v>
      </c>
    </row>
    <row r="4915" spans="2:10" x14ac:dyDescent="0.3">
      <c r="B4915" s="7">
        <v>44682</v>
      </c>
      <c r="C4915" s="3">
        <f t="shared" si="152"/>
        <v>2022</v>
      </c>
      <c r="D4915" s="3">
        <f t="shared" si="153"/>
        <v>202205</v>
      </c>
      <c r="E4915" s="5" t="s">
        <v>6</v>
      </c>
      <c r="F4915" s="5" t="s">
        <v>13</v>
      </c>
      <c r="G4915" s="5" t="s">
        <v>50</v>
      </c>
      <c r="H4915">
        <v>12</v>
      </c>
      <c r="I4915" s="4">
        <v>41208</v>
      </c>
      <c r="J4915" s="4">
        <v>9384</v>
      </c>
    </row>
    <row r="4916" spans="2:10" x14ac:dyDescent="0.3">
      <c r="B4916" s="7">
        <v>44713</v>
      </c>
      <c r="C4916" s="3">
        <f t="shared" si="152"/>
        <v>2022</v>
      </c>
      <c r="D4916" s="3">
        <f t="shared" si="153"/>
        <v>202206</v>
      </c>
      <c r="E4916" s="5" t="s">
        <v>6</v>
      </c>
      <c r="F4916" s="5" t="s">
        <v>13</v>
      </c>
      <c r="G4916" s="5" t="s">
        <v>50</v>
      </c>
      <c r="H4916">
        <v>11</v>
      </c>
      <c r="I4916" s="4">
        <v>37796</v>
      </c>
      <c r="J4916" s="4">
        <v>8602</v>
      </c>
    </row>
    <row r="4917" spans="2:10" x14ac:dyDescent="0.3">
      <c r="B4917" s="7">
        <v>44743</v>
      </c>
      <c r="C4917" s="3">
        <f t="shared" si="152"/>
        <v>2022</v>
      </c>
      <c r="D4917" s="3">
        <f t="shared" si="153"/>
        <v>202207</v>
      </c>
      <c r="E4917" s="5" t="s">
        <v>6</v>
      </c>
      <c r="F4917" s="5" t="s">
        <v>13</v>
      </c>
      <c r="G4917" s="5" t="s">
        <v>50</v>
      </c>
      <c r="H4917">
        <v>12</v>
      </c>
      <c r="I4917" s="4">
        <v>20928</v>
      </c>
      <c r="J4917" s="4">
        <v>9384</v>
      </c>
    </row>
    <row r="4918" spans="2:10" x14ac:dyDescent="0.3">
      <c r="B4918" s="7">
        <v>44774</v>
      </c>
      <c r="C4918" s="3">
        <f t="shared" si="152"/>
        <v>2022</v>
      </c>
      <c r="D4918" s="3">
        <f t="shared" si="153"/>
        <v>202208</v>
      </c>
      <c r="E4918" s="5" t="s">
        <v>6</v>
      </c>
      <c r="F4918" s="5" t="s">
        <v>13</v>
      </c>
      <c r="G4918" s="5" t="s">
        <v>50</v>
      </c>
      <c r="H4918">
        <v>10</v>
      </c>
      <c r="I4918" s="4">
        <v>23950</v>
      </c>
      <c r="J4918" s="4">
        <v>7820</v>
      </c>
    </row>
    <row r="4919" spans="2:10" x14ac:dyDescent="0.3">
      <c r="B4919" s="7">
        <v>44805</v>
      </c>
      <c r="C4919" s="3">
        <f t="shared" si="152"/>
        <v>2022</v>
      </c>
      <c r="D4919" s="3">
        <f t="shared" si="153"/>
        <v>202209</v>
      </c>
      <c r="E4919" s="5" t="s">
        <v>6</v>
      </c>
      <c r="F4919" s="5" t="s">
        <v>13</v>
      </c>
      <c r="G4919" s="5" t="s">
        <v>50</v>
      </c>
      <c r="H4919">
        <v>11</v>
      </c>
      <c r="I4919" s="4">
        <v>28655</v>
      </c>
      <c r="J4919" s="4">
        <v>8602</v>
      </c>
    </row>
    <row r="4920" spans="2:10" x14ac:dyDescent="0.3">
      <c r="B4920" s="7">
        <v>44835</v>
      </c>
      <c r="C4920" s="3">
        <f t="shared" si="152"/>
        <v>2022</v>
      </c>
      <c r="D4920" s="3">
        <f t="shared" si="153"/>
        <v>202210</v>
      </c>
      <c r="E4920" s="5" t="s">
        <v>6</v>
      </c>
      <c r="F4920" s="5" t="s">
        <v>13</v>
      </c>
      <c r="G4920" s="5" t="s">
        <v>50</v>
      </c>
      <c r="H4920">
        <v>9</v>
      </c>
      <c r="I4920" s="4">
        <v>27720</v>
      </c>
      <c r="J4920" s="4">
        <v>7038</v>
      </c>
    </row>
    <row r="4921" spans="2:10" x14ac:dyDescent="0.3">
      <c r="B4921" s="7">
        <v>44866</v>
      </c>
      <c r="C4921" s="3">
        <f t="shared" si="152"/>
        <v>2022</v>
      </c>
      <c r="D4921" s="3">
        <f t="shared" si="153"/>
        <v>202211</v>
      </c>
      <c r="E4921" s="5" t="s">
        <v>6</v>
      </c>
      <c r="F4921" s="5" t="s">
        <v>13</v>
      </c>
      <c r="G4921" s="5" t="s">
        <v>50</v>
      </c>
      <c r="H4921">
        <v>7</v>
      </c>
      <c r="I4921" s="4">
        <v>17192</v>
      </c>
      <c r="J4921" s="4">
        <v>5474</v>
      </c>
    </row>
    <row r="4922" spans="2:10" x14ac:dyDescent="0.3">
      <c r="B4922" s="7">
        <v>44896</v>
      </c>
      <c r="C4922" s="3">
        <f t="shared" si="152"/>
        <v>2022</v>
      </c>
      <c r="D4922" s="3">
        <f t="shared" si="153"/>
        <v>202212</v>
      </c>
      <c r="E4922" s="5" t="s">
        <v>6</v>
      </c>
      <c r="F4922" s="5" t="s">
        <v>13</v>
      </c>
      <c r="G4922" s="5" t="s">
        <v>50</v>
      </c>
      <c r="H4922">
        <v>8</v>
      </c>
      <c r="I4922" s="4">
        <v>18816</v>
      </c>
      <c r="J4922" s="4">
        <v>6256</v>
      </c>
    </row>
    <row r="4923" spans="2:10" x14ac:dyDescent="0.3">
      <c r="B4923" s="7">
        <v>44197</v>
      </c>
      <c r="C4923" s="3">
        <f t="shared" si="152"/>
        <v>2021</v>
      </c>
      <c r="D4923" s="3">
        <f t="shared" si="153"/>
        <v>202101</v>
      </c>
      <c r="E4923" s="5" t="s">
        <v>6</v>
      </c>
      <c r="F4923" s="5" t="s">
        <v>13</v>
      </c>
      <c r="G4923" s="5" t="s">
        <v>51</v>
      </c>
      <c r="H4923">
        <v>8</v>
      </c>
      <c r="I4923" s="4">
        <v>35344</v>
      </c>
      <c r="J4923" s="4">
        <v>14000</v>
      </c>
    </row>
    <row r="4924" spans="2:10" x14ac:dyDescent="0.3">
      <c r="B4924" s="7">
        <v>44228</v>
      </c>
      <c r="C4924" s="3">
        <f t="shared" si="152"/>
        <v>2021</v>
      </c>
      <c r="D4924" s="3">
        <f t="shared" si="153"/>
        <v>202102</v>
      </c>
      <c r="E4924" s="5" t="s">
        <v>6</v>
      </c>
      <c r="F4924" s="5" t="s">
        <v>13</v>
      </c>
      <c r="G4924" s="5" t="s">
        <v>51</v>
      </c>
      <c r="H4924">
        <v>5</v>
      </c>
      <c r="I4924" s="4">
        <v>22865</v>
      </c>
      <c r="J4924" s="4">
        <v>8750</v>
      </c>
    </row>
    <row r="4925" spans="2:10" x14ac:dyDescent="0.3">
      <c r="B4925" s="7">
        <v>44256</v>
      </c>
      <c r="C4925" s="3">
        <f t="shared" si="152"/>
        <v>2021</v>
      </c>
      <c r="D4925" s="3">
        <f t="shared" si="153"/>
        <v>202103</v>
      </c>
      <c r="E4925" s="5" t="s">
        <v>6</v>
      </c>
      <c r="F4925" s="5" t="s">
        <v>13</v>
      </c>
      <c r="G4925" s="5" t="s">
        <v>51</v>
      </c>
      <c r="H4925">
        <v>4</v>
      </c>
      <c r="I4925" s="4">
        <v>18072</v>
      </c>
      <c r="J4925" s="4">
        <v>7000</v>
      </c>
    </row>
    <row r="4926" spans="2:10" x14ac:dyDescent="0.3">
      <c r="B4926" s="7">
        <v>44287</v>
      </c>
      <c r="C4926" s="3">
        <f t="shared" si="152"/>
        <v>2021</v>
      </c>
      <c r="D4926" s="3">
        <f t="shared" si="153"/>
        <v>202104</v>
      </c>
      <c r="E4926" s="5" t="s">
        <v>6</v>
      </c>
      <c r="F4926" s="5" t="s">
        <v>13</v>
      </c>
      <c r="G4926" s="5" t="s">
        <v>51</v>
      </c>
      <c r="H4926">
        <v>8</v>
      </c>
      <c r="I4926" s="4">
        <v>40848</v>
      </c>
      <c r="J4926" s="4">
        <v>14000</v>
      </c>
    </row>
    <row r="4927" spans="2:10" x14ac:dyDescent="0.3">
      <c r="B4927" s="7">
        <v>44317</v>
      </c>
      <c r="C4927" s="3">
        <f t="shared" si="152"/>
        <v>2021</v>
      </c>
      <c r="D4927" s="3">
        <f t="shared" si="153"/>
        <v>202105</v>
      </c>
      <c r="E4927" s="5" t="s">
        <v>6</v>
      </c>
      <c r="F4927" s="5" t="s">
        <v>13</v>
      </c>
      <c r="G4927" s="5" t="s">
        <v>51</v>
      </c>
      <c r="H4927">
        <v>10</v>
      </c>
      <c r="I4927" s="4">
        <v>55820</v>
      </c>
      <c r="J4927" s="4">
        <v>17500</v>
      </c>
    </row>
    <row r="4928" spans="2:10" x14ac:dyDescent="0.3">
      <c r="B4928" s="7">
        <v>44348</v>
      </c>
      <c r="C4928" s="3">
        <f t="shared" si="152"/>
        <v>2021</v>
      </c>
      <c r="D4928" s="3">
        <f t="shared" si="153"/>
        <v>202106</v>
      </c>
      <c r="E4928" s="5" t="s">
        <v>6</v>
      </c>
      <c r="F4928" s="5" t="s">
        <v>13</v>
      </c>
      <c r="G4928" s="5" t="s">
        <v>51</v>
      </c>
      <c r="H4928">
        <v>9</v>
      </c>
      <c r="I4928" s="4">
        <v>43101</v>
      </c>
      <c r="J4928" s="4">
        <v>15750</v>
      </c>
    </row>
    <row r="4929" spans="2:10" x14ac:dyDescent="0.3">
      <c r="B4929" s="7">
        <v>44378</v>
      </c>
      <c r="C4929" s="3">
        <f t="shared" si="152"/>
        <v>2021</v>
      </c>
      <c r="D4929" s="3">
        <f t="shared" si="153"/>
        <v>202107</v>
      </c>
      <c r="E4929" s="5" t="s">
        <v>6</v>
      </c>
      <c r="F4929" s="5" t="s">
        <v>13</v>
      </c>
      <c r="G4929" s="5" t="s">
        <v>51</v>
      </c>
      <c r="H4929">
        <v>10</v>
      </c>
      <c r="I4929" s="4">
        <v>32260</v>
      </c>
      <c r="J4929" s="4">
        <v>17500</v>
      </c>
    </row>
    <row r="4930" spans="2:10" x14ac:dyDescent="0.3">
      <c r="B4930" s="7">
        <v>44409</v>
      </c>
      <c r="C4930" s="3">
        <f t="shared" si="152"/>
        <v>2021</v>
      </c>
      <c r="D4930" s="3">
        <f t="shared" si="153"/>
        <v>202108</v>
      </c>
      <c r="E4930" s="5" t="s">
        <v>6</v>
      </c>
      <c r="F4930" s="5" t="s">
        <v>13</v>
      </c>
      <c r="G4930" s="5" t="s">
        <v>51</v>
      </c>
      <c r="H4930">
        <v>8</v>
      </c>
      <c r="I4930" s="4">
        <v>33744</v>
      </c>
      <c r="J4930" s="4">
        <v>14000</v>
      </c>
    </row>
    <row r="4931" spans="2:10" x14ac:dyDescent="0.3">
      <c r="B4931" s="7">
        <v>44440</v>
      </c>
      <c r="C4931" s="3">
        <f t="shared" ref="C4931:C4994" si="154">YEAR(B4931)</f>
        <v>2021</v>
      </c>
      <c r="D4931" s="3">
        <f t="shared" ref="D4931:D4994" si="155">VALUE(TEXT(B4931,"ГГГГММ"))</f>
        <v>202109</v>
      </c>
      <c r="E4931" s="5" t="s">
        <v>6</v>
      </c>
      <c r="F4931" s="5" t="s">
        <v>13</v>
      </c>
      <c r="G4931" s="5" t="s">
        <v>51</v>
      </c>
      <c r="H4931">
        <v>9</v>
      </c>
      <c r="I4931" s="4">
        <v>34056</v>
      </c>
      <c r="J4931" s="4">
        <v>15750</v>
      </c>
    </row>
    <row r="4932" spans="2:10" x14ac:dyDescent="0.3">
      <c r="B4932" s="7">
        <v>44470</v>
      </c>
      <c r="C4932" s="3">
        <f t="shared" si="154"/>
        <v>2021</v>
      </c>
      <c r="D4932" s="3">
        <f t="shared" si="155"/>
        <v>202110</v>
      </c>
      <c r="E4932" s="5" t="s">
        <v>6</v>
      </c>
      <c r="F4932" s="5" t="s">
        <v>13</v>
      </c>
      <c r="G4932" s="5" t="s">
        <v>51</v>
      </c>
      <c r="H4932">
        <v>7</v>
      </c>
      <c r="I4932" s="4">
        <v>34783</v>
      </c>
      <c r="J4932" s="4">
        <v>12250</v>
      </c>
    </row>
    <row r="4933" spans="2:10" x14ac:dyDescent="0.3">
      <c r="B4933" s="7">
        <v>44501</v>
      </c>
      <c r="C4933" s="3">
        <f t="shared" si="154"/>
        <v>2021</v>
      </c>
      <c r="D4933" s="3">
        <f t="shared" si="155"/>
        <v>202111</v>
      </c>
      <c r="E4933" s="5" t="s">
        <v>6</v>
      </c>
      <c r="F4933" s="5" t="s">
        <v>13</v>
      </c>
      <c r="G4933" s="5" t="s">
        <v>51</v>
      </c>
      <c r="H4933">
        <v>5</v>
      </c>
      <c r="I4933" s="4">
        <v>23670</v>
      </c>
      <c r="J4933" s="4">
        <v>8750</v>
      </c>
    </row>
    <row r="4934" spans="2:10" x14ac:dyDescent="0.3">
      <c r="B4934" s="7">
        <v>44531</v>
      </c>
      <c r="C4934" s="3">
        <f t="shared" si="154"/>
        <v>2021</v>
      </c>
      <c r="D4934" s="3">
        <f t="shared" si="155"/>
        <v>202112</v>
      </c>
      <c r="E4934" s="5" t="s">
        <v>6</v>
      </c>
      <c r="F4934" s="5" t="s">
        <v>13</v>
      </c>
      <c r="G4934" s="5" t="s">
        <v>51</v>
      </c>
      <c r="H4934">
        <v>6</v>
      </c>
      <c r="I4934" s="4">
        <v>26550</v>
      </c>
      <c r="J4934" s="4">
        <v>10500</v>
      </c>
    </row>
    <row r="4935" spans="2:10" x14ac:dyDescent="0.3">
      <c r="B4935" s="7">
        <v>44562</v>
      </c>
      <c r="C4935" s="3">
        <f t="shared" si="154"/>
        <v>2022</v>
      </c>
      <c r="D4935" s="3">
        <f t="shared" si="155"/>
        <v>202201</v>
      </c>
      <c r="E4935" s="5" t="s">
        <v>6</v>
      </c>
      <c r="F4935" s="5" t="s">
        <v>13</v>
      </c>
      <c r="G4935" s="5" t="s">
        <v>51</v>
      </c>
      <c r="H4935">
        <v>9</v>
      </c>
      <c r="I4935" s="4">
        <v>45288</v>
      </c>
      <c r="J4935" s="4">
        <v>15750</v>
      </c>
    </row>
    <row r="4936" spans="2:10" x14ac:dyDescent="0.3">
      <c r="B4936" s="7">
        <v>44593</v>
      </c>
      <c r="C4936" s="3">
        <f t="shared" si="154"/>
        <v>2022</v>
      </c>
      <c r="D4936" s="3">
        <f t="shared" si="155"/>
        <v>202202</v>
      </c>
      <c r="E4936" s="5" t="s">
        <v>6</v>
      </c>
      <c r="F4936" s="5" t="s">
        <v>13</v>
      </c>
      <c r="G4936" s="5" t="s">
        <v>51</v>
      </c>
      <c r="H4936">
        <v>6</v>
      </c>
      <c r="I4936" s="4">
        <v>28974</v>
      </c>
      <c r="J4936" s="4">
        <v>10500</v>
      </c>
    </row>
    <row r="4937" spans="2:10" x14ac:dyDescent="0.3">
      <c r="B4937" s="7">
        <v>44621</v>
      </c>
      <c r="C4937" s="3">
        <f t="shared" si="154"/>
        <v>2022</v>
      </c>
      <c r="D4937" s="3">
        <f t="shared" si="155"/>
        <v>202203</v>
      </c>
      <c r="E4937" s="5" t="s">
        <v>6</v>
      </c>
      <c r="F4937" s="5" t="s">
        <v>13</v>
      </c>
      <c r="G4937" s="5" t="s">
        <v>51</v>
      </c>
      <c r="H4937">
        <v>5</v>
      </c>
      <c r="I4937" s="4">
        <v>18865</v>
      </c>
      <c r="J4937" s="4">
        <v>8750</v>
      </c>
    </row>
    <row r="4938" spans="2:10" x14ac:dyDescent="0.3">
      <c r="B4938" s="7">
        <v>44652</v>
      </c>
      <c r="C4938" s="3">
        <f t="shared" si="154"/>
        <v>2022</v>
      </c>
      <c r="D4938" s="3">
        <f t="shared" si="155"/>
        <v>202204</v>
      </c>
      <c r="E4938" s="5" t="s">
        <v>6</v>
      </c>
      <c r="F4938" s="5" t="s">
        <v>13</v>
      </c>
      <c r="G4938" s="5" t="s">
        <v>51</v>
      </c>
      <c r="H4938">
        <v>9</v>
      </c>
      <c r="I4938" s="4">
        <v>44172</v>
      </c>
      <c r="J4938" s="4">
        <v>15750</v>
      </c>
    </row>
    <row r="4939" spans="2:10" x14ac:dyDescent="0.3">
      <c r="B4939" s="7">
        <v>44682</v>
      </c>
      <c r="C4939" s="3">
        <f t="shared" si="154"/>
        <v>2022</v>
      </c>
      <c r="D4939" s="3">
        <f t="shared" si="155"/>
        <v>202205</v>
      </c>
      <c r="E4939" s="5" t="s">
        <v>6</v>
      </c>
      <c r="F4939" s="5" t="s">
        <v>13</v>
      </c>
      <c r="G4939" s="5" t="s">
        <v>51</v>
      </c>
      <c r="H4939">
        <v>11</v>
      </c>
      <c r="I4939" s="4">
        <v>65098</v>
      </c>
      <c r="J4939" s="4">
        <v>19250</v>
      </c>
    </row>
    <row r="4940" spans="2:10" x14ac:dyDescent="0.3">
      <c r="B4940" s="7">
        <v>44713</v>
      </c>
      <c r="C4940" s="3">
        <f t="shared" si="154"/>
        <v>2022</v>
      </c>
      <c r="D4940" s="3">
        <f t="shared" si="155"/>
        <v>202206</v>
      </c>
      <c r="E4940" s="5" t="s">
        <v>6</v>
      </c>
      <c r="F4940" s="5" t="s">
        <v>13</v>
      </c>
      <c r="G4940" s="5" t="s">
        <v>51</v>
      </c>
      <c r="H4940">
        <v>10</v>
      </c>
      <c r="I4940" s="4">
        <v>46360</v>
      </c>
      <c r="J4940" s="4">
        <v>17500</v>
      </c>
    </row>
    <row r="4941" spans="2:10" x14ac:dyDescent="0.3">
      <c r="B4941" s="7">
        <v>44743</v>
      </c>
      <c r="C4941" s="3">
        <f t="shared" si="154"/>
        <v>2022</v>
      </c>
      <c r="D4941" s="3">
        <f t="shared" si="155"/>
        <v>202207</v>
      </c>
      <c r="E4941" s="5" t="s">
        <v>6</v>
      </c>
      <c r="F4941" s="5" t="s">
        <v>13</v>
      </c>
      <c r="G4941" s="5" t="s">
        <v>51</v>
      </c>
      <c r="H4941">
        <v>11</v>
      </c>
      <c r="I4941" s="4">
        <v>37719</v>
      </c>
      <c r="J4941" s="4">
        <v>19250</v>
      </c>
    </row>
    <row r="4942" spans="2:10" x14ac:dyDescent="0.3">
      <c r="B4942" s="7">
        <v>44774</v>
      </c>
      <c r="C4942" s="3">
        <f t="shared" si="154"/>
        <v>2022</v>
      </c>
      <c r="D4942" s="3">
        <f t="shared" si="155"/>
        <v>202208</v>
      </c>
      <c r="E4942" s="5" t="s">
        <v>6</v>
      </c>
      <c r="F4942" s="5" t="s">
        <v>13</v>
      </c>
      <c r="G4942" s="5" t="s">
        <v>51</v>
      </c>
      <c r="H4942">
        <v>9</v>
      </c>
      <c r="I4942" s="4">
        <v>43866</v>
      </c>
      <c r="J4942" s="4">
        <v>15750</v>
      </c>
    </row>
    <row r="4943" spans="2:10" x14ac:dyDescent="0.3">
      <c r="B4943" s="7">
        <v>44805</v>
      </c>
      <c r="C4943" s="3">
        <f t="shared" si="154"/>
        <v>2022</v>
      </c>
      <c r="D4943" s="3">
        <f t="shared" si="155"/>
        <v>202209</v>
      </c>
      <c r="E4943" s="5" t="s">
        <v>6</v>
      </c>
      <c r="F4943" s="5" t="s">
        <v>13</v>
      </c>
      <c r="G4943" s="5" t="s">
        <v>51</v>
      </c>
      <c r="H4943">
        <v>10</v>
      </c>
      <c r="I4943" s="4">
        <v>43720</v>
      </c>
      <c r="J4943" s="4">
        <v>17500</v>
      </c>
    </row>
    <row r="4944" spans="2:10" x14ac:dyDescent="0.3">
      <c r="B4944" s="7">
        <v>44835</v>
      </c>
      <c r="C4944" s="3">
        <f t="shared" si="154"/>
        <v>2022</v>
      </c>
      <c r="D4944" s="3">
        <f t="shared" si="155"/>
        <v>202210</v>
      </c>
      <c r="E4944" s="5" t="s">
        <v>6</v>
      </c>
      <c r="F4944" s="5" t="s">
        <v>13</v>
      </c>
      <c r="G4944" s="5" t="s">
        <v>51</v>
      </c>
      <c r="H4944">
        <v>8</v>
      </c>
      <c r="I4944" s="4">
        <v>42872</v>
      </c>
      <c r="J4944" s="4">
        <v>14000</v>
      </c>
    </row>
    <row r="4945" spans="2:10" x14ac:dyDescent="0.3">
      <c r="B4945" s="7">
        <v>44866</v>
      </c>
      <c r="C4945" s="3">
        <f t="shared" si="154"/>
        <v>2022</v>
      </c>
      <c r="D4945" s="3">
        <f t="shared" si="155"/>
        <v>202211</v>
      </c>
      <c r="E4945" s="5" t="s">
        <v>6</v>
      </c>
      <c r="F4945" s="5" t="s">
        <v>13</v>
      </c>
      <c r="G4945" s="5" t="s">
        <v>51</v>
      </c>
      <c r="H4945">
        <v>6</v>
      </c>
      <c r="I4945" s="4">
        <v>28560</v>
      </c>
      <c r="J4945" s="4">
        <v>10500</v>
      </c>
    </row>
    <row r="4946" spans="2:10" x14ac:dyDescent="0.3">
      <c r="B4946" s="7">
        <v>44896</v>
      </c>
      <c r="C4946" s="3">
        <f t="shared" si="154"/>
        <v>2022</v>
      </c>
      <c r="D4946" s="3">
        <f t="shared" si="155"/>
        <v>202212</v>
      </c>
      <c r="E4946" s="5" t="s">
        <v>6</v>
      </c>
      <c r="F4946" s="5" t="s">
        <v>13</v>
      </c>
      <c r="G4946" s="5" t="s">
        <v>51</v>
      </c>
      <c r="H4946">
        <v>7</v>
      </c>
      <c r="I4946" s="4">
        <v>25480</v>
      </c>
      <c r="J4946" s="4">
        <v>12250</v>
      </c>
    </row>
    <row r="4947" spans="2:10" x14ac:dyDescent="0.3">
      <c r="B4947" s="7">
        <v>44197</v>
      </c>
      <c r="C4947" s="3">
        <f t="shared" si="154"/>
        <v>2021</v>
      </c>
      <c r="D4947" s="3">
        <f t="shared" si="155"/>
        <v>202101</v>
      </c>
      <c r="E4947" s="5" t="s">
        <v>6</v>
      </c>
      <c r="F4947" s="5" t="s">
        <v>13</v>
      </c>
      <c r="G4947" s="5" t="s">
        <v>52</v>
      </c>
      <c r="H4947">
        <v>8</v>
      </c>
      <c r="I4947" s="4">
        <v>45872</v>
      </c>
      <c r="J4947" s="4">
        <v>20160</v>
      </c>
    </row>
    <row r="4948" spans="2:10" x14ac:dyDescent="0.3">
      <c r="B4948" s="7">
        <v>44228</v>
      </c>
      <c r="C4948" s="3">
        <f t="shared" si="154"/>
        <v>2021</v>
      </c>
      <c r="D4948" s="3">
        <f t="shared" si="155"/>
        <v>202102</v>
      </c>
      <c r="E4948" s="5" t="s">
        <v>6</v>
      </c>
      <c r="F4948" s="5" t="s">
        <v>13</v>
      </c>
      <c r="G4948" s="5" t="s">
        <v>52</v>
      </c>
      <c r="H4948">
        <v>5</v>
      </c>
      <c r="I4948" s="4">
        <v>30690</v>
      </c>
      <c r="J4948" s="4">
        <v>12600</v>
      </c>
    </row>
    <row r="4949" spans="2:10" x14ac:dyDescent="0.3">
      <c r="B4949" s="7">
        <v>44256</v>
      </c>
      <c r="C4949" s="3">
        <f t="shared" si="154"/>
        <v>2021</v>
      </c>
      <c r="D4949" s="3">
        <f t="shared" si="155"/>
        <v>202103</v>
      </c>
      <c r="E4949" s="5" t="s">
        <v>6</v>
      </c>
      <c r="F4949" s="5" t="s">
        <v>13</v>
      </c>
      <c r="G4949" s="5" t="s">
        <v>52</v>
      </c>
      <c r="H4949">
        <v>4</v>
      </c>
      <c r="I4949" s="4">
        <v>18876</v>
      </c>
      <c r="J4949" s="4">
        <v>10080</v>
      </c>
    </row>
    <row r="4950" spans="2:10" x14ac:dyDescent="0.3">
      <c r="B4950" s="7">
        <v>44287</v>
      </c>
      <c r="C4950" s="3">
        <f t="shared" si="154"/>
        <v>2021</v>
      </c>
      <c r="D4950" s="3">
        <f t="shared" si="155"/>
        <v>202104</v>
      </c>
      <c r="E4950" s="5" t="s">
        <v>6</v>
      </c>
      <c r="F4950" s="5" t="s">
        <v>13</v>
      </c>
      <c r="G4950" s="5" t="s">
        <v>52</v>
      </c>
      <c r="H4950">
        <v>7</v>
      </c>
      <c r="I4950" s="4">
        <v>38640</v>
      </c>
      <c r="J4950" s="4">
        <v>17640</v>
      </c>
    </row>
    <row r="4951" spans="2:10" x14ac:dyDescent="0.3">
      <c r="B4951" s="7">
        <v>44317</v>
      </c>
      <c r="C4951" s="3">
        <f t="shared" si="154"/>
        <v>2021</v>
      </c>
      <c r="D4951" s="3">
        <f t="shared" si="155"/>
        <v>202105</v>
      </c>
      <c r="E4951" s="5" t="s">
        <v>6</v>
      </c>
      <c r="F4951" s="5" t="s">
        <v>13</v>
      </c>
      <c r="G4951" s="5" t="s">
        <v>52</v>
      </c>
      <c r="H4951">
        <v>9</v>
      </c>
      <c r="I4951" s="4">
        <v>53892</v>
      </c>
      <c r="J4951" s="4">
        <v>22680</v>
      </c>
    </row>
    <row r="4952" spans="2:10" x14ac:dyDescent="0.3">
      <c r="B4952" s="7">
        <v>44348</v>
      </c>
      <c r="C4952" s="3">
        <f t="shared" si="154"/>
        <v>2021</v>
      </c>
      <c r="D4952" s="3">
        <f t="shared" si="155"/>
        <v>202106</v>
      </c>
      <c r="E4952" s="5" t="s">
        <v>6</v>
      </c>
      <c r="F4952" s="5" t="s">
        <v>13</v>
      </c>
      <c r="G4952" s="5" t="s">
        <v>52</v>
      </c>
      <c r="H4952">
        <v>9</v>
      </c>
      <c r="I4952" s="4">
        <v>52605</v>
      </c>
      <c r="J4952" s="4">
        <v>22680</v>
      </c>
    </row>
    <row r="4953" spans="2:10" x14ac:dyDescent="0.3">
      <c r="B4953" s="7">
        <v>44378</v>
      </c>
      <c r="C4953" s="3">
        <f t="shared" si="154"/>
        <v>2021</v>
      </c>
      <c r="D4953" s="3">
        <f t="shared" si="155"/>
        <v>202107</v>
      </c>
      <c r="E4953" s="5" t="s">
        <v>6</v>
      </c>
      <c r="F4953" s="5" t="s">
        <v>13</v>
      </c>
      <c r="G4953" s="5" t="s">
        <v>52</v>
      </c>
      <c r="H4953">
        <v>9</v>
      </c>
      <c r="I4953" s="4">
        <v>32724</v>
      </c>
      <c r="J4953" s="4">
        <v>22680</v>
      </c>
    </row>
    <row r="4954" spans="2:10" x14ac:dyDescent="0.3">
      <c r="B4954" s="7">
        <v>44409</v>
      </c>
      <c r="C4954" s="3">
        <f t="shared" si="154"/>
        <v>2021</v>
      </c>
      <c r="D4954" s="3">
        <f t="shared" si="155"/>
        <v>202108</v>
      </c>
      <c r="E4954" s="5" t="s">
        <v>6</v>
      </c>
      <c r="F4954" s="5" t="s">
        <v>13</v>
      </c>
      <c r="G4954" s="5" t="s">
        <v>52</v>
      </c>
      <c r="H4954">
        <v>8</v>
      </c>
      <c r="I4954" s="4">
        <v>36552</v>
      </c>
      <c r="J4954" s="4">
        <v>20160</v>
      </c>
    </row>
    <row r="4955" spans="2:10" x14ac:dyDescent="0.3">
      <c r="B4955" s="7">
        <v>44440</v>
      </c>
      <c r="C4955" s="3">
        <f t="shared" si="154"/>
        <v>2021</v>
      </c>
      <c r="D4955" s="3">
        <f t="shared" si="155"/>
        <v>202109</v>
      </c>
      <c r="E4955" s="5" t="s">
        <v>6</v>
      </c>
      <c r="F4955" s="5" t="s">
        <v>13</v>
      </c>
      <c r="G4955" s="5" t="s">
        <v>52</v>
      </c>
      <c r="H4955">
        <v>8</v>
      </c>
      <c r="I4955" s="4">
        <v>42144</v>
      </c>
      <c r="J4955" s="4">
        <v>20160</v>
      </c>
    </row>
    <row r="4956" spans="2:10" x14ac:dyDescent="0.3">
      <c r="B4956" s="7">
        <v>44470</v>
      </c>
      <c r="C4956" s="3">
        <f t="shared" si="154"/>
        <v>2021</v>
      </c>
      <c r="D4956" s="3">
        <f t="shared" si="155"/>
        <v>202110</v>
      </c>
      <c r="E4956" s="5" t="s">
        <v>6</v>
      </c>
      <c r="F4956" s="5" t="s">
        <v>13</v>
      </c>
      <c r="G4956" s="5" t="s">
        <v>52</v>
      </c>
      <c r="H4956">
        <v>7</v>
      </c>
      <c r="I4956" s="4">
        <v>40586</v>
      </c>
      <c r="J4956" s="4">
        <v>17640</v>
      </c>
    </row>
    <row r="4957" spans="2:10" x14ac:dyDescent="0.3">
      <c r="B4957" s="7">
        <v>44501</v>
      </c>
      <c r="C4957" s="3">
        <f t="shared" si="154"/>
        <v>2021</v>
      </c>
      <c r="D4957" s="3">
        <f t="shared" si="155"/>
        <v>202111</v>
      </c>
      <c r="E4957" s="5" t="s">
        <v>6</v>
      </c>
      <c r="F4957" s="5" t="s">
        <v>13</v>
      </c>
      <c r="G4957" s="5" t="s">
        <v>52</v>
      </c>
      <c r="H4957">
        <v>5</v>
      </c>
      <c r="I4957" s="4">
        <v>25395</v>
      </c>
      <c r="J4957" s="4">
        <v>12600</v>
      </c>
    </row>
    <row r="4958" spans="2:10" x14ac:dyDescent="0.3">
      <c r="B4958" s="7">
        <v>44531</v>
      </c>
      <c r="C4958" s="3">
        <f t="shared" si="154"/>
        <v>2021</v>
      </c>
      <c r="D4958" s="3">
        <f t="shared" si="155"/>
        <v>202112</v>
      </c>
      <c r="E4958" s="5" t="s">
        <v>6</v>
      </c>
      <c r="F4958" s="5" t="s">
        <v>13</v>
      </c>
      <c r="G4958" s="5" t="s">
        <v>52</v>
      </c>
      <c r="H4958">
        <v>6</v>
      </c>
      <c r="I4958" s="4">
        <v>29214</v>
      </c>
      <c r="J4958" s="4">
        <v>15120</v>
      </c>
    </row>
    <row r="4959" spans="2:10" x14ac:dyDescent="0.3">
      <c r="B4959" s="7">
        <v>44562</v>
      </c>
      <c r="C4959" s="3">
        <f t="shared" si="154"/>
        <v>2022</v>
      </c>
      <c r="D4959" s="3">
        <f t="shared" si="155"/>
        <v>202201</v>
      </c>
      <c r="E4959" s="5" t="s">
        <v>6</v>
      </c>
      <c r="F4959" s="5" t="s">
        <v>13</v>
      </c>
      <c r="G4959" s="5" t="s">
        <v>52</v>
      </c>
      <c r="H4959">
        <v>8</v>
      </c>
      <c r="I4959" s="4">
        <v>42952</v>
      </c>
      <c r="J4959" s="4">
        <v>20160</v>
      </c>
    </row>
    <row r="4960" spans="2:10" x14ac:dyDescent="0.3">
      <c r="B4960" s="7">
        <v>44593</v>
      </c>
      <c r="C4960" s="3">
        <f t="shared" si="154"/>
        <v>2022</v>
      </c>
      <c r="D4960" s="3">
        <f t="shared" si="155"/>
        <v>202202</v>
      </c>
      <c r="E4960" s="5" t="s">
        <v>6</v>
      </c>
      <c r="F4960" s="5" t="s">
        <v>13</v>
      </c>
      <c r="G4960" s="5" t="s">
        <v>52</v>
      </c>
      <c r="H4960">
        <v>5</v>
      </c>
      <c r="I4960" s="4">
        <v>28810</v>
      </c>
      <c r="J4960" s="4">
        <v>12600</v>
      </c>
    </row>
    <row r="4961" spans="2:10" x14ac:dyDescent="0.3">
      <c r="B4961" s="7">
        <v>44621</v>
      </c>
      <c r="C4961" s="3">
        <f t="shared" si="154"/>
        <v>2022</v>
      </c>
      <c r="D4961" s="3">
        <f t="shared" si="155"/>
        <v>202203</v>
      </c>
      <c r="E4961" s="5" t="s">
        <v>6</v>
      </c>
      <c r="F4961" s="5" t="s">
        <v>13</v>
      </c>
      <c r="G4961" s="5" t="s">
        <v>52</v>
      </c>
      <c r="H4961">
        <v>4</v>
      </c>
      <c r="I4961" s="4">
        <v>20208</v>
      </c>
      <c r="J4961" s="4">
        <v>10080</v>
      </c>
    </row>
    <row r="4962" spans="2:10" x14ac:dyDescent="0.3">
      <c r="B4962" s="7">
        <v>44652</v>
      </c>
      <c r="C4962" s="3">
        <f t="shared" si="154"/>
        <v>2022</v>
      </c>
      <c r="D4962" s="3">
        <f t="shared" si="155"/>
        <v>202204</v>
      </c>
      <c r="E4962" s="5" t="s">
        <v>6</v>
      </c>
      <c r="F4962" s="5" t="s">
        <v>13</v>
      </c>
      <c r="G4962" s="5" t="s">
        <v>52</v>
      </c>
      <c r="H4962">
        <v>8</v>
      </c>
      <c r="I4962" s="4">
        <v>49832</v>
      </c>
      <c r="J4962" s="4">
        <v>20160</v>
      </c>
    </row>
    <row r="4963" spans="2:10" x14ac:dyDescent="0.3">
      <c r="B4963" s="7">
        <v>44682</v>
      </c>
      <c r="C4963" s="3">
        <f t="shared" si="154"/>
        <v>2022</v>
      </c>
      <c r="D4963" s="3">
        <f t="shared" si="155"/>
        <v>202205</v>
      </c>
      <c r="E4963" s="5" t="s">
        <v>6</v>
      </c>
      <c r="F4963" s="5" t="s">
        <v>13</v>
      </c>
      <c r="G4963" s="5" t="s">
        <v>52</v>
      </c>
      <c r="H4963">
        <v>10</v>
      </c>
      <c r="I4963" s="4">
        <v>61530</v>
      </c>
      <c r="J4963" s="4">
        <v>25200</v>
      </c>
    </row>
    <row r="4964" spans="2:10" x14ac:dyDescent="0.3">
      <c r="B4964" s="7">
        <v>44713</v>
      </c>
      <c r="C4964" s="3">
        <f t="shared" si="154"/>
        <v>2022</v>
      </c>
      <c r="D4964" s="3">
        <f t="shared" si="155"/>
        <v>202206</v>
      </c>
      <c r="E4964" s="5" t="s">
        <v>6</v>
      </c>
      <c r="F4964" s="5" t="s">
        <v>13</v>
      </c>
      <c r="G4964" s="5" t="s">
        <v>52</v>
      </c>
      <c r="H4964">
        <v>9</v>
      </c>
      <c r="I4964" s="4">
        <v>54558</v>
      </c>
      <c r="J4964" s="4">
        <v>22680</v>
      </c>
    </row>
    <row r="4965" spans="2:10" x14ac:dyDescent="0.3">
      <c r="B4965" s="7">
        <v>44743</v>
      </c>
      <c r="C4965" s="3">
        <f t="shared" si="154"/>
        <v>2022</v>
      </c>
      <c r="D4965" s="3">
        <f t="shared" si="155"/>
        <v>202207</v>
      </c>
      <c r="E4965" s="5" t="s">
        <v>6</v>
      </c>
      <c r="F4965" s="5" t="s">
        <v>13</v>
      </c>
      <c r="G4965" s="5" t="s">
        <v>52</v>
      </c>
      <c r="H4965">
        <v>10</v>
      </c>
      <c r="I4965" s="4">
        <v>40860</v>
      </c>
      <c r="J4965" s="4">
        <v>25200</v>
      </c>
    </row>
    <row r="4966" spans="2:10" x14ac:dyDescent="0.3">
      <c r="B4966" s="7">
        <v>44774</v>
      </c>
      <c r="C4966" s="3">
        <f t="shared" si="154"/>
        <v>2022</v>
      </c>
      <c r="D4966" s="3">
        <f t="shared" si="155"/>
        <v>202208</v>
      </c>
      <c r="E4966" s="5" t="s">
        <v>6</v>
      </c>
      <c r="F4966" s="5" t="s">
        <v>13</v>
      </c>
      <c r="G4966" s="5" t="s">
        <v>52</v>
      </c>
      <c r="H4966">
        <v>8</v>
      </c>
      <c r="I4966" s="4">
        <v>40552</v>
      </c>
      <c r="J4966" s="4">
        <v>20160</v>
      </c>
    </row>
    <row r="4967" spans="2:10" x14ac:dyDescent="0.3">
      <c r="B4967" s="7">
        <v>44805</v>
      </c>
      <c r="C4967" s="3">
        <f t="shared" si="154"/>
        <v>2022</v>
      </c>
      <c r="D4967" s="3">
        <f t="shared" si="155"/>
        <v>202209</v>
      </c>
      <c r="E4967" s="5" t="s">
        <v>6</v>
      </c>
      <c r="F4967" s="5" t="s">
        <v>13</v>
      </c>
      <c r="G4967" s="5" t="s">
        <v>52</v>
      </c>
      <c r="H4967">
        <v>9</v>
      </c>
      <c r="I4967" s="4">
        <v>46791</v>
      </c>
      <c r="J4967" s="4">
        <v>22680</v>
      </c>
    </row>
    <row r="4968" spans="2:10" x14ac:dyDescent="0.3">
      <c r="B4968" s="7">
        <v>44835</v>
      </c>
      <c r="C4968" s="3">
        <f t="shared" si="154"/>
        <v>2022</v>
      </c>
      <c r="D4968" s="3">
        <f t="shared" si="155"/>
        <v>202210</v>
      </c>
      <c r="E4968" s="5" t="s">
        <v>6</v>
      </c>
      <c r="F4968" s="5" t="s">
        <v>13</v>
      </c>
      <c r="G4968" s="5" t="s">
        <v>52</v>
      </c>
      <c r="H4968">
        <v>7</v>
      </c>
      <c r="I4968" s="4">
        <v>40747</v>
      </c>
      <c r="J4968" s="4">
        <v>17640</v>
      </c>
    </row>
    <row r="4969" spans="2:10" x14ac:dyDescent="0.3">
      <c r="B4969" s="7">
        <v>44866</v>
      </c>
      <c r="C4969" s="3">
        <f t="shared" si="154"/>
        <v>2022</v>
      </c>
      <c r="D4969" s="3">
        <f t="shared" si="155"/>
        <v>202211</v>
      </c>
      <c r="E4969" s="5" t="s">
        <v>6</v>
      </c>
      <c r="F4969" s="5" t="s">
        <v>13</v>
      </c>
      <c r="G4969" s="5" t="s">
        <v>52</v>
      </c>
      <c r="H4969">
        <v>5</v>
      </c>
      <c r="I4969" s="4">
        <v>25265</v>
      </c>
      <c r="J4969" s="4">
        <v>12600</v>
      </c>
    </row>
    <row r="4970" spans="2:10" x14ac:dyDescent="0.3">
      <c r="B4970" s="7">
        <v>44896</v>
      </c>
      <c r="C4970" s="3">
        <f t="shared" si="154"/>
        <v>2022</v>
      </c>
      <c r="D4970" s="3">
        <f t="shared" si="155"/>
        <v>202212</v>
      </c>
      <c r="E4970" s="5" t="s">
        <v>6</v>
      </c>
      <c r="F4970" s="5" t="s">
        <v>13</v>
      </c>
      <c r="G4970" s="5" t="s">
        <v>52</v>
      </c>
      <c r="H4970">
        <v>6</v>
      </c>
      <c r="I4970" s="4">
        <v>30978</v>
      </c>
      <c r="J4970" s="4">
        <v>15120</v>
      </c>
    </row>
    <row r="4971" spans="2:10" x14ac:dyDescent="0.3">
      <c r="B4971" s="7">
        <v>44197</v>
      </c>
      <c r="C4971" s="3">
        <f t="shared" si="154"/>
        <v>2021</v>
      </c>
      <c r="D4971" s="3">
        <f t="shared" si="155"/>
        <v>202101</v>
      </c>
      <c r="E4971" s="5" t="s">
        <v>6</v>
      </c>
      <c r="F4971" s="5" t="s">
        <v>13</v>
      </c>
      <c r="G4971" s="5" t="s">
        <v>53</v>
      </c>
      <c r="H4971">
        <v>10</v>
      </c>
      <c r="I4971" s="4">
        <v>30010</v>
      </c>
      <c r="J4971" s="4">
        <v>9240</v>
      </c>
    </row>
    <row r="4972" spans="2:10" x14ac:dyDescent="0.3">
      <c r="B4972" s="7">
        <v>44228</v>
      </c>
      <c r="C4972" s="3">
        <f t="shared" si="154"/>
        <v>2021</v>
      </c>
      <c r="D4972" s="3">
        <f t="shared" si="155"/>
        <v>202102</v>
      </c>
      <c r="E4972" s="5" t="s">
        <v>6</v>
      </c>
      <c r="F4972" s="5" t="s">
        <v>13</v>
      </c>
      <c r="G4972" s="5" t="s">
        <v>53</v>
      </c>
      <c r="H4972">
        <v>6</v>
      </c>
      <c r="I4972" s="4">
        <v>20574</v>
      </c>
      <c r="J4972" s="4">
        <v>5544</v>
      </c>
    </row>
    <row r="4973" spans="2:10" x14ac:dyDescent="0.3">
      <c r="B4973" s="7">
        <v>44256</v>
      </c>
      <c r="C4973" s="3">
        <f t="shared" si="154"/>
        <v>2021</v>
      </c>
      <c r="D4973" s="3">
        <f t="shared" si="155"/>
        <v>202103</v>
      </c>
      <c r="E4973" s="5" t="s">
        <v>6</v>
      </c>
      <c r="F4973" s="5" t="s">
        <v>13</v>
      </c>
      <c r="G4973" s="5" t="s">
        <v>53</v>
      </c>
      <c r="H4973">
        <v>5</v>
      </c>
      <c r="I4973" s="4">
        <v>14930</v>
      </c>
      <c r="J4973" s="4">
        <v>4620</v>
      </c>
    </row>
    <row r="4974" spans="2:10" x14ac:dyDescent="0.3">
      <c r="B4974" s="7">
        <v>44287</v>
      </c>
      <c r="C4974" s="3">
        <f t="shared" si="154"/>
        <v>2021</v>
      </c>
      <c r="D4974" s="3">
        <f t="shared" si="155"/>
        <v>202104</v>
      </c>
      <c r="E4974" s="5" t="s">
        <v>6</v>
      </c>
      <c r="F4974" s="5" t="s">
        <v>13</v>
      </c>
      <c r="G4974" s="5" t="s">
        <v>53</v>
      </c>
      <c r="H4974">
        <v>9</v>
      </c>
      <c r="I4974" s="4">
        <v>40221</v>
      </c>
      <c r="J4974" s="4">
        <v>8316</v>
      </c>
    </row>
    <row r="4975" spans="2:10" x14ac:dyDescent="0.3">
      <c r="B4975" s="7">
        <v>44317</v>
      </c>
      <c r="C4975" s="3">
        <f t="shared" si="154"/>
        <v>2021</v>
      </c>
      <c r="D4975" s="3">
        <f t="shared" si="155"/>
        <v>202105</v>
      </c>
      <c r="E4975" s="5" t="s">
        <v>6</v>
      </c>
      <c r="F4975" s="5" t="s">
        <v>13</v>
      </c>
      <c r="G4975" s="5" t="s">
        <v>53</v>
      </c>
      <c r="H4975">
        <v>11</v>
      </c>
      <c r="I4975" s="4">
        <v>44187</v>
      </c>
      <c r="J4975" s="4">
        <v>10164</v>
      </c>
    </row>
    <row r="4976" spans="2:10" x14ac:dyDescent="0.3">
      <c r="B4976" s="7">
        <v>44348</v>
      </c>
      <c r="C4976" s="3">
        <f t="shared" si="154"/>
        <v>2021</v>
      </c>
      <c r="D4976" s="3">
        <f t="shared" si="155"/>
        <v>202106</v>
      </c>
      <c r="E4976" s="5" t="s">
        <v>6</v>
      </c>
      <c r="F4976" s="5" t="s">
        <v>13</v>
      </c>
      <c r="G4976" s="5" t="s">
        <v>53</v>
      </c>
      <c r="H4976">
        <v>11</v>
      </c>
      <c r="I4976" s="4">
        <v>34793</v>
      </c>
      <c r="J4976" s="4">
        <v>10164</v>
      </c>
    </row>
    <row r="4977" spans="2:10" x14ac:dyDescent="0.3">
      <c r="B4977" s="7">
        <v>44378</v>
      </c>
      <c r="C4977" s="3">
        <f t="shared" si="154"/>
        <v>2021</v>
      </c>
      <c r="D4977" s="3">
        <f t="shared" si="155"/>
        <v>202107</v>
      </c>
      <c r="E4977" s="5" t="s">
        <v>6</v>
      </c>
      <c r="F4977" s="5" t="s">
        <v>13</v>
      </c>
      <c r="G4977" s="5" t="s">
        <v>53</v>
      </c>
      <c r="H4977">
        <v>11</v>
      </c>
      <c r="I4977" s="4">
        <v>14806</v>
      </c>
      <c r="J4977" s="4">
        <v>10164</v>
      </c>
    </row>
    <row r="4978" spans="2:10" x14ac:dyDescent="0.3">
      <c r="B4978" s="7">
        <v>44409</v>
      </c>
      <c r="C4978" s="3">
        <f t="shared" si="154"/>
        <v>2021</v>
      </c>
      <c r="D4978" s="3">
        <f t="shared" si="155"/>
        <v>202108</v>
      </c>
      <c r="E4978" s="5" t="s">
        <v>6</v>
      </c>
      <c r="F4978" s="5" t="s">
        <v>13</v>
      </c>
      <c r="G4978" s="5" t="s">
        <v>53</v>
      </c>
      <c r="H4978">
        <v>10</v>
      </c>
      <c r="I4978" s="4">
        <v>27280</v>
      </c>
      <c r="J4978" s="4">
        <v>9240</v>
      </c>
    </row>
    <row r="4979" spans="2:10" x14ac:dyDescent="0.3">
      <c r="B4979" s="7">
        <v>44440</v>
      </c>
      <c r="C4979" s="3">
        <f t="shared" si="154"/>
        <v>2021</v>
      </c>
      <c r="D4979" s="3">
        <f t="shared" si="155"/>
        <v>202109</v>
      </c>
      <c r="E4979" s="5" t="s">
        <v>6</v>
      </c>
      <c r="F4979" s="5" t="s">
        <v>13</v>
      </c>
      <c r="G4979" s="5" t="s">
        <v>53</v>
      </c>
      <c r="H4979">
        <v>10</v>
      </c>
      <c r="I4979" s="4">
        <v>27450</v>
      </c>
      <c r="J4979" s="4">
        <v>9240</v>
      </c>
    </row>
    <row r="4980" spans="2:10" x14ac:dyDescent="0.3">
      <c r="B4980" s="7">
        <v>44470</v>
      </c>
      <c r="C4980" s="3">
        <f t="shared" si="154"/>
        <v>2021</v>
      </c>
      <c r="D4980" s="3">
        <f t="shared" si="155"/>
        <v>202110</v>
      </c>
      <c r="E4980" s="5" t="s">
        <v>6</v>
      </c>
      <c r="F4980" s="5" t="s">
        <v>13</v>
      </c>
      <c r="G4980" s="5" t="s">
        <v>53</v>
      </c>
      <c r="H4980">
        <v>9</v>
      </c>
      <c r="I4980" s="4">
        <v>35379</v>
      </c>
      <c r="J4980" s="4">
        <v>8316</v>
      </c>
    </row>
    <row r="4981" spans="2:10" x14ac:dyDescent="0.3">
      <c r="B4981" s="7">
        <v>44501</v>
      </c>
      <c r="C4981" s="3">
        <f t="shared" si="154"/>
        <v>2021</v>
      </c>
      <c r="D4981" s="3">
        <f t="shared" si="155"/>
        <v>202111</v>
      </c>
      <c r="E4981" s="5" t="s">
        <v>6</v>
      </c>
      <c r="F4981" s="5" t="s">
        <v>13</v>
      </c>
      <c r="G4981" s="5" t="s">
        <v>53</v>
      </c>
      <c r="H4981">
        <v>6</v>
      </c>
      <c r="I4981" s="4">
        <v>23250</v>
      </c>
      <c r="J4981" s="4">
        <v>5544</v>
      </c>
    </row>
    <row r="4982" spans="2:10" x14ac:dyDescent="0.3">
      <c r="B4982" s="7">
        <v>44531</v>
      </c>
      <c r="C4982" s="3">
        <f t="shared" si="154"/>
        <v>2021</v>
      </c>
      <c r="D4982" s="3">
        <f t="shared" si="155"/>
        <v>202112</v>
      </c>
      <c r="E4982" s="5" t="s">
        <v>6</v>
      </c>
      <c r="F4982" s="5" t="s">
        <v>13</v>
      </c>
      <c r="G4982" s="5" t="s">
        <v>53</v>
      </c>
      <c r="H4982">
        <v>7</v>
      </c>
      <c r="I4982" s="4">
        <v>23660</v>
      </c>
      <c r="J4982" s="4">
        <v>6468</v>
      </c>
    </row>
    <row r="4983" spans="2:10" x14ac:dyDescent="0.3">
      <c r="B4983" s="7">
        <v>44562</v>
      </c>
      <c r="C4983" s="3">
        <f t="shared" si="154"/>
        <v>2022</v>
      </c>
      <c r="D4983" s="3">
        <f t="shared" si="155"/>
        <v>202201</v>
      </c>
      <c r="E4983" s="5" t="s">
        <v>6</v>
      </c>
      <c r="F4983" s="5" t="s">
        <v>13</v>
      </c>
      <c r="G4983" s="5" t="s">
        <v>53</v>
      </c>
      <c r="H4983">
        <v>11</v>
      </c>
      <c r="I4983" s="4">
        <v>32142</v>
      </c>
      <c r="J4983" s="4">
        <v>10164</v>
      </c>
    </row>
    <row r="4984" spans="2:10" x14ac:dyDescent="0.3">
      <c r="B4984" s="7">
        <v>44593</v>
      </c>
      <c r="C4984" s="3">
        <f t="shared" si="154"/>
        <v>2022</v>
      </c>
      <c r="D4984" s="3">
        <f t="shared" si="155"/>
        <v>202202</v>
      </c>
      <c r="E4984" s="5" t="s">
        <v>6</v>
      </c>
      <c r="F4984" s="5" t="s">
        <v>13</v>
      </c>
      <c r="G4984" s="5" t="s">
        <v>53</v>
      </c>
      <c r="H4984">
        <v>7</v>
      </c>
      <c r="I4984" s="4">
        <v>24619</v>
      </c>
      <c r="J4984" s="4">
        <v>6468</v>
      </c>
    </row>
    <row r="4985" spans="2:10" x14ac:dyDescent="0.3">
      <c r="B4985" s="7">
        <v>44621</v>
      </c>
      <c r="C4985" s="3">
        <f t="shared" si="154"/>
        <v>2022</v>
      </c>
      <c r="D4985" s="3">
        <f t="shared" si="155"/>
        <v>202203</v>
      </c>
      <c r="E4985" s="5" t="s">
        <v>6</v>
      </c>
      <c r="F4985" s="5" t="s">
        <v>13</v>
      </c>
      <c r="G4985" s="5" t="s">
        <v>53</v>
      </c>
      <c r="H4985">
        <v>6</v>
      </c>
      <c r="I4985" s="4">
        <v>14616</v>
      </c>
      <c r="J4985" s="4">
        <v>5544</v>
      </c>
    </row>
    <row r="4986" spans="2:10" x14ac:dyDescent="0.3">
      <c r="B4986" s="7">
        <v>44652</v>
      </c>
      <c r="C4986" s="3">
        <f t="shared" si="154"/>
        <v>2022</v>
      </c>
      <c r="D4986" s="3">
        <f t="shared" si="155"/>
        <v>202204</v>
      </c>
      <c r="E4986" s="5" t="s">
        <v>6</v>
      </c>
      <c r="F4986" s="5" t="s">
        <v>13</v>
      </c>
      <c r="G4986" s="5" t="s">
        <v>53</v>
      </c>
      <c r="H4986">
        <v>10</v>
      </c>
      <c r="I4986" s="4">
        <v>41620</v>
      </c>
      <c r="J4986" s="4">
        <v>9240</v>
      </c>
    </row>
    <row r="4987" spans="2:10" x14ac:dyDescent="0.3">
      <c r="B4987" s="7">
        <v>44682</v>
      </c>
      <c r="C4987" s="3">
        <f t="shared" si="154"/>
        <v>2022</v>
      </c>
      <c r="D4987" s="3">
        <f t="shared" si="155"/>
        <v>202205</v>
      </c>
      <c r="E4987" s="5" t="s">
        <v>6</v>
      </c>
      <c r="F4987" s="5" t="s">
        <v>13</v>
      </c>
      <c r="G4987" s="5" t="s">
        <v>53</v>
      </c>
      <c r="H4987">
        <v>13</v>
      </c>
      <c r="I4987" s="4">
        <v>56420</v>
      </c>
      <c r="J4987" s="4">
        <v>12012</v>
      </c>
    </row>
    <row r="4988" spans="2:10" x14ac:dyDescent="0.3">
      <c r="B4988" s="7">
        <v>44713</v>
      </c>
      <c r="C4988" s="3">
        <f t="shared" si="154"/>
        <v>2022</v>
      </c>
      <c r="D4988" s="3">
        <f t="shared" si="155"/>
        <v>202206</v>
      </c>
      <c r="E4988" s="5" t="s">
        <v>6</v>
      </c>
      <c r="F4988" s="5" t="s">
        <v>13</v>
      </c>
      <c r="G4988" s="5" t="s">
        <v>53</v>
      </c>
      <c r="H4988">
        <v>12</v>
      </c>
      <c r="I4988" s="4">
        <v>39444</v>
      </c>
      <c r="J4988" s="4">
        <v>11088</v>
      </c>
    </row>
    <row r="4989" spans="2:10" x14ac:dyDescent="0.3">
      <c r="B4989" s="7">
        <v>44743</v>
      </c>
      <c r="C4989" s="3">
        <f t="shared" si="154"/>
        <v>2022</v>
      </c>
      <c r="D4989" s="3">
        <f t="shared" si="155"/>
        <v>202207</v>
      </c>
      <c r="E4989" s="5" t="s">
        <v>6</v>
      </c>
      <c r="F4989" s="5" t="s">
        <v>13</v>
      </c>
      <c r="G4989" s="5" t="s">
        <v>53</v>
      </c>
      <c r="H4989">
        <v>13</v>
      </c>
      <c r="I4989" s="4">
        <v>26910</v>
      </c>
      <c r="J4989" s="4">
        <v>12012</v>
      </c>
    </row>
    <row r="4990" spans="2:10" x14ac:dyDescent="0.3">
      <c r="B4990" s="7">
        <v>44774</v>
      </c>
      <c r="C4990" s="3">
        <f t="shared" si="154"/>
        <v>2022</v>
      </c>
      <c r="D4990" s="3">
        <f t="shared" si="155"/>
        <v>202208</v>
      </c>
      <c r="E4990" s="5" t="s">
        <v>6</v>
      </c>
      <c r="F4990" s="5" t="s">
        <v>13</v>
      </c>
      <c r="G4990" s="5" t="s">
        <v>53</v>
      </c>
      <c r="H4990">
        <v>11</v>
      </c>
      <c r="I4990" s="4">
        <v>27632</v>
      </c>
      <c r="J4990" s="4">
        <v>10164</v>
      </c>
    </row>
    <row r="4991" spans="2:10" x14ac:dyDescent="0.3">
      <c r="B4991" s="7">
        <v>44805</v>
      </c>
      <c r="C4991" s="3">
        <f t="shared" si="154"/>
        <v>2022</v>
      </c>
      <c r="D4991" s="3">
        <f t="shared" si="155"/>
        <v>202209</v>
      </c>
      <c r="E4991" s="5" t="s">
        <v>6</v>
      </c>
      <c r="F4991" s="5" t="s">
        <v>13</v>
      </c>
      <c r="G4991" s="5" t="s">
        <v>53</v>
      </c>
      <c r="H4991">
        <v>11</v>
      </c>
      <c r="I4991" s="4">
        <v>29590</v>
      </c>
      <c r="J4991" s="4">
        <v>10164</v>
      </c>
    </row>
    <row r="4992" spans="2:10" x14ac:dyDescent="0.3">
      <c r="B4992" s="7">
        <v>44835</v>
      </c>
      <c r="C4992" s="3">
        <f t="shared" si="154"/>
        <v>2022</v>
      </c>
      <c r="D4992" s="3">
        <f t="shared" si="155"/>
        <v>202210</v>
      </c>
      <c r="E4992" s="5" t="s">
        <v>6</v>
      </c>
      <c r="F4992" s="5" t="s">
        <v>13</v>
      </c>
      <c r="G4992" s="5" t="s">
        <v>53</v>
      </c>
      <c r="H4992">
        <v>9</v>
      </c>
      <c r="I4992" s="4">
        <v>33003</v>
      </c>
      <c r="J4992" s="4">
        <v>8316</v>
      </c>
    </row>
    <row r="4993" spans="2:10" x14ac:dyDescent="0.3">
      <c r="B4993" s="7">
        <v>44866</v>
      </c>
      <c r="C4993" s="3">
        <f t="shared" si="154"/>
        <v>2022</v>
      </c>
      <c r="D4993" s="3">
        <f t="shared" si="155"/>
        <v>202211</v>
      </c>
      <c r="E4993" s="5" t="s">
        <v>6</v>
      </c>
      <c r="F4993" s="5" t="s">
        <v>13</v>
      </c>
      <c r="G4993" s="5" t="s">
        <v>53</v>
      </c>
      <c r="H4993">
        <v>7</v>
      </c>
      <c r="I4993" s="4">
        <v>22351</v>
      </c>
      <c r="J4993" s="4">
        <v>6468</v>
      </c>
    </row>
    <row r="4994" spans="2:10" x14ac:dyDescent="0.3">
      <c r="B4994" s="7">
        <v>44896</v>
      </c>
      <c r="C4994" s="3">
        <f t="shared" si="154"/>
        <v>2022</v>
      </c>
      <c r="D4994" s="3">
        <f t="shared" si="155"/>
        <v>202212</v>
      </c>
      <c r="E4994" s="5" t="s">
        <v>6</v>
      </c>
      <c r="F4994" s="5" t="s">
        <v>13</v>
      </c>
      <c r="G4994" s="5" t="s">
        <v>53</v>
      </c>
      <c r="H4994">
        <v>8</v>
      </c>
      <c r="I4994" s="4">
        <v>27752</v>
      </c>
      <c r="J4994" s="4">
        <v>7392</v>
      </c>
    </row>
    <row r="4995" spans="2:10" x14ac:dyDescent="0.3">
      <c r="B4995" s="7">
        <v>44197</v>
      </c>
      <c r="C4995" s="3">
        <f t="shared" ref="C4995:C5058" si="156">YEAR(B4995)</f>
        <v>2021</v>
      </c>
      <c r="D4995" s="3">
        <f t="shared" ref="D4995:D5058" si="157">VALUE(TEXT(B4995,"ГГГГММ"))</f>
        <v>202101</v>
      </c>
      <c r="E4995" s="5" t="s">
        <v>6</v>
      </c>
      <c r="F4995" s="5" t="s">
        <v>13</v>
      </c>
      <c r="G4995" s="5" t="s">
        <v>54</v>
      </c>
      <c r="H4995">
        <v>8</v>
      </c>
      <c r="I4995" s="4">
        <v>27192</v>
      </c>
      <c r="J4995" s="4">
        <v>8736</v>
      </c>
    </row>
    <row r="4996" spans="2:10" x14ac:dyDescent="0.3">
      <c r="B4996" s="7">
        <v>44228</v>
      </c>
      <c r="C4996" s="3">
        <f t="shared" si="156"/>
        <v>2021</v>
      </c>
      <c r="D4996" s="3">
        <f t="shared" si="157"/>
        <v>202102</v>
      </c>
      <c r="E4996" s="5" t="s">
        <v>6</v>
      </c>
      <c r="F4996" s="5" t="s">
        <v>13</v>
      </c>
      <c r="G4996" s="5" t="s">
        <v>54</v>
      </c>
      <c r="H4996">
        <v>5</v>
      </c>
      <c r="I4996" s="4">
        <v>23510</v>
      </c>
      <c r="J4996" s="4">
        <v>5460</v>
      </c>
    </row>
    <row r="4997" spans="2:10" x14ac:dyDescent="0.3">
      <c r="B4997" s="7">
        <v>44256</v>
      </c>
      <c r="C4997" s="3">
        <f t="shared" si="156"/>
        <v>2021</v>
      </c>
      <c r="D4997" s="3">
        <f t="shared" si="157"/>
        <v>202103</v>
      </c>
      <c r="E4997" s="5" t="s">
        <v>6</v>
      </c>
      <c r="F4997" s="5" t="s">
        <v>13</v>
      </c>
      <c r="G4997" s="5" t="s">
        <v>54</v>
      </c>
      <c r="H4997">
        <v>4</v>
      </c>
      <c r="I4997" s="4">
        <v>15000</v>
      </c>
      <c r="J4997" s="4">
        <v>4368</v>
      </c>
    </row>
    <row r="4998" spans="2:10" x14ac:dyDescent="0.3">
      <c r="B4998" s="7">
        <v>44287</v>
      </c>
      <c r="C4998" s="3">
        <f t="shared" si="156"/>
        <v>2021</v>
      </c>
      <c r="D4998" s="3">
        <f t="shared" si="157"/>
        <v>202104</v>
      </c>
      <c r="E4998" s="5" t="s">
        <v>6</v>
      </c>
      <c r="F4998" s="5" t="s">
        <v>13</v>
      </c>
      <c r="G4998" s="5" t="s">
        <v>54</v>
      </c>
      <c r="H4998">
        <v>7</v>
      </c>
      <c r="I4998" s="4">
        <v>29862</v>
      </c>
      <c r="J4998" s="4">
        <v>7644</v>
      </c>
    </row>
    <row r="4999" spans="2:10" x14ac:dyDescent="0.3">
      <c r="B4999" s="7">
        <v>44317</v>
      </c>
      <c r="C4999" s="3">
        <f t="shared" si="156"/>
        <v>2021</v>
      </c>
      <c r="D4999" s="3">
        <f t="shared" si="157"/>
        <v>202105</v>
      </c>
      <c r="E4999" s="5" t="s">
        <v>6</v>
      </c>
      <c r="F4999" s="5" t="s">
        <v>13</v>
      </c>
      <c r="G4999" s="5" t="s">
        <v>54</v>
      </c>
      <c r="H4999">
        <v>9</v>
      </c>
      <c r="I4999" s="4">
        <v>36738</v>
      </c>
      <c r="J4999" s="4">
        <v>9828</v>
      </c>
    </row>
    <row r="5000" spans="2:10" x14ac:dyDescent="0.3">
      <c r="B5000" s="7">
        <v>44348</v>
      </c>
      <c r="C5000" s="3">
        <f t="shared" si="156"/>
        <v>2021</v>
      </c>
      <c r="D5000" s="3">
        <f t="shared" si="157"/>
        <v>202106</v>
      </c>
      <c r="E5000" s="5" t="s">
        <v>6</v>
      </c>
      <c r="F5000" s="5" t="s">
        <v>13</v>
      </c>
      <c r="G5000" s="5" t="s">
        <v>54</v>
      </c>
      <c r="H5000">
        <v>9</v>
      </c>
      <c r="I5000" s="4">
        <v>34506</v>
      </c>
      <c r="J5000" s="4">
        <v>9828</v>
      </c>
    </row>
    <row r="5001" spans="2:10" x14ac:dyDescent="0.3">
      <c r="B5001" s="7">
        <v>44378</v>
      </c>
      <c r="C5001" s="3">
        <f t="shared" si="156"/>
        <v>2021</v>
      </c>
      <c r="D5001" s="3">
        <f t="shared" si="157"/>
        <v>202107</v>
      </c>
      <c r="E5001" s="5" t="s">
        <v>6</v>
      </c>
      <c r="F5001" s="5" t="s">
        <v>13</v>
      </c>
      <c r="G5001" s="5" t="s">
        <v>54</v>
      </c>
      <c r="H5001">
        <v>9</v>
      </c>
      <c r="I5001" s="4">
        <v>22716</v>
      </c>
      <c r="J5001" s="4">
        <v>9828</v>
      </c>
    </row>
    <row r="5002" spans="2:10" x14ac:dyDescent="0.3">
      <c r="B5002" s="7">
        <v>44409</v>
      </c>
      <c r="C5002" s="3">
        <f t="shared" si="156"/>
        <v>2021</v>
      </c>
      <c r="D5002" s="3">
        <f t="shared" si="157"/>
        <v>202108</v>
      </c>
      <c r="E5002" s="5" t="s">
        <v>6</v>
      </c>
      <c r="F5002" s="5" t="s">
        <v>13</v>
      </c>
      <c r="G5002" s="5" t="s">
        <v>54</v>
      </c>
      <c r="H5002">
        <v>8</v>
      </c>
      <c r="I5002" s="4">
        <v>24744</v>
      </c>
      <c r="J5002" s="4">
        <v>8736</v>
      </c>
    </row>
    <row r="5003" spans="2:10" x14ac:dyDescent="0.3">
      <c r="B5003" s="7">
        <v>44440</v>
      </c>
      <c r="C5003" s="3">
        <f t="shared" si="156"/>
        <v>2021</v>
      </c>
      <c r="D5003" s="3">
        <f t="shared" si="157"/>
        <v>202109</v>
      </c>
      <c r="E5003" s="5" t="s">
        <v>6</v>
      </c>
      <c r="F5003" s="5" t="s">
        <v>13</v>
      </c>
      <c r="G5003" s="5" t="s">
        <v>54</v>
      </c>
      <c r="H5003">
        <v>8</v>
      </c>
      <c r="I5003" s="4">
        <v>30512</v>
      </c>
      <c r="J5003" s="4">
        <v>8736</v>
      </c>
    </row>
    <row r="5004" spans="2:10" x14ac:dyDescent="0.3">
      <c r="B5004" s="7">
        <v>44470</v>
      </c>
      <c r="C5004" s="3">
        <f t="shared" si="156"/>
        <v>2021</v>
      </c>
      <c r="D5004" s="3">
        <f t="shared" si="157"/>
        <v>202110</v>
      </c>
      <c r="E5004" s="5" t="s">
        <v>6</v>
      </c>
      <c r="F5004" s="5" t="s">
        <v>13</v>
      </c>
      <c r="G5004" s="5" t="s">
        <v>54</v>
      </c>
      <c r="H5004">
        <v>7</v>
      </c>
      <c r="I5004" s="4">
        <v>26306</v>
      </c>
      <c r="J5004" s="4">
        <v>7644</v>
      </c>
    </row>
    <row r="5005" spans="2:10" x14ac:dyDescent="0.3">
      <c r="B5005" s="7">
        <v>44501</v>
      </c>
      <c r="C5005" s="3">
        <f t="shared" si="156"/>
        <v>2021</v>
      </c>
      <c r="D5005" s="3">
        <f t="shared" si="157"/>
        <v>202111</v>
      </c>
      <c r="E5005" s="5" t="s">
        <v>6</v>
      </c>
      <c r="F5005" s="5" t="s">
        <v>13</v>
      </c>
      <c r="G5005" s="5" t="s">
        <v>54</v>
      </c>
      <c r="H5005">
        <v>5</v>
      </c>
      <c r="I5005" s="4">
        <v>16895</v>
      </c>
      <c r="J5005" s="4">
        <v>5460</v>
      </c>
    </row>
    <row r="5006" spans="2:10" x14ac:dyDescent="0.3">
      <c r="B5006" s="7">
        <v>44531</v>
      </c>
      <c r="C5006" s="3">
        <f t="shared" si="156"/>
        <v>2021</v>
      </c>
      <c r="D5006" s="3">
        <f t="shared" si="157"/>
        <v>202112</v>
      </c>
      <c r="E5006" s="5" t="s">
        <v>6</v>
      </c>
      <c r="F5006" s="5" t="s">
        <v>13</v>
      </c>
      <c r="G5006" s="5" t="s">
        <v>54</v>
      </c>
      <c r="H5006">
        <v>6</v>
      </c>
      <c r="I5006" s="4">
        <v>19704</v>
      </c>
      <c r="J5006" s="4">
        <v>6552</v>
      </c>
    </row>
    <row r="5007" spans="2:10" x14ac:dyDescent="0.3">
      <c r="B5007" s="7">
        <v>44562</v>
      </c>
      <c r="C5007" s="3">
        <f t="shared" si="156"/>
        <v>2022</v>
      </c>
      <c r="D5007" s="3">
        <f t="shared" si="157"/>
        <v>202201</v>
      </c>
      <c r="E5007" s="5" t="s">
        <v>6</v>
      </c>
      <c r="F5007" s="5" t="s">
        <v>13</v>
      </c>
      <c r="G5007" s="5" t="s">
        <v>54</v>
      </c>
      <c r="H5007">
        <v>9</v>
      </c>
      <c r="I5007" s="4">
        <v>38169</v>
      </c>
      <c r="J5007" s="4">
        <v>9828</v>
      </c>
    </row>
    <row r="5008" spans="2:10" x14ac:dyDescent="0.3">
      <c r="B5008" s="7">
        <v>44593</v>
      </c>
      <c r="C5008" s="3">
        <f t="shared" si="156"/>
        <v>2022</v>
      </c>
      <c r="D5008" s="3">
        <f t="shared" si="157"/>
        <v>202202</v>
      </c>
      <c r="E5008" s="5" t="s">
        <v>6</v>
      </c>
      <c r="F5008" s="5" t="s">
        <v>13</v>
      </c>
      <c r="G5008" s="5" t="s">
        <v>54</v>
      </c>
      <c r="H5008">
        <v>6</v>
      </c>
      <c r="I5008" s="4">
        <v>22026</v>
      </c>
      <c r="J5008" s="4">
        <v>6552</v>
      </c>
    </row>
    <row r="5009" spans="2:10" x14ac:dyDescent="0.3">
      <c r="B5009" s="7">
        <v>44621</v>
      </c>
      <c r="C5009" s="3">
        <f t="shared" si="156"/>
        <v>2022</v>
      </c>
      <c r="D5009" s="3">
        <f t="shared" si="157"/>
        <v>202203</v>
      </c>
      <c r="E5009" s="5" t="s">
        <v>6</v>
      </c>
      <c r="F5009" s="5" t="s">
        <v>13</v>
      </c>
      <c r="G5009" s="5" t="s">
        <v>54</v>
      </c>
      <c r="H5009">
        <v>5</v>
      </c>
      <c r="I5009" s="4">
        <v>15145</v>
      </c>
      <c r="J5009" s="4">
        <v>5460</v>
      </c>
    </row>
    <row r="5010" spans="2:10" x14ac:dyDescent="0.3">
      <c r="B5010" s="7">
        <v>44652</v>
      </c>
      <c r="C5010" s="3">
        <f t="shared" si="156"/>
        <v>2022</v>
      </c>
      <c r="D5010" s="3">
        <f t="shared" si="157"/>
        <v>202204</v>
      </c>
      <c r="E5010" s="5" t="s">
        <v>6</v>
      </c>
      <c r="F5010" s="5" t="s">
        <v>13</v>
      </c>
      <c r="G5010" s="5" t="s">
        <v>54</v>
      </c>
      <c r="H5010">
        <v>8</v>
      </c>
      <c r="I5010" s="4">
        <v>37712</v>
      </c>
      <c r="J5010" s="4">
        <v>8736</v>
      </c>
    </row>
    <row r="5011" spans="2:10" x14ac:dyDescent="0.3">
      <c r="B5011" s="7">
        <v>44682</v>
      </c>
      <c r="C5011" s="3">
        <f t="shared" si="156"/>
        <v>2022</v>
      </c>
      <c r="D5011" s="3">
        <f t="shared" si="157"/>
        <v>202205</v>
      </c>
      <c r="E5011" s="5" t="s">
        <v>6</v>
      </c>
      <c r="F5011" s="5" t="s">
        <v>13</v>
      </c>
      <c r="G5011" s="5" t="s">
        <v>54</v>
      </c>
      <c r="H5011">
        <v>10</v>
      </c>
      <c r="I5011" s="4">
        <v>42860</v>
      </c>
      <c r="J5011" s="4">
        <v>10920</v>
      </c>
    </row>
    <row r="5012" spans="2:10" x14ac:dyDescent="0.3">
      <c r="B5012" s="7">
        <v>44713</v>
      </c>
      <c r="C5012" s="3">
        <f t="shared" si="156"/>
        <v>2022</v>
      </c>
      <c r="D5012" s="3">
        <f t="shared" si="157"/>
        <v>202206</v>
      </c>
      <c r="E5012" s="5" t="s">
        <v>6</v>
      </c>
      <c r="F5012" s="5" t="s">
        <v>13</v>
      </c>
      <c r="G5012" s="5" t="s">
        <v>54</v>
      </c>
      <c r="H5012">
        <v>10</v>
      </c>
      <c r="I5012" s="4">
        <v>41500</v>
      </c>
      <c r="J5012" s="4">
        <v>10920</v>
      </c>
    </row>
    <row r="5013" spans="2:10" x14ac:dyDescent="0.3">
      <c r="B5013" s="7">
        <v>44743</v>
      </c>
      <c r="C5013" s="3">
        <f t="shared" si="156"/>
        <v>2022</v>
      </c>
      <c r="D5013" s="3">
        <f t="shared" si="157"/>
        <v>202207</v>
      </c>
      <c r="E5013" s="5" t="s">
        <v>6</v>
      </c>
      <c r="F5013" s="5" t="s">
        <v>13</v>
      </c>
      <c r="G5013" s="5" t="s">
        <v>54</v>
      </c>
      <c r="H5013">
        <v>10</v>
      </c>
      <c r="I5013" s="4">
        <v>27750</v>
      </c>
      <c r="J5013" s="4">
        <v>10920</v>
      </c>
    </row>
    <row r="5014" spans="2:10" x14ac:dyDescent="0.3">
      <c r="B5014" s="7">
        <v>44774</v>
      </c>
      <c r="C5014" s="3">
        <f t="shared" si="156"/>
        <v>2022</v>
      </c>
      <c r="D5014" s="3">
        <f t="shared" si="157"/>
        <v>202208</v>
      </c>
      <c r="E5014" s="5" t="s">
        <v>6</v>
      </c>
      <c r="F5014" s="5" t="s">
        <v>13</v>
      </c>
      <c r="G5014" s="5" t="s">
        <v>54</v>
      </c>
      <c r="H5014">
        <v>9</v>
      </c>
      <c r="I5014" s="4">
        <v>25299</v>
      </c>
      <c r="J5014" s="4">
        <v>9828</v>
      </c>
    </row>
    <row r="5015" spans="2:10" x14ac:dyDescent="0.3">
      <c r="B5015" s="7">
        <v>44805</v>
      </c>
      <c r="C5015" s="3">
        <f t="shared" si="156"/>
        <v>2022</v>
      </c>
      <c r="D5015" s="3">
        <f t="shared" si="157"/>
        <v>202209</v>
      </c>
      <c r="E5015" s="5" t="s">
        <v>6</v>
      </c>
      <c r="F5015" s="5" t="s">
        <v>13</v>
      </c>
      <c r="G5015" s="5" t="s">
        <v>54</v>
      </c>
      <c r="H5015">
        <v>9</v>
      </c>
      <c r="I5015" s="4">
        <v>27945</v>
      </c>
      <c r="J5015" s="4">
        <v>9828</v>
      </c>
    </row>
    <row r="5016" spans="2:10" x14ac:dyDescent="0.3">
      <c r="B5016" s="7">
        <v>44835</v>
      </c>
      <c r="C5016" s="3">
        <f t="shared" si="156"/>
        <v>2022</v>
      </c>
      <c r="D5016" s="3">
        <f t="shared" si="157"/>
        <v>202210</v>
      </c>
      <c r="E5016" s="5" t="s">
        <v>6</v>
      </c>
      <c r="F5016" s="5" t="s">
        <v>13</v>
      </c>
      <c r="G5016" s="5" t="s">
        <v>54</v>
      </c>
      <c r="H5016">
        <v>8</v>
      </c>
      <c r="I5016" s="4">
        <v>34816</v>
      </c>
      <c r="J5016" s="4">
        <v>8736</v>
      </c>
    </row>
    <row r="5017" spans="2:10" x14ac:dyDescent="0.3">
      <c r="B5017" s="7">
        <v>44866</v>
      </c>
      <c r="C5017" s="3">
        <f t="shared" si="156"/>
        <v>2022</v>
      </c>
      <c r="D5017" s="3">
        <f t="shared" si="157"/>
        <v>202211</v>
      </c>
      <c r="E5017" s="5" t="s">
        <v>6</v>
      </c>
      <c r="F5017" s="5" t="s">
        <v>13</v>
      </c>
      <c r="G5017" s="5" t="s">
        <v>54</v>
      </c>
      <c r="H5017">
        <v>6</v>
      </c>
      <c r="I5017" s="4">
        <v>21288</v>
      </c>
      <c r="J5017" s="4">
        <v>6552</v>
      </c>
    </row>
    <row r="5018" spans="2:10" x14ac:dyDescent="0.3">
      <c r="B5018" s="7">
        <v>44896</v>
      </c>
      <c r="C5018" s="3">
        <f t="shared" si="156"/>
        <v>2022</v>
      </c>
      <c r="D5018" s="3">
        <f t="shared" si="157"/>
        <v>202212</v>
      </c>
      <c r="E5018" s="5" t="s">
        <v>6</v>
      </c>
      <c r="F5018" s="5" t="s">
        <v>13</v>
      </c>
      <c r="G5018" s="5" t="s">
        <v>54</v>
      </c>
      <c r="H5018">
        <v>7</v>
      </c>
      <c r="I5018" s="4">
        <v>24248</v>
      </c>
      <c r="J5018" s="4">
        <v>7644</v>
      </c>
    </row>
    <row r="5019" spans="2:10" x14ac:dyDescent="0.3">
      <c r="B5019" s="7">
        <v>44197</v>
      </c>
      <c r="C5019" s="3">
        <f t="shared" si="156"/>
        <v>2021</v>
      </c>
      <c r="D5019" s="3">
        <f t="shared" si="157"/>
        <v>202101</v>
      </c>
      <c r="E5019" s="5" t="s">
        <v>6</v>
      </c>
      <c r="F5019" s="5" t="s">
        <v>13</v>
      </c>
      <c r="G5019" s="5" t="s">
        <v>55</v>
      </c>
      <c r="H5019">
        <v>10</v>
      </c>
      <c r="I5019" s="4">
        <v>28160</v>
      </c>
      <c r="J5019" s="4">
        <v>8740</v>
      </c>
    </row>
    <row r="5020" spans="2:10" x14ac:dyDescent="0.3">
      <c r="B5020" s="7">
        <v>44228</v>
      </c>
      <c r="C5020" s="3">
        <f t="shared" si="156"/>
        <v>2021</v>
      </c>
      <c r="D5020" s="3">
        <f t="shared" si="157"/>
        <v>202102</v>
      </c>
      <c r="E5020" s="5" t="s">
        <v>6</v>
      </c>
      <c r="F5020" s="5" t="s">
        <v>13</v>
      </c>
      <c r="G5020" s="5" t="s">
        <v>55</v>
      </c>
      <c r="H5020">
        <v>6</v>
      </c>
      <c r="I5020" s="4">
        <v>21462</v>
      </c>
      <c r="J5020" s="4">
        <v>5244</v>
      </c>
    </row>
    <row r="5021" spans="2:10" x14ac:dyDescent="0.3">
      <c r="B5021" s="7">
        <v>44256</v>
      </c>
      <c r="C5021" s="3">
        <f t="shared" si="156"/>
        <v>2021</v>
      </c>
      <c r="D5021" s="3">
        <f t="shared" si="157"/>
        <v>202103</v>
      </c>
      <c r="E5021" s="5" t="s">
        <v>6</v>
      </c>
      <c r="F5021" s="5" t="s">
        <v>13</v>
      </c>
      <c r="G5021" s="5" t="s">
        <v>55</v>
      </c>
      <c r="H5021">
        <v>5</v>
      </c>
      <c r="I5021" s="4">
        <v>11445</v>
      </c>
      <c r="J5021" s="4">
        <v>4370</v>
      </c>
    </row>
    <row r="5022" spans="2:10" x14ac:dyDescent="0.3">
      <c r="B5022" s="7">
        <v>44287</v>
      </c>
      <c r="C5022" s="3">
        <f t="shared" si="156"/>
        <v>2021</v>
      </c>
      <c r="D5022" s="3">
        <f t="shared" si="157"/>
        <v>202104</v>
      </c>
      <c r="E5022" s="5" t="s">
        <v>6</v>
      </c>
      <c r="F5022" s="5" t="s">
        <v>13</v>
      </c>
      <c r="G5022" s="5" t="s">
        <v>55</v>
      </c>
      <c r="H5022">
        <v>9</v>
      </c>
      <c r="I5022" s="4">
        <v>31707</v>
      </c>
      <c r="J5022" s="4">
        <v>7866</v>
      </c>
    </row>
    <row r="5023" spans="2:10" x14ac:dyDescent="0.3">
      <c r="B5023" s="7">
        <v>44317</v>
      </c>
      <c r="C5023" s="3">
        <f t="shared" si="156"/>
        <v>2021</v>
      </c>
      <c r="D5023" s="3">
        <f t="shared" si="157"/>
        <v>202105</v>
      </c>
      <c r="E5023" s="5" t="s">
        <v>6</v>
      </c>
      <c r="F5023" s="5" t="s">
        <v>13</v>
      </c>
      <c r="G5023" s="5" t="s">
        <v>55</v>
      </c>
      <c r="H5023">
        <v>12</v>
      </c>
      <c r="I5023" s="4">
        <v>48420</v>
      </c>
      <c r="J5023" s="4">
        <v>10488</v>
      </c>
    </row>
    <row r="5024" spans="2:10" x14ac:dyDescent="0.3">
      <c r="B5024" s="7">
        <v>44348</v>
      </c>
      <c r="C5024" s="3">
        <f t="shared" si="156"/>
        <v>2021</v>
      </c>
      <c r="D5024" s="3">
        <f t="shared" si="157"/>
        <v>202106</v>
      </c>
      <c r="E5024" s="5" t="s">
        <v>6</v>
      </c>
      <c r="F5024" s="5" t="s">
        <v>13</v>
      </c>
      <c r="G5024" s="5" t="s">
        <v>55</v>
      </c>
      <c r="H5024">
        <v>11</v>
      </c>
      <c r="I5024" s="4">
        <v>35893</v>
      </c>
      <c r="J5024" s="4">
        <v>9614</v>
      </c>
    </row>
    <row r="5025" spans="2:10" x14ac:dyDescent="0.3">
      <c r="B5025" s="7">
        <v>44378</v>
      </c>
      <c r="C5025" s="3">
        <f t="shared" si="156"/>
        <v>2021</v>
      </c>
      <c r="D5025" s="3">
        <f t="shared" si="157"/>
        <v>202107</v>
      </c>
      <c r="E5025" s="5" t="s">
        <v>6</v>
      </c>
      <c r="F5025" s="5" t="s">
        <v>13</v>
      </c>
      <c r="G5025" s="5" t="s">
        <v>55</v>
      </c>
      <c r="H5025">
        <v>12</v>
      </c>
      <c r="I5025" s="4">
        <v>16512</v>
      </c>
      <c r="J5025" s="4">
        <v>10488</v>
      </c>
    </row>
    <row r="5026" spans="2:10" x14ac:dyDescent="0.3">
      <c r="B5026" s="7">
        <v>44409</v>
      </c>
      <c r="C5026" s="3">
        <f t="shared" si="156"/>
        <v>2021</v>
      </c>
      <c r="D5026" s="3">
        <f t="shared" si="157"/>
        <v>202108</v>
      </c>
      <c r="E5026" s="5" t="s">
        <v>6</v>
      </c>
      <c r="F5026" s="5" t="s">
        <v>13</v>
      </c>
      <c r="G5026" s="5" t="s">
        <v>55</v>
      </c>
      <c r="H5026">
        <v>10</v>
      </c>
      <c r="I5026" s="4">
        <v>25000</v>
      </c>
      <c r="J5026" s="4">
        <v>8740</v>
      </c>
    </row>
    <row r="5027" spans="2:10" x14ac:dyDescent="0.3">
      <c r="B5027" s="7">
        <v>44440</v>
      </c>
      <c r="C5027" s="3">
        <f t="shared" si="156"/>
        <v>2021</v>
      </c>
      <c r="D5027" s="3">
        <f t="shared" si="157"/>
        <v>202109</v>
      </c>
      <c r="E5027" s="5" t="s">
        <v>6</v>
      </c>
      <c r="F5027" s="5" t="s">
        <v>13</v>
      </c>
      <c r="G5027" s="5" t="s">
        <v>55</v>
      </c>
      <c r="H5027">
        <v>11</v>
      </c>
      <c r="I5027" s="4">
        <v>34661</v>
      </c>
      <c r="J5027" s="4">
        <v>9614</v>
      </c>
    </row>
    <row r="5028" spans="2:10" x14ac:dyDescent="0.3">
      <c r="B5028" s="7">
        <v>44470</v>
      </c>
      <c r="C5028" s="3">
        <f t="shared" si="156"/>
        <v>2021</v>
      </c>
      <c r="D5028" s="3">
        <f t="shared" si="157"/>
        <v>202110</v>
      </c>
      <c r="E5028" s="5" t="s">
        <v>6</v>
      </c>
      <c r="F5028" s="5" t="s">
        <v>13</v>
      </c>
      <c r="G5028" s="5" t="s">
        <v>55</v>
      </c>
      <c r="H5028">
        <v>9</v>
      </c>
      <c r="I5028" s="4">
        <v>25209</v>
      </c>
      <c r="J5028" s="4">
        <v>7866</v>
      </c>
    </row>
    <row r="5029" spans="2:10" x14ac:dyDescent="0.3">
      <c r="B5029" s="7">
        <v>44501</v>
      </c>
      <c r="C5029" s="3">
        <f t="shared" si="156"/>
        <v>2021</v>
      </c>
      <c r="D5029" s="3">
        <f t="shared" si="157"/>
        <v>202111</v>
      </c>
      <c r="E5029" s="5" t="s">
        <v>6</v>
      </c>
      <c r="F5029" s="5" t="s">
        <v>13</v>
      </c>
      <c r="G5029" s="5" t="s">
        <v>55</v>
      </c>
      <c r="H5029">
        <v>6</v>
      </c>
      <c r="I5029" s="4">
        <v>16104</v>
      </c>
      <c r="J5029" s="4">
        <v>5244</v>
      </c>
    </row>
    <row r="5030" spans="2:10" x14ac:dyDescent="0.3">
      <c r="B5030" s="7">
        <v>44531</v>
      </c>
      <c r="C5030" s="3">
        <f t="shared" si="156"/>
        <v>2021</v>
      </c>
      <c r="D5030" s="3">
        <f t="shared" si="157"/>
        <v>202112</v>
      </c>
      <c r="E5030" s="5" t="s">
        <v>6</v>
      </c>
      <c r="F5030" s="5" t="s">
        <v>13</v>
      </c>
      <c r="G5030" s="5" t="s">
        <v>55</v>
      </c>
      <c r="H5030">
        <v>8</v>
      </c>
      <c r="I5030" s="4">
        <v>21280</v>
      </c>
      <c r="J5030" s="4">
        <v>6992</v>
      </c>
    </row>
    <row r="5031" spans="2:10" x14ac:dyDescent="0.3">
      <c r="B5031" s="7">
        <v>44562</v>
      </c>
      <c r="C5031" s="3">
        <f t="shared" si="156"/>
        <v>2022</v>
      </c>
      <c r="D5031" s="3">
        <f t="shared" si="157"/>
        <v>202201</v>
      </c>
      <c r="E5031" s="5" t="s">
        <v>6</v>
      </c>
      <c r="F5031" s="5" t="s">
        <v>13</v>
      </c>
      <c r="G5031" s="5" t="s">
        <v>55</v>
      </c>
      <c r="H5031">
        <v>11</v>
      </c>
      <c r="I5031" s="4">
        <v>29282</v>
      </c>
      <c r="J5031" s="4">
        <v>9614</v>
      </c>
    </row>
    <row r="5032" spans="2:10" x14ac:dyDescent="0.3">
      <c r="B5032" s="7">
        <v>44593</v>
      </c>
      <c r="C5032" s="3">
        <f t="shared" si="156"/>
        <v>2022</v>
      </c>
      <c r="D5032" s="3">
        <f t="shared" si="157"/>
        <v>202202</v>
      </c>
      <c r="E5032" s="5" t="s">
        <v>6</v>
      </c>
      <c r="F5032" s="5" t="s">
        <v>13</v>
      </c>
      <c r="G5032" s="5" t="s">
        <v>55</v>
      </c>
      <c r="H5032">
        <v>7</v>
      </c>
      <c r="I5032" s="4">
        <v>26082</v>
      </c>
      <c r="J5032" s="4">
        <v>6118</v>
      </c>
    </row>
    <row r="5033" spans="2:10" x14ac:dyDescent="0.3">
      <c r="B5033" s="7">
        <v>44621</v>
      </c>
      <c r="C5033" s="3">
        <f t="shared" si="156"/>
        <v>2022</v>
      </c>
      <c r="D5033" s="3">
        <f t="shared" si="157"/>
        <v>202203</v>
      </c>
      <c r="E5033" s="5" t="s">
        <v>6</v>
      </c>
      <c r="F5033" s="5" t="s">
        <v>13</v>
      </c>
      <c r="G5033" s="5" t="s">
        <v>55</v>
      </c>
      <c r="H5033">
        <v>6</v>
      </c>
      <c r="I5033" s="4">
        <v>15876</v>
      </c>
      <c r="J5033" s="4">
        <v>5244</v>
      </c>
    </row>
    <row r="5034" spans="2:10" x14ac:dyDescent="0.3">
      <c r="B5034" s="7">
        <v>44652</v>
      </c>
      <c r="C5034" s="3">
        <f t="shared" si="156"/>
        <v>2022</v>
      </c>
      <c r="D5034" s="3">
        <f t="shared" si="157"/>
        <v>202204</v>
      </c>
      <c r="E5034" s="5" t="s">
        <v>6</v>
      </c>
      <c r="F5034" s="5" t="s">
        <v>13</v>
      </c>
      <c r="G5034" s="5" t="s">
        <v>55</v>
      </c>
      <c r="H5034">
        <v>10</v>
      </c>
      <c r="I5034" s="4">
        <v>33060</v>
      </c>
      <c r="J5034" s="4">
        <v>8740</v>
      </c>
    </row>
    <row r="5035" spans="2:10" x14ac:dyDescent="0.3">
      <c r="B5035" s="7">
        <v>44682</v>
      </c>
      <c r="C5035" s="3">
        <f t="shared" si="156"/>
        <v>2022</v>
      </c>
      <c r="D5035" s="3">
        <f t="shared" si="157"/>
        <v>202205</v>
      </c>
      <c r="E5035" s="5" t="s">
        <v>6</v>
      </c>
      <c r="F5035" s="5" t="s">
        <v>13</v>
      </c>
      <c r="G5035" s="5" t="s">
        <v>55</v>
      </c>
      <c r="H5035">
        <v>13</v>
      </c>
      <c r="I5035" s="4">
        <v>49426</v>
      </c>
      <c r="J5035" s="4">
        <v>11362</v>
      </c>
    </row>
    <row r="5036" spans="2:10" x14ac:dyDescent="0.3">
      <c r="B5036" s="7">
        <v>44713</v>
      </c>
      <c r="C5036" s="3">
        <f t="shared" si="156"/>
        <v>2022</v>
      </c>
      <c r="D5036" s="3">
        <f t="shared" si="157"/>
        <v>202206</v>
      </c>
      <c r="E5036" s="5" t="s">
        <v>6</v>
      </c>
      <c r="F5036" s="5" t="s">
        <v>13</v>
      </c>
      <c r="G5036" s="5" t="s">
        <v>55</v>
      </c>
      <c r="H5036">
        <v>12</v>
      </c>
      <c r="I5036" s="4">
        <v>34068</v>
      </c>
      <c r="J5036" s="4">
        <v>10488</v>
      </c>
    </row>
    <row r="5037" spans="2:10" x14ac:dyDescent="0.3">
      <c r="B5037" s="7">
        <v>44743</v>
      </c>
      <c r="C5037" s="3">
        <f t="shared" si="156"/>
        <v>2022</v>
      </c>
      <c r="D5037" s="3">
        <f t="shared" si="157"/>
        <v>202207</v>
      </c>
      <c r="E5037" s="5" t="s">
        <v>6</v>
      </c>
      <c r="F5037" s="5" t="s">
        <v>13</v>
      </c>
      <c r="G5037" s="5" t="s">
        <v>55</v>
      </c>
      <c r="H5037">
        <v>13</v>
      </c>
      <c r="I5037" s="4">
        <v>16367</v>
      </c>
      <c r="J5037" s="4">
        <v>11362</v>
      </c>
    </row>
    <row r="5038" spans="2:10" x14ac:dyDescent="0.3">
      <c r="B5038" s="7">
        <v>44774</v>
      </c>
      <c r="C5038" s="3">
        <f t="shared" si="156"/>
        <v>2022</v>
      </c>
      <c r="D5038" s="3">
        <f t="shared" si="157"/>
        <v>202208</v>
      </c>
      <c r="E5038" s="5" t="s">
        <v>6</v>
      </c>
      <c r="F5038" s="5" t="s">
        <v>13</v>
      </c>
      <c r="G5038" s="5" t="s">
        <v>55</v>
      </c>
      <c r="H5038">
        <v>11</v>
      </c>
      <c r="I5038" s="4">
        <v>23243</v>
      </c>
      <c r="J5038" s="4">
        <v>9614</v>
      </c>
    </row>
    <row r="5039" spans="2:10" x14ac:dyDescent="0.3">
      <c r="B5039" s="7">
        <v>44805</v>
      </c>
      <c r="C5039" s="3">
        <f t="shared" si="156"/>
        <v>2022</v>
      </c>
      <c r="D5039" s="3">
        <f t="shared" si="157"/>
        <v>202209</v>
      </c>
      <c r="E5039" s="5" t="s">
        <v>6</v>
      </c>
      <c r="F5039" s="5" t="s">
        <v>13</v>
      </c>
      <c r="G5039" s="5" t="s">
        <v>55</v>
      </c>
      <c r="H5039">
        <v>12</v>
      </c>
      <c r="I5039" s="4">
        <v>30828</v>
      </c>
      <c r="J5039" s="4">
        <v>10488</v>
      </c>
    </row>
    <row r="5040" spans="2:10" x14ac:dyDescent="0.3">
      <c r="B5040" s="7">
        <v>44835</v>
      </c>
      <c r="C5040" s="3">
        <f t="shared" si="156"/>
        <v>2022</v>
      </c>
      <c r="D5040" s="3">
        <f t="shared" si="157"/>
        <v>202210</v>
      </c>
      <c r="E5040" s="5" t="s">
        <v>6</v>
      </c>
      <c r="F5040" s="5" t="s">
        <v>13</v>
      </c>
      <c r="G5040" s="5" t="s">
        <v>55</v>
      </c>
      <c r="H5040">
        <v>10</v>
      </c>
      <c r="I5040" s="4">
        <v>33720</v>
      </c>
      <c r="J5040" s="4">
        <v>8740</v>
      </c>
    </row>
    <row r="5041" spans="2:10" x14ac:dyDescent="0.3">
      <c r="B5041" s="7">
        <v>44866</v>
      </c>
      <c r="C5041" s="3">
        <f t="shared" si="156"/>
        <v>2022</v>
      </c>
      <c r="D5041" s="3">
        <f t="shared" si="157"/>
        <v>202211</v>
      </c>
      <c r="E5041" s="5" t="s">
        <v>6</v>
      </c>
      <c r="F5041" s="5" t="s">
        <v>13</v>
      </c>
      <c r="G5041" s="5" t="s">
        <v>55</v>
      </c>
      <c r="H5041">
        <v>7</v>
      </c>
      <c r="I5041" s="4">
        <v>18410</v>
      </c>
      <c r="J5041" s="4">
        <v>6118</v>
      </c>
    </row>
    <row r="5042" spans="2:10" x14ac:dyDescent="0.3">
      <c r="B5042" s="7">
        <v>44896</v>
      </c>
      <c r="C5042" s="3">
        <f t="shared" si="156"/>
        <v>2022</v>
      </c>
      <c r="D5042" s="3">
        <f t="shared" si="157"/>
        <v>202212</v>
      </c>
      <c r="E5042" s="5" t="s">
        <v>6</v>
      </c>
      <c r="F5042" s="5" t="s">
        <v>13</v>
      </c>
      <c r="G5042" s="5" t="s">
        <v>55</v>
      </c>
      <c r="H5042">
        <v>8</v>
      </c>
      <c r="I5042" s="4">
        <v>26024</v>
      </c>
      <c r="J5042" s="4">
        <v>6992</v>
      </c>
    </row>
    <row r="5043" spans="2:10" x14ac:dyDescent="0.3">
      <c r="B5043" s="7">
        <v>44197</v>
      </c>
      <c r="C5043" s="3">
        <f t="shared" si="156"/>
        <v>2021</v>
      </c>
      <c r="D5043" s="3">
        <f t="shared" si="157"/>
        <v>202101</v>
      </c>
      <c r="E5043" s="5" t="s">
        <v>7</v>
      </c>
      <c r="F5043" s="5" t="s">
        <v>56</v>
      </c>
      <c r="G5043" s="5" t="s">
        <v>14</v>
      </c>
      <c r="H5043">
        <v>76</v>
      </c>
      <c r="I5043" s="4">
        <v>855532</v>
      </c>
      <c r="J5043" s="4">
        <v>456000</v>
      </c>
    </row>
    <row r="5044" spans="2:10" x14ac:dyDescent="0.3">
      <c r="B5044" s="7">
        <v>44228</v>
      </c>
      <c r="C5044" s="3">
        <f t="shared" si="156"/>
        <v>2021</v>
      </c>
      <c r="D5044" s="3">
        <f t="shared" si="157"/>
        <v>202102</v>
      </c>
      <c r="E5044" s="5" t="s">
        <v>7</v>
      </c>
      <c r="F5044" s="5" t="s">
        <v>56</v>
      </c>
      <c r="G5044" s="5" t="s">
        <v>14</v>
      </c>
      <c r="H5044">
        <v>48</v>
      </c>
      <c r="I5044" s="4">
        <v>550080</v>
      </c>
      <c r="J5044" s="4">
        <v>288000</v>
      </c>
    </row>
    <row r="5045" spans="2:10" x14ac:dyDescent="0.3">
      <c r="B5045" s="7">
        <v>44256</v>
      </c>
      <c r="C5045" s="3">
        <f t="shared" si="156"/>
        <v>2021</v>
      </c>
      <c r="D5045" s="3">
        <f t="shared" si="157"/>
        <v>202103</v>
      </c>
      <c r="E5045" s="5" t="s">
        <v>7</v>
      </c>
      <c r="F5045" s="5" t="s">
        <v>56</v>
      </c>
      <c r="G5045" s="5" t="s">
        <v>14</v>
      </c>
      <c r="H5045">
        <v>38</v>
      </c>
      <c r="I5045" s="4">
        <v>391438</v>
      </c>
      <c r="J5045" s="4">
        <v>228000</v>
      </c>
    </row>
    <row r="5046" spans="2:10" x14ac:dyDescent="0.3">
      <c r="B5046" s="7">
        <v>44287</v>
      </c>
      <c r="C5046" s="3">
        <f t="shared" si="156"/>
        <v>2021</v>
      </c>
      <c r="D5046" s="3">
        <f t="shared" si="157"/>
        <v>202104</v>
      </c>
      <c r="E5046" s="5" t="s">
        <v>7</v>
      </c>
      <c r="F5046" s="5" t="s">
        <v>56</v>
      </c>
      <c r="G5046" s="5" t="s">
        <v>14</v>
      </c>
      <c r="H5046">
        <v>71</v>
      </c>
      <c r="I5046" s="4">
        <v>843835</v>
      </c>
      <c r="J5046" s="4">
        <v>426000</v>
      </c>
    </row>
    <row r="5047" spans="2:10" x14ac:dyDescent="0.3">
      <c r="B5047" s="7">
        <v>44317</v>
      </c>
      <c r="C5047" s="3">
        <f t="shared" si="156"/>
        <v>2021</v>
      </c>
      <c r="D5047" s="3">
        <f t="shared" si="157"/>
        <v>202105</v>
      </c>
      <c r="E5047" s="5" t="s">
        <v>7</v>
      </c>
      <c r="F5047" s="5" t="s">
        <v>56</v>
      </c>
      <c r="G5047" s="5" t="s">
        <v>14</v>
      </c>
      <c r="H5047">
        <v>90</v>
      </c>
      <c r="I5047" s="4">
        <v>1046160</v>
      </c>
      <c r="J5047" s="4">
        <v>540000</v>
      </c>
    </row>
    <row r="5048" spans="2:10" x14ac:dyDescent="0.3">
      <c r="B5048" s="7">
        <v>44348</v>
      </c>
      <c r="C5048" s="3">
        <f t="shared" si="156"/>
        <v>2021</v>
      </c>
      <c r="D5048" s="3">
        <f t="shared" si="157"/>
        <v>202106</v>
      </c>
      <c r="E5048" s="5" t="s">
        <v>7</v>
      </c>
      <c r="F5048" s="5" t="s">
        <v>56</v>
      </c>
      <c r="G5048" s="5" t="s">
        <v>14</v>
      </c>
      <c r="H5048">
        <v>85</v>
      </c>
      <c r="I5048" s="4">
        <v>959480</v>
      </c>
      <c r="J5048" s="4">
        <v>510000</v>
      </c>
    </row>
    <row r="5049" spans="2:10" x14ac:dyDescent="0.3">
      <c r="B5049" s="7">
        <v>44378</v>
      </c>
      <c r="C5049" s="3">
        <f t="shared" si="156"/>
        <v>2021</v>
      </c>
      <c r="D5049" s="3">
        <f t="shared" si="157"/>
        <v>202107</v>
      </c>
      <c r="E5049" s="5" t="s">
        <v>7</v>
      </c>
      <c r="F5049" s="5" t="s">
        <v>56</v>
      </c>
      <c r="G5049" s="5" t="s">
        <v>14</v>
      </c>
      <c r="H5049">
        <v>90</v>
      </c>
      <c r="I5049" s="4">
        <v>914400</v>
      </c>
      <c r="J5049" s="4">
        <v>540000</v>
      </c>
    </row>
    <row r="5050" spans="2:10" x14ac:dyDescent="0.3">
      <c r="B5050" s="7">
        <v>44409</v>
      </c>
      <c r="C5050" s="3">
        <f t="shared" si="156"/>
        <v>2021</v>
      </c>
      <c r="D5050" s="3">
        <f t="shared" si="157"/>
        <v>202108</v>
      </c>
      <c r="E5050" s="5" t="s">
        <v>7</v>
      </c>
      <c r="F5050" s="5" t="s">
        <v>56</v>
      </c>
      <c r="G5050" s="5" t="s">
        <v>14</v>
      </c>
      <c r="H5050">
        <v>76</v>
      </c>
      <c r="I5050" s="4">
        <v>864804</v>
      </c>
      <c r="J5050" s="4">
        <v>456000</v>
      </c>
    </row>
    <row r="5051" spans="2:10" x14ac:dyDescent="0.3">
      <c r="B5051" s="7">
        <v>44440</v>
      </c>
      <c r="C5051" s="3">
        <f t="shared" si="156"/>
        <v>2021</v>
      </c>
      <c r="D5051" s="3">
        <f t="shared" si="157"/>
        <v>202109</v>
      </c>
      <c r="E5051" s="5" t="s">
        <v>7</v>
      </c>
      <c r="F5051" s="5" t="s">
        <v>56</v>
      </c>
      <c r="G5051" s="5" t="s">
        <v>14</v>
      </c>
      <c r="H5051">
        <v>81</v>
      </c>
      <c r="I5051" s="4">
        <v>852687</v>
      </c>
      <c r="J5051" s="4">
        <v>486000</v>
      </c>
    </row>
    <row r="5052" spans="2:10" x14ac:dyDescent="0.3">
      <c r="B5052" s="7">
        <v>44470</v>
      </c>
      <c r="C5052" s="3">
        <f t="shared" si="156"/>
        <v>2021</v>
      </c>
      <c r="D5052" s="3">
        <f t="shared" si="157"/>
        <v>202110</v>
      </c>
      <c r="E5052" s="5" t="s">
        <v>7</v>
      </c>
      <c r="F5052" s="5" t="s">
        <v>56</v>
      </c>
      <c r="G5052" s="5" t="s">
        <v>14</v>
      </c>
      <c r="H5052">
        <v>67</v>
      </c>
      <c r="I5052" s="4">
        <v>734655</v>
      </c>
      <c r="J5052" s="4">
        <v>402000</v>
      </c>
    </row>
    <row r="5053" spans="2:10" x14ac:dyDescent="0.3">
      <c r="B5053" s="7">
        <v>44501</v>
      </c>
      <c r="C5053" s="3">
        <f t="shared" si="156"/>
        <v>2021</v>
      </c>
      <c r="D5053" s="3">
        <f t="shared" si="157"/>
        <v>202111</v>
      </c>
      <c r="E5053" s="5" t="s">
        <v>7</v>
      </c>
      <c r="F5053" s="5" t="s">
        <v>56</v>
      </c>
      <c r="G5053" s="5" t="s">
        <v>14</v>
      </c>
      <c r="H5053">
        <v>48</v>
      </c>
      <c r="I5053" s="4">
        <v>533232</v>
      </c>
      <c r="J5053" s="4">
        <v>288000</v>
      </c>
    </row>
    <row r="5054" spans="2:10" x14ac:dyDescent="0.3">
      <c r="B5054" s="7">
        <v>44531</v>
      </c>
      <c r="C5054" s="3">
        <f t="shared" si="156"/>
        <v>2021</v>
      </c>
      <c r="D5054" s="3">
        <f t="shared" si="157"/>
        <v>202112</v>
      </c>
      <c r="E5054" s="5" t="s">
        <v>7</v>
      </c>
      <c r="F5054" s="5" t="s">
        <v>56</v>
      </c>
      <c r="G5054" s="5" t="s">
        <v>14</v>
      </c>
      <c r="H5054">
        <v>57</v>
      </c>
      <c r="I5054" s="4">
        <v>609444</v>
      </c>
      <c r="J5054" s="4">
        <v>342000</v>
      </c>
    </row>
    <row r="5055" spans="2:10" x14ac:dyDescent="0.3">
      <c r="B5055" s="7">
        <v>44562</v>
      </c>
      <c r="C5055" s="3">
        <f t="shared" si="156"/>
        <v>2022</v>
      </c>
      <c r="D5055" s="3">
        <f t="shared" si="157"/>
        <v>202201</v>
      </c>
      <c r="E5055" s="5" t="s">
        <v>7</v>
      </c>
      <c r="F5055" s="5" t="s">
        <v>56</v>
      </c>
      <c r="G5055" s="5" t="s">
        <v>14</v>
      </c>
      <c r="H5055">
        <v>84</v>
      </c>
      <c r="I5055" s="4">
        <v>917868</v>
      </c>
      <c r="J5055" s="4">
        <v>504000</v>
      </c>
    </row>
    <row r="5056" spans="2:10" x14ac:dyDescent="0.3">
      <c r="B5056" s="7">
        <v>44593</v>
      </c>
      <c r="C5056" s="3">
        <f t="shared" si="156"/>
        <v>2022</v>
      </c>
      <c r="D5056" s="3">
        <f t="shared" si="157"/>
        <v>202202</v>
      </c>
      <c r="E5056" s="5" t="s">
        <v>7</v>
      </c>
      <c r="F5056" s="5" t="s">
        <v>56</v>
      </c>
      <c r="G5056" s="5" t="s">
        <v>14</v>
      </c>
      <c r="H5056">
        <v>52</v>
      </c>
      <c r="I5056" s="4">
        <v>621608</v>
      </c>
      <c r="J5056" s="4">
        <v>312000</v>
      </c>
    </row>
    <row r="5057" spans="2:10" x14ac:dyDescent="0.3">
      <c r="B5057" s="7">
        <v>44621</v>
      </c>
      <c r="C5057" s="3">
        <f t="shared" si="156"/>
        <v>2022</v>
      </c>
      <c r="D5057" s="3">
        <f t="shared" si="157"/>
        <v>202203</v>
      </c>
      <c r="E5057" s="5" t="s">
        <v>7</v>
      </c>
      <c r="F5057" s="5" t="s">
        <v>56</v>
      </c>
      <c r="G5057" s="5" t="s">
        <v>14</v>
      </c>
      <c r="H5057">
        <v>42</v>
      </c>
      <c r="I5057" s="4">
        <v>456624</v>
      </c>
      <c r="J5057" s="4">
        <v>252000</v>
      </c>
    </row>
    <row r="5058" spans="2:10" x14ac:dyDescent="0.3">
      <c r="B5058" s="7">
        <v>44652</v>
      </c>
      <c r="C5058" s="3">
        <f t="shared" si="156"/>
        <v>2022</v>
      </c>
      <c r="D5058" s="3">
        <f t="shared" si="157"/>
        <v>202204</v>
      </c>
      <c r="E5058" s="5" t="s">
        <v>7</v>
      </c>
      <c r="F5058" s="5" t="s">
        <v>56</v>
      </c>
      <c r="G5058" s="5" t="s">
        <v>14</v>
      </c>
      <c r="H5058">
        <v>78</v>
      </c>
      <c r="I5058" s="4">
        <v>911430</v>
      </c>
      <c r="J5058" s="4">
        <v>468000</v>
      </c>
    </row>
    <row r="5059" spans="2:10" x14ac:dyDescent="0.3">
      <c r="B5059" s="7">
        <v>44682</v>
      </c>
      <c r="C5059" s="3">
        <f t="shared" ref="C5059:C5122" si="158">YEAR(B5059)</f>
        <v>2022</v>
      </c>
      <c r="D5059" s="3">
        <f t="shared" ref="D5059:D5122" si="159">VALUE(TEXT(B5059,"ГГГГММ"))</f>
        <v>202205</v>
      </c>
      <c r="E5059" s="5" t="s">
        <v>7</v>
      </c>
      <c r="F5059" s="5" t="s">
        <v>56</v>
      </c>
      <c r="G5059" s="5" t="s">
        <v>14</v>
      </c>
      <c r="H5059">
        <v>99</v>
      </c>
      <c r="I5059" s="4">
        <v>1204731</v>
      </c>
      <c r="J5059" s="4">
        <v>594000</v>
      </c>
    </row>
    <row r="5060" spans="2:10" x14ac:dyDescent="0.3">
      <c r="B5060" s="7">
        <v>44713</v>
      </c>
      <c r="C5060" s="3">
        <f t="shared" si="158"/>
        <v>2022</v>
      </c>
      <c r="D5060" s="3">
        <f t="shared" si="159"/>
        <v>202206</v>
      </c>
      <c r="E5060" s="5" t="s">
        <v>7</v>
      </c>
      <c r="F5060" s="5" t="s">
        <v>56</v>
      </c>
      <c r="G5060" s="5" t="s">
        <v>14</v>
      </c>
      <c r="H5060">
        <v>94</v>
      </c>
      <c r="I5060" s="4">
        <v>1029770</v>
      </c>
      <c r="J5060" s="4">
        <v>564000</v>
      </c>
    </row>
    <row r="5061" spans="2:10" x14ac:dyDescent="0.3">
      <c r="B5061" s="7">
        <v>44743</v>
      </c>
      <c r="C5061" s="3">
        <f t="shared" si="158"/>
        <v>2022</v>
      </c>
      <c r="D5061" s="3">
        <f t="shared" si="159"/>
        <v>202207</v>
      </c>
      <c r="E5061" s="5" t="s">
        <v>7</v>
      </c>
      <c r="F5061" s="5" t="s">
        <v>56</v>
      </c>
      <c r="G5061" s="5" t="s">
        <v>14</v>
      </c>
      <c r="H5061">
        <v>99</v>
      </c>
      <c r="I5061" s="4">
        <v>946836</v>
      </c>
      <c r="J5061" s="4">
        <v>594000</v>
      </c>
    </row>
    <row r="5062" spans="2:10" x14ac:dyDescent="0.3">
      <c r="B5062" s="7">
        <v>44774</v>
      </c>
      <c r="C5062" s="3">
        <f t="shared" si="158"/>
        <v>2022</v>
      </c>
      <c r="D5062" s="3">
        <f t="shared" si="159"/>
        <v>202208</v>
      </c>
      <c r="E5062" s="5" t="s">
        <v>7</v>
      </c>
      <c r="F5062" s="5" t="s">
        <v>56</v>
      </c>
      <c r="G5062" s="5" t="s">
        <v>14</v>
      </c>
      <c r="H5062">
        <v>84</v>
      </c>
      <c r="I5062" s="4">
        <v>858480</v>
      </c>
      <c r="J5062" s="4">
        <v>504000</v>
      </c>
    </row>
    <row r="5063" spans="2:10" x14ac:dyDescent="0.3">
      <c r="B5063" s="7">
        <v>44805</v>
      </c>
      <c r="C5063" s="3">
        <f t="shared" si="158"/>
        <v>2022</v>
      </c>
      <c r="D5063" s="3">
        <f t="shared" si="159"/>
        <v>202209</v>
      </c>
      <c r="E5063" s="5" t="s">
        <v>7</v>
      </c>
      <c r="F5063" s="5" t="s">
        <v>56</v>
      </c>
      <c r="G5063" s="5" t="s">
        <v>14</v>
      </c>
      <c r="H5063">
        <v>89</v>
      </c>
      <c r="I5063" s="4">
        <v>962268</v>
      </c>
      <c r="J5063" s="4">
        <v>534000</v>
      </c>
    </row>
    <row r="5064" spans="2:10" x14ac:dyDescent="0.3">
      <c r="B5064" s="7">
        <v>44835</v>
      </c>
      <c r="C5064" s="3">
        <f t="shared" si="158"/>
        <v>2022</v>
      </c>
      <c r="D5064" s="3">
        <f t="shared" si="159"/>
        <v>202210</v>
      </c>
      <c r="E5064" s="5" t="s">
        <v>7</v>
      </c>
      <c r="F5064" s="5" t="s">
        <v>56</v>
      </c>
      <c r="G5064" s="5" t="s">
        <v>14</v>
      </c>
      <c r="H5064">
        <v>73</v>
      </c>
      <c r="I5064" s="4">
        <v>847895</v>
      </c>
      <c r="J5064" s="4">
        <v>438000</v>
      </c>
    </row>
    <row r="5065" spans="2:10" x14ac:dyDescent="0.3">
      <c r="B5065" s="7">
        <v>44866</v>
      </c>
      <c r="C5065" s="3">
        <f t="shared" si="158"/>
        <v>2022</v>
      </c>
      <c r="D5065" s="3">
        <f t="shared" si="159"/>
        <v>202211</v>
      </c>
      <c r="E5065" s="5" t="s">
        <v>7</v>
      </c>
      <c r="F5065" s="5" t="s">
        <v>56</v>
      </c>
      <c r="G5065" s="5" t="s">
        <v>14</v>
      </c>
      <c r="H5065">
        <v>52</v>
      </c>
      <c r="I5065" s="4">
        <v>567632</v>
      </c>
      <c r="J5065" s="4">
        <v>312000</v>
      </c>
    </row>
    <row r="5066" spans="2:10" x14ac:dyDescent="0.3">
      <c r="B5066" s="7">
        <v>44896</v>
      </c>
      <c r="C5066" s="3">
        <f t="shared" si="158"/>
        <v>2022</v>
      </c>
      <c r="D5066" s="3">
        <f t="shared" si="159"/>
        <v>202212</v>
      </c>
      <c r="E5066" s="5" t="s">
        <v>7</v>
      </c>
      <c r="F5066" s="5" t="s">
        <v>56</v>
      </c>
      <c r="G5066" s="5" t="s">
        <v>14</v>
      </c>
      <c r="H5066">
        <v>63</v>
      </c>
      <c r="I5066" s="4">
        <v>682857</v>
      </c>
      <c r="J5066" s="4">
        <v>378000</v>
      </c>
    </row>
    <row r="5067" spans="2:10" x14ac:dyDescent="0.3">
      <c r="B5067" s="7">
        <v>44197</v>
      </c>
      <c r="C5067" s="3">
        <f t="shared" si="158"/>
        <v>2021</v>
      </c>
      <c r="D5067" s="3">
        <f t="shared" si="159"/>
        <v>202101</v>
      </c>
      <c r="E5067" s="5" t="s">
        <v>7</v>
      </c>
      <c r="F5067" s="5" t="s">
        <v>56</v>
      </c>
      <c r="G5067" s="5" t="s">
        <v>15</v>
      </c>
      <c r="H5067">
        <v>70</v>
      </c>
      <c r="I5067" s="4">
        <v>905520</v>
      </c>
      <c r="J5067" s="4">
        <v>495600</v>
      </c>
    </row>
    <row r="5068" spans="2:10" x14ac:dyDescent="0.3">
      <c r="B5068" s="7">
        <v>44228</v>
      </c>
      <c r="C5068" s="3">
        <f t="shared" si="158"/>
        <v>2021</v>
      </c>
      <c r="D5068" s="3">
        <f t="shared" si="159"/>
        <v>202102</v>
      </c>
      <c r="E5068" s="5" t="s">
        <v>7</v>
      </c>
      <c r="F5068" s="5" t="s">
        <v>56</v>
      </c>
      <c r="G5068" s="5" t="s">
        <v>15</v>
      </c>
      <c r="H5068">
        <v>44</v>
      </c>
      <c r="I5068" s="4">
        <v>588676</v>
      </c>
      <c r="J5068" s="4">
        <v>311520</v>
      </c>
    </row>
    <row r="5069" spans="2:10" x14ac:dyDescent="0.3">
      <c r="B5069" s="7">
        <v>44256</v>
      </c>
      <c r="C5069" s="3">
        <f t="shared" si="158"/>
        <v>2021</v>
      </c>
      <c r="D5069" s="3">
        <f t="shared" si="159"/>
        <v>202103</v>
      </c>
      <c r="E5069" s="5" t="s">
        <v>7</v>
      </c>
      <c r="F5069" s="5" t="s">
        <v>56</v>
      </c>
      <c r="G5069" s="5" t="s">
        <v>15</v>
      </c>
      <c r="H5069">
        <v>35</v>
      </c>
      <c r="I5069" s="4">
        <v>443520</v>
      </c>
      <c r="J5069" s="4">
        <v>247800</v>
      </c>
    </row>
    <row r="5070" spans="2:10" x14ac:dyDescent="0.3">
      <c r="B5070" s="7">
        <v>44287</v>
      </c>
      <c r="C5070" s="3">
        <f t="shared" si="158"/>
        <v>2021</v>
      </c>
      <c r="D5070" s="3">
        <f t="shared" si="159"/>
        <v>202104</v>
      </c>
      <c r="E5070" s="5" t="s">
        <v>7</v>
      </c>
      <c r="F5070" s="5" t="s">
        <v>56</v>
      </c>
      <c r="G5070" s="5" t="s">
        <v>15</v>
      </c>
      <c r="H5070">
        <v>65</v>
      </c>
      <c r="I5070" s="4">
        <v>882050</v>
      </c>
      <c r="J5070" s="4">
        <v>460200</v>
      </c>
    </row>
    <row r="5071" spans="2:10" x14ac:dyDescent="0.3">
      <c r="B5071" s="7">
        <v>44317</v>
      </c>
      <c r="C5071" s="3">
        <f t="shared" si="158"/>
        <v>2021</v>
      </c>
      <c r="D5071" s="3">
        <f t="shared" si="159"/>
        <v>202105</v>
      </c>
      <c r="E5071" s="5" t="s">
        <v>7</v>
      </c>
      <c r="F5071" s="5" t="s">
        <v>56</v>
      </c>
      <c r="G5071" s="5" t="s">
        <v>15</v>
      </c>
      <c r="H5071">
        <v>83</v>
      </c>
      <c r="I5071" s="4">
        <v>1142910</v>
      </c>
      <c r="J5071" s="4">
        <v>587640</v>
      </c>
    </row>
    <row r="5072" spans="2:10" x14ac:dyDescent="0.3">
      <c r="B5072" s="7">
        <v>44348</v>
      </c>
      <c r="C5072" s="3">
        <f t="shared" si="158"/>
        <v>2021</v>
      </c>
      <c r="D5072" s="3">
        <f t="shared" si="159"/>
        <v>202106</v>
      </c>
      <c r="E5072" s="5" t="s">
        <v>7</v>
      </c>
      <c r="F5072" s="5" t="s">
        <v>56</v>
      </c>
      <c r="G5072" s="5" t="s">
        <v>15</v>
      </c>
      <c r="H5072">
        <v>78</v>
      </c>
      <c r="I5072" s="4">
        <v>1048632</v>
      </c>
      <c r="J5072" s="4">
        <v>552240</v>
      </c>
    </row>
    <row r="5073" spans="2:10" x14ac:dyDescent="0.3">
      <c r="B5073" s="7">
        <v>44378</v>
      </c>
      <c r="C5073" s="3">
        <f t="shared" si="158"/>
        <v>2021</v>
      </c>
      <c r="D5073" s="3">
        <f t="shared" si="159"/>
        <v>202107</v>
      </c>
      <c r="E5073" s="5" t="s">
        <v>7</v>
      </c>
      <c r="F5073" s="5" t="s">
        <v>56</v>
      </c>
      <c r="G5073" s="5" t="s">
        <v>15</v>
      </c>
      <c r="H5073">
        <v>83</v>
      </c>
      <c r="I5073" s="4">
        <v>997743</v>
      </c>
      <c r="J5073" s="4">
        <v>587640</v>
      </c>
    </row>
    <row r="5074" spans="2:10" x14ac:dyDescent="0.3">
      <c r="B5074" s="7">
        <v>44409</v>
      </c>
      <c r="C5074" s="3">
        <f t="shared" si="158"/>
        <v>2021</v>
      </c>
      <c r="D5074" s="3">
        <f t="shared" si="159"/>
        <v>202108</v>
      </c>
      <c r="E5074" s="5" t="s">
        <v>7</v>
      </c>
      <c r="F5074" s="5" t="s">
        <v>56</v>
      </c>
      <c r="G5074" s="5" t="s">
        <v>15</v>
      </c>
      <c r="H5074">
        <v>70</v>
      </c>
      <c r="I5074" s="4">
        <v>874440</v>
      </c>
      <c r="J5074" s="4">
        <v>495600</v>
      </c>
    </row>
    <row r="5075" spans="2:10" x14ac:dyDescent="0.3">
      <c r="B5075" s="7">
        <v>44440</v>
      </c>
      <c r="C5075" s="3">
        <f t="shared" si="158"/>
        <v>2021</v>
      </c>
      <c r="D5075" s="3">
        <f t="shared" si="159"/>
        <v>202109</v>
      </c>
      <c r="E5075" s="5" t="s">
        <v>7</v>
      </c>
      <c r="F5075" s="5" t="s">
        <v>56</v>
      </c>
      <c r="G5075" s="5" t="s">
        <v>15</v>
      </c>
      <c r="H5075">
        <v>74</v>
      </c>
      <c r="I5075" s="4">
        <v>991156</v>
      </c>
      <c r="J5075" s="4">
        <v>523920</v>
      </c>
    </row>
    <row r="5076" spans="2:10" x14ac:dyDescent="0.3">
      <c r="B5076" s="7">
        <v>44470</v>
      </c>
      <c r="C5076" s="3">
        <f t="shared" si="158"/>
        <v>2021</v>
      </c>
      <c r="D5076" s="3">
        <f t="shared" si="159"/>
        <v>202110</v>
      </c>
      <c r="E5076" s="5" t="s">
        <v>7</v>
      </c>
      <c r="F5076" s="5" t="s">
        <v>56</v>
      </c>
      <c r="G5076" s="5" t="s">
        <v>15</v>
      </c>
      <c r="H5076">
        <v>61</v>
      </c>
      <c r="I5076" s="4">
        <v>821060</v>
      </c>
      <c r="J5076" s="4">
        <v>431880</v>
      </c>
    </row>
    <row r="5077" spans="2:10" x14ac:dyDescent="0.3">
      <c r="B5077" s="7">
        <v>44501</v>
      </c>
      <c r="C5077" s="3">
        <f t="shared" si="158"/>
        <v>2021</v>
      </c>
      <c r="D5077" s="3">
        <f t="shared" si="159"/>
        <v>202111</v>
      </c>
      <c r="E5077" s="5" t="s">
        <v>7</v>
      </c>
      <c r="F5077" s="5" t="s">
        <v>56</v>
      </c>
      <c r="G5077" s="5" t="s">
        <v>15</v>
      </c>
      <c r="H5077">
        <v>44</v>
      </c>
      <c r="I5077" s="4">
        <v>579084</v>
      </c>
      <c r="J5077" s="4">
        <v>311520</v>
      </c>
    </row>
    <row r="5078" spans="2:10" x14ac:dyDescent="0.3">
      <c r="B5078" s="7">
        <v>44531</v>
      </c>
      <c r="C5078" s="3">
        <f t="shared" si="158"/>
        <v>2021</v>
      </c>
      <c r="D5078" s="3">
        <f t="shared" si="159"/>
        <v>202112</v>
      </c>
      <c r="E5078" s="5" t="s">
        <v>7</v>
      </c>
      <c r="F5078" s="5" t="s">
        <v>56</v>
      </c>
      <c r="G5078" s="5" t="s">
        <v>15</v>
      </c>
      <c r="H5078">
        <v>52</v>
      </c>
      <c r="I5078" s="4">
        <v>664820</v>
      </c>
      <c r="J5078" s="4">
        <v>368160</v>
      </c>
    </row>
    <row r="5079" spans="2:10" x14ac:dyDescent="0.3">
      <c r="B5079" s="7">
        <v>44562</v>
      </c>
      <c r="C5079" s="3">
        <f t="shared" si="158"/>
        <v>2022</v>
      </c>
      <c r="D5079" s="3">
        <f t="shared" si="159"/>
        <v>202201</v>
      </c>
      <c r="E5079" s="5" t="s">
        <v>7</v>
      </c>
      <c r="F5079" s="5" t="s">
        <v>56</v>
      </c>
      <c r="G5079" s="5" t="s">
        <v>15</v>
      </c>
      <c r="H5079">
        <v>77</v>
      </c>
      <c r="I5079" s="4">
        <v>1038191</v>
      </c>
      <c r="J5079" s="4">
        <v>545160</v>
      </c>
    </row>
    <row r="5080" spans="2:10" x14ac:dyDescent="0.3">
      <c r="B5080" s="7">
        <v>44593</v>
      </c>
      <c r="C5080" s="3">
        <f t="shared" si="158"/>
        <v>2022</v>
      </c>
      <c r="D5080" s="3">
        <f t="shared" si="159"/>
        <v>202202</v>
      </c>
      <c r="E5080" s="5" t="s">
        <v>7</v>
      </c>
      <c r="F5080" s="5" t="s">
        <v>56</v>
      </c>
      <c r="G5080" s="5" t="s">
        <v>15</v>
      </c>
      <c r="H5080">
        <v>48</v>
      </c>
      <c r="I5080" s="4">
        <v>619200</v>
      </c>
      <c r="J5080" s="4">
        <v>339840</v>
      </c>
    </row>
    <row r="5081" spans="2:10" x14ac:dyDescent="0.3">
      <c r="B5081" s="7">
        <v>44621</v>
      </c>
      <c r="C5081" s="3">
        <f t="shared" si="158"/>
        <v>2022</v>
      </c>
      <c r="D5081" s="3">
        <f t="shared" si="159"/>
        <v>202203</v>
      </c>
      <c r="E5081" s="5" t="s">
        <v>7</v>
      </c>
      <c r="F5081" s="5" t="s">
        <v>56</v>
      </c>
      <c r="G5081" s="5" t="s">
        <v>15</v>
      </c>
      <c r="H5081">
        <v>39</v>
      </c>
      <c r="I5081" s="4">
        <v>511212</v>
      </c>
      <c r="J5081" s="4">
        <v>276120</v>
      </c>
    </row>
    <row r="5082" spans="2:10" x14ac:dyDescent="0.3">
      <c r="B5082" s="7">
        <v>44652</v>
      </c>
      <c r="C5082" s="3">
        <f t="shared" si="158"/>
        <v>2022</v>
      </c>
      <c r="D5082" s="3">
        <f t="shared" si="159"/>
        <v>202204</v>
      </c>
      <c r="E5082" s="5" t="s">
        <v>7</v>
      </c>
      <c r="F5082" s="5" t="s">
        <v>56</v>
      </c>
      <c r="G5082" s="5" t="s">
        <v>15</v>
      </c>
      <c r="H5082">
        <v>72</v>
      </c>
      <c r="I5082" s="4">
        <v>992376</v>
      </c>
      <c r="J5082" s="4">
        <v>509760</v>
      </c>
    </row>
    <row r="5083" spans="2:10" x14ac:dyDescent="0.3">
      <c r="B5083" s="7">
        <v>44682</v>
      </c>
      <c r="C5083" s="3">
        <f t="shared" si="158"/>
        <v>2022</v>
      </c>
      <c r="D5083" s="3">
        <f t="shared" si="159"/>
        <v>202205</v>
      </c>
      <c r="E5083" s="5" t="s">
        <v>7</v>
      </c>
      <c r="F5083" s="5" t="s">
        <v>56</v>
      </c>
      <c r="G5083" s="5" t="s">
        <v>15</v>
      </c>
      <c r="H5083">
        <v>91</v>
      </c>
      <c r="I5083" s="4">
        <v>1259804</v>
      </c>
      <c r="J5083" s="4">
        <v>644280</v>
      </c>
    </row>
    <row r="5084" spans="2:10" x14ac:dyDescent="0.3">
      <c r="B5084" s="7">
        <v>44713</v>
      </c>
      <c r="C5084" s="3">
        <f t="shared" si="158"/>
        <v>2022</v>
      </c>
      <c r="D5084" s="3">
        <f t="shared" si="159"/>
        <v>202206</v>
      </c>
      <c r="E5084" s="5" t="s">
        <v>7</v>
      </c>
      <c r="F5084" s="5" t="s">
        <v>56</v>
      </c>
      <c r="G5084" s="5" t="s">
        <v>15</v>
      </c>
      <c r="H5084">
        <v>86</v>
      </c>
      <c r="I5084" s="4">
        <v>1172696</v>
      </c>
      <c r="J5084" s="4">
        <v>608880</v>
      </c>
    </row>
    <row r="5085" spans="2:10" x14ac:dyDescent="0.3">
      <c r="B5085" s="7">
        <v>44743</v>
      </c>
      <c r="C5085" s="3">
        <f t="shared" si="158"/>
        <v>2022</v>
      </c>
      <c r="D5085" s="3">
        <f t="shared" si="159"/>
        <v>202207</v>
      </c>
      <c r="E5085" s="5" t="s">
        <v>7</v>
      </c>
      <c r="F5085" s="5" t="s">
        <v>56</v>
      </c>
      <c r="G5085" s="5" t="s">
        <v>15</v>
      </c>
      <c r="H5085">
        <v>91</v>
      </c>
      <c r="I5085" s="4">
        <v>1051414</v>
      </c>
      <c r="J5085" s="4">
        <v>644280</v>
      </c>
    </row>
    <row r="5086" spans="2:10" x14ac:dyDescent="0.3">
      <c r="B5086" s="7">
        <v>44774</v>
      </c>
      <c r="C5086" s="3">
        <f t="shared" si="158"/>
        <v>2022</v>
      </c>
      <c r="D5086" s="3">
        <f t="shared" si="159"/>
        <v>202208</v>
      </c>
      <c r="E5086" s="5" t="s">
        <v>7</v>
      </c>
      <c r="F5086" s="5" t="s">
        <v>56</v>
      </c>
      <c r="G5086" s="5" t="s">
        <v>15</v>
      </c>
      <c r="H5086">
        <v>77</v>
      </c>
      <c r="I5086" s="4">
        <v>1007699</v>
      </c>
      <c r="J5086" s="4">
        <v>545160</v>
      </c>
    </row>
    <row r="5087" spans="2:10" x14ac:dyDescent="0.3">
      <c r="B5087" s="7">
        <v>44805</v>
      </c>
      <c r="C5087" s="3">
        <f t="shared" si="158"/>
        <v>2022</v>
      </c>
      <c r="D5087" s="3">
        <f t="shared" si="159"/>
        <v>202209</v>
      </c>
      <c r="E5087" s="5" t="s">
        <v>7</v>
      </c>
      <c r="F5087" s="5" t="s">
        <v>56</v>
      </c>
      <c r="G5087" s="5" t="s">
        <v>15</v>
      </c>
      <c r="H5087">
        <v>81</v>
      </c>
      <c r="I5087" s="4">
        <v>1012581</v>
      </c>
      <c r="J5087" s="4">
        <v>573480</v>
      </c>
    </row>
    <row r="5088" spans="2:10" x14ac:dyDescent="0.3">
      <c r="B5088" s="7">
        <v>44835</v>
      </c>
      <c r="C5088" s="3">
        <f t="shared" si="158"/>
        <v>2022</v>
      </c>
      <c r="D5088" s="3">
        <f t="shared" si="159"/>
        <v>202210</v>
      </c>
      <c r="E5088" s="5" t="s">
        <v>7</v>
      </c>
      <c r="F5088" s="5" t="s">
        <v>56</v>
      </c>
      <c r="G5088" s="5" t="s">
        <v>15</v>
      </c>
      <c r="H5088">
        <v>67</v>
      </c>
      <c r="I5088" s="4">
        <v>883395</v>
      </c>
      <c r="J5088" s="4">
        <v>474360</v>
      </c>
    </row>
    <row r="5089" spans="2:10" x14ac:dyDescent="0.3">
      <c r="B5089" s="7">
        <v>44866</v>
      </c>
      <c r="C5089" s="3">
        <f t="shared" si="158"/>
        <v>2022</v>
      </c>
      <c r="D5089" s="3">
        <f t="shared" si="159"/>
        <v>202211</v>
      </c>
      <c r="E5089" s="5" t="s">
        <v>7</v>
      </c>
      <c r="F5089" s="5" t="s">
        <v>56</v>
      </c>
      <c r="G5089" s="5" t="s">
        <v>15</v>
      </c>
      <c r="H5089">
        <v>48</v>
      </c>
      <c r="I5089" s="4">
        <v>644976</v>
      </c>
      <c r="J5089" s="4">
        <v>339840</v>
      </c>
    </row>
    <row r="5090" spans="2:10" x14ac:dyDescent="0.3">
      <c r="B5090" s="7">
        <v>44896</v>
      </c>
      <c r="C5090" s="3">
        <f t="shared" si="158"/>
        <v>2022</v>
      </c>
      <c r="D5090" s="3">
        <f t="shared" si="159"/>
        <v>202212</v>
      </c>
      <c r="E5090" s="5" t="s">
        <v>7</v>
      </c>
      <c r="F5090" s="5" t="s">
        <v>56</v>
      </c>
      <c r="G5090" s="5" t="s">
        <v>15</v>
      </c>
      <c r="H5090">
        <v>58</v>
      </c>
      <c r="I5090" s="4">
        <v>748722</v>
      </c>
      <c r="J5090" s="4">
        <v>410640</v>
      </c>
    </row>
    <row r="5091" spans="2:10" x14ac:dyDescent="0.3">
      <c r="B5091" s="7">
        <v>44197</v>
      </c>
      <c r="C5091" s="3">
        <f t="shared" si="158"/>
        <v>2021</v>
      </c>
      <c r="D5091" s="3">
        <f t="shared" si="159"/>
        <v>202101</v>
      </c>
      <c r="E5091" s="5" t="s">
        <v>7</v>
      </c>
      <c r="F5091" s="5" t="s">
        <v>56</v>
      </c>
      <c r="G5091" s="5" t="s">
        <v>16</v>
      </c>
      <c r="H5091">
        <v>70</v>
      </c>
      <c r="I5091" s="4">
        <v>1831550</v>
      </c>
      <c r="J5091" s="4">
        <v>735000</v>
      </c>
    </row>
    <row r="5092" spans="2:10" x14ac:dyDescent="0.3">
      <c r="B5092" s="7">
        <v>44228</v>
      </c>
      <c r="C5092" s="3">
        <f t="shared" si="158"/>
        <v>2021</v>
      </c>
      <c r="D5092" s="3">
        <f t="shared" si="159"/>
        <v>202102</v>
      </c>
      <c r="E5092" s="5" t="s">
        <v>7</v>
      </c>
      <c r="F5092" s="5" t="s">
        <v>56</v>
      </c>
      <c r="G5092" s="5" t="s">
        <v>16</v>
      </c>
      <c r="H5092">
        <v>44</v>
      </c>
      <c r="I5092" s="4">
        <v>1150908</v>
      </c>
      <c r="J5092" s="4">
        <v>462000</v>
      </c>
    </row>
    <row r="5093" spans="2:10" x14ac:dyDescent="0.3">
      <c r="B5093" s="7">
        <v>44256</v>
      </c>
      <c r="C5093" s="3">
        <f t="shared" si="158"/>
        <v>2021</v>
      </c>
      <c r="D5093" s="3">
        <f t="shared" si="159"/>
        <v>202103</v>
      </c>
      <c r="E5093" s="5" t="s">
        <v>7</v>
      </c>
      <c r="F5093" s="5" t="s">
        <v>56</v>
      </c>
      <c r="G5093" s="5" t="s">
        <v>16</v>
      </c>
      <c r="H5093">
        <v>35</v>
      </c>
      <c r="I5093" s="4">
        <v>891940</v>
      </c>
      <c r="J5093" s="4">
        <v>367500</v>
      </c>
    </row>
    <row r="5094" spans="2:10" x14ac:dyDescent="0.3">
      <c r="B5094" s="7">
        <v>44287</v>
      </c>
      <c r="C5094" s="3">
        <f t="shared" si="158"/>
        <v>2021</v>
      </c>
      <c r="D5094" s="3">
        <f t="shared" si="159"/>
        <v>202104</v>
      </c>
      <c r="E5094" s="5" t="s">
        <v>7</v>
      </c>
      <c r="F5094" s="5" t="s">
        <v>56</v>
      </c>
      <c r="G5094" s="5" t="s">
        <v>16</v>
      </c>
      <c r="H5094">
        <v>65</v>
      </c>
      <c r="I5094" s="4">
        <v>1748305</v>
      </c>
      <c r="J5094" s="4">
        <v>682500</v>
      </c>
    </row>
    <row r="5095" spans="2:10" x14ac:dyDescent="0.3">
      <c r="B5095" s="7">
        <v>44317</v>
      </c>
      <c r="C5095" s="3">
        <f t="shared" si="158"/>
        <v>2021</v>
      </c>
      <c r="D5095" s="3">
        <f t="shared" si="159"/>
        <v>202105</v>
      </c>
      <c r="E5095" s="5" t="s">
        <v>7</v>
      </c>
      <c r="F5095" s="5" t="s">
        <v>56</v>
      </c>
      <c r="G5095" s="5" t="s">
        <v>16</v>
      </c>
      <c r="H5095">
        <v>83</v>
      </c>
      <c r="I5095" s="4">
        <v>2212282</v>
      </c>
      <c r="J5095" s="4">
        <v>871500</v>
      </c>
    </row>
    <row r="5096" spans="2:10" x14ac:dyDescent="0.3">
      <c r="B5096" s="7">
        <v>44348</v>
      </c>
      <c r="C5096" s="3">
        <f t="shared" si="158"/>
        <v>2021</v>
      </c>
      <c r="D5096" s="3">
        <f t="shared" si="159"/>
        <v>202106</v>
      </c>
      <c r="E5096" s="5" t="s">
        <v>7</v>
      </c>
      <c r="F5096" s="5" t="s">
        <v>56</v>
      </c>
      <c r="G5096" s="5" t="s">
        <v>16</v>
      </c>
      <c r="H5096">
        <v>78</v>
      </c>
      <c r="I5096" s="4">
        <v>2081352</v>
      </c>
      <c r="J5096" s="4">
        <v>819000</v>
      </c>
    </row>
    <row r="5097" spans="2:10" x14ac:dyDescent="0.3">
      <c r="B5097" s="7">
        <v>44378</v>
      </c>
      <c r="C5097" s="3">
        <f t="shared" si="158"/>
        <v>2021</v>
      </c>
      <c r="D5097" s="3">
        <f t="shared" si="159"/>
        <v>202107</v>
      </c>
      <c r="E5097" s="5" t="s">
        <v>7</v>
      </c>
      <c r="F5097" s="5" t="s">
        <v>56</v>
      </c>
      <c r="G5097" s="5" t="s">
        <v>16</v>
      </c>
      <c r="H5097">
        <v>83</v>
      </c>
      <c r="I5097" s="4">
        <v>2085375</v>
      </c>
      <c r="J5097" s="4">
        <v>871500</v>
      </c>
    </row>
    <row r="5098" spans="2:10" x14ac:dyDescent="0.3">
      <c r="B5098" s="7">
        <v>44409</v>
      </c>
      <c r="C5098" s="3">
        <f t="shared" si="158"/>
        <v>2021</v>
      </c>
      <c r="D5098" s="3">
        <f t="shared" si="159"/>
        <v>202108</v>
      </c>
      <c r="E5098" s="5" t="s">
        <v>7</v>
      </c>
      <c r="F5098" s="5" t="s">
        <v>56</v>
      </c>
      <c r="G5098" s="5" t="s">
        <v>16</v>
      </c>
      <c r="H5098">
        <v>70</v>
      </c>
      <c r="I5098" s="4">
        <v>1793400</v>
      </c>
      <c r="J5098" s="4">
        <v>735000</v>
      </c>
    </row>
    <row r="5099" spans="2:10" x14ac:dyDescent="0.3">
      <c r="B5099" s="7">
        <v>44440</v>
      </c>
      <c r="C5099" s="3">
        <f t="shared" si="158"/>
        <v>2021</v>
      </c>
      <c r="D5099" s="3">
        <f t="shared" si="159"/>
        <v>202109</v>
      </c>
      <c r="E5099" s="5" t="s">
        <v>7</v>
      </c>
      <c r="F5099" s="5" t="s">
        <v>56</v>
      </c>
      <c r="G5099" s="5" t="s">
        <v>16</v>
      </c>
      <c r="H5099">
        <v>74</v>
      </c>
      <c r="I5099" s="4">
        <v>1897878</v>
      </c>
      <c r="J5099" s="4">
        <v>777000</v>
      </c>
    </row>
    <row r="5100" spans="2:10" x14ac:dyDescent="0.3">
      <c r="B5100" s="7">
        <v>44470</v>
      </c>
      <c r="C5100" s="3">
        <f t="shared" si="158"/>
        <v>2021</v>
      </c>
      <c r="D5100" s="3">
        <f t="shared" si="159"/>
        <v>202110</v>
      </c>
      <c r="E5100" s="5" t="s">
        <v>7</v>
      </c>
      <c r="F5100" s="5" t="s">
        <v>56</v>
      </c>
      <c r="G5100" s="5" t="s">
        <v>16</v>
      </c>
      <c r="H5100">
        <v>61</v>
      </c>
      <c r="I5100" s="4">
        <v>1632909</v>
      </c>
      <c r="J5100" s="4">
        <v>640500</v>
      </c>
    </row>
    <row r="5101" spans="2:10" x14ac:dyDescent="0.3">
      <c r="B5101" s="7">
        <v>44501</v>
      </c>
      <c r="C5101" s="3">
        <f t="shared" si="158"/>
        <v>2021</v>
      </c>
      <c r="D5101" s="3">
        <f t="shared" si="159"/>
        <v>202111</v>
      </c>
      <c r="E5101" s="5" t="s">
        <v>7</v>
      </c>
      <c r="F5101" s="5" t="s">
        <v>56</v>
      </c>
      <c r="G5101" s="5" t="s">
        <v>16</v>
      </c>
      <c r="H5101">
        <v>44</v>
      </c>
      <c r="I5101" s="4">
        <v>1158256</v>
      </c>
      <c r="J5101" s="4">
        <v>462000</v>
      </c>
    </row>
    <row r="5102" spans="2:10" x14ac:dyDescent="0.3">
      <c r="B5102" s="7">
        <v>44531</v>
      </c>
      <c r="C5102" s="3">
        <f t="shared" si="158"/>
        <v>2021</v>
      </c>
      <c r="D5102" s="3">
        <f t="shared" si="159"/>
        <v>202112</v>
      </c>
      <c r="E5102" s="5" t="s">
        <v>7</v>
      </c>
      <c r="F5102" s="5" t="s">
        <v>56</v>
      </c>
      <c r="G5102" s="5" t="s">
        <v>16</v>
      </c>
      <c r="H5102">
        <v>52</v>
      </c>
      <c r="I5102" s="4">
        <v>1339104</v>
      </c>
      <c r="J5102" s="4">
        <v>546000</v>
      </c>
    </row>
    <row r="5103" spans="2:10" x14ac:dyDescent="0.3">
      <c r="B5103" s="7">
        <v>44562</v>
      </c>
      <c r="C5103" s="3">
        <f t="shared" si="158"/>
        <v>2022</v>
      </c>
      <c r="D5103" s="3">
        <f t="shared" si="159"/>
        <v>202201</v>
      </c>
      <c r="E5103" s="5" t="s">
        <v>7</v>
      </c>
      <c r="F5103" s="5" t="s">
        <v>56</v>
      </c>
      <c r="G5103" s="5" t="s">
        <v>16</v>
      </c>
      <c r="H5103">
        <v>77</v>
      </c>
      <c r="I5103" s="4">
        <v>2017323</v>
      </c>
      <c r="J5103" s="4">
        <v>808500</v>
      </c>
    </row>
    <row r="5104" spans="2:10" x14ac:dyDescent="0.3">
      <c r="B5104" s="7">
        <v>44593</v>
      </c>
      <c r="C5104" s="3">
        <f t="shared" si="158"/>
        <v>2022</v>
      </c>
      <c r="D5104" s="3">
        <f t="shared" si="159"/>
        <v>202202</v>
      </c>
      <c r="E5104" s="5" t="s">
        <v>7</v>
      </c>
      <c r="F5104" s="5" t="s">
        <v>56</v>
      </c>
      <c r="G5104" s="5" t="s">
        <v>16</v>
      </c>
      <c r="H5104">
        <v>48</v>
      </c>
      <c r="I5104" s="4">
        <v>1244976</v>
      </c>
      <c r="J5104" s="4">
        <v>504000</v>
      </c>
    </row>
    <row r="5105" spans="2:10" x14ac:dyDescent="0.3">
      <c r="B5105" s="7">
        <v>44621</v>
      </c>
      <c r="C5105" s="3">
        <f t="shared" si="158"/>
        <v>2022</v>
      </c>
      <c r="D5105" s="3">
        <f t="shared" si="159"/>
        <v>202203</v>
      </c>
      <c r="E5105" s="5" t="s">
        <v>7</v>
      </c>
      <c r="F5105" s="5" t="s">
        <v>56</v>
      </c>
      <c r="G5105" s="5" t="s">
        <v>16</v>
      </c>
      <c r="H5105">
        <v>39</v>
      </c>
      <c r="I5105" s="4">
        <v>1021176</v>
      </c>
      <c r="J5105" s="4">
        <v>409500</v>
      </c>
    </row>
    <row r="5106" spans="2:10" x14ac:dyDescent="0.3">
      <c r="B5106" s="7">
        <v>44652</v>
      </c>
      <c r="C5106" s="3">
        <f t="shared" si="158"/>
        <v>2022</v>
      </c>
      <c r="D5106" s="3">
        <f t="shared" si="159"/>
        <v>202204</v>
      </c>
      <c r="E5106" s="5" t="s">
        <v>7</v>
      </c>
      <c r="F5106" s="5" t="s">
        <v>56</v>
      </c>
      <c r="G5106" s="5" t="s">
        <v>16</v>
      </c>
      <c r="H5106">
        <v>72</v>
      </c>
      <c r="I5106" s="4">
        <v>1923624</v>
      </c>
      <c r="J5106" s="4">
        <v>756000</v>
      </c>
    </row>
    <row r="5107" spans="2:10" x14ac:dyDescent="0.3">
      <c r="B5107" s="7">
        <v>44682</v>
      </c>
      <c r="C5107" s="3">
        <f t="shared" si="158"/>
        <v>2022</v>
      </c>
      <c r="D5107" s="3">
        <f t="shared" si="159"/>
        <v>202205</v>
      </c>
      <c r="E5107" s="5" t="s">
        <v>7</v>
      </c>
      <c r="F5107" s="5" t="s">
        <v>56</v>
      </c>
      <c r="G5107" s="5" t="s">
        <v>16</v>
      </c>
      <c r="H5107">
        <v>91</v>
      </c>
      <c r="I5107" s="4">
        <v>2507323</v>
      </c>
      <c r="J5107" s="4">
        <v>955500</v>
      </c>
    </row>
    <row r="5108" spans="2:10" x14ac:dyDescent="0.3">
      <c r="B5108" s="7">
        <v>44713</v>
      </c>
      <c r="C5108" s="3">
        <f t="shared" si="158"/>
        <v>2022</v>
      </c>
      <c r="D5108" s="3">
        <f t="shared" si="159"/>
        <v>202206</v>
      </c>
      <c r="E5108" s="5" t="s">
        <v>7</v>
      </c>
      <c r="F5108" s="5" t="s">
        <v>56</v>
      </c>
      <c r="G5108" s="5" t="s">
        <v>16</v>
      </c>
      <c r="H5108">
        <v>86</v>
      </c>
      <c r="I5108" s="4">
        <v>2250362</v>
      </c>
      <c r="J5108" s="4">
        <v>903000</v>
      </c>
    </row>
    <row r="5109" spans="2:10" x14ac:dyDescent="0.3">
      <c r="B5109" s="7">
        <v>44743</v>
      </c>
      <c r="C5109" s="3">
        <f t="shared" si="158"/>
        <v>2022</v>
      </c>
      <c r="D5109" s="3">
        <f t="shared" si="159"/>
        <v>202207</v>
      </c>
      <c r="E5109" s="5" t="s">
        <v>7</v>
      </c>
      <c r="F5109" s="5" t="s">
        <v>56</v>
      </c>
      <c r="G5109" s="5" t="s">
        <v>16</v>
      </c>
      <c r="H5109">
        <v>91</v>
      </c>
      <c r="I5109" s="4">
        <v>2302391</v>
      </c>
      <c r="J5109" s="4">
        <v>955500</v>
      </c>
    </row>
    <row r="5110" spans="2:10" x14ac:dyDescent="0.3">
      <c r="B5110" s="7">
        <v>44774</v>
      </c>
      <c r="C5110" s="3">
        <f t="shared" si="158"/>
        <v>2022</v>
      </c>
      <c r="D5110" s="3">
        <f t="shared" si="159"/>
        <v>202208</v>
      </c>
      <c r="E5110" s="5" t="s">
        <v>7</v>
      </c>
      <c r="F5110" s="5" t="s">
        <v>56</v>
      </c>
      <c r="G5110" s="5" t="s">
        <v>16</v>
      </c>
      <c r="H5110">
        <v>77</v>
      </c>
      <c r="I5110" s="4">
        <v>1979978</v>
      </c>
      <c r="J5110" s="4">
        <v>808500</v>
      </c>
    </row>
    <row r="5111" spans="2:10" x14ac:dyDescent="0.3">
      <c r="B5111" s="7">
        <v>44805</v>
      </c>
      <c r="C5111" s="3">
        <f t="shared" si="158"/>
        <v>2022</v>
      </c>
      <c r="D5111" s="3">
        <f t="shared" si="159"/>
        <v>202209</v>
      </c>
      <c r="E5111" s="5" t="s">
        <v>7</v>
      </c>
      <c r="F5111" s="5" t="s">
        <v>56</v>
      </c>
      <c r="G5111" s="5" t="s">
        <v>16</v>
      </c>
      <c r="H5111">
        <v>81</v>
      </c>
      <c r="I5111" s="4">
        <v>2054646</v>
      </c>
      <c r="J5111" s="4">
        <v>850500</v>
      </c>
    </row>
    <row r="5112" spans="2:10" x14ac:dyDescent="0.3">
      <c r="B5112" s="7">
        <v>44835</v>
      </c>
      <c r="C5112" s="3">
        <f t="shared" si="158"/>
        <v>2022</v>
      </c>
      <c r="D5112" s="3">
        <f t="shared" si="159"/>
        <v>202210</v>
      </c>
      <c r="E5112" s="5" t="s">
        <v>7</v>
      </c>
      <c r="F5112" s="5" t="s">
        <v>56</v>
      </c>
      <c r="G5112" s="5" t="s">
        <v>16</v>
      </c>
      <c r="H5112">
        <v>67</v>
      </c>
      <c r="I5112" s="4">
        <v>1765919</v>
      </c>
      <c r="J5112" s="4">
        <v>703500</v>
      </c>
    </row>
    <row r="5113" spans="2:10" x14ac:dyDescent="0.3">
      <c r="B5113" s="7">
        <v>44866</v>
      </c>
      <c r="C5113" s="3">
        <f t="shared" si="158"/>
        <v>2022</v>
      </c>
      <c r="D5113" s="3">
        <f t="shared" si="159"/>
        <v>202211</v>
      </c>
      <c r="E5113" s="5" t="s">
        <v>7</v>
      </c>
      <c r="F5113" s="5" t="s">
        <v>56</v>
      </c>
      <c r="G5113" s="5" t="s">
        <v>16</v>
      </c>
      <c r="H5113">
        <v>48</v>
      </c>
      <c r="I5113" s="4">
        <v>1264848</v>
      </c>
      <c r="J5113" s="4">
        <v>504000</v>
      </c>
    </row>
    <row r="5114" spans="2:10" x14ac:dyDescent="0.3">
      <c r="B5114" s="7">
        <v>44896</v>
      </c>
      <c r="C5114" s="3">
        <f t="shared" si="158"/>
        <v>2022</v>
      </c>
      <c r="D5114" s="3">
        <f t="shared" si="159"/>
        <v>202212</v>
      </c>
      <c r="E5114" s="5" t="s">
        <v>7</v>
      </c>
      <c r="F5114" s="5" t="s">
        <v>56</v>
      </c>
      <c r="G5114" s="5" t="s">
        <v>16</v>
      </c>
      <c r="H5114">
        <v>58</v>
      </c>
      <c r="I5114" s="4">
        <v>1519948</v>
      </c>
      <c r="J5114" s="4">
        <v>609000</v>
      </c>
    </row>
    <row r="5115" spans="2:10" x14ac:dyDescent="0.3">
      <c r="B5115" s="7">
        <v>44197</v>
      </c>
      <c r="C5115" s="3">
        <f t="shared" si="158"/>
        <v>2021</v>
      </c>
      <c r="D5115" s="3">
        <f t="shared" si="159"/>
        <v>202101</v>
      </c>
      <c r="E5115" s="5" t="s">
        <v>7</v>
      </c>
      <c r="F5115" s="5" t="s">
        <v>56</v>
      </c>
      <c r="G5115" s="5" t="s">
        <v>17</v>
      </c>
      <c r="H5115">
        <v>75</v>
      </c>
      <c r="I5115" s="4">
        <v>1417575</v>
      </c>
      <c r="J5115" s="4">
        <v>561000</v>
      </c>
    </row>
    <row r="5116" spans="2:10" x14ac:dyDescent="0.3">
      <c r="B5116" s="7">
        <v>44228</v>
      </c>
      <c r="C5116" s="3">
        <f t="shared" si="158"/>
        <v>2021</v>
      </c>
      <c r="D5116" s="3">
        <f t="shared" si="159"/>
        <v>202102</v>
      </c>
      <c r="E5116" s="5" t="s">
        <v>7</v>
      </c>
      <c r="F5116" s="5" t="s">
        <v>56</v>
      </c>
      <c r="G5116" s="5" t="s">
        <v>17</v>
      </c>
      <c r="H5116">
        <v>47</v>
      </c>
      <c r="I5116" s="4">
        <v>872743</v>
      </c>
      <c r="J5116" s="4">
        <v>351560</v>
      </c>
    </row>
    <row r="5117" spans="2:10" x14ac:dyDescent="0.3">
      <c r="B5117" s="7">
        <v>44256</v>
      </c>
      <c r="C5117" s="3">
        <f t="shared" si="158"/>
        <v>2021</v>
      </c>
      <c r="D5117" s="3">
        <f t="shared" si="159"/>
        <v>202103</v>
      </c>
      <c r="E5117" s="5" t="s">
        <v>7</v>
      </c>
      <c r="F5117" s="5" t="s">
        <v>56</v>
      </c>
      <c r="G5117" s="5" t="s">
        <v>17</v>
      </c>
      <c r="H5117">
        <v>38</v>
      </c>
      <c r="I5117" s="4">
        <v>696274</v>
      </c>
      <c r="J5117" s="4">
        <v>284240</v>
      </c>
    </row>
    <row r="5118" spans="2:10" x14ac:dyDescent="0.3">
      <c r="B5118" s="7">
        <v>44287</v>
      </c>
      <c r="C5118" s="3">
        <f t="shared" si="158"/>
        <v>2021</v>
      </c>
      <c r="D5118" s="3">
        <f t="shared" si="159"/>
        <v>202104</v>
      </c>
      <c r="E5118" s="5" t="s">
        <v>7</v>
      </c>
      <c r="F5118" s="5" t="s">
        <v>56</v>
      </c>
      <c r="G5118" s="5" t="s">
        <v>17</v>
      </c>
      <c r="H5118">
        <v>71</v>
      </c>
      <c r="I5118" s="4">
        <v>1348503</v>
      </c>
      <c r="J5118" s="4">
        <v>531080</v>
      </c>
    </row>
    <row r="5119" spans="2:10" x14ac:dyDescent="0.3">
      <c r="B5119" s="7">
        <v>44317</v>
      </c>
      <c r="C5119" s="3">
        <f t="shared" si="158"/>
        <v>2021</v>
      </c>
      <c r="D5119" s="3">
        <f t="shared" si="159"/>
        <v>202105</v>
      </c>
      <c r="E5119" s="5" t="s">
        <v>7</v>
      </c>
      <c r="F5119" s="5" t="s">
        <v>56</v>
      </c>
      <c r="G5119" s="5" t="s">
        <v>17</v>
      </c>
      <c r="H5119">
        <v>89</v>
      </c>
      <c r="I5119" s="4">
        <v>1709779</v>
      </c>
      <c r="J5119" s="4">
        <v>665720</v>
      </c>
    </row>
    <row r="5120" spans="2:10" x14ac:dyDescent="0.3">
      <c r="B5120" s="7">
        <v>44348</v>
      </c>
      <c r="C5120" s="3">
        <f t="shared" si="158"/>
        <v>2021</v>
      </c>
      <c r="D5120" s="3">
        <f t="shared" si="159"/>
        <v>202106</v>
      </c>
      <c r="E5120" s="5" t="s">
        <v>7</v>
      </c>
      <c r="F5120" s="5" t="s">
        <v>56</v>
      </c>
      <c r="G5120" s="5" t="s">
        <v>17</v>
      </c>
      <c r="H5120">
        <v>85</v>
      </c>
      <c r="I5120" s="4">
        <v>1560515</v>
      </c>
      <c r="J5120" s="4">
        <v>635800</v>
      </c>
    </row>
    <row r="5121" spans="2:10" x14ac:dyDescent="0.3">
      <c r="B5121" s="7">
        <v>44378</v>
      </c>
      <c r="C5121" s="3">
        <f t="shared" si="158"/>
        <v>2021</v>
      </c>
      <c r="D5121" s="3">
        <f t="shared" si="159"/>
        <v>202107</v>
      </c>
      <c r="E5121" s="5" t="s">
        <v>7</v>
      </c>
      <c r="F5121" s="5" t="s">
        <v>56</v>
      </c>
      <c r="G5121" s="5" t="s">
        <v>17</v>
      </c>
      <c r="H5121">
        <v>89</v>
      </c>
      <c r="I5121" s="4">
        <v>1447941</v>
      </c>
      <c r="J5121" s="4">
        <v>665720</v>
      </c>
    </row>
    <row r="5122" spans="2:10" x14ac:dyDescent="0.3">
      <c r="B5122" s="7">
        <v>44409</v>
      </c>
      <c r="C5122" s="3">
        <f t="shared" si="158"/>
        <v>2021</v>
      </c>
      <c r="D5122" s="3">
        <f t="shared" si="159"/>
        <v>202108</v>
      </c>
      <c r="E5122" s="5" t="s">
        <v>7</v>
      </c>
      <c r="F5122" s="5" t="s">
        <v>56</v>
      </c>
      <c r="G5122" s="5" t="s">
        <v>17</v>
      </c>
      <c r="H5122">
        <v>75</v>
      </c>
      <c r="I5122" s="4">
        <v>1355250</v>
      </c>
      <c r="J5122" s="4">
        <v>561000</v>
      </c>
    </row>
    <row r="5123" spans="2:10" x14ac:dyDescent="0.3">
      <c r="B5123" s="7">
        <v>44440</v>
      </c>
      <c r="C5123" s="3">
        <f t="shared" ref="C5123:C5186" si="160">YEAR(B5123)</f>
        <v>2021</v>
      </c>
      <c r="D5123" s="3">
        <f t="shared" ref="D5123:D5186" si="161">VALUE(TEXT(B5123,"ГГГГММ"))</f>
        <v>202109</v>
      </c>
      <c r="E5123" s="5" t="s">
        <v>7</v>
      </c>
      <c r="F5123" s="5" t="s">
        <v>56</v>
      </c>
      <c r="G5123" s="5" t="s">
        <v>17</v>
      </c>
      <c r="H5123">
        <v>80</v>
      </c>
      <c r="I5123" s="4">
        <v>1421280</v>
      </c>
      <c r="J5123" s="4">
        <v>598400</v>
      </c>
    </row>
    <row r="5124" spans="2:10" x14ac:dyDescent="0.3">
      <c r="B5124" s="7">
        <v>44470</v>
      </c>
      <c r="C5124" s="3">
        <f t="shared" si="160"/>
        <v>2021</v>
      </c>
      <c r="D5124" s="3">
        <f t="shared" si="161"/>
        <v>202110</v>
      </c>
      <c r="E5124" s="5" t="s">
        <v>7</v>
      </c>
      <c r="F5124" s="5" t="s">
        <v>56</v>
      </c>
      <c r="G5124" s="5" t="s">
        <v>17</v>
      </c>
      <c r="H5124">
        <v>66</v>
      </c>
      <c r="I5124" s="4">
        <v>1240338</v>
      </c>
      <c r="J5124" s="4">
        <v>493680</v>
      </c>
    </row>
    <row r="5125" spans="2:10" x14ac:dyDescent="0.3">
      <c r="B5125" s="7">
        <v>44501</v>
      </c>
      <c r="C5125" s="3">
        <f t="shared" si="160"/>
        <v>2021</v>
      </c>
      <c r="D5125" s="3">
        <f t="shared" si="161"/>
        <v>202111</v>
      </c>
      <c r="E5125" s="5" t="s">
        <v>7</v>
      </c>
      <c r="F5125" s="5" t="s">
        <v>56</v>
      </c>
      <c r="G5125" s="5" t="s">
        <v>17</v>
      </c>
      <c r="H5125">
        <v>47</v>
      </c>
      <c r="I5125" s="4">
        <v>874106</v>
      </c>
      <c r="J5125" s="4">
        <v>351560</v>
      </c>
    </row>
    <row r="5126" spans="2:10" x14ac:dyDescent="0.3">
      <c r="B5126" s="7">
        <v>44531</v>
      </c>
      <c r="C5126" s="3">
        <f t="shared" si="160"/>
        <v>2021</v>
      </c>
      <c r="D5126" s="3">
        <f t="shared" si="161"/>
        <v>202112</v>
      </c>
      <c r="E5126" s="5" t="s">
        <v>7</v>
      </c>
      <c r="F5126" s="5" t="s">
        <v>56</v>
      </c>
      <c r="G5126" s="5" t="s">
        <v>17</v>
      </c>
      <c r="H5126">
        <v>57</v>
      </c>
      <c r="I5126" s="4">
        <v>1022979</v>
      </c>
      <c r="J5126" s="4">
        <v>426360</v>
      </c>
    </row>
    <row r="5127" spans="2:10" x14ac:dyDescent="0.3">
      <c r="B5127" s="7">
        <v>44562</v>
      </c>
      <c r="C5127" s="3">
        <f t="shared" si="160"/>
        <v>2022</v>
      </c>
      <c r="D5127" s="3">
        <f t="shared" si="161"/>
        <v>202201</v>
      </c>
      <c r="E5127" s="5" t="s">
        <v>7</v>
      </c>
      <c r="F5127" s="5" t="s">
        <v>56</v>
      </c>
      <c r="G5127" s="5" t="s">
        <v>17</v>
      </c>
      <c r="H5127">
        <v>83</v>
      </c>
      <c r="I5127" s="4">
        <v>1497237</v>
      </c>
      <c r="J5127" s="4">
        <v>620840</v>
      </c>
    </row>
    <row r="5128" spans="2:10" x14ac:dyDescent="0.3">
      <c r="B5128" s="7">
        <v>44593</v>
      </c>
      <c r="C5128" s="3">
        <f t="shared" si="160"/>
        <v>2022</v>
      </c>
      <c r="D5128" s="3">
        <f t="shared" si="161"/>
        <v>202202</v>
      </c>
      <c r="E5128" s="5" t="s">
        <v>7</v>
      </c>
      <c r="F5128" s="5" t="s">
        <v>56</v>
      </c>
      <c r="G5128" s="5" t="s">
        <v>17</v>
      </c>
      <c r="H5128">
        <v>52</v>
      </c>
      <c r="I5128" s="4">
        <v>950300</v>
      </c>
      <c r="J5128" s="4">
        <v>388960</v>
      </c>
    </row>
    <row r="5129" spans="2:10" x14ac:dyDescent="0.3">
      <c r="B5129" s="7">
        <v>44621</v>
      </c>
      <c r="C5129" s="3">
        <f t="shared" si="160"/>
        <v>2022</v>
      </c>
      <c r="D5129" s="3">
        <f t="shared" si="161"/>
        <v>202203</v>
      </c>
      <c r="E5129" s="5" t="s">
        <v>7</v>
      </c>
      <c r="F5129" s="5" t="s">
        <v>56</v>
      </c>
      <c r="G5129" s="5" t="s">
        <v>17</v>
      </c>
      <c r="H5129">
        <v>42</v>
      </c>
      <c r="I5129" s="4">
        <v>742770</v>
      </c>
      <c r="J5129" s="4">
        <v>314160</v>
      </c>
    </row>
    <row r="5130" spans="2:10" x14ac:dyDescent="0.3">
      <c r="B5130" s="7">
        <v>44652</v>
      </c>
      <c r="C5130" s="3">
        <f t="shared" si="160"/>
        <v>2022</v>
      </c>
      <c r="D5130" s="3">
        <f t="shared" si="161"/>
        <v>202204</v>
      </c>
      <c r="E5130" s="5" t="s">
        <v>7</v>
      </c>
      <c r="F5130" s="5" t="s">
        <v>56</v>
      </c>
      <c r="G5130" s="5" t="s">
        <v>17</v>
      </c>
      <c r="H5130">
        <v>78</v>
      </c>
      <c r="I5130" s="4">
        <v>1410552</v>
      </c>
      <c r="J5130" s="4">
        <v>583440</v>
      </c>
    </row>
    <row r="5131" spans="2:10" x14ac:dyDescent="0.3">
      <c r="B5131" s="7">
        <v>44682</v>
      </c>
      <c r="C5131" s="3">
        <f t="shared" si="160"/>
        <v>2022</v>
      </c>
      <c r="D5131" s="3">
        <f t="shared" si="161"/>
        <v>202205</v>
      </c>
      <c r="E5131" s="5" t="s">
        <v>7</v>
      </c>
      <c r="F5131" s="5" t="s">
        <v>56</v>
      </c>
      <c r="G5131" s="5" t="s">
        <v>17</v>
      </c>
      <c r="H5131">
        <v>98</v>
      </c>
      <c r="I5131" s="4">
        <v>1822702</v>
      </c>
      <c r="J5131" s="4">
        <v>733040</v>
      </c>
    </row>
    <row r="5132" spans="2:10" x14ac:dyDescent="0.3">
      <c r="B5132" s="7">
        <v>44713</v>
      </c>
      <c r="C5132" s="3">
        <f t="shared" si="160"/>
        <v>2022</v>
      </c>
      <c r="D5132" s="3">
        <f t="shared" si="161"/>
        <v>202206</v>
      </c>
      <c r="E5132" s="5" t="s">
        <v>7</v>
      </c>
      <c r="F5132" s="5" t="s">
        <v>56</v>
      </c>
      <c r="G5132" s="5" t="s">
        <v>17</v>
      </c>
      <c r="H5132">
        <v>93</v>
      </c>
      <c r="I5132" s="4">
        <v>1736310</v>
      </c>
      <c r="J5132" s="4">
        <v>695640</v>
      </c>
    </row>
    <row r="5133" spans="2:10" x14ac:dyDescent="0.3">
      <c r="B5133" s="7">
        <v>44743</v>
      </c>
      <c r="C5133" s="3">
        <f t="shared" si="160"/>
        <v>2022</v>
      </c>
      <c r="D5133" s="3">
        <f t="shared" si="161"/>
        <v>202207</v>
      </c>
      <c r="E5133" s="5" t="s">
        <v>7</v>
      </c>
      <c r="F5133" s="5" t="s">
        <v>56</v>
      </c>
      <c r="G5133" s="5" t="s">
        <v>17</v>
      </c>
      <c r="H5133">
        <v>98</v>
      </c>
      <c r="I5133" s="4">
        <v>1696674</v>
      </c>
      <c r="J5133" s="4">
        <v>733040</v>
      </c>
    </row>
    <row r="5134" spans="2:10" x14ac:dyDescent="0.3">
      <c r="B5134" s="7">
        <v>44774</v>
      </c>
      <c r="C5134" s="3">
        <f t="shared" si="160"/>
        <v>2022</v>
      </c>
      <c r="D5134" s="3">
        <f t="shared" si="161"/>
        <v>202208</v>
      </c>
      <c r="E5134" s="5" t="s">
        <v>7</v>
      </c>
      <c r="F5134" s="5" t="s">
        <v>56</v>
      </c>
      <c r="G5134" s="5" t="s">
        <v>17</v>
      </c>
      <c r="H5134">
        <v>83</v>
      </c>
      <c r="I5134" s="4">
        <v>1478728</v>
      </c>
      <c r="J5134" s="4">
        <v>620840</v>
      </c>
    </row>
    <row r="5135" spans="2:10" x14ac:dyDescent="0.3">
      <c r="B5135" s="7">
        <v>44805</v>
      </c>
      <c r="C5135" s="3">
        <f t="shared" si="160"/>
        <v>2022</v>
      </c>
      <c r="D5135" s="3">
        <f t="shared" si="161"/>
        <v>202209</v>
      </c>
      <c r="E5135" s="5" t="s">
        <v>7</v>
      </c>
      <c r="F5135" s="5" t="s">
        <v>56</v>
      </c>
      <c r="G5135" s="5" t="s">
        <v>17</v>
      </c>
      <c r="H5135">
        <v>88</v>
      </c>
      <c r="I5135" s="4">
        <v>1552848</v>
      </c>
      <c r="J5135" s="4">
        <v>658240</v>
      </c>
    </row>
    <row r="5136" spans="2:10" x14ac:dyDescent="0.3">
      <c r="B5136" s="7">
        <v>44835</v>
      </c>
      <c r="C5136" s="3">
        <f t="shared" si="160"/>
        <v>2022</v>
      </c>
      <c r="D5136" s="3">
        <f t="shared" si="161"/>
        <v>202210</v>
      </c>
      <c r="E5136" s="5" t="s">
        <v>7</v>
      </c>
      <c r="F5136" s="5" t="s">
        <v>56</v>
      </c>
      <c r="G5136" s="5" t="s">
        <v>17</v>
      </c>
      <c r="H5136">
        <v>73</v>
      </c>
      <c r="I5136" s="4">
        <v>1387292</v>
      </c>
      <c r="J5136" s="4">
        <v>546040</v>
      </c>
    </row>
    <row r="5137" spans="2:10" x14ac:dyDescent="0.3">
      <c r="B5137" s="7">
        <v>44866</v>
      </c>
      <c r="C5137" s="3">
        <f t="shared" si="160"/>
        <v>2022</v>
      </c>
      <c r="D5137" s="3">
        <f t="shared" si="161"/>
        <v>202211</v>
      </c>
      <c r="E5137" s="5" t="s">
        <v>7</v>
      </c>
      <c r="F5137" s="5" t="s">
        <v>56</v>
      </c>
      <c r="G5137" s="5" t="s">
        <v>17</v>
      </c>
      <c r="H5137">
        <v>52</v>
      </c>
      <c r="I5137" s="4">
        <v>978380</v>
      </c>
      <c r="J5137" s="4">
        <v>388960</v>
      </c>
    </row>
    <row r="5138" spans="2:10" x14ac:dyDescent="0.3">
      <c r="B5138" s="7">
        <v>44896</v>
      </c>
      <c r="C5138" s="3">
        <f t="shared" si="160"/>
        <v>2022</v>
      </c>
      <c r="D5138" s="3">
        <f t="shared" si="161"/>
        <v>202212</v>
      </c>
      <c r="E5138" s="5" t="s">
        <v>7</v>
      </c>
      <c r="F5138" s="5" t="s">
        <v>56</v>
      </c>
      <c r="G5138" s="5" t="s">
        <v>17</v>
      </c>
      <c r="H5138">
        <v>62</v>
      </c>
      <c r="I5138" s="4">
        <v>1081590</v>
      </c>
      <c r="J5138" s="4">
        <v>463760</v>
      </c>
    </row>
    <row r="5139" spans="2:10" x14ac:dyDescent="0.3">
      <c r="B5139" s="7">
        <v>44197</v>
      </c>
      <c r="C5139" s="3">
        <f t="shared" si="160"/>
        <v>2021</v>
      </c>
      <c r="D5139" s="3">
        <f t="shared" si="161"/>
        <v>202101</v>
      </c>
      <c r="E5139" s="5" t="s">
        <v>7</v>
      </c>
      <c r="F5139" s="5" t="s">
        <v>56</v>
      </c>
      <c r="G5139" s="5" t="s">
        <v>18</v>
      </c>
      <c r="H5139">
        <v>59</v>
      </c>
      <c r="I5139" s="4">
        <v>1876259</v>
      </c>
      <c r="J5139" s="4">
        <v>991200</v>
      </c>
    </row>
    <row r="5140" spans="2:10" x14ac:dyDescent="0.3">
      <c r="B5140" s="7">
        <v>44228</v>
      </c>
      <c r="C5140" s="3">
        <f t="shared" si="160"/>
        <v>2021</v>
      </c>
      <c r="D5140" s="3">
        <f t="shared" si="161"/>
        <v>202102</v>
      </c>
      <c r="E5140" s="5" t="s">
        <v>7</v>
      </c>
      <c r="F5140" s="5" t="s">
        <v>56</v>
      </c>
      <c r="G5140" s="5" t="s">
        <v>18</v>
      </c>
      <c r="H5140">
        <v>37</v>
      </c>
      <c r="I5140" s="4">
        <v>1174380</v>
      </c>
      <c r="J5140" s="4">
        <v>621600</v>
      </c>
    </row>
    <row r="5141" spans="2:10" x14ac:dyDescent="0.3">
      <c r="B5141" s="7">
        <v>44256</v>
      </c>
      <c r="C5141" s="3">
        <f t="shared" si="160"/>
        <v>2021</v>
      </c>
      <c r="D5141" s="3">
        <f t="shared" si="161"/>
        <v>202103</v>
      </c>
      <c r="E5141" s="5" t="s">
        <v>7</v>
      </c>
      <c r="F5141" s="5" t="s">
        <v>56</v>
      </c>
      <c r="G5141" s="5" t="s">
        <v>18</v>
      </c>
      <c r="H5141">
        <v>30</v>
      </c>
      <c r="I5141" s="4">
        <v>922680</v>
      </c>
      <c r="J5141" s="4">
        <v>504000</v>
      </c>
    </row>
    <row r="5142" spans="2:10" x14ac:dyDescent="0.3">
      <c r="B5142" s="7">
        <v>44287</v>
      </c>
      <c r="C5142" s="3">
        <f t="shared" si="160"/>
        <v>2021</v>
      </c>
      <c r="D5142" s="3">
        <f t="shared" si="161"/>
        <v>202104</v>
      </c>
      <c r="E5142" s="5" t="s">
        <v>7</v>
      </c>
      <c r="F5142" s="5" t="s">
        <v>56</v>
      </c>
      <c r="G5142" s="5" t="s">
        <v>18</v>
      </c>
      <c r="H5142">
        <v>55</v>
      </c>
      <c r="I5142" s="4">
        <v>1755930</v>
      </c>
      <c r="J5142" s="4">
        <v>924000</v>
      </c>
    </row>
    <row r="5143" spans="2:10" x14ac:dyDescent="0.3">
      <c r="B5143" s="7">
        <v>44317</v>
      </c>
      <c r="C5143" s="3">
        <f t="shared" si="160"/>
        <v>2021</v>
      </c>
      <c r="D5143" s="3">
        <f t="shared" si="161"/>
        <v>202105</v>
      </c>
      <c r="E5143" s="5" t="s">
        <v>7</v>
      </c>
      <c r="F5143" s="5" t="s">
        <v>56</v>
      </c>
      <c r="G5143" s="5" t="s">
        <v>18</v>
      </c>
      <c r="H5143">
        <v>70</v>
      </c>
      <c r="I5143" s="4">
        <v>2205770</v>
      </c>
      <c r="J5143" s="4">
        <v>1176000</v>
      </c>
    </row>
    <row r="5144" spans="2:10" x14ac:dyDescent="0.3">
      <c r="B5144" s="7">
        <v>44348</v>
      </c>
      <c r="C5144" s="3">
        <f t="shared" si="160"/>
        <v>2021</v>
      </c>
      <c r="D5144" s="3">
        <f t="shared" si="161"/>
        <v>202106</v>
      </c>
      <c r="E5144" s="5" t="s">
        <v>7</v>
      </c>
      <c r="F5144" s="5" t="s">
        <v>56</v>
      </c>
      <c r="G5144" s="5" t="s">
        <v>18</v>
      </c>
      <c r="H5144">
        <v>66</v>
      </c>
      <c r="I5144" s="4">
        <v>2093124</v>
      </c>
      <c r="J5144" s="4">
        <v>1108800</v>
      </c>
    </row>
    <row r="5145" spans="2:10" x14ac:dyDescent="0.3">
      <c r="B5145" s="7">
        <v>44378</v>
      </c>
      <c r="C5145" s="3">
        <f t="shared" si="160"/>
        <v>2021</v>
      </c>
      <c r="D5145" s="3">
        <f t="shared" si="161"/>
        <v>202107</v>
      </c>
      <c r="E5145" s="5" t="s">
        <v>7</v>
      </c>
      <c r="F5145" s="5" t="s">
        <v>56</v>
      </c>
      <c r="G5145" s="5" t="s">
        <v>18</v>
      </c>
      <c r="H5145">
        <v>70</v>
      </c>
      <c r="I5145" s="4">
        <v>2092440</v>
      </c>
      <c r="J5145" s="4">
        <v>1176000</v>
      </c>
    </row>
    <row r="5146" spans="2:10" x14ac:dyDescent="0.3">
      <c r="B5146" s="7">
        <v>44409</v>
      </c>
      <c r="C5146" s="3">
        <f t="shared" si="160"/>
        <v>2021</v>
      </c>
      <c r="D5146" s="3">
        <f t="shared" si="161"/>
        <v>202108</v>
      </c>
      <c r="E5146" s="5" t="s">
        <v>7</v>
      </c>
      <c r="F5146" s="5" t="s">
        <v>56</v>
      </c>
      <c r="G5146" s="5" t="s">
        <v>18</v>
      </c>
      <c r="H5146">
        <v>59</v>
      </c>
      <c r="I5146" s="4">
        <v>1820209</v>
      </c>
      <c r="J5146" s="4">
        <v>991200</v>
      </c>
    </row>
    <row r="5147" spans="2:10" x14ac:dyDescent="0.3">
      <c r="B5147" s="7">
        <v>44440</v>
      </c>
      <c r="C5147" s="3">
        <f t="shared" si="160"/>
        <v>2021</v>
      </c>
      <c r="D5147" s="3">
        <f t="shared" si="161"/>
        <v>202109</v>
      </c>
      <c r="E5147" s="5" t="s">
        <v>7</v>
      </c>
      <c r="F5147" s="5" t="s">
        <v>56</v>
      </c>
      <c r="G5147" s="5" t="s">
        <v>18</v>
      </c>
      <c r="H5147">
        <v>62</v>
      </c>
      <c r="I5147" s="4">
        <v>1900176</v>
      </c>
      <c r="J5147" s="4">
        <v>1041600</v>
      </c>
    </row>
    <row r="5148" spans="2:10" x14ac:dyDescent="0.3">
      <c r="B5148" s="7">
        <v>44470</v>
      </c>
      <c r="C5148" s="3">
        <f t="shared" si="160"/>
        <v>2021</v>
      </c>
      <c r="D5148" s="3">
        <f t="shared" si="161"/>
        <v>202110</v>
      </c>
      <c r="E5148" s="5" t="s">
        <v>7</v>
      </c>
      <c r="F5148" s="5" t="s">
        <v>56</v>
      </c>
      <c r="G5148" s="5" t="s">
        <v>18</v>
      </c>
      <c r="H5148">
        <v>51</v>
      </c>
      <c r="I5148" s="4">
        <v>1608438</v>
      </c>
      <c r="J5148" s="4">
        <v>856800</v>
      </c>
    </row>
    <row r="5149" spans="2:10" x14ac:dyDescent="0.3">
      <c r="B5149" s="7">
        <v>44501</v>
      </c>
      <c r="C5149" s="3">
        <f t="shared" si="160"/>
        <v>2021</v>
      </c>
      <c r="D5149" s="3">
        <f t="shared" si="161"/>
        <v>202111</v>
      </c>
      <c r="E5149" s="5" t="s">
        <v>7</v>
      </c>
      <c r="F5149" s="5" t="s">
        <v>56</v>
      </c>
      <c r="G5149" s="5" t="s">
        <v>18</v>
      </c>
      <c r="H5149">
        <v>37</v>
      </c>
      <c r="I5149" s="4">
        <v>1165241</v>
      </c>
      <c r="J5149" s="4">
        <v>621600</v>
      </c>
    </row>
    <row r="5150" spans="2:10" x14ac:dyDescent="0.3">
      <c r="B5150" s="7">
        <v>44531</v>
      </c>
      <c r="C5150" s="3">
        <f t="shared" si="160"/>
        <v>2021</v>
      </c>
      <c r="D5150" s="3">
        <f t="shared" si="161"/>
        <v>202112</v>
      </c>
      <c r="E5150" s="5" t="s">
        <v>7</v>
      </c>
      <c r="F5150" s="5" t="s">
        <v>56</v>
      </c>
      <c r="G5150" s="5" t="s">
        <v>18</v>
      </c>
      <c r="H5150">
        <v>44</v>
      </c>
      <c r="I5150" s="4">
        <v>1373944</v>
      </c>
      <c r="J5150" s="4">
        <v>739200</v>
      </c>
    </row>
    <row r="5151" spans="2:10" x14ac:dyDescent="0.3">
      <c r="B5151" s="7">
        <v>44562</v>
      </c>
      <c r="C5151" s="3">
        <f t="shared" si="160"/>
        <v>2022</v>
      </c>
      <c r="D5151" s="3">
        <f t="shared" si="161"/>
        <v>202201</v>
      </c>
      <c r="E5151" s="5" t="s">
        <v>7</v>
      </c>
      <c r="F5151" s="5" t="s">
        <v>56</v>
      </c>
      <c r="G5151" s="5" t="s">
        <v>18</v>
      </c>
      <c r="H5151">
        <v>65</v>
      </c>
      <c r="I5151" s="4">
        <v>2027220</v>
      </c>
      <c r="J5151" s="4">
        <v>1092000</v>
      </c>
    </row>
    <row r="5152" spans="2:10" x14ac:dyDescent="0.3">
      <c r="B5152" s="7">
        <v>44593</v>
      </c>
      <c r="C5152" s="3">
        <f t="shared" si="160"/>
        <v>2022</v>
      </c>
      <c r="D5152" s="3">
        <f t="shared" si="161"/>
        <v>202202</v>
      </c>
      <c r="E5152" s="5" t="s">
        <v>7</v>
      </c>
      <c r="F5152" s="5" t="s">
        <v>56</v>
      </c>
      <c r="G5152" s="5" t="s">
        <v>18</v>
      </c>
      <c r="H5152">
        <v>41</v>
      </c>
      <c r="I5152" s="4">
        <v>1304128</v>
      </c>
      <c r="J5152" s="4">
        <v>688800</v>
      </c>
    </row>
    <row r="5153" spans="2:10" x14ac:dyDescent="0.3">
      <c r="B5153" s="7">
        <v>44621</v>
      </c>
      <c r="C5153" s="3">
        <f t="shared" si="160"/>
        <v>2022</v>
      </c>
      <c r="D5153" s="3">
        <f t="shared" si="161"/>
        <v>202203</v>
      </c>
      <c r="E5153" s="5" t="s">
        <v>7</v>
      </c>
      <c r="F5153" s="5" t="s">
        <v>56</v>
      </c>
      <c r="G5153" s="5" t="s">
        <v>18</v>
      </c>
      <c r="H5153">
        <v>33</v>
      </c>
      <c r="I5153" s="4">
        <v>1001649</v>
      </c>
      <c r="J5153" s="4">
        <v>554400</v>
      </c>
    </row>
    <row r="5154" spans="2:10" x14ac:dyDescent="0.3">
      <c r="B5154" s="7">
        <v>44652</v>
      </c>
      <c r="C5154" s="3">
        <f t="shared" si="160"/>
        <v>2022</v>
      </c>
      <c r="D5154" s="3">
        <f t="shared" si="161"/>
        <v>202204</v>
      </c>
      <c r="E5154" s="5" t="s">
        <v>7</v>
      </c>
      <c r="F5154" s="5" t="s">
        <v>56</v>
      </c>
      <c r="G5154" s="5" t="s">
        <v>18</v>
      </c>
      <c r="H5154">
        <v>61</v>
      </c>
      <c r="I5154" s="4">
        <v>1947425</v>
      </c>
      <c r="J5154" s="4">
        <v>1024800</v>
      </c>
    </row>
    <row r="5155" spans="2:10" x14ac:dyDescent="0.3">
      <c r="B5155" s="7">
        <v>44682</v>
      </c>
      <c r="C5155" s="3">
        <f t="shared" si="160"/>
        <v>2022</v>
      </c>
      <c r="D5155" s="3">
        <f t="shared" si="161"/>
        <v>202205</v>
      </c>
      <c r="E5155" s="5" t="s">
        <v>7</v>
      </c>
      <c r="F5155" s="5" t="s">
        <v>56</v>
      </c>
      <c r="G5155" s="5" t="s">
        <v>18</v>
      </c>
      <c r="H5155">
        <v>77</v>
      </c>
      <c r="I5155" s="4">
        <v>2428503</v>
      </c>
      <c r="J5155" s="4">
        <v>1293600</v>
      </c>
    </row>
    <row r="5156" spans="2:10" x14ac:dyDescent="0.3">
      <c r="B5156" s="7">
        <v>44713</v>
      </c>
      <c r="C5156" s="3">
        <f t="shared" si="160"/>
        <v>2022</v>
      </c>
      <c r="D5156" s="3">
        <f t="shared" si="161"/>
        <v>202206</v>
      </c>
      <c r="E5156" s="5" t="s">
        <v>7</v>
      </c>
      <c r="F5156" s="5" t="s">
        <v>56</v>
      </c>
      <c r="G5156" s="5" t="s">
        <v>18</v>
      </c>
      <c r="H5156">
        <v>73</v>
      </c>
      <c r="I5156" s="4">
        <v>2295850</v>
      </c>
      <c r="J5156" s="4">
        <v>1226400</v>
      </c>
    </row>
    <row r="5157" spans="2:10" x14ac:dyDescent="0.3">
      <c r="B5157" s="7">
        <v>44743</v>
      </c>
      <c r="C5157" s="3">
        <f t="shared" si="160"/>
        <v>2022</v>
      </c>
      <c r="D5157" s="3">
        <f t="shared" si="161"/>
        <v>202207</v>
      </c>
      <c r="E5157" s="5" t="s">
        <v>7</v>
      </c>
      <c r="F5157" s="5" t="s">
        <v>56</v>
      </c>
      <c r="G5157" s="5" t="s">
        <v>18</v>
      </c>
      <c r="H5157">
        <v>77</v>
      </c>
      <c r="I5157" s="4">
        <v>2268035</v>
      </c>
      <c r="J5157" s="4">
        <v>1293600</v>
      </c>
    </row>
    <row r="5158" spans="2:10" x14ac:dyDescent="0.3">
      <c r="B5158" s="7">
        <v>44774</v>
      </c>
      <c r="C5158" s="3">
        <f t="shared" si="160"/>
        <v>2022</v>
      </c>
      <c r="D5158" s="3">
        <f t="shared" si="161"/>
        <v>202208</v>
      </c>
      <c r="E5158" s="5" t="s">
        <v>7</v>
      </c>
      <c r="F5158" s="5" t="s">
        <v>56</v>
      </c>
      <c r="G5158" s="5" t="s">
        <v>18</v>
      </c>
      <c r="H5158">
        <v>65</v>
      </c>
      <c r="I5158" s="4">
        <v>1952470</v>
      </c>
      <c r="J5158" s="4">
        <v>1092000</v>
      </c>
    </row>
    <row r="5159" spans="2:10" x14ac:dyDescent="0.3">
      <c r="B5159" s="7">
        <v>44805</v>
      </c>
      <c r="C5159" s="3">
        <f t="shared" si="160"/>
        <v>2022</v>
      </c>
      <c r="D5159" s="3">
        <f t="shared" si="161"/>
        <v>202209</v>
      </c>
      <c r="E5159" s="5" t="s">
        <v>7</v>
      </c>
      <c r="F5159" s="5" t="s">
        <v>56</v>
      </c>
      <c r="G5159" s="5" t="s">
        <v>18</v>
      </c>
      <c r="H5159">
        <v>69</v>
      </c>
      <c r="I5159" s="4">
        <v>2157561</v>
      </c>
      <c r="J5159" s="4">
        <v>1159200</v>
      </c>
    </row>
    <row r="5160" spans="2:10" x14ac:dyDescent="0.3">
      <c r="B5160" s="7">
        <v>44835</v>
      </c>
      <c r="C5160" s="3">
        <f t="shared" si="160"/>
        <v>2022</v>
      </c>
      <c r="D5160" s="3">
        <f t="shared" si="161"/>
        <v>202210</v>
      </c>
      <c r="E5160" s="5" t="s">
        <v>7</v>
      </c>
      <c r="F5160" s="5" t="s">
        <v>56</v>
      </c>
      <c r="G5160" s="5" t="s">
        <v>18</v>
      </c>
      <c r="H5160">
        <v>57</v>
      </c>
      <c r="I5160" s="4">
        <v>1758108</v>
      </c>
      <c r="J5160" s="4">
        <v>957600</v>
      </c>
    </row>
    <row r="5161" spans="2:10" x14ac:dyDescent="0.3">
      <c r="B5161" s="7">
        <v>44866</v>
      </c>
      <c r="C5161" s="3">
        <f t="shared" si="160"/>
        <v>2022</v>
      </c>
      <c r="D5161" s="3">
        <f t="shared" si="161"/>
        <v>202211</v>
      </c>
      <c r="E5161" s="5" t="s">
        <v>7</v>
      </c>
      <c r="F5161" s="5" t="s">
        <v>56</v>
      </c>
      <c r="G5161" s="5" t="s">
        <v>18</v>
      </c>
      <c r="H5161">
        <v>41</v>
      </c>
      <c r="I5161" s="4">
        <v>1283177</v>
      </c>
      <c r="J5161" s="4">
        <v>688800</v>
      </c>
    </row>
    <row r="5162" spans="2:10" x14ac:dyDescent="0.3">
      <c r="B5162" s="7">
        <v>44896</v>
      </c>
      <c r="C5162" s="3">
        <f t="shared" si="160"/>
        <v>2022</v>
      </c>
      <c r="D5162" s="3">
        <f t="shared" si="161"/>
        <v>202212</v>
      </c>
      <c r="E5162" s="5" t="s">
        <v>7</v>
      </c>
      <c r="F5162" s="5" t="s">
        <v>56</v>
      </c>
      <c r="G5162" s="5" t="s">
        <v>18</v>
      </c>
      <c r="H5162">
        <v>49</v>
      </c>
      <c r="I5162" s="4">
        <v>1495823</v>
      </c>
      <c r="J5162" s="4">
        <v>823200</v>
      </c>
    </row>
    <row r="5163" spans="2:10" x14ac:dyDescent="0.3">
      <c r="B5163" s="7">
        <v>44197</v>
      </c>
      <c r="C5163" s="3">
        <f t="shared" si="160"/>
        <v>2021</v>
      </c>
      <c r="D5163" s="3">
        <f t="shared" si="161"/>
        <v>202101</v>
      </c>
      <c r="E5163" s="5" t="s">
        <v>7</v>
      </c>
      <c r="F5163" s="5" t="s">
        <v>56</v>
      </c>
      <c r="G5163" s="5" t="s">
        <v>19</v>
      </c>
      <c r="H5163">
        <v>56</v>
      </c>
      <c r="I5163" s="4">
        <v>932736</v>
      </c>
      <c r="J5163" s="4">
        <v>344400</v>
      </c>
    </row>
    <row r="5164" spans="2:10" x14ac:dyDescent="0.3">
      <c r="B5164" s="7">
        <v>44228</v>
      </c>
      <c r="C5164" s="3">
        <f t="shared" si="160"/>
        <v>2021</v>
      </c>
      <c r="D5164" s="3">
        <f t="shared" si="161"/>
        <v>202102</v>
      </c>
      <c r="E5164" s="5" t="s">
        <v>7</v>
      </c>
      <c r="F5164" s="5" t="s">
        <v>56</v>
      </c>
      <c r="G5164" s="5" t="s">
        <v>19</v>
      </c>
      <c r="H5164">
        <v>35</v>
      </c>
      <c r="I5164" s="4">
        <v>571830</v>
      </c>
      <c r="J5164" s="4">
        <v>215250</v>
      </c>
    </row>
    <row r="5165" spans="2:10" x14ac:dyDescent="0.3">
      <c r="B5165" s="7">
        <v>44256</v>
      </c>
      <c r="C5165" s="3">
        <f t="shared" si="160"/>
        <v>2021</v>
      </c>
      <c r="D5165" s="3">
        <f t="shared" si="161"/>
        <v>202103</v>
      </c>
      <c r="E5165" s="5" t="s">
        <v>7</v>
      </c>
      <c r="F5165" s="5" t="s">
        <v>56</v>
      </c>
      <c r="G5165" s="5" t="s">
        <v>19</v>
      </c>
      <c r="H5165">
        <v>28</v>
      </c>
      <c r="I5165" s="4">
        <v>423864</v>
      </c>
      <c r="J5165" s="4">
        <v>172200</v>
      </c>
    </row>
    <row r="5166" spans="2:10" x14ac:dyDescent="0.3">
      <c r="B5166" s="7">
        <v>44287</v>
      </c>
      <c r="C5166" s="3">
        <f t="shared" si="160"/>
        <v>2021</v>
      </c>
      <c r="D5166" s="3">
        <f t="shared" si="161"/>
        <v>202104</v>
      </c>
      <c r="E5166" s="5" t="s">
        <v>7</v>
      </c>
      <c r="F5166" s="5" t="s">
        <v>56</v>
      </c>
      <c r="G5166" s="5" t="s">
        <v>19</v>
      </c>
      <c r="H5166">
        <v>53</v>
      </c>
      <c r="I5166" s="4">
        <v>861939</v>
      </c>
      <c r="J5166" s="4">
        <v>325950</v>
      </c>
    </row>
    <row r="5167" spans="2:10" x14ac:dyDescent="0.3">
      <c r="B5167" s="7">
        <v>44317</v>
      </c>
      <c r="C5167" s="3">
        <f t="shared" si="160"/>
        <v>2021</v>
      </c>
      <c r="D5167" s="3">
        <f t="shared" si="161"/>
        <v>202105</v>
      </c>
      <c r="E5167" s="5" t="s">
        <v>7</v>
      </c>
      <c r="F5167" s="5" t="s">
        <v>56</v>
      </c>
      <c r="G5167" s="5" t="s">
        <v>19</v>
      </c>
      <c r="H5167">
        <v>67</v>
      </c>
      <c r="I5167" s="4">
        <v>1108716</v>
      </c>
      <c r="J5167" s="4">
        <v>412050</v>
      </c>
    </row>
    <row r="5168" spans="2:10" x14ac:dyDescent="0.3">
      <c r="B5168" s="7">
        <v>44348</v>
      </c>
      <c r="C5168" s="3">
        <f t="shared" si="160"/>
        <v>2021</v>
      </c>
      <c r="D5168" s="3">
        <f t="shared" si="161"/>
        <v>202106</v>
      </c>
      <c r="E5168" s="5" t="s">
        <v>7</v>
      </c>
      <c r="F5168" s="5" t="s">
        <v>56</v>
      </c>
      <c r="G5168" s="5" t="s">
        <v>19</v>
      </c>
      <c r="H5168">
        <v>63</v>
      </c>
      <c r="I5168" s="4">
        <v>1037673</v>
      </c>
      <c r="J5168" s="4">
        <v>387450</v>
      </c>
    </row>
    <row r="5169" spans="2:10" x14ac:dyDescent="0.3">
      <c r="B5169" s="7">
        <v>44378</v>
      </c>
      <c r="C5169" s="3">
        <f t="shared" si="160"/>
        <v>2021</v>
      </c>
      <c r="D5169" s="3">
        <f t="shared" si="161"/>
        <v>202107</v>
      </c>
      <c r="E5169" s="5" t="s">
        <v>7</v>
      </c>
      <c r="F5169" s="5" t="s">
        <v>56</v>
      </c>
      <c r="G5169" s="5" t="s">
        <v>19</v>
      </c>
      <c r="H5169">
        <v>67</v>
      </c>
      <c r="I5169" s="4">
        <v>1002789</v>
      </c>
      <c r="J5169" s="4">
        <v>412050</v>
      </c>
    </row>
    <row r="5170" spans="2:10" x14ac:dyDescent="0.3">
      <c r="B5170" s="7">
        <v>44409</v>
      </c>
      <c r="C5170" s="3">
        <f t="shared" si="160"/>
        <v>2021</v>
      </c>
      <c r="D5170" s="3">
        <f t="shared" si="161"/>
        <v>202108</v>
      </c>
      <c r="E5170" s="5" t="s">
        <v>7</v>
      </c>
      <c r="F5170" s="5" t="s">
        <v>56</v>
      </c>
      <c r="G5170" s="5" t="s">
        <v>19</v>
      </c>
      <c r="H5170">
        <v>56</v>
      </c>
      <c r="I5170" s="4">
        <v>883288</v>
      </c>
      <c r="J5170" s="4">
        <v>344400</v>
      </c>
    </row>
    <row r="5171" spans="2:10" x14ac:dyDescent="0.3">
      <c r="B5171" s="7">
        <v>44440</v>
      </c>
      <c r="C5171" s="3">
        <f t="shared" si="160"/>
        <v>2021</v>
      </c>
      <c r="D5171" s="3">
        <f t="shared" si="161"/>
        <v>202109</v>
      </c>
      <c r="E5171" s="5" t="s">
        <v>7</v>
      </c>
      <c r="F5171" s="5" t="s">
        <v>56</v>
      </c>
      <c r="G5171" s="5" t="s">
        <v>19</v>
      </c>
      <c r="H5171">
        <v>60</v>
      </c>
      <c r="I5171" s="4">
        <v>943980</v>
      </c>
      <c r="J5171" s="4">
        <v>369000</v>
      </c>
    </row>
    <row r="5172" spans="2:10" x14ac:dyDescent="0.3">
      <c r="B5172" s="7">
        <v>44470</v>
      </c>
      <c r="C5172" s="3">
        <f t="shared" si="160"/>
        <v>2021</v>
      </c>
      <c r="D5172" s="3">
        <f t="shared" si="161"/>
        <v>202110</v>
      </c>
      <c r="E5172" s="5" t="s">
        <v>7</v>
      </c>
      <c r="F5172" s="5" t="s">
        <v>56</v>
      </c>
      <c r="G5172" s="5" t="s">
        <v>19</v>
      </c>
      <c r="H5172">
        <v>49</v>
      </c>
      <c r="I5172" s="4">
        <v>801101</v>
      </c>
      <c r="J5172" s="4">
        <v>301350</v>
      </c>
    </row>
    <row r="5173" spans="2:10" x14ac:dyDescent="0.3">
      <c r="B5173" s="7">
        <v>44501</v>
      </c>
      <c r="C5173" s="3">
        <f t="shared" si="160"/>
        <v>2021</v>
      </c>
      <c r="D5173" s="3">
        <f t="shared" si="161"/>
        <v>202111</v>
      </c>
      <c r="E5173" s="5" t="s">
        <v>7</v>
      </c>
      <c r="F5173" s="5" t="s">
        <v>56</v>
      </c>
      <c r="G5173" s="5" t="s">
        <v>19</v>
      </c>
      <c r="H5173">
        <v>35</v>
      </c>
      <c r="I5173" s="4">
        <v>560805</v>
      </c>
      <c r="J5173" s="4">
        <v>215250</v>
      </c>
    </row>
    <row r="5174" spans="2:10" x14ac:dyDescent="0.3">
      <c r="B5174" s="7">
        <v>44531</v>
      </c>
      <c r="C5174" s="3">
        <f t="shared" si="160"/>
        <v>2021</v>
      </c>
      <c r="D5174" s="3">
        <f t="shared" si="161"/>
        <v>202112</v>
      </c>
      <c r="E5174" s="5" t="s">
        <v>7</v>
      </c>
      <c r="F5174" s="5" t="s">
        <v>56</v>
      </c>
      <c r="G5174" s="5" t="s">
        <v>19</v>
      </c>
      <c r="H5174">
        <v>42</v>
      </c>
      <c r="I5174" s="4">
        <v>678342</v>
      </c>
      <c r="J5174" s="4">
        <v>258300</v>
      </c>
    </row>
    <row r="5175" spans="2:10" x14ac:dyDescent="0.3">
      <c r="B5175" s="7">
        <v>44562</v>
      </c>
      <c r="C5175" s="3">
        <f t="shared" si="160"/>
        <v>2022</v>
      </c>
      <c r="D5175" s="3">
        <f t="shared" si="161"/>
        <v>202201</v>
      </c>
      <c r="E5175" s="5" t="s">
        <v>7</v>
      </c>
      <c r="F5175" s="5" t="s">
        <v>56</v>
      </c>
      <c r="G5175" s="5" t="s">
        <v>19</v>
      </c>
      <c r="H5175">
        <v>62</v>
      </c>
      <c r="I5175" s="4">
        <v>1013204</v>
      </c>
      <c r="J5175" s="4">
        <v>381300</v>
      </c>
    </row>
    <row r="5176" spans="2:10" x14ac:dyDescent="0.3">
      <c r="B5176" s="7">
        <v>44593</v>
      </c>
      <c r="C5176" s="3">
        <f t="shared" si="160"/>
        <v>2022</v>
      </c>
      <c r="D5176" s="3">
        <f t="shared" si="161"/>
        <v>202202</v>
      </c>
      <c r="E5176" s="5" t="s">
        <v>7</v>
      </c>
      <c r="F5176" s="5" t="s">
        <v>56</v>
      </c>
      <c r="G5176" s="5" t="s">
        <v>19</v>
      </c>
      <c r="H5176">
        <v>39</v>
      </c>
      <c r="I5176" s="4">
        <v>648531</v>
      </c>
      <c r="J5176" s="4">
        <v>239850</v>
      </c>
    </row>
    <row r="5177" spans="2:10" x14ac:dyDescent="0.3">
      <c r="B5177" s="7">
        <v>44621</v>
      </c>
      <c r="C5177" s="3">
        <f t="shared" si="160"/>
        <v>2022</v>
      </c>
      <c r="D5177" s="3">
        <f t="shared" si="161"/>
        <v>202203</v>
      </c>
      <c r="E5177" s="5" t="s">
        <v>7</v>
      </c>
      <c r="F5177" s="5" t="s">
        <v>56</v>
      </c>
      <c r="G5177" s="5" t="s">
        <v>19</v>
      </c>
      <c r="H5177">
        <v>31</v>
      </c>
      <c r="I5177" s="4">
        <v>489676</v>
      </c>
      <c r="J5177" s="4">
        <v>190650</v>
      </c>
    </row>
    <row r="5178" spans="2:10" x14ac:dyDescent="0.3">
      <c r="B5178" s="7">
        <v>44652</v>
      </c>
      <c r="C5178" s="3">
        <f t="shared" si="160"/>
        <v>2022</v>
      </c>
      <c r="D5178" s="3">
        <f t="shared" si="161"/>
        <v>202204</v>
      </c>
      <c r="E5178" s="5" t="s">
        <v>7</v>
      </c>
      <c r="F5178" s="5" t="s">
        <v>56</v>
      </c>
      <c r="G5178" s="5" t="s">
        <v>19</v>
      </c>
      <c r="H5178">
        <v>58</v>
      </c>
      <c r="I5178" s="4">
        <v>974864</v>
      </c>
      <c r="J5178" s="4">
        <v>356700</v>
      </c>
    </row>
    <row r="5179" spans="2:10" x14ac:dyDescent="0.3">
      <c r="B5179" s="7">
        <v>44682</v>
      </c>
      <c r="C5179" s="3">
        <f t="shared" si="160"/>
        <v>2022</v>
      </c>
      <c r="D5179" s="3">
        <f t="shared" si="161"/>
        <v>202205</v>
      </c>
      <c r="E5179" s="5" t="s">
        <v>7</v>
      </c>
      <c r="F5179" s="5" t="s">
        <v>56</v>
      </c>
      <c r="G5179" s="5" t="s">
        <v>19</v>
      </c>
      <c r="H5179">
        <v>73</v>
      </c>
      <c r="I5179" s="4">
        <v>1243993</v>
      </c>
      <c r="J5179" s="4">
        <v>448950</v>
      </c>
    </row>
    <row r="5180" spans="2:10" x14ac:dyDescent="0.3">
      <c r="B5180" s="7">
        <v>44713</v>
      </c>
      <c r="C5180" s="3">
        <f t="shared" si="160"/>
        <v>2022</v>
      </c>
      <c r="D5180" s="3">
        <f t="shared" si="161"/>
        <v>202206</v>
      </c>
      <c r="E5180" s="5" t="s">
        <v>7</v>
      </c>
      <c r="F5180" s="5" t="s">
        <v>56</v>
      </c>
      <c r="G5180" s="5" t="s">
        <v>19</v>
      </c>
      <c r="H5180">
        <v>69</v>
      </c>
      <c r="I5180" s="4">
        <v>1100205</v>
      </c>
      <c r="J5180" s="4">
        <v>424350</v>
      </c>
    </row>
    <row r="5181" spans="2:10" x14ac:dyDescent="0.3">
      <c r="B5181" s="7">
        <v>44743</v>
      </c>
      <c r="C5181" s="3">
        <f t="shared" si="160"/>
        <v>2022</v>
      </c>
      <c r="D5181" s="3">
        <f t="shared" si="161"/>
        <v>202207</v>
      </c>
      <c r="E5181" s="5" t="s">
        <v>7</v>
      </c>
      <c r="F5181" s="5" t="s">
        <v>56</v>
      </c>
      <c r="G5181" s="5" t="s">
        <v>19</v>
      </c>
      <c r="H5181">
        <v>73</v>
      </c>
      <c r="I5181" s="4">
        <v>1056894</v>
      </c>
      <c r="J5181" s="4">
        <v>448950</v>
      </c>
    </row>
    <row r="5182" spans="2:10" x14ac:dyDescent="0.3">
      <c r="B5182" s="7">
        <v>44774</v>
      </c>
      <c r="C5182" s="3">
        <f t="shared" si="160"/>
        <v>2022</v>
      </c>
      <c r="D5182" s="3">
        <f t="shared" si="161"/>
        <v>202208</v>
      </c>
      <c r="E5182" s="5" t="s">
        <v>7</v>
      </c>
      <c r="F5182" s="5" t="s">
        <v>56</v>
      </c>
      <c r="G5182" s="5" t="s">
        <v>19</v>
      </c>
      <c r="H5182">
        <v>62</v>
      </c>
      <c r="I5182" s="4">
        <v>978918</v>
      </c>
      <c r="J5182" s="4">
        <v>381300</v>
      </c>
    </row>
    <row r="5183" spans="2:10" x14ac:dyDescent="0.3">
      <c r="B5183" s="7">
        <v>44805</v>
      </c>
      <c r="C5183" s="3">
        <f t="shared" si="160"/>
        <v>2022</v>
      </c>
      <c r="D5183" s="3">
        <f t="shared" si="161"/>
        <v>202209</v>
      </c>
      <c r="E5183" s="5" t="s">
        <v>7</v>
      </c>
      <c r="F5183" s="5" t="s">
        <v>56</v>
      </c>
      <c r="G5183" s="5" t="s">
        <v>19</v>
      </c>
      <c r="H5183">
        <v>66</v>
      </c>
      <c r="I5183" s="4">
        <v>1041480</v>
      </c>
      <c r="J5183" s="4">
        <v>405900</v>
      </c>
    </row>
    <row r="5184" spans="2:10" x14ac:dyDescent="0.3">
      <c r="B5184" s="7">
        <v>44835</v>
      </c>
      <c r="C5184" s="3">
        <f t="shared" si="160"/>
        <v>2022</v>
      </c>
      <c r="D5184" s="3">
        <f t="shared" si="161"/>
        <v>202210</v>
      </c>
      <c r="E5184" s="5" t="s">
        <v>7</v>
      </c>
      <c r="F5184" s="5" t="s">
        <v>56</v>
      </c>
      <c r="G5184" s="5" t="s">
        <v>19</v>
      </c>
      <c r="H5184">
        <v>54</v>
      </c>
      <c r="I5184" s="4">
        <v>907092</v>
      </c>
      <c r="J5184" s="4">
        <v>332100</v>
      </c>
    </row>
    <row r="5185" spans="2:10" x14ac:dyDescent="0.3">
      <c r="B5185" s="7">
        <v>44866</v>
      </c>
      <c r="C5185" s="3">
        <f t="shared" si="160"/>
        <v>2022</v>
      </c>
      <c r="D5185" s="3">
        <f t="shared" si="161"/>
        <v>202211</v>
      </c>
      <c r="E5185" s="5" t="s">
        <v>7</v>
      </c>
      <c r="F5185" s="5" t="s">
        <v>56</v>
      </c>
      <c r="G5185" s="5" t="s">
        <v>19</v>
      </c>
      <c r="H5185">
        <v>39</v>
      </c>
      <c r="I5185" s="4">
        <v>625989</v>
      </c>
      <c r="J5185" s="4">
        <v>239850</v>
      </c>
    </row>
    <row r="5186" spans="2:10" x14ac:dyDescent="0.3">
      <c r="B5186" s="7">
        <v>44896</v>
      </c>
      <c r="C5186" s="3">
        <f t="shared" si="160"/>
        <v>2022</v>
      </c>
      <c r="D5186" s="3">
        <f t="shared" si="161"/>
        <v>202212</v>
      </c>
      <c r="E5186" s="5" t="s">
        <v>7</v>
      </c>
      <c r="F5186" s="5" t="s">
        <v>56</v>
      </c>
      <c r="G5186" s="5" t="s">
        <v>19</v>
      </c>
      <c r="H5186">
        <v>46</v>
      </c>
      <c r="I5186" s="4">
        <v>739864</v>
      </c>
      <c r="J5186" s="4">
        <v>282900</v>
      </c>
    </row>
    <row r="5187" spans="2:10" x14ac:dyDescent="0.3">
      <c r="B5187" s="7">
        <v>44197</v>
      </c>
      <c r="C5187" s="3">
        <f t="shared" ref="C5187:C5250" si="162">YEAR(B5187)</f>
        <v>2021</v>
      </c>
      <c r="D5187" s="3">
        <f t="shared" ref="D5187:D5250" si="163">VALUE(TEXT(B5187,"ГГГГММ"))</f>
        <v>202101</v>
      </c>
      <c r="E5187" s="5" t="s">
        <v>7</v>
      </c>
      <c r="F5187" s="5" t="s">
        <v>56</v>
      </c>
      <c r="G5187" s="5" t="s">
        <v>20</v>
      </c>
      <c r="H5187">
        <v>73</v>
      </c>
      <c r="I5187" s="4">
        <v>869138</v>
      </c>
      <c r="J5187" s="4">
        <v>321200</v>
      </c>
    </row>
    <row r="5188" spans="2:10" x14ac:dyDescent="0.3">
      <c r="B5188" s="7">
        <v>44228</v>
      </c>
      <c r="C5188" s="3">
        <f t="shared" si="162"/>
        <v>2021</v>
      </c>
      <c r="D5188" s="3">
        <f t="shared" si="163"/>
        <v>202102</v>
      </c>
      <c r="E5188" s="5" t="s">
        <v>7</v>
      </c>
      <c r="F5188" s="5" t="s">
        <v>56</v>
      </c>
      <c r="G5188" s="5" t="s">
        <v>20</v>
      </c>
      <c r="H5188">
        <v>46</v>
      </c>
      <c r="I5188" s="4">
        <v>558486</v>
      </c>
      <c r="J5188" s="4">
        <v>202400</v>
      </c>
    </row>
    <row r="5189" spans="2:10" x14ac:dyDescent="0.3">
      <c r="B5189" s="7">
        <v>44256</v>
      </c>
      <c r="C5189" s="3">
        <f t="shared" si="162"/>
        <v>2021</v>
      </c>
      <c r="D5189" s="3">
        <f t="shared" si="163"/>
        <v>202103</v>
      </c>
      <c r="E5189" s="5" t="s">
        <v>7</v>
      </c>
      <c r="F5189" s="5" t="s">
        <v>56</v>
      </c>
      <c r="G5189" s="5" t="s">
        <v>20</v>
      </c>
      <c r="H5189">
        <v>37</v>
      </c>
      <c r="I5189" s="4">
        <v>446664</v>
      </c>
      <c r="J5189" s="4">
        <v>162800</v>
      </c>
    </row>
    <row r="5190" spans="2:10" x14ac:dyDescent="0.3">
      <c r="B5190" s="7">
        <v>44287</v>
      </c>
      <c r="C5190" s="3">
        <f t="shared" si="162"/>
        <v>2021</v>
      </c>
      <c r="D5190" s="3">
        <f t="shared" si="163"/>
        <v>202104</v>
      </c>
      <c r="E5190" s="5" t="s">
        <v>7</v>
      </c>
      <c r="F5190" s="5" t="s">
        <v>56</v>
      </c>
      <c r="G5190" s="5" t="s">
        <v>20</v>
      </c>
      <c r="H5190">
        <v>69</v>
      </c>
      <c r="I5190" s="4">
        <v>900174</v>
      </c>
      <c r="J5190" s="4">
        <v>303600</v>
      </c>
    </row>
    <row r="5191" spans="2:10" x14ac:dyDescent="0.3">
      <c r="B5191" s="7">
        <v>44317</v>
      </c>
      <c r="C5191" s="3">
        <f t="shared" si="162"/>
        <v>2021</v>
      </c>
      <c r="D5191" s="3">
        <f t="shared" si="163"/>
        <v>202105</v>
      </c>
      <c r="E5191" s="5" t="s">
        <v>7</v>
      </c>
      <c r="F5191" s="5" t="s">
        <v>56</v>
      </c>
      <c r="G5191" s="5" t="s">
        <v>20</v>
      </c>
      <c r="H5191">
        <v>87</v>
      </c>
      <c r="I5191" s="4">
        <v>1150749</v>
      </c>
      <c r="J5191" s="4">
        <v>382800</v>
      </c>
    </row>
    <row r="5192" spans="2:10" x14ac:dyDescent="0.3">
      <c r="B5192" s="7">
        <v>44348</v>
      </c>
      <c r="C5192" s="3">
        <f t="shared" si="162"/>
        <v>2021</v>
      </c>
      <c r="D5192" s="3">
        <f t="shared" si="163"/>
        <v>202106</v>
      </c>
      <c r="E5192" s="5" t="s">
        <v>7</v>
      </c>
      <c r="F5192" s="5" t="s">
        <v>56</v>
      </c>
      <c r="G5192" s="5" t="s">
        <v>20</v>
      </c>
      <c r="H5192">
        <v>83</v>
      </c>
      <c r="I5192" s="4">
        <v>1021398</v>
      </c>
      <c r="J5192" s="4">
        <v>365200</v>
      </c>
    </row>
    <row r="5193" spans="2:10" x14ac:dyDescent="0.3">
      <c r="B5193" s="7">
        <v>44378</v>
      </c>
      <c r="C5193" s="3">
        <f t="shared" si="162"/>
        <v>2021</v>
      </c>
      <c r="D5193" s="3">
        <f t="shared" si="163"/>
        <v>202107</v>
      </c>
      <c r="E5193" s="5" t="s">
        <v>7</v>
      </c>
      <c r="F5193" s="5" t="s">
        <v>56</v>
      </c>
      <c r="G5193" s="5" t="s">
        <v>20</v>
      </c>
      <c r="H5193">
        <v>87</v>
      </c>
      <c r="I5193" s="4">
        <v>975531</v>
      </c>
      <c r="J5193" s="4">
        <v>382800</v>
      </c>
    </row>
    <row r="5194" spans="2:10" x14ac:dyDescent="0.3">
      <c r="B5194" s="7">
        <v>44409</v>
      </c>
      <c r="C5194" s="3">
        <f t="shared" si="162"/>
        <v>2021</v>
      </c>
      <c r="D5194" s="3">
        <f t="shared" si="163"/>
        <v>202108</v>
      </c>
      <c r="E5194" s="5" t="s">
        <v>7</v>
      </c>
      <c r="F5194" s="5" t="s">
        <v>56</v>
      </c>
      <c r="G5194" s="5" t="s">
        <v>20</v>
      </c>
      <c r="H5194">
        <v>73</v>
      </c>
      <c r="I5194" s="4">
        <v>852494</v>
      </c>
      <c r="J5194" s="4">
        <v>321200</v>
      </c>
    </row>
    <row r="5195" spans="2:10" x14ac:dyDescent="0.3">
      <c r="B5195" s="7">
        <v>44440</v>
      </c>
      <c r="C5195" s="3">
        <f t="shared" si="162"/>
        <v>2021</v>
      </c>
      <c r="D5195" s="3">
        <f t="shared" si="163"/>
        <v>202109</v>
      </c>
      <c r="E5195" s="5" t="s">
        <v>7</v>
      </c>
      <c r="F5195" s="5" t="s">
        <v>56</v>
      </c>
      <c r="G5195" s="5" t="s">
        <v>20</v>
      </c>
      <c r="H5195">
        <v>78</v>
      </c>
      <c r="I5195" s="4">
        <v>904644</v>
      </c>
      <c r="J5195" s="4">
        <v>343200</v>
      </c>
    </row>
    <row r="5196" spans="2:10" x14ac:dyDescent="0.3">
      <c r="B5196" s="7">
        <v>44470</v>
      </c>
      <c r="C5196" s="3">
        <f t="shared" si="162"/>
        <v>2021</v>
      </c>
      <c r="D5196" s="3">
        <f t="shared" si="163"/>
        <v>202110</v>
      </c>
      <c r="E5196" s="5" t="s">
        <v>7</v>
      </c>
      <c r="F5196" s="5" t="s">
        <v>56</v>
      </c>
      <c r="G5196" s="5" t="s">
        <v>20</v>
      </c>
      <c r="H5196">
        <v>64</v>
      </c>
      <c r="I5196" s="4">
        <v>803072</v>
      </c>
      <c r="J5196" s="4">
        <v>281600</v>
      </c>
    </row>
    <row r="5197" spans="2:10" x14ac:dyDescent="0.3">
      <c r="B5197" s="7">
        <v>44501</v>
      </c>
      <c r="C5197" s="3">
        <f t="shared" si="162"/>
        <v>2021</v>
      </c>
      <c r="D5197" s="3">
        <f t="shared" si="163"/>
        <v>202111</v>
      </c>
      <c r="E5197" s="5" t="s">
        <v>7</v>
      </c>
      <c r="F5197" s="5" t="s">
        <v>56</v>
      </c>
      <c r="G5197" s="5" t="s">
        <v>20</v>
      </c>
      <c r="H5197">
        <v>46</v>
      </c>
      <c r="I5197" s="4">
        <v>578818</v>
      </c>
      <c r="J5197" s="4">
        <v>202400</v>
      </c>
    </row>
    <row r="5198" spans="2:10" x14ac:dyDescent="0.3">
      <c r="B5198" s="7">
        <v>44531</v>
      </c>
      <c r="C5198" s="3">
        <f t="shared" si="162"/>
        <v>2021</v>
      </c>
      <c r="D5198" s="3">
        <f t="shared" si="163"/>
        <v>202112</v>
      </c>
      <c r="E5198" s="5" t="s">
        <v>7</v>
      </c>
      <c r="F5198" s="5" t="s">
        <v>56</v>
      </c>
      <c r="G5198" s="5" t="s">
        <v>20</v>
      </c>
      <c r="H5198">
        <v>55</v>
      </c>
      <c r="I5198" s="4">
        <v>630080</v>
      </c>
      <c r="J5198" s="4">
        <v>242000</v>
      </c>
    </row>
    <row r="5199" spans="2:10" x14ac:dyDescent="0.3">
      <c r="B5199" s="7">
        <v>44562</v>
      </c>
      <c r="C5199" s="3">
        <f t="shared" si="162"/>
        <v>2022</v>
      </c>
      <c r="D5199" s="3">
        <f t="shared" si="163"/>
        <v>202201</v>
      </c>
      <c r="E5199" s="5" t="s">
        <v>7</v>
      </c>
      <c r="F5199" s="5" t="s">
        <v>56</v>
      </c>
      <c r="G5199" s="5" t="s">
        <v>20</v>
      </c>
      <c r="H5199">
        <v>81</v>
      </c>
      <c r="I5199" s="4">
        <v>987471</v>
      </c>
      <c r="J5199" s="4">
        <v>356400</v>
      </c>
    </row>
    <row r="5200" spans="2:10" x14ac:dyDescent="0.3">
      <c r="B5200" s="7">
        <v>44593</v>
      </c>
      <c r="C5200" s="3">
        <f t="shared" si="162"/>
        <v>2022</v>
      </c>
      <c r="D5200" s="3">
        <f t="shared" si="163"/>
        <v>202202</v>
      </c>
      <c r="E5200" s="5" t="s">
        <v>7</v>
      </c>
      <c r="F5200" s="5" t="s">
        <v>56</v>
      </c>
      <c r="G5200" s="5" t="s">
        <v>20</v>
      </c>
      <c r="H5200">
        <v>51</v>
      </c>
      <c r="I5200" s="4">
        <v>660093</v>
      </c>
      <c r="J5200" s="4">
        <v>224400</v>
      </c>
    </row>
    <row r="5201" spans="2:10" x14ac:dyDescent="0.3">
      <c r="B5201" s="7">
        <v>44621</v>
      </c>
      <c r="C5201" s="3">
        <f t="shared" si="162"/>
        <v>2022</v>
      </c>
      <c r="D5201" s="3">
        <f t="shared" si="163"/>
        <v>202203</v>
      </c>
      <c r="E5201" s="5" t="s">
        <v>7</v>
      </c>
      <c r="F5201" s="5" t="s">
        <v>56</v>
      </c>
      <c r="G5201" s="5" t="s">
        <v>20</v>
      </c>
      <c r="H5201">
        <v>41</v>
      </c>
      <c r="I5201" s="4">
        <v>498437</v>
      </c>
      <c r="J5201" s="4">
        <v>180400</v>
      </c>
    </row>
    <row r="5202" spans="2:10" x14ac:dyDescent="0.3">
      <c r="B5202" s="7">
        <v>44652</v>
      </c>
      <c r="C5202" s="3">
        <f t="shared" si="162"/>
        <v>2022</v>
      </c>
      <c r="D5202" s="3">
        <f t="shared" si="163"/>
        <v>202204</v>
      </c>
      <c r="E5202" s="5" t="s">
        <v>7</v>
      </c>
      <c r="F5202" s="5" t="s">
        <v>56</v>
      </c>
      <c r="G5202" s="5" t="s">
        <v>20</v>
      </c>
      <c r="H5202">
        <v>76</v>
      </c>
      <c r="I5202" s="4">
        <v>983440</v>
      </c>
      <c r="J5202" s="4">
        <v>334400</v>
      </c>
    </row>
    <row r="5203" spans="2:10" x14ac:dyDescent="0.3">
      <c r="B5203" s="7">
        <v>44682</v>
      </c>
      <c r="C5203" s="3">
        <f t="shared" si="162"/>
        <v>2022</v>
      </c>
      <c r="D5203" s="3">
        <f t="shared" si="163"/>
        <v>202205</v>
      </c>
      <c r="E5203" s="5" t="s">
        <v>7</v>
      </c>
      <c r="F5203" s="5" t="s">
        <v>56</v>
      </c>
      <c r="G5203" s="5" t="s">
        <v>20</v>
      </c>
      <c r="H5203">
        <v>96</v>
      </c>
      <c r="I5203" s="4">
        <v>1289280</v>
      </c>
      <c r="J5203" s="4">
        <v>422400</v>
      </c>
    </row>
    <row r="5204" spans="2:10" x14ac:dyDescent="0.3">
      <c r="B5204" s="7">
        <v>44713</v>
      </c>
      <c r="C5204" s="3">
        <f t="shared" si="162"/>
        <v>2022</v>
      </c>
      <c r="D5204" s="3">
        <f t="shared" si="163"/>
        <v>202206</v>
      </c>
      <c r="E5204" s="5" t="s">
        <v>7</v>
      </c>
      <c r="F5204" s="5" t="s">
        <v>56</v>
      </c>
      <c r="G5204" s="5" t="s">
        <v>20</v>
      </c>
      <c r="H5204">
        <v>91</v>
      </c>
      <c r="I5204" s="4">
        <v>1136317</v>
      </c>
      <c r="J5204" s="4">
        <v>400400</v>
      </c>
    </row>
    <row r="5205" spans="2:10" x14ac:dyDescent="0.3">
      <c r="B5205" s="7">
        <v>44743</v>
      </c>
      <c r="C5205" s="3">
        <f t="shared" si="162"/>
        <v>2022</v>
      </c>
      <c r="D5205" s="3">
        <f t="shared" si="163"/>
        <v>202207</v>
      </c>
      <c r="E5205" s="5" t="s">
        <v>7</v>
      </c>
      <c r="F5205" s="5" t="s">
        <v>56</v>
      </c>
      <c r="G5205" s="5" t="s">
        <v>20</v>
      </c>
      <c r="H5205">
        <v>96</v>
      </c>
      <c r="I5205" s="4">
        <v>1017888</v>
      </c>
      <c r="J5205" s="4">
        <v>422400</v>
      </c>
    </row>
    <row r="5206" spans="2:10" x14ac:dyDescent="0.3">
      <c r="B5206" s="7">
        <v>44774</v>
      </c>
      <c r="C5206" s="3">
        <f t="shared" si="162"/>
        <v>2022</v>
      </c>
      <c r="D5206" s="3">
        <f t="shared" si="163"/>
        <v>202208</v>
      </c>
      <c r="E5206" s="5" t="s">
        <v>7</v>
      </c>
      <c r="F5206" s="5" t="s">
        <v>56</v>
      </c>
      <c r="G5206" s="5" t="s">
        <v>20</v>
      </c>
      <c r="H5206">
        <v>81</v>
      </c>
      <c r="I5206" s="4">
        <v>964305</v>
      </c>
      <c r="J5206" s="4">
        <v>356400</v>
      </c>
    </row>
    <row r="5207" spans="2:10" x14ac:dyDescent="0.3">
      <c r="B5207" s="7">
        <v>44805</v>
      </c>
      <c r="C5207" s="3">
        <f t="shared" si="162"/>
        <v>2022</v>
      </c>
      <c r="D5207" s="3">
        <f t="shared" si="163"/>
        <v>202209</v>
      </c>
      <c r="E5207" s="5" t="s">
        <v>7</v>
      </c>
      <c r="F5207" s="5" t="s">
        <v>56</v>
      </c>
      <c r="G5207" s="5" t="s">
        <v>20</v>
      </c>
      <c r="H5207">
        <v>86</v>
      </c>
      <c r="I5207" s="4">
        <v>994934</v>
      </c>
      <c r="J5207" s="4">
        <v>378400</v>
      </c>
    </row>
    <row r="5208" spans="2:10" x14ac:dyDescent="0.3">
      <c r="B5208" s="7">
        <v>44835</v>
      </c>
      <c r="C5208" s="3">
        <f t="shared" si="162"/>
        <v>2022</v>
      </c>
      <c r="D5208" s="3">
        <f t="shared" si="163"/>
        <v>202210</v>
      </c>
      <c r="E5208" s="5" t="s">
        <v>7</v>
      </c>
      <c r="F5208" s="5" t="s">
        <v>56</v>
      </c>
      <c r="G5208" s="5" t="s">
        <v>20</v>
      </c>
      <c r="H5208">
        <v>71</v>
      </c>
      <c r="I5208" s="4">
        <v>902907</v>
      </c>
      <c r="J5208" s="4">
        <v>312400</v>
      </c>
    </row>
    <row r="5209" spans="2:10" x14ac:dyDescent="0.3">
      <c r="B5209" s="7">
        <v>44866</v>
      </c>
      <c r="C5209" s="3">
        <f t="shared" si="162"/>
        <v>2022</v>
      </c>
      <c r="D5209" s="3">
        <f t="shared" si="163"/>
        <v>202211</v>
      </c>
      <c r="E5209" s="5" t="s">
        <v>7</v>
      </c>
      <c r="F5209" s="5" t="s">
        <v>56</v>
      </c>
      <c r="G5209" s="5" t="s">
        <v>20</v>
      </c>
      <c r="H5209">
        <v>51</v>
      </c>
      <c r="I5209" s="4">
        <v>625158</v>
      </c>
      <c r="J5209" s="4">
        <v>224400</v>
      </c>
    </row>
    <row r="5210" spans="2:10" x14ac:dyDescent="0.3">
      <c r="B5210" s="7">
        <v>44896</v>
      </c>
      <c r="C5210" s="3">
        <f t="shared" si="162"/>
        <v>2022</v>
      </c>
      <c r="D5210" s="3">
        <f t="shared" si="163"/>
        <v>202212</v>
      </c>
      <c r="E5210" s="5" t="s">
        <v>7</v>
      </c>
      <c r="F5210" s="5" t="s">
        <v>56</v>
      </c>
      <c r="G5210" s="5" t="s">
        <v>20</v>
      </c>
      <c r="H5210">
        <v>61</v>
      </c>
      <c r="I5210" s="4">
        <v>700646</v>
      </c>
      <c r="J5210" s="4">
        <v>268400</v>
      </c>
    </row>
    <row r="5211" spans="2:10" x14ac:dyDescent="0.3">
      <c r="B5211" s="7">
        <v>44197</v>
      </c>
      <c r="C5211" s="3">
        <f t="shared" si="162"/>
        <v>2021</v>
      </c>
      <c r="D5211" s="3">
        <f t="shared" si="163"/>
        <v>202101</v>
      </c>
      <c r="E5211" s="5" t="s">
        <v>7</v>
      </c>
      <c r="F5211" s="5" t="s">
        <v>9</v>
      </c>
      <c r="G5211" s="5" t="s">
        <v>21</v>
      </c>
      <c r="H5211">
        <v>37</v>
      </c>
      <c r="I5211" s="4">
        <v>192437</v>
      </c>
      <c r="J5211" s="4">
        <v>67081</v>
      </c>
    </row>
    <row r="5212" spans="2:10" x14ac:dyDescent="0.3">
      <c r="B5212" s="7">
        <v>44228</v>
      </c>
      <c r="C5212" s="3">
        <f t="shared" si="162"/>
        <v>2021</v>
      </c>
      <c r="D5212" s="3">
        <f t="shared" si="163"/>
        <v>202102</v>
      </c>
      <c r="E5212" s="5" t="s">
        <v>7</v>
      </c>
      <c r="F5212" s="5" t="s">
        <v>9</v>
      </c>
      <c r="G5212" s="5" t="s">
        <v>21</v>
      </c>
      <c r="H5212">
        <v>23</v>
      </c>
      <c r="I5212" s="4">
        <v>113183</v>
      </c>
      <c r="J5212" s="4">
        <v>41699</v>
      </c>
    </row>
    <row r="5213" spans="2:10" x14ac:dyDescent="0.3">
      <c r="B5213" s="7">
        <v>44256</v>
      </c>
      <c r="C5213" s="3">
        <f t="shared" si="162"/>
        <v>2021</v>
      </c>
      <c r="D5213" s="3">
        <f t="shared" si="163"/>
        <v>202103</v>
      </c>
      <c r="E5213" s="5" t="s">
        <v>7</v>
      </c>
      <c r="F5213" s="5" t="s">
        <v>9</v>
      </c>
      <c r="G5213" s="5" t="s">
        <v>21</v>
      </c>
      <c r="H5213">
        <v>19</v>
      </c>
      <c r="I5213" s="4">
        <v>80921</v>
      </c>
      <c r="J5213" s="4">
        <v>34447</v>
      </c>
    </row>
    <row r="5214" spans="2:10" x14ac:dyDescent="0.3">
      <c r="B5214" s="7">
        <v>44287</v>
      </c>
      <c r="C5214" s="3">
        <f t="shared" si="162"/>
        <v>2021</v>
      </c>
      <c r="D5214" s="3">
        <f t="shared" si="163"/>
        <v>202104</v>
      </c>
      <c r="E5214" s="5" t="s">
        <v>7</v>
      </c>
      <c r="F5214" s="5" t="s">
        <v>9</v>
      </c>
      <c r="G5214" s="5" t="s">
        <v>21</v>
      </c>
      <c r="H5214">
        <v>35</v>
      </c>
      <c r="I5214" s="4">
        <v>199325</v>
      </c>
      <c r="J5214" s="4">
        <v>63455</v>
      </c>
    </row>
    <row r="5215" spans="2:10" x14ac:dyDescent="0.3">
      <c r="B5215" s="7">
        <v>44317</v>
      </c>
      <c r="C5215" s="3">
        <f t="shared" si="162"/>
        <v>2021</v>
      </c>
      <c r="D5215" s="3">
        <f t="shared" si="163"/>
        <v>202105</v>
      </c>
      <c r="E5215" s="5" t="s">
        <v>7</v>
      </c>
      <c r="F5215" s="5" t="s">
        <v>9</v>
      </c>
      <c r="G5215" s="5" t="s">
        <v>21</v>
      </c>
      <c r="H5215">
        <v>44</v>
      </c>
      <c r="I5215" s="4">
        <v>244596</v>
      </c>
      <c r="J5215" s="4">
        <v>79772</v>
      </c>
    </row>
    <row r="5216" spans="2:10" x14ac:dyDescent="0.3">
      <c r="B5216" s="7">
        <v>44348</v>
      </c>
      <c r="C5216" s="3">
        <f t="shared" si="162"/>
        <v>2021</v>
      </c>
      <c r="D5216" s="3">
        <f t="shared" si="163"/>
        <v>202106</v>
      </c>
      <c r="E5216" s="5" t="s">
        <v>7</v>
      </c>
      <c r="F5216" s="5" t="s">
        <v>9</v>
      </c>
      <c r="G5216" s="5" t="s">
        <v>21</v>
      </c>
      <c r="H5216">
        <v>42</v>
      </c>
      <c r="I5216" s="4">
        <v>205422</v>
      </c>
      <c r="J5216" s="4">
        <v>76146</v>
      </c>
    </row>
    <row r="5217" spans="2:10" x14ac:dyDescent="0.3">
      <c r="B5217" s="7">
        <v>44378</v>
      </c>
      <c r="C5217" s="3">
        <f t="shared" si="162"/>
        <v>2021</v>
      </c>
      <c r="D5217" s="3">
        <f t="shared" si="163"/>
        <v>202107</v>
      </c>
      <c r="E5217" s="5" t="s">
        <v>7</v>
      </c>
      <c r="F5217" s="5" t="s">
        <v>9</v>
      </c>
      <c r="G5217" s="5" t="s">
        <v>21</v>
      </c>
      <c r="H5217">
        <v>44</v>
      </c>
      <c r="I5217" s="4">
        <v>180444</v>
      </c>
      <c r="J5217" s="4">
        <v>79772</v>
      </c>
    </row>
    <row r="5218" spans="2:10" x14ac:dyDescent="0.3">
      <c r="B5218" s="7">
        <v>44409</v>
      </c>
      <c r="C5218" s="3">
        <f t="shared" si="162"/>
        <v>2021</v>
      </c>
      <c r="D5218" s="3">
        <f t="shared" si="163"/>
        <v>202108</v>
      </c>
      <c r="E5218" s="5" t="s">
        <v>7</v>
      </c>
      <c r="F5218" s="5" t="s">
        <v>9</v>
      </c>
      <c r="G5218" s="5" t="s">
        <v>21</v>
      </c>
      <c r="H5218">
        <v>37</v>
      </c>
      <c r="I5218" s="4">
        <v>171754</v>
      </c>
      <c r="J5218" s="4">
        <v>67081</v>
      </c>
    </row>
    <row r="5219" spans="2:10" x14ac:dyDescent="0.3">
      <c r="B5219" s="7">
        <v>44440</v>
      </c>
      <c r="C5219" s="3">
        <f t="shared" si="162"/>
        <v>2021</v>
      </c>
      <c r="D5219" s="3">
        <f t="shared" si="163"/>
        <v>202109</v>
      </c>
      <c r="E5219" s="5" t="s">
        <v>7</v>
      </c>
      <c r="F5219" s="5" t="s">
        <v>9</v>
      </c>
      <c r="G5219" s="5" t="s">
        <v>21</v>
      </c>
      <c r="H5219">
        <v>40</v>
      </c>
      <c r="I5219" s="4">
        <v>196360</v>
      </c>
      <c r="J5219" s="4">
        <v>72520</v>
      </c>
    </row>
    <row r="5220" spans="2:10" x14ac:dyDescent="0.3">
      <c r="B5220" s="7">
        <v>44470</v>
      </c>
      <c r="C5220" s="3">
        <f t="shared" si="162"/>
        <v>2021</v>
      </c>
      <c r="D5220" s="3">
        <f t="shared" si="163"/>
        <v>202110</v>
      </c>
      <c r="E5220" s="5" t="s">
        <v>7</v>
      </c>
      <c r="F5220" s="5" t="s">
        <v>9</v>
      </c>
      <c r="G5220" s="5" t="s">
        <v>21</v>
      </c>
      <c r="H5220">
        <v>33</v>
      </c>
      <c r="I5220" s="4">
        <v>169818</v>
      </c>
      <c r="J5220" s="4">
        <v>59829</v>
      </c>
    </row>
    <row r="5221" spans="2:10" x14ac:dyDescent="0.3">
      <c r="B5221" s="7">
        <v>44501</v>
      </c>
      <c r="C5221" s="3">
        <f t="shared" si="162"/>
        <v>2021</v>
      </c>
      <c r="D5221" s="3">
        <f t="shared" si="163"/>
        <v>202111</v>
      </c>
      <c r="E5221" s="5" t="s">
        <v>7</v>
      </c>
      <c r="F5221" s="5" t="s">
        <v>9</v>
      </c>
      <c r="G5221" s="5" t="s">
        <v>21</v>
      </c>
      <c r="H5221">
        <v>23</v>
      </c>
      <c r="I5221" s="4">
        <v>117507</v>
      </c>
      <c r="J5221" s="4">
        <v>41699</v>
      </c>
    </row>
    <row r="5222" spans="2:10" x14ac:dyDescent="0.3">
      <c r="B5222" s="7">
        <v>44531</v>
      </c>
      <c r="C5222" s="3">
        <f t="shared" si="162"/>
        <v>2021</v>
      </c>
      <c r="D5222" s="3">
        <f t="shared" si="163"/>
        <v>202112</v>
      </c>
      <c r="E5222" s="5" t="s">
        <v>7</v>
      </c>
      <c r="F5222" s="5" t="s">
        <v>9</v>
      </c>
      <c r="G5222" s="5" t="s">
        <v>21</v>
      </c>
      <c r="H5222">
        <v>28</v>
      </c>
      <c r="I5222" s="4">
        <v>130200</v>
      </c>
      <c r="J5222" s="4">
        <v>50764</v>
      </c>
    </row>
    <row r="5223" spans="2:10" x14ac:dyDescent="0.3">
      <c r="B5223" s="7">
        <v>44562</v>
      </c>
      <c r="C5223" s="3">
        <f t="shared" si="162"/>
        <v>2022</v>
      </c>
      <c r="D5223" s="3">
        <f t="shared" si="163"/>
        <v>202201</v>
      </c>
      <c r="E5223" s="5" t="s">
        <v>7</v>
      </c>
      <c r="F5223" s="5" t="s">
        <v>9</v>
      </c>
      <c r="G5223" s="5" t="s">
        <v>21</v>
      </c>
      <c r="H5223">
        <v>41</v>
      </c>
      <c r="I5223" s="4">
        <v>217505</v>
      </c>
      <c r="J5223" s="4">
        <v>74333</v>
      </c>
    </row>
    <row r="5224" spans="2:10" x14ac:dyDescent="0.3">
      <c r="B5224" s="7">
        <v>44593</v>
      </c>
      <c r="C5224" s="3">
        <f t="shared" si="162"/>
        <v>2022</v>
      </c>
      <c r="D5224" s="3">
        <f t="shared" si="163"/>
        <v>202202</v>
      </c>
      <c r="E5224" s="5" t="s">
        <v>7</v>
      </c>
      <c r="F5224" s="5" t="s">
        <v>9</v>
      </c>
      <c r="G5224" s="5" t="s">
        <v>21</v>
      </c>
      <c r="H5224">
        <v>26</v>
      </c>
      <c r="I5224" s="4">
        <v>139724</v>
      </c>
      <c r="J5224" s="4">
        <v>47138</v>
      </c>
    </row>
    <row r="5225" spans="2:10" x14ac:dyDescent="0.3">
      <c r="B5225" s="7">
        <v>44621</v>
      </c>
      <c r="C5225" s="3">
        <f t="shared" si="162"/>
        <v>2022</v>
      </c>
      <c r="D5225" s="3">
        <f t="shared" si="163"/>
        <v>202203</v>
      </c>
      <c r="E5225" s="5" t="s">
        <v>7</v>
      </c>
      <c r="F5225" s="5" t="s">
        <v>9</v>
      </c>
      <c r="G5225" s="5" t="s">
        <v>21</v>
      </c>
      <c r="H5225">
        <v>21</v>
      </c>
      <c r="I5225" s="4">
        <v>96054</v>
      </c>
      <c r="J5225" s="4">
        <v>38073</v>
      </c>
    </row>
    <row r="5226" spans="2:10" x14ac:dyDescent="0.3">
      <c r="B5226" s="7">
        <v>44652</v>
      </c>
      <c r="C5226" s="3">
        <f t="shared" si="162"/>
        <v>2022</v>
      </c>
      <c r="D5226" s="3">
        <f t="shared" si="163"/>
        <v>202204</v>
      </c>
      <c r="E5226" s="5" t="s">
        <v>7</v>
      </c>
      <c r="F5226" s="5" t="s">
        <v>9</v>
      </c>
      <c r="G5226" s="5" t="s">
        <v>21</v>
      </c>
      <c r="H5226">
        <v>38</v>
      </c>
      <c r="I5226" s="4">
        <v>215004</v>
      </c>
      <c r="J5226" s="4">
        <v>68894</v>
      </c>
    </row>
    <row r="5227" spans="2:10" x14ac:dyDescent="0.3">
      <c r="B5227" s="7">
        <v>44682</v>
      </c>
      <c r="C5227" s="3">
        <f t="shared" si="162"/>
        <v>2022</v>
      </c>
      <c r="D5227" s="3">
        <f t="shared" si="163"/>
        <v>202205</v>
      </c>
      <c r="E5227" s="5" t="s">
        <v>7</v>
      </c>
      <c r="F5227" s="5" t="s">
        <v>9</v>
      </c>
      <c r="G5227" s="5" t="s">
        <v>21</v>
      </c>
      <c r="H5227">
        <v>49</v>
      </c>
      <c r="I5227" s="4">
        <v>271117</v>
      </c>
      <c r="J5227" s="4">
        <v>88837</v>
      </c>
    </row>
    <row r="5228" spans="2:10" x14ac:dyDescent="0.3">
      <c r="B5228" s="7">
        <v>44713</v>
      </c>
      <c r="C5228" s="3">
        <f t="shared" si="162"/>
        <v>2022</v>
      </c>
      <c r="D5228" s="3">
        <f t="shared" si="163"/>
        <v>202206</v>
      </c>
      <c r="E5228" s="5" t="s">
        <v>7</v>
      </c>
      <c r="F5228" s="5" t="s">
        <v>9</v>
      </c>
      <c r="G5228" s="5" t="s">
        <v>21</v>
      </c>
      <c r="H5228">
        <v>46</v>
      </c>
      <c r="I5228" s="4">
        <v>221122</v>
      </c>
      <c r="J5228" s="4">
        <v>83398</v>
      </c>
    </row>
    <row r="5229" spans="2:10" x14ac:dyDescent="0.3">
      <c r="B5229" s="7">
        <v>44743</v>
      </c>
      <c r="C5229" s="3">
        <f t="shared" si="162"/>
        <v>2022</v>
      </c>
      <c r="D5229" s="3">
        <f t="shared" si="163"/>
        <v>202207</v>
      </c>
      <c r="E5229" s="5" t="s">
        <v>7</v>
      </c>
      <c r="F5229" s="5" t="s">
        <v>9</v>
      </c>
      <c r="G5229" s="5" t="s">
        <v>21</v>
      </c>
      <c r="H5229">
        <v>49</v>
      </c>
      <c r="I5229" s="4">
        <v>163905</v>
      </c>
      <c r="J5229" s="4">
        <v>88837</v>
      </c>
    </row>
    <row r="5230" spans="2:10" x14ac:dyDescent="0.3">
      <c r="B5230" s="7">
        <v>44774</v>
      </c>
      <c r="C5230" s="3">
        <f t="shared" si="162"/>
        <v>2022</v>
      </c>
      <c r="D5230" s="3">
        <f t="shared" si="163"/>
        <v>202208</v>
      </c>
      <c r="E5230" s="5" t="s">
        <v>7</v>
      </c>
      <c r="F5230" s="5" t="s">
        <v>9</v>
      </c>
      <c r="G5230" s="5" t="s">
        <v>21</v>
      </c>
      <c r="H5230">
        <v>41</v>
      </c>
      <c r="I5230" s="4">
        <v>176997</v>
      </c>
      <c r="J5230" s="4">
        <v>74333</v>
      </c>
    </row>
    <row r="5231" spans="2:10" x14ac:dyDescent="0.3">
      <c r="B5231" s="7">
        <v>44805</v>
      </c>
      <c r="C5231" s="3">
        <f t="shared" si="162"/>
        <v>2022</v>
      </c>
      <c r="D5231" s="3">
        <f t="shared" si="163"/>
        <v>202209</v>
      </c>
      <c r="E5231" s="5" t="s">
        <v>7</v>
      </c>
      <c r="F5231" s="5" t="s">
        <v>9</v>
      </c>
      <c r="G5231" s="5" t="s">
        <v>21</v>
      </c>
      <c r="H5231">
        <v>44</v>
      </c>
      <c r="I5231" s="4">
        <v>196900</v>
      </c>
      <c r="J5231" s="4">
        <v>79772</v>
      </c>
    </row>
    <row r="5232" spans="2:10" x14ac:dyDescent="0.3">
      <c r="B5232" s="7">
        <v>44835</v>
      </c>
      <c r="C5232" s="3">
        <f t="shared" si="162"/>
        <v>2022</v>
      </c>
      <c r="D5232" s="3">
        <f t="shared" si="163"/>
        <v>202210</v>
      </c>
      <c r="E5232" s="5" t="s">
        <v>7</v>
      </c>
      <c r="F5232" s="5" t="s">
        <v>9</v>
      </c>
      <c r="G5232" s="5" t="s">
        <v>21</v>
      </c>
      <c r="H5232">
        <v>36</v>
      </c>
      <c r="I5232" s="4">
        <v>195948</v>
      </c>
      <c r="J5232" s="4">
        <v>65268</v>
      </c>
    </row>
    <row r="5233" spans="2:10" x14ac:dyDescent="0.3">
      <c r="B5233" s="7">
        <v>44866</v>
      </c>
      <c r="C5233" s="3">
        <f t="shared" si="162"/>
        <v>2022</v>
      </c>
      <c r="D5233" s="3">
        <f t="shared" si="163"/>
        <v>202211</v>
      </c>
      <c r="E5233" s="5" t="s">
        <v>7</v>
      </c>
      <c r="F5233" s="5" t="s">
        <v>9</v>
      </c>
      <c r="G5233" s="5" t="s">
        <v>21</v>
      </c>
      <c r="H5233">
        <v>26</v>
      </c>
      <c r="I5233" s="4">
        <v>123656</v>
      </c>
      <c r="J5233" s="4">
        <v>47138</v>
      </c>
    </row>
    <row r="5234" spans="2:10" x14ac:dyDescent="0.3">
      <c r="B5234" s="7">
        <v>44896</v>
      </c>
      <c r="C5234" s="3">
        <f t="shared" si="162"/>
        <v>2022</v>
      </c>
      <c r="D5234" s="3">
        <f t="shared" si="163"/>
        <v>202212</v>
      </c>
      <c r="E5234" s="5" t="s">
        <v>7</v>
      </c>
      <c r="F5234" s="5" t="s">
        <v>9</v>
      </c>
      <c r="G5234" s="5" t="s">
        <v>21</v>
      </c>
      <c r="H5234">
        <v>31</v>
      </c>
      <c r="I5234" s="4">
        <v>128929</v>
      </c>
      <c r="J5234" s="4">
        <v>56203</v>
      </c>
    </row>
    <row r="5235" spans="2:10" x14ac:dyDescent="0.3">
      <c r="B5235" s="7">
        <v>44197</v>
      </c>
      <c r="C5235" s="3">
        <f t="shared" si="162"/>
        <v>2021</v>
      </c>
      <c r="D5235" s="3">
        <f t="shared" si="163"/>
        <v>202101</v>
      </c>
      <c r="E5235" s="5" t="s">
        <v>7</v>
      </c>
      <c r="F5235" s="5" t="s">
        <v>9</v>
      </c>
      <c r="G5235" s="5" t="s">
        <v>22</v>
      </c>
      <c r="H5235">
        <v>29</v>
      </c>
      <c r="I5235" s="4">
        <v>112926</v>
      </c>
      <c r="J5235" s="4">
        <v>33350</v>
      </c>
    </row>
    <row r="5236" spans="2:10" x14ac:dyDescent="0.3">
      <c r="B5236" s="7">
        <v>44228</v>
      </c>
      <c r="C5236" s="3">
        <f t="shared" si="162"/>
        <v>2021</v>
      </c>
      <c r="D5236" s="3">
        <f t="shared" si="163"/>
        <v>202102</v>
      </c>
      <c r="E5236" s="5" t="s">
        <v>7</v>
      </c>
      <c r="F5236" s="5" t="s">
        <v>9</v>
      </c>
      <c r="G5236" s="5" t="s">
        <v>22</v>
      </c>
      <c r="H5236">
        <v>18</v>
      </c>
      <c r="I5236" s="4">
        <v>72936</v>
      </c>
      <c r="J5236" s="4">
        <v>20700</v>
      </c>
    </row>
    <row r="5237" spans="2:10" x14ac:dyDescent="0.3">
      <c r="B5237" s="7">
        <v>44256</v>
      </c>
      <c r="C5237" s="3">
        <f t="shared" si="162"/>
        <v>2021</v>
      </c>
      <c r="D5237" s="3">
        <f t="shared" si="163"/>
        <v>202103</v>
      </c>
      <c r="E5237" s="5" t="s">
        <v>7</v>
      </c>
      <c r="F5237" s="5" t="s">
        <v>9</v>
      </c>
      <c r="G5237" s="5" t="s">
        <v>22</v>
      </c>
      <c r="H5237">
        <v>15</v>
      </c>
      <c r="I5237" s="4">
        <v>41175</v>
      </c>
      <c r="J5237" s="4">
        <v>17250</v>
      </c>
    </row>
    <row r="5238" spans="2:10" x14ac:dyDescent="0.3">
      <c r="B5238" s="7">
        <v>44287</v>
      </c>
      <c r="C5238" s="3">
        <f t="shared" si="162"/>
        <v>2021</v>
      </c>
      <c r="D5238" s="3">
        <f t="shared" si="163"/>
        <v>202104</v>
      </c>
      <c r="E5238" s="5" t="s">
        <v>7</v>
      </c>
      <c r="F5238" s="5" t="s">
        <v>9</v>
      </c>
      <c r="G5238" s="5" t="s">
        <v>22</v>
      </c>
      <c r="H5238">
        <v>27</v>
      </c>
      <c r="I5238" s="4">
        <v>108027</v>
      </c>
      <c r="J5238" s="4">
        <v>31050</v>
      </c>
    </row>
    <row r="5239" spans="2:10" x14ac:dyDescent="0.3">
      <c r="B5239" s="7">
        <v>44317</v>
      </c>
      <c r="C5239" s="3">
        <f t="shared" si="162"/>
        <v>2021</v>
      </c>
      <c r="D5239" s="3">
        <f t="shared" si="163"/>
        <v>202105</v>
      </c>
      <c r="E5239" s="5" t="s">
        <v>7</v>
      </c>
      <c r="F5239" s="5" t="s">
        <v>9</v>
      </c>
      <c r="G5239" s="5" t="s">
        <v>22</v>
      </c>
      <c r="H5239">
        <v>35</v>
      </c>
      <c r="I5239" s="4">
        <v>163765</v>
      </c>
      <c r="J5239" s="4">
        <v>40250</v>
      </c>
    </row>
    <row r="5240" spans="2:10" x14ac:dyDescent="0.3">
      <c r="B5240" s="7">
        <v>44348</v>
      </c>
      <c r="C5240" s="3">
        <f t="shared" si="162"/>
        <v>2021</v>
      </c>
      <c r="D5240" s="3">
        <f t="shared" si="163"/>
        <v>202106</v>
      </c>
      <c r="E5240" s="5" t="s">
        <v>7</v>
      </c>
      <c r="F5240" s="5" t="s">
        <v>9</v>
      </c>
      <c r="G5240" s="5" t="s">
        <v>22</v>
      </c>
      <c r="H5240">
        <v>33</v>
      </c>
      <c r="I5240" s="4">
        <v>128832</v>
      </c>
      <c r="J5240" s="4">
        <v>37950</v>
      </c>
    </row>
    <row r="5241" spans="2:10" x14ac:dyDescent="0.3">
      <c r="B5241" s="7">
        <v>44378</v>
      </c>
      <c r="C5241" s="3">
        <f t="shared" si="162"/>
        <v>2021</v>
      </c>
      <c r="D5241" s="3">
        <f t="shared" si="163"/>
        <v>202107</v>
      </c>
      <c r="E5241" s="5" t="s">
        <v>7</v>
      </c>
      <c r="F5241" s="5" t="s">
        <v>9</v>
      </c>
      <c r="G5241" s="5" t="s">
        <v>22</v>
      </c>
      <c r="H5241">
        <v>35</v>
      </c>
      <c r="I5241" s="4">
        <v>70525</v>
      </c>
      <c r="J5241" s="4">
        <v>40250</v>
      </c>
    </row>
    <row r="5242" spans="2:10" x14ac:dyDescent="0.3">
      <c r="B5242" s="7">
        <v>44409</v>
      </c>
      <c r="C5242" s="3">
        <f t="shared" si="162"/>
        <v>2021</v>
      </c>
      <c r="D5242" s="3">
        <f t="shared" si="163"/>
        <v>202108</v>
      </c>
      <c r="E5242" s="5" t="s">
        <v>7</v>
      </c>
      <c r="F5242" s="5" t="s">
        <v>9</v>
      </c>
      <c r="G5242" s="5" t="s">
        <v>22</v>
      </c>
      <c r="H5242">
        <v>29</v>
      </c>
      <c r="I5242" s="4">
        <v>90248</v>
      </c>
      <c r="J5242" s="4">
        <v>33350</v>
      </c>
    </row>
    <row r="5243" spans="2:10" x14ac:dyDescent="0.3">
      <c r="B5243" s="7">
        <v>44440</v>
      </c>
      <c r="C5243" s="3">
        <f t="shared" si="162"/>
        <v>2021</v>
      </c>
      <c r="D5243" s="3">
        <f t="shared" si="163"/>
        <v>202109</v>
      </c>
      <c r="E5243" s="5" t="s">
        <v>7</v>
      </c>
      <c r="F5243" s="5" t="s">
        <v>9</v>
      </c>
      <c r="G5243" s="5" t="s">
        <v>22</v>
      </c>
      <c r="H5243">
        <v>31</v>
      </c>
      <c r="I5243" s="4">
        <v>125705</v>
      </c>
      <c r="J5243" s="4">
        <v>35650</v>
      </c>
    </row>
    <row r="5244" spans="2:10" x14ac:dyDescent="0.3">
      <c r="B5244" s="7">
        <v>44470</v>
      </c>
      <c r="C5244" s="3">
        <f t="shared" si="162"/>
        <v>2021</v>
      </c>
      <c r="D5244" s="3">
        <f t="shared" si="163"/>
        <v>202110</v>
      </c>
      <c r="E5244" s="5" t="s">
        <v>7</v>
      </c>
      <c r="F5244" s="5" t="s">
        <v>9</v>
      </c>
      <c r="G5244" s="5" t="s">
        <v>22</v>
      </c>
      <c r="H5244">
        <v>26</v>
      </c>
      <c r="I5244" s="4">
        <v>120276</v>
      </c>
      <c r="J5244" s="4">
        <v>29900</v>
      </c>
    </row>
    <row r="5245" spans="2:10" x14ac:dyDescent="0.3">
      <c r="B5245" s="7">
        <v>44501</v>
      </c>
      <c r="C5245" s="3">
        <f t="shared" si="162"/>
        <v>2021</v>
      </c>
      <c r="D5245" s="3">
        <f t="shared" si="163"/>
        <v>202111</v>
      </c>
      <c r="E5245" s="5" t="s">
        <v>7</v>
      </c>
      <c r="F5245" s="5" t="s">
        <v>9</v>
      </c>
      <c r="G5245" s="5" t="s">
        <v>22</v>
      </c>
      <c r="H5245">
        <v>18</v>
      </c>
      <c r="I5245" s="4">
        <v>73548</v>
      </c>
      <c r="J5245" s="4">
        <v>20700</v>
      </c>
    </row>
    <row r="5246" spans="2:10" x14ac:dyDescent="0.3">
      <c r="B5246" s="7">
        <v>44531</v>
      </c>
      <c r="C5246" s="3">
        <f t="shared" si="162"/>
        <v>2021</v>
      </c>
      <c r="D5246" s="3">
        <f t="shared" si="163"/>
        <v>202112</v>
      </c>
      <c r="E5246" s="5" t="s">
        <v>7</v>
      </c>
      <c r="F5246" s="5" t="s">
        <v>9</v>
      </c>
      <c r="G5246" s="5" t="s">
        <v>22</v>
      </c>
      <c r="H5246">
        <v>22</v>
      </c>
      <c r="I5246" s="4">
        <v>80806</v>
      </c>
      <c r="J5246" s="4">
        <v>25300</v>
      </c>
    </row>
    <row r="5247" spans="2:10" x14ac:dyDescent="0.3">
      <c r="B5247" s="7">
        <v>44562</v>
      </c>
      <c r="C5247" s="3">
        <f t="shared" si="162"/>
        <v>2022</v>
      </c>
      <c r="D5247" s="3">
        <f t="shared" si="163"/>
        <v>202201</v>
      </c>
      <c r="E5247" s="5" t="s">
        <v>7</v>
      </c>
      <c r="F5247" s="5" t="s">
        <v>9</v>
      </c>
      <c r="G5247" s="5" t="s">
        <v>22</v>
      </c>
      <c r="H5247">
        <v>32</v>
      </c>
      <c r="I5247" s="4">
        <v>112640</v>
      </c>
      <c r="J5247" s="4">
        <v>36800</v>
      </c>
    </row>
    <row r="5248" spans="2:10" x14ac:dyDescent="0.3">
      <c r="B5248" s="7">
        <v>44593</v>
      </c>
      <c r="C5248" s="3">
        <f t="shared" si="162"/>
        <v>2022</v>
      </c>
      <c r="D5248" s="3">
        <f t="shared" si="163"/>
        <v>202202</v>
      </c>
      <c r="E5248" s="5" t="s">
        <v>7</v>
      </c>
      <c r="F5248" s="5" t="s">
        <v>9</v>
      </c>
      <c r="G5248" s="5" t="s">
        <v>22</v>
      </c>
      <c r="H5248">
        <v>20</v>
      </c>
      <c r="I5248" s="4">
        <v>70100</v>
      </c>
      <c r="J5248" s="4">
        <v>23000</v>
      </c>
    </row>
    <row r="5249" spans="2:10" x14ac:dyDescent="0.3">
      <c r="B5249" s="7">
        <v>44621</v>
      </c>
      <c r="C5249" s="3">
        <f t="shared" si="162"/>
        <v>2022</v>
      </c>
      <c r="D5249" s="3">
        <f t="shared" si="163"/>
        <v>202203</v>
      </c>
      <c r="E5249" s="5" t="s">
        <v>7</v>
      </c>
      <c r="F5249" s="5" t="s">
        <v>9</v>
      </c>
      <c r="G5249" s="5" t="s">
        <v>22</v>
      </c>
      <c r="H5249">
        <v>16</v>
      </c>
      <c r="I5249" s="4">
        <v>55264</v>
      </c>
      <c r="J5249" s="4">
        <v>18400</v>
      </c>
    </row>
    <row r="5250" spans="2:10" x14ac:dyDescent="0.3">
      <c r="B5250" s="7">
        <v>44652</v>
      </c>
      <c r="C5250" s="3">
        <f t="shared" si="162"/>
        <v>2022</v>
      </c>
      <c r="D5250" s="3">
        <f t="shared" si="163"/>
        <v>202204</v>
      </c>
      <c r="E5250" s="5" t="s">
        <v>7</v>
      </c>
      <c r="F5250" s="5" t="s">
        <v>9</v>
      </c>
      <c r="G5250" s="5" t="s">
        <v>22</v>
      </c>
      <c r="H5250">
        <v>30</v>
      </c>
      <c r="I5250" s="4">
        <v>120270</v>
      </c>
      <c r="J5250" s="4">
        <v>34500</v>
      </c>
    </row>
    <row r="5251" spans="2:10" x14ac:dyDescent="0.3">
      <c r="B5251" s="7">
        <v>44682</v>
      </c>
      <c r="C5251" s="3">
        <f t="shared" ref="C5251:C5314" si="164">YEAR(B5251)</f>
        <v>2022</v>
      </c>
      <c r="D5251" s="3">
        <f t="shared" ref="D5251:D5314" si="165">VALUE(TEXT(B5251,"ГГГГММ"))</f>
        <v>202205</v>
      </c>
      <c r="E5251" s="5" t="s">
        <v>7</v>
      </c>
      <c r="F5251" s="5" t="s">
        <v>9</v>
      </c>
      <c r="G5251" s="5" t="s">
        <v>22</v>
      </c>
      <c r="H5251">
        <v>38</v>
      </c>
      <c r="I5251" s="4">
        <v>167998</v>
      </c>
      <c r="J5251" s="4">
        <v>43700</v>
      </c>
    </row>
    <row r="5252" spans="2:10" x14ac:dyDescent="0.3">
      <c r="B5252" s="7">
        <v>44713</v>
      </c>
      <c r="C5252" s="3">
        <f t="shared" si="164"/>
        <v>2022</v>
      </c>
      <c r="D5252" s="3">
        <f t="shared" si="165"/>
        <v>202206</v>
      </c>
      <c r="E5252" s="5" t="s">
        <v>7</v>
      </c>
      <c r="F5252" s="5" t="s">
        <v>9</v>
      </c>
      <c r="G5252" s="5" t="s">
        <v>22</v>
      </c>
      <c r="H5252">
        <v>36</v>
      </c>
      <c r="I5252" s="4">
        <v>134640</v>
      </c>
      <c r="J5252" s="4">
        <v>41400</v>
      </c>
    </row>
    <row r="5253" spans="2:10" x14ac:dyDescent="0.3">
      <c r="B5253" s="7">
        <v>44743</v>
      </c>
      <c r="C5253" s="3">
        <f t="shared" si="164"/>
        <v>2022</v>
      </c>
      <c r="D5253" s="3">
        <f t="shared" si="165"/>
        <v>202207</v>
      </c>
      <c r="E5253" s="5" t="s">
        <v>7</v>
      </c>
      <c r="F5253" s="5" t="s">
        <v>9</v>
      </c>
      <c r="G5253" s="5" t="s">
        <v>22</v>
      </c>
      <c r="H5253">
        <v>38</v>
      </c>
      <c r="I5253" s="4">
        <v>106552</v>
      </c>
      <c r="J5253" s="4">
        <v>43700</v>
      </c>
    </row>
    <row r="5254" spans="2:10" x14ac:dyDescent="0.3">
      <c r="B5254" s="7">
        <v>44774</v>
      </c>
      <c r="C5254" s="3">
        <f t="shared" si="164"/>
        <v>2022</v>
      </c>
      <c r="D5254" s="3">
        <f t="shared" si="165"/>
        <v>202208</v>
      </c>
      <c r="E5254" s="5" t="s">
        <v>7</v>
      </c>
      <c r="F5254" s="5" t="s">
        <v>9</v>
      </c>
      <c r="G5254" s="5" t="s">
        <v>22</v>
      </c>
      <c r="H5254">
        <v>32</v>
      </c>
      <c r="I5254" s="4">
        <v>106464</v>
      </c>
      <c r="J5254" s="4">
        <v>36800</v>
      </c>
    </row>
    <row r="5255" spans="2:10" x14ac:dyDescent="0.3">
      <c r="B5255" s="7">
        <v>44805</v>
      </c>
      <c r="C5255" s="3">
        <f t="shared" si="164"/>
        <v>2022</v>
      </c>
      <c r="D5255" s="3">
        <f t="shared" si="165"/>
        <v>202209</v>
      </c>
      <c r="E5255" s="5" t="s">
        <v>7</v>
      </c>
      <c r="F5255" s="5" t="s">
        <v>9</v>
      </c>
      <c r="G5255" s="5" t="s">
        <v>22</v>
      </c>
      <c r="H5255">
        <v>34</v>
      </c>
      <c r="I5255" s="4">
        <v>117436</v>
      </c>
      <c r="J5255" s="4">
        <v>39100</v>
      </c>
    </row>
    <row r="5256" spans="2:10" x14ac:dyDescent="0.3">
      <c r="B5256" s="7">
        <v>44835</v>
      </c>
      <c r="C5256" s="3">
        <f t="shared" si="164"/>
        <v>2022</v>
      </c>
      <c r="D5256" s="3">
        <f t="shared" si="165"/>
        <v>202210</v>
      </c>
      <c r="E5256" s="5" t="s">
        <v>7</v>
      </c>
      <c r="F5256" s="5" t="s">
        <v>9</v>
      </c>
      <c r="G5256" s="5" t="s">
        <v>22</v>
      </c>
      <c r="H5256">
        <v>28</v>
      </c>
      <c r="I5256" s="4">
        <v>114296</v>
      </c>
      <c r="J5256" s="4">
        <v>32200</v>
      </c>
    </row>
    <row r="5257" spans="2:10" x14ac:dyDescent="0.3">
      <c r="B5257" s="7">
        <v>44866</v>
      </c>
      <c r="C5257" s="3">
        <f t="shared" si="164"/>
        <v>2022</v>
      </c>
      <c r="D5257" s="3">
        <f t="shared" si="165"/>
        <v>202211</v>
      </c>
      <c r="E5257" s="5" t="s">
        <v>7</v>
      </c>
      <c r="F5257" s="5" t="s">
        <v>9</v>
      </c>
      <c r="G5257" s="5" t="s">
        <v>22</v>
      </c>
      <c r="H5257">
        <v>20</v>
      </c>
      <c r="I5257" s="4">
        <v>69880</v>
      </c>
      <c r="J5257" s="4">
        <v>23000</v>
      </c>
    </row>
    <row r="5258" spans="2:10" x14ac:dyDescent="0.3">
      <c r="B5258" s="7">
        <v>44896</v>
      </c>
      <c r="C5258" s="3">
        <f t="shared" si="164"/>
        <v>2022</v>
      </c>
      <c r="D5258" s="3">
        <f t="shared" si="165"/>
        <v>202212</v>
      </c>
      <c r="E5258" s="5" t="s">
        <v>7</v>
      </c>
      <c r="F5258" s="5" t="s">
        <v>9</v>
      </c>
      <c r="G5258" s="5" t="s">
        <v>22</v>
      </c>
      <c r="H5258">
        <v>24</v>
      </c>
      <c r="I5258" s="4">
        <v>70872</v>
      </c>
      <c r="J5258" s="4">
        <v>27600</v>
      </c>
    </row>
    <row r="5259" spans="2:10" x14ac:dyDescent="0.3">
      <c r="B5259" s="7">
        <v>44197</v>
      </c>
      <c r="C5259" s="3">
        <f t="shared" si="164"/>
        <v>2021</v>
      </c>
      <c r="D5259" s="3">
        <f t="shared" si="165"/>
        <v>202101</v>
      </c>
      <c r="E5259" s="5" t="s">
        <v>7</v>
      </c>
      <c r="F5259" s="5" t="s">
        <v>9</v>
      </c>
      <c r="G5259" s="5" t="s">
        <v>23</v>
      </c>
      <c r="H5259">
        <v>38</v>
      </c>
      <c r="I5259" s="4">
        <v>175256</v>
      </c>
      <c r="J5259" s="4">
        <v>50692</v>
      </c>
    </row>
    <row r="5260" spans="2:10" x14ac:dyDescent="0.3">
      <c r="B5260" s="7">
        <v>44228</v>
      </c>
      <c r="C5260" s="3">
        <f t="shared" si="164"/>
        <v>2021</v>
      </c>
      <c r="D5260" s="3">
        <f t="shared" si="165"/>
        <v>202102</v>
      </c>
      <c r="E5260" s="5" t="s">
        <v>7</v>
      </c>
      <c r="F5260" s="5" t="s">
        <v>9</v>
      </c>
      <c r="G5260" s="5" t="s">
        <v>23</v>
      </c>
      <c r="H5260">
        <v>24</v>
      </c>
      <c r="I5260" s="4">
        <v>97848</v>
      </c>
      <c r="J5260" s="4">
        <v>32016</v>
      </c>
    </row>
    <row r="5261" spans="2:10" x14ac:dyDescent="0.3">
      <c r="B5261" s="7">
        <v>44256</v>
      </c>
      <c r="C5261" s="3">
        <f t="shared" si="164"/>
        <v>2021</v>
      </c>
      <c r="D5261" s="3">
        <f t="shared" si="165"/>
        <v>202103</v>
      </c>
      <c r="E5261" s="5" t="s">
        <v>7</v>
      </c>
      <c r="F5261" s="5" t="s">
        <v>9</v>
      </c>
      <c r="G5261" s="5" t="s">
        <v>23</v>
      </c>
      <c r="H5261">
        <v>19</v>
      </c>
      <c r="I5261" s="4">
        <v>71041</v>
      </c>
      <c r="J5261" s="4">
        <v>25346</v>
      </c>
    </row>
    <row r="5262" spans="2:10" x14ac:dyDescent="0.3">
      <c r="B5262" s="7">
        <v>44287</v>
      </c>
      <c r="C5262" s="3">
        <f t="shared" si="164"/>
        <v>2021</v>
      </c>
      <c r="D5262" s="3">
        <f t="shared" si="165"/>
        <v>202104</v>
      </c>
      <c r="E5262" s="5" t="s">
        <v>7</v>
      </c>
      <c r="F5262" s="5" t="s">
        <v>9</v>
      </c>
      <c r="G5262" s="5" t="s">
        <v>23</v>
      </c>
      <c r="H5262">
        <v>35</v>
      </c>
      <c r="I5262" s="4">
        <v>169680</v>
      </c>
      <c r="J5262" s="4">
        <v>46690</v>
      </c>
    </row>
    <row r="5263" spans="2:10" x14ac:dyDescent="0.3">
      <c r="B5263" s="7">
        <v>44317</v>
      </c>
      <c r="C5263" s="3">
        <f t="shared" si="164"/>
        <v>2021</v>
      </c>
      <c r="D5263" s="3">
        <f t="shared" si="165"/>
        <v>202105</v>
      </c>
      <c r="E5263" s="5" t="s">
        <v>7</v>
      </c>
      <c r="F5263" s="5" t="s">
        <v>9</v>
      </c>
      <c r="G5263" s="5" t="s">
        <v>23</v>
      </c>
      <c r="H5263">
        <v>45</v>
      </c>
      <c r="I5263" s="4">
        <v>234855</v>
      </c>
      <c r="J5263" s="4">
        <v>60030</v>
      </c>
    </row>
    <row r="5264" spans="2:10" x14ac:dyDescent="0.3">
      <c r="B5264" s="7">
        <v>44348</v>
      </c>
      <c r="C5264" s="3">
        <f t="shared" si="164"/>
        <v>2021</v>
      </c>
      <c r="D5264" s="3">
        <f t="shared" si="165"/>
        <v>202106</v>
      </c>
      <c r="E5264" s="5" t="s">
        <v>7</v>
      </c>
      <c r="F5264" s="5" t="s">
        <v>9</v>
      </c>
      <c r="G5264" s="5" t="s">
        <v>23</v>
      </c>
      <c r="H5264">
        <v>42</v>
      </c>
      <c r="I5264" s="4">
        <v>155652</v>
      </c>
      <c r="J5264" s="4">
        <v>56028</v>
      </c>
    </row>
    <row r="5265" spans="2:10" x14ac:dyDescent="0.3">
      <c r="B5265" s="7">
        <v>44378</v>
      </c>
      <c r="C5265" s="3">
        <f t="shared" si="164"/>
        <v>2021</v>
      </c>
      <c r="D5265" s="3">
        <f t="shared" si="165"/>
        <v>202107</v>
      </c>
      <c r="E5265" s="5" t="s">
        <v>7</v>
      </c>
      <c r="F5265" s="5" t="s">
        <v>9</v>
      </c>
      <c r="G5265" s="5" t="s">
        <v>23</v>
      </c>
      <c r="H5265">
        <v>45</v>
      </c>
      <c r="I5265" s="4">
        <v>102375</v>
      </c>
      <c r="J5265" s="4">
        <v>60030</v>
      </c>
    </row>
    <row r="5266" spans="2:10" x14ac:dyDescent="0.3">
      <c r="B5266" s="7">
        <v>44409</v>
      </c>
      <c r="C5266" s="3">
        <f t="shared" si="164"/>
        <v>2021</v>
      </c>
      <c r="D5266" s="3">
        <f t="shared" si="165"/>
        <v>202108</v>
      </c>
      <c r="E5266" s="5" t="s">
        <v>7</v>
      </c>
      <c r="F5266" s="5" t="s">
        <v>9</v>
      </c>
      <c r="G5266" s="5" t="s">
        <v>23</v>
      </c>
      <c r="H5266">
        <v>38</v>
      </c>
      <c r="I5266" s="4">
        <v>138206</v>
      </c>
      <c r="J5266" s="4">
        <v>50692</v>
      </c>
    </row>
    <row r="5267" spans="2:10" x14ac:dyDescent="0.3">
      <c r="B5267" s="7">
        <v>44440</v>
      </c>
      <c r="C5267" s="3">
        <f t="shared" si="164"/>
        <v>2021</v>
      </c>
      <c r="D5267" s="3">
        <f t="shared" si="165"/>
        <v>202109</v>
      </c>
      <c r="E5267" s="5" t="s">
        <v>7</v>
      </c>
      <c r="F5267" s="5" t="s">
        <v>9</v>
      </c>
      <c r="G5267" s="5" t="s">
        <v>23</v>
      </c>
      <c r="H5267">
        <v>40</v>
      </c>
      <c r="I5267" s="4">
        <v>167320</v>
      </c>
      <c r="J5267" s="4">
        <v>53360</v>
      </c>
    </row>
    <row r="5268" spans="2:10" x14ac:dyDescent="0.3">
      <c r="B5268" s="7">
        <v>44470</v>
      </c>
      <c r="C5268" s="3">
        <f t="shared" si="164"/>
        <v>2021</v>
      </c>
      <c r="D5268" s="3">
        <f t="shared" si="165"/>
        <v>202110</v>
      </c>
      <c r="E5268" s="5" t="s">
        <v>7</v>
      </c>
      <c r="F5268" s="5" t="s">
        <v>9</v>
      </c>
      <c r="G5268" s="5" t="s">
        <v>23</v>
      </c>
      <c r="H5268">
        <v>33</v>
      </c>
      <c r="I5268" s="4">
        <v>138831</v>
      </c>
      <c r="J5268" s="4">
        <v>44022</v>
      </c>
    </row>
    <row r="5269" spans="2:10" x14ac:dyDescent="0.3">
      <c r="B5269" s="7">
        <v>44501</v>
      </c>
      <c r="C5269" s="3">
        <f t="shared" si="164"/>
        <v>2021</v>
      </c>
      <c r="D5269" s="3">
        <f t="shared" si="165"/>
        <v>202111</v>
      </c>
      <c r="E5269" s="5" t="s">
        <v>7</v>
      </c>
      <c r="F5269" s="5" t="s">
        <v>9</v>
      </c>
      <c r="G5269" s="5" t="s">
        <v>23</v>
      </c>
      <c r="H5269">
        <v>24</v>
      </c>
      <c r="I5269" s="4">
        <v>94896</v>
      </c>
      <c r="J5269" s="4">
        <v>32016</v>
      </c>
    </row>
    <row r="5270" spans="2:10" x14ac:dyDescent="0.3">
      <c r="B5270" s="7">
        <v>44531</v>
      </c>
      <c r="C5270" s="3">
        <f t="shared" si="164"/>
        <v>2021</v>
      </c>
      <c r="D5270" s="3">
        <f t="shared" si="165"/>
        <v>202112</v>
      </c>
      <c r="E5270" s="5" t="s">
        <v>7</v>
      </c>
      <c r="F5270" s="5" t="s">
        <v>9</v>
      </c>
      <c r="G5270" s="5" t="s">
        <v>23</v>
      </c>
      <c r="H5270">
        <v>28</v>
      </c>
      <c r="I5270" s="4">
        <v>118132</v>
      </c>
      <c r="J5270" s="4">
        <v>37352</v>
      </c>
    </row>
    <row r="5271" spans="2:10" x14ac:dyDescent="0.3">
      <c r="B5271" s="7">
        <v>44562</v>
      </c>
      <c r="C5271" s="3">
        <f t="shared" si="164"/>
        <v>2022</v>
      </c>
      <c r="D5271" s="3">
        <f t="shared" si="165"/>
        <v>202201</v>
      </c>
      <c r="E5271" s="5" t="s">
        <v>7</v>
      </c>
      <c r="F5271" s="5" t="s">
        <v>9</v>
      </c>
      <c r="G5271" s="5" t="s">
        <v>23</v>
      </c>
      <c r="H5271">
        <v>41</v>
      </c>
      <c r="I5271" s="4">
        <v>187903</v>
      </c>
      <c r="J5271" s="4">
        <v>54694</v>
      </c>
    </row>
    <row r="5272" spans="2:10" x14ac:dyDescent="0.3">
      <c r="B5272" s="7">
        <v>44593</v>
      </c>
      <c r="C5272" s="3">
        <f t="shared" si="164"/>
        <v>2022</v>
      </c>
      <c r="D5272" s="3">
        <f t="shared" si="165"/>
        <v>202202</v>
      </c>
      <c r="E5272" s="5" t="s">
        <v>7</v>
      </c>
      <c r="F5272" s="5" t="s">
        <v>9</v>
      </c>
      <c r="G5272" s="5" t="s">
        <v>23</v>
      </c>
      <c r="H5272">
        <v>26</v>
      </c>
      <c r="I5272" s="4">
        <v>117702</v>
      </c>
      <c r="J5272" s="4">
        <v>34684</v>
      </c>
    </row>
    <row r="5273" spans="2:10" x14ac:dyDescent="0.3">
      <c r="B5273" s="7">
        <v>44621</v>
      </c>
      <c r="C5273" s="3">
        <f t="shared" si="164"/>
        <v>2022</v>
      </c>
      <c r="D5273" s="3">
        <f t="shared" si="165"/>
        <v>202203</v>
      </c>
      <c r="E5273" s="5" t="s">
        <v>7</v>
      </c>
      <c r="F5273" s="5" t="s">
        <v>9</v>
      </c>
      <c r="G5273" s="5" t="s">
        <v>23</v>
      </c>
      <c r="H5273">
        <v>21</v>
      </c>
      <c r="I5273" s="4">
        <v>74466</v>
      </c>
      <c r="J5273" s="4">
        <v>28014</v>
      </c>
    </row>
    <row r="5274" spans="2:10" x14ac:dyDescent="0.3">
      <c r="B5274" s="7">
        <v>44652</v>
      </c>
      <c r="C5274" s="3">
        <f t="shared" si="164"/>
        <v>2022</v>
      </c>
      <c r="D5274" s="3">
        <f t="shared" si="165"/>
        <v>202204</v>
      </c>
      <c r="E5274" s="5" t="s">
        <v>7</v>
      </c>
      <c r="F5274" s="5" t="s">
        <v>9</v>
      </c>
      <c r="G5274" s="5" t="s">
        <v>23</v>
      </c>
      <c r="H5274">
        <v>39</v>
      </c>
      <c r="I5274" s="4">
        <v>186264</v>
      </c>
      <c r="J5274" s="4">
        <v>52026</v>
      </c>
    </row>
    <row r="5275" spans="2:10" x14ac:dyDescent="0.3">
      <c r="B5275" s="7">
        <v>44682</v>
      </c>
      <c r="C5275" s="3">
        <f t="shared" si="164"/>
        <v>2022</v>
      </c>
      <c r="D5275" s="3">
        <f t="shared" si="165"/>
        <v>202205</v>
      </c>
      <c r="E5275" s="5" t="s">
        <v>7</v>
      </c>
      <c r="F5275" s="5" t="s">
        <v>9</v>
      </c>
      <c r="G5275" s="5" t="s">
        <v>23</v>
      </c>
      <c r="H5275">
        <v>49</v>
      </c>
      <c r="I5275" s="4">
        <v>215453</v>
      </c>
      <c r="J5275" s="4">
        <v>65366</v>
      </c>
    </row>
    <row r="5276" spans="2:10" x14ac:dyDescent="0.3">
      <c r="B5276" s="7">
        <v>44713</v>
      </c>
      <c r="C5276" s="3">
        <f t="shared" si="164"/>
        <v>2022</v>
      </c>
      <c r="D5276" s="3">
        <f t="shared" si="165"/>
        <v>202206</v>
      </c>
      <c r="E5276" s="5" t="s">
        <v>7</v>
      </c>
      <c r="F5276" s="5" t="s">
        <v>9</v>
      </c>
      <c r="G5276" s="5" t="s">
        <v>23</v>
      </c>
      <c r="H5276">
        <v>46</v>
      </c>
      <c r="I5276" s="4">
        <v>203274</v>
      </c>
      <c r="J5276" s="4">
        <v>61364</v>
      </c>
    </row>
    <row r="5277" spans="2:10" x14ac:dyDescent="0.3">
      <c r="B5277" s="7">
        <v>44743</v>
      </c>
      <c r="C5277" s="3">
        <f t="shared" si="164"/>
        <v>2022</v>
      </c>
      <c r="D5277" s="3">
        <f t="shared" si="165"/>
        <v>202207</v>
      </c>
      <c r="E5277" s="5" t="s">
        <v>7</v>
      </c>
      <c r="F5277" s="5" t="s">
        <v>9</v>
      </c>
      <c r="G5277" s="5" t="s">
        <v>23</v>
      </c>
      <c r="H5277">
        <v>49</v>
      </c>
      <c r="I5277" s="4">
        <v>121177</v>
      </c>
      <c r="J5277" s="4">
        <v>65366</v>
      </c>
    </row>
    <row r="5278" spans="2:10" x14ac:dyDescent="0.3">
      <c r="B5278" s="7">
        <v>44774</v>
      </c>
      <c r="C5278" s="3">
        <f t="shared" si="164"/>
        <v>2022</v>
      </c>
      <c r="D5278" s="3">
        <f t="shared" si="165"/>
        <v>202208</v>
      </c>
      <c r="E5278" s="5" t="s">
        <v>7</v>
      </c>
      <c r="F5278" s="5" t="s">
        <v>9</v>
      </c>
      <c r="G5278" s="5" t="s">
        <v>23</v>
      </c>
      <c r="H5278">
        <v>41</v>
      </c>
      <c r="I5278" s="4">
        <v>159695</v>
      </c>
      <c r="J5278" s="4">
        <v>54694</v>
      </c>
    </row>
    <row r="5279" spans="2:10" x14ac:dyDescent="0.3">
      <c r="B5279" s="7">
        <v>44805</v>
      </c>
      <c r="C5279" s="3">
        <f t="shared" si="164"/>
        <v>2022</v>
      </c>
      <c r="D5279" s="3">
        <f t="shared" si="165"/>
        <v>202209</v>
      </c>
      <c r="E5279" s="5" t="s">
        <v>7</v>
      </c>
      <c r="F5279" s="5" t="s">
        <v>9</v>
      </c>
      <c r="G5279" s="5" t="s">
        <v>23</v>
      </c>
      <c r="H5279">
        <v>44</v>
      </c>
      <c r="I5279" s="4">
        <v>171160</v>
      </c>
      <c r="J5279" s="4">
        <v>58696</v>
      </c>
    </row>
    <row r="5280" spans="2:10" x14ac:dyDescent="0.3">
      <c r="B5280" s="7">
        <v>44835</v>
      </c>
      <c r="C5280" s="3">
        <f t="shared" si="164"/>
        <v>2022</v>
      </c>
      <c r="D5280" s="3">
        <f t="shared" si="165"/>
        <v>202210</v>
      </c>
      <c r="E5280" s="5" t="s">
        <v>7</v>
      </c>
      <c r="F5280" s="5" t="s">
        <v>9</v>
      </c>
      <c r="G5280" s="5" t="s">
        <v>23</v>
      </c>
      <c r="H5280">
        <v>36</v>
      </c>
      <c r="I5280" s="4">
        <v>159372</v>
      </c>
      <c r="J5280" s="4">
        <v>48024</v>
      </c>
    </row>
    <row r="5281" spans="2:10" x14ac:dyDescent="0.3">
      <c r="B5281" s="7">
        <v>44866</v>
      </c>
      <c r="C5281" s="3">
        <f t="shared" si="164"/>
        <v>2022</v>
      </c>
      <c r="D5281" s="3">
        <f t="shared" si="165"/>
        <v>202211</v>
      </c>
      <c r="E5281" s="5" t="s">
        <v>7</v>
      </c>
      <c r="F5281" s="5" t="s">
        <v>9</v>
      </c>
      <c r="G5281" s="5" t="s">
        <v>23</v>
      </c>
      <c r="H5281">
        <v>26</v>
      </c>
      <c r="I5281" s="4">
        <v>115674</v>
      </c>
      <c r="J5281" s="4">
        <v>34684</v>
      </c>
    </row>
    <row r="5282" spans="2:10" x14ac:dyDescent="0.3">
      <c r="B5282" s="7">
        <v>44896</v>
      </c>
      <c r="C5282" s="3">
        <f t="shared" si="164"/>
        <v>2022</v>
      </c>
      <c r="D5282" s="3">
        <f t="shared" si="165"/>
        <v>202212</v>
      </c>
      <c r="E5282" s="5" t="s">
        <v>7</v>
      </c>
      <c r="F5282" s="5" t="s">
        <v>9</v>
      </c>
      <c r="G5282" s="5" t="s">
        <v>23</v>
      </c>
      <c r="H5282">
        <v>31</v>
      </c>
      <c r="I5282" s="4">
        <v>100409</v>
      </c>
      <c r="J5282" s="4">
        <v>41354</v>
      </c>
    </row>
    <row r="5283" spans="2:10" x14ac:dyDescent="0.3">
      <c r="B5283" s="7">
        <v>44197</v>
      </c>
      <c r="C5283" s="3">
        <f t="shared" si="164"/>
        <v>2021</v>
      </c>
      <c r="D5283" s="3">
        <f t="shared" si="165"/>
        <v>202101</v>
      </c>
      <c r="E5283" s="5" t="s">
        <v>7</v>
      </c>
      <c r="F5283" s="5" t="s">
        <v>9</v>
      </c>
      <c r="G5283" s="5" t="s">
        <v>24</v>
      </c>
      <c r="H5283">
        <v>31</v>
      </c>
      <c r="I5283" s="4">
        <v>156736</v>
      </c>
      <c r="J5283" s="4">
        <v>62496</v>
      </c>
    </row>
    <row r="5284" spans="2:10" x14ac:dyDescent="0.3">
      <c r="B5284" s="7">
        <v>44228</v>
      </c>
      <c r="C5284" s="3">
        <f t="shared" si="164"/>
        <v>2021</v>
      </c>
      <c r="D5284" s="3">
        <f t="shared" si="165"/>
        <v>202102</v>
      </c>
      <c r="E5284" s="5" t="s">
        <v>7</v>
      </c>
      <c r="F5284" s="5" t="s">
        <v>9</v>
      </c>
      <c r="G5284" s="5" t="s">
        <v>24</v>
      </c>
      <c r="H5284">
        <v>20</v>
      </c>
      <c r="I5284" s="4">
        <v>124900</v>
      </c>
      <c r="J5284" s="4">
        <v>40320</v>
      </c>
    </row>
    <row r="5285" spans="2:10" x14ac:dyDescent="0.3">
      <c r="B5285" s="7">
        <v>44256</v>
      </c>
      <c r="C5285" s="3">
        <f t="shared" si="164"/>
        <v>2021</v>
      </c>
      <c r="D5285" s="3">
        <f t="shared" si="165"/>
        <v>202103</v>
      </c>
      <c r="E5285" s="5" t="s">
        <v>7</v>
      </c>
      <c r="F5285" s="5" t="s">
        <v>9</v>
      </c>
      <c r="G5285" s="5" t="s">
        <v>24</v>
      </c>
      <c r="H5285">
        <v>16</v>
      </c>
      <c r="I5285" s="4">
        <v>77776</v>
      </c>
      <c r="J5285" s="4">
        <v>32256</v>
      </c>
    </row>
    <row r="5286" spans="2:10" x14ac:dyDescent="0.3">
      <c r="B5286" s="7">
        <v>44287</v>
      </c>
      <c r="C5286" s="3">
        <f t="shared" si="164"/>
        <v>2021</v>
      </c>
      <c r="D5286" s="3">
        <f t="shared" si="165"/>
        <v>202104</v>
      </c>
      <c r="E5286" s="5" t="s">
        <v>7</v>
      </c>
      <c r="F5286" s="5" t="s">
        <v>9</v>
      </c>
      <c r="G5286" s="5" t="s">
        <v>24</v>
      </c>
      <c r="H5286">
        <v>29</v>
      </c>
      <c r="I5286" s="4">
        <v>181888</v>
      </c>
      <c r="J5286" s="4">
        <v>58464</v>
      </c>
    </row>
    <row r="5287" spans="2:10" x14ac:dyDescent="0.3">
      <c r="B5287" s="7">
        <v>44317</v>
      </c>
      <c r="C5287" s="3">
        <f t="shared" si="164"/>
        <v>2021</v>
      </c>
      <c r="D5287" s="3">
        <f t="shared" si="165"/>
        <v>202105</v>
      </c>
      <c r="E5287" s="5" t="s">
        <v>7</v>
      </c>
      <c r="F5287" s="5" t="s">
        <v>9</v>
      </c>
      <c r="G5287" s="5" t="s">
        <v>24</v>
      </c>
      <c r="H5287">
        <v>37</v>
      </c>
      <c r="I5287" s="4">
        <v>210308</v>
      </c>
      <c r="J5287" s="4">
        <v>74592</v>
      </c>
    </row>
    <row r="5288" spans="2:10" x14ac:dyDescent="0.3">
      <c r="B5288" s="7">
        <v>44348</v>
      </c>
      <c r="C5288" s="3">
        <f t="shared" si="164"/>
        <v>2021</v>
      </c>
      <c r="D5288" s="3">
        <f t="shared" si="165"/>
        <v>202106</v>
      </c>
      <c r="E5288" s="5" t="s">
        <v>7</v>
      </c>
      <c r="F5288" s="5" t="s">
        <v>9</v>
      </c>
      <c r="G5288" s="5" t="s">
        <v>24</v>
      </c>
      <c r="H5288">
        <v>35</v>
      </c>
      <c r="I5288" s="4">
        <v>215250</v>
      </c>
      <c r="J5288" s="4">
        <v>70560</v>
      </c>
    </row>
    <row r="5289" spans="2:10" x14ac:dyDescent="0.3">
      <c r="B5289" s="7">
        <v>44378</v>
      </c>
      <c r="C5289" s="3">
        <f t="shared" si="164"/>
        <v>2021</v>
      </c>
      <c r="D5289" s="3">
        <f t="shared" si="165"/>
        <v>202107</v>
      </c>
      <c r="E5289" s="5" t="s">
        <v>7</v>
      </c>
      <c r="F5289" s="5" t="s">
        <v>9</v>
      </c>
      <c r="G5289" s="5" t="s">
        <v>24</v>
      </c>
      <c r="H5289">
        <v>37</v>
      </c>
      <c r="I5289" s="4">
        <v>147223</v>
      </c>
      <c r="J5289" s="4">
        <v>74592</v>
      </c>
    </row>
    <row r="5290" spans="2:10" x14ac:dyDescent="0.3">
      <c r="B5290" s="7">
        <v>44409</v>
      </c>
      <c r="C5290" s="3">
        <f t="shared" si="164"/>
        <v>2021</v>
      </c>
      <c r="D5290" s="3">
        <f t="shared" si="165"/>
        <v>202108</v>
      </c>
      <c r="E5290" s="5" t="s">
        <v>7</v>
      </c>
      <c r="F5290" s="5" t="s">
        <v>9</v>
      </c>
      <c r="G5290" s="5" t="s">
        <v>24</v>
      </c>
      <c r="H5290">
        <v>31</v>
      </c>
      <c r="I5290" s="4">
        <v>150598</v>
      </c>
      <c r="J5290" s="4">
        <v>62496</v>
      </c>
    </row>
    <row r="5291" spans="2:10" x14ac:dyDescent="0.3">
      <c r="B5291" s="7">
        <v>44440</v>
      </c>
      <c r="C5291" s="3">
        <f t="shared" si="164"/>
        <v>2021</v>
      </c>
      <c r="D5291" s="3">
        <f t="shared" si="165"/>
        <v>202109</v>
      </c>
      <c r="E5291" s="5" t="s">
        <v>7</v>
      </c>
      <c r="F5291" s="5" t="s">
        <v>9</v>
      </c>
      <c r="G5291" s="5" t="s">
        <v>24</v>
      </c>
      <c r="H5291">
        <v>33</v>
      </c>
      <c r="I5291" s="4">
        <v>154902</v>
      </c>
      <c r="J5291" s="4">
        <v>66528</v>
      </c>
    </row>
    <row r="5292" spans="2:10" x14ac:dyDescent="0.3">
      <c r="B5292" s="7">
        <v>44470</v>
      </c>
      <c r="C5292" s="3">
        <f t="shared" si="164"/>
        <v>2021</v>
      </c>
      <c r="D5292" s="3">
        <f t="shared" si="165"/>
        <v>202110</v>
      </c>
      <c r="E5292" s="5" t="s">
        <v>7</v>
      </c>
      <c r="F5292" s="5" t="s">
        <v>9</v>
      </c>
      <c r="G5292" s="5" t="s">
        <v>24</v>
      </c>
      <c r="H5292">
        <v>27</v>
      </c>
      <c r="I5292" s="4">
        <v>146988</v>
      </c>
      <c r="J5292" s="4">
        <v>54432</v>
      </c>
    </row>
    <row r="5293" spans="2:10" x14ac:dyDescent="0.3">
      <c r="B5293" s="7">
        <v>44501</v>
      </c>
      <c r="C5293" s="3">
        <f t="shared" si="164"/>
        <v>2021</v>
      </c>
      <c r="D5293" s="3">
        <f t="shared" si="165"/>
        <v>202111</v>
      </c>
      <c r="E5293" s="5" t="s">
        <v>7</v>
      </c>
      <c r="F5293" s="5" t="s">
        <v>9</v>
      </c>
      <c r="G5293" s="5" t="s">
        <v>24</v>
      </c>
      <c r="H5293">
        <v>20</v>
      </c>
      <c r="I5293" s="4">
        <v>115240</v>
      </c>
      <c r="J5293" s="4">
        <v>40320</v>
      </c>
    </row>
    <row r="5294" spans="2:10" x14ac:dyDescent="0.3">
      <c r="B5294" s="7">
        <v>44531</v>
      </c>
      <c r="C5294" s="3">
        <f t="shared" si="164"/>
        <v>2021</v>
      </c>
      <c r="D5294" s="3">
        <f t="shared" si="165"/>
        <v>202112</v>
      </c>
      <c r="E5294" s="5" t="s">
        <v>7</v>
      </c>
      <c r="F5294" s="5" t="s">
        <v>9</v>
      </c>
      <c r="G5294" s="5" t="s">
        <v>24</v>
      </c>
      <c r="H5294">
        <v>24</v>
      </c>
      <c r="I5294" s="4">
        <v>118320</v>
      </c>
      <c r="J5294" s="4">
        <v>48384</v>
      </c>
    </row>
    <row r="5295" spans="2:10" x14ac:dyDescent="0.3">
      <c r="B5295" s="7">
        <v>44562</v>
      </c>
      <c r="C5295" s="3">
        <f t="shared" si="164"/>
        <v>2022</v>
      </c>
      <c r="D5295" s="3">
        <f t="shared" si="165"/>
        <v>202201</v>
      </c>
      <c r="E5295" s="5" t="s">
        <v>7</v>
      </c>
      <c r="F5295" s="5" t="s">
        <v>9</v>
      </c>
      <c r="G5295" s="5" t="s">
        <v>24</v>
      </c>
      <c r="H5295">
        <v>34</v>
      </c>
      <c r="I5295" s="4">
        <v>172312</v>
      </c>
      <c r="J5295" s="4">
        <v>68544</v>
      </c>
    </row>
    <row r="5296" spans="2:10" x14ac:dyDescent="0.3">
      <c r="B5296" s="7">
        <v>44593</v>
      </c>
      <c r="C5296" s="3">
        <f t="shared" si="164"/>
        <v>2022</v>
      </c>
      <c r="D5296" s="3">
        <f t="shared" si="165"/>
        <v>202202</v>
      </c>
      <c r="E5296" s="5" t="s">
        <v>7</v>
      </c>
      <c r="F5296" s="5" t="s">
        <v>9</v>
      </c>
      <c r="G5296" s="5" t="s">
        <v>24</v>
      </c>
      <c r="H5296">
        <v>22</v>
      </c>
      <c r="I5296" s="4">
        <v>125664</v>
      </c>
      <c r="J5296" s="4">
        <v>44352</v>
      </c>
    </row>
    <row r="5297" spans="2:10" x14ac:dyDescent="0.3">
      <c r="B5297" s="7">
        <v>44621</v>
      </c>
      <c r="C5297" s="3">
        <f t="shared" si="164"/>
        <v>2022</v>
      </c>
      <c r="D5297" s="3">
        <f t="shared" si="165"/>
        <v>202203</v>
      </c>
      <c r="E5297" s="5" t="s">
        <v>7</v>
      </c>
      <c r="F5297" s="5" t="s">
        <v>9</v>
      </c>
      <c r="G5297" s="5" t="s">
        <v>24</v>
      </c>
      <c r="H5297">
        <v>17</v>
      </c>
      <c r="I5297" s="4">
        <v>74613</v>
      </c>
      <c r="J5297" s="4">
        <v>34272</v>
      </c>
    </row>
    <row r="5298" spans="2:10" x14ac:dyDescent="0.3">
      <c r="B5298" s="7">
        <v>44652</v>
      </c>
      <c r="C5298" s="3">
        <f t="shared" si="164"/>
        <v>2022</v>
      </c>
      <c r="D5298" s="3">
        <f t="shared" si="165"/>
        <v>202204</v>
      </c>
      <c r="E5298" s="5" t="s">
        <v>7</v>
      </c>
      <c r="F5298" s="5" t="s">
        <v>9</v>
      </c>
      <c r="G5298" s="5" t="s">
        <v>24</v>
      </c>
      <c r="H5298">
        <v>32</v>
      </c>
      <c r="I5298" s="4">
        <v>193568</v>
      </c>
      <c r="J5298" s="4">
        <v>64512</v>
      </c>
    </row>
    <row r="5299" spans="2:10" x14ac:dyDescent="0.3">
      <c r="B5299" s="7">
        <v>44682</v>
      </c>
      <c r="C5299" s="3">
        <f t="shared" si="164"/>
        <v>2022</v>
      </c>
      <c r="D5299" s="3">
        <f t="shared" si="165"/>
        <v>202205</v>
      </c>
      <c r="E5299" s="5" t="s">
        <v>7</v>
      </c>
      <c r="F5299" s="5" t="s">
        <v>9</v>
      </c>
      <c r="G5299" s="5" t="s">
        <v>24</v>
      </c>
      <c r="H5299">
        <v>41</v>
      </c>
      <c r="I5299" s="4">
        <v>262892</v>
      </c>
      <c r="J5299" s="4">
        <v>82656</v>
      </c>
    </row>
    <row r="5300" spans="2:10" x14ac:dyDescent="0.3">
      <c r="B5300" s="7">
        <v>44713</v>
      </c>
      <c r="C5300" s="3">
        <f t="shared" si="164"/>
        <v>2022</v>
      </c>
      <c r="D5300" s="3">
        <f t="shared" si="165"/>
        <v>202206</v>
      </c>
      <c r="E5300" s="5" t="s">
        <v>7</v>
      </c>
      <c r="F5300" s="5" t="s">
        <v>9</v>
      </c>
      <c r="G5300" s="5" t="s">
        <v>24</v>
      </c>
      <c r="H5300">
        <v>39</v>
      </c>
      <c r="I5300" s="4">
        <v>228774</v>
      </c>
      <c r="J5300" s="4">
        <v>78624</v>
      </c>
    </row>
    <row r="5301" spans="2:10" x14ac:dyDescent="0.3">
      <c r="B5301" s="7">
        <v>44743</v>
      </c>
      <c r="C5301" s="3">
        <f t="shared" si="164"/>
        <v>2022</v>
      </c>
      <c r="D5301" s="3">
        <f t="shared" si="165"/>
        <v>202207</v>
      </c>
      <c r="E5301" s="5" t="s">
        <v>7</v>
      </c>
      <c r="F5301" s="5" t="s">
        <v>9</v>
      </c>
      <c r="G5301" s="5" t="s">
        <v>24</v>
      </c>
      <c r="H5301">
        <v>41</v>
      </c>
      <c r="I5301" s="4">
        <v>154324</v>
      </c>
      <c r="J5301" s="4">
        <v>82656</v>
      </c>
    </row>
    <row r="5302" spans="2:10" x14ac:dyDescent="0.3">
      <c r="B5302" s="7">
        <v>44774</v>
      </c>
      <c r="C5302" s="3">
        <f t="shared" si="164"/>
        <v>2022</v>
      </c>
      <c r="D5302" s="3">
        <f t="shared" si="165"/>
        <v>202208</v>
      </c>
      <c r="E5302" s="5" t="s">
        <v>7</v>
      </c>
      <c r="F5302" s="5" t="s">
        <v>9</v>
      </c>
      <c r="G5302" s="5" t="s">
        <v>24</v>
      </c>
      <c r="H5302">
        <v>34</v>
      </c>
      <c r="I5302" s="4">
        <v>180268</v>
      </c>
      <c r="J5302" s="4">
        <v>68544</v>
      </c>
    </row>
    <row r="5303" spans="2:10" x14ac:dyDescent="0.3">
      <c r="B5303" s="7">
        <v>44805</v>
      </c>
      <c r="C5303" s="3">
        <f t="shared" si="164"/>
        <v>2022</v>
      </c>
      <c r="D5303" s="3">
        <f t="shared" si="165"/>
        <v>202209</v>
      </c>
      <c r="E5303" s="5" t="s">
        <v>7</v>
      </c>
      <c r="F5303" s="5" t="s">
        <v>9</v>
      </c>
      <c r="G5303" s="5" t="s">
        <v>24</v>
      </c>
      <c r="H5303">
        <v>36</v>
      </c>
      <c r="I5303" s="4">
        <v>163584</v>
      </c>
      <c r="J5303" s="4">
        <v>72576</v>
      </c>
    </row>
    <row r="5304" spans="2:10" x14ac:dyDescent="0.3">
      <c r="B5304" s="7">
        <v>44835</v>
      </c>
      <c r="C5304" s="3">
        <f t="shared" si="164"/>
        <v>2022</v>
      </c>
      <c r="D5304" s="3">
        <f t="shared" si="165"/>
        <v>202210</v>
      </c>
      <c r="E5304" s="5" t="s">
        <v>7</v>
      </c>
      <c r="F5304" s="5" t="s">
        <v>9</v>
      </c>
      <c r="G5304" s="5" t="s">
        <v>24</v>
      </c>
      <c r="H5304">
        <v>30</v>
      </c>
      <c r="I5304" s="4">
        <v>186180</v>
      </c>
      <c r="J5304" s="4">
        <v>60480</v>
      </c>
    </row>
    <row r="5305" spans="2:10" x14ac:dyDescent="0.3">
      <c r="B5305" s="7">
        <v>44866</v>
      </c>
      <c r="C5305" s="3">
        <f t="shared" si="164"/>
        <v>2022</v>
      </c>
      <c r="D5305" s="3">
        <f t="shared" si="165"/>
        <v>202211</v>
      </c>
      <c r="E5305" s="5" t="s">
        <v>7</v>
      </c>
      <c r="F5305" s="5" t="s">
        <v>9</v>
      </c>
      <c r="G5305" s="5" t="s">
        <v>24</v>
      </c>
      <c r="H5305">
        <v>22</v>
      </c>
      <c r="I5305" s="4">
        <v>124564</v>
      </c>
      <c r="J5305" s="4">
        <v>44352</v>
      </c>
    </row>
    <row r="5306" spans="2:10" x14ac:dyDescent="0.3">
      <c r="B5306" s="7">
        <v>44896</v>
      </c>
      <c r="C5306" s="3">
        <f t="shared" si="164"/>
        <v>2022</v>
      </c>
      <c r="D5306" s="3">
        <f t="shared" si="165"/>
        <v>202212</v>
      </c>
      <c r="E5306" s="5" t="s">
        <v>7</v>
      </c>
      <c r="F5306" s="5" t="s">
        <v>9</v>
      </c>
      <c r="G5306" s="5" t="s">
        <v>24</v>
      </c>
      <c r="H5306">
        <v>26</v>
      </c>
      <c r="I5306" s="4">
        <v>112060</v>
      </c>
      <c r="J5306" s="4">
        <v>52416</v>
      </c>
    </row>
    <row r="5307" spans="2:10" x14ac:dyDescent="0.3">
      <c r="B5307" s="7">
        <v>44197</v>
      </c>
      <c r="C5307" s="3">
        <f t="shared" si="164"/>
        <v>2021</v>
      </c>
      <c r="D5307" s="3">
        <f t="shared" si="165"/>
        <v>202101</v>
      </c>
      <c r="E5307" s="5" t="s">
        <v>7</v>
      </c>
      <c r="F5307" s="5" t="s">
        <v>9</v>
      </c>
      <c r="G5307" s="5" t="s">
        <v>25</v>
      </c>
      <c r="H5307">
        <v>28</v>
      </c>
      <c r="I5307" s="4">
        <v>76160</v>
      </c>
      <c r="J5307" s="4">
        <v>26180.000000000004</v>
      </c>
    </row>
    <row r="5308" spans="2:10" x14ac:dyDescent="0.3">
      <c r="B5308" s="7">
        <v>44228</v>
      </c>
      <c r="C5308" s="3">
        <f t="shared" si="164"/>
        <v>2021</v>
      </c>
      <c r="D5308" s="3">
        <f t="shared" si="165"/>
        <v>202102</v>
      </c>
      <c r="E5308" s="5" t="s">
        <v>7</v>
      </c>
      <c r="F5308" s="5" t="s">
        <v>9</v>
      </c>
      <c r="G5308" s="5" t="s">
        <v>25</v>
      </c>
      <c r="H5308">
        <v>18</v>
      </c>
      <c r="I5308" s="4">
        <v>60030</v>
      </c>
      <c r="J5308" s="4">
        <v>16830.000000000004</v>
      </c>
    </row>
    <row r="5309" spans="2:10" x14ac:dyDescent="0.3">
      <c r="B5309" s="7">
        <v>44256</v>
      </c>
      <c r="C5309" s="3">
        <f t="shared" si="164"/>
        <v>2021</v>
      </c>
      <c r="D5309" s="3">
        <f t="shared" si="165"/>
        <v>202103</v>
      </c>
      <c r="E5309" s="5" t="s">
        <v>7</v>
      </c>
      <c r="F5309" s="5" t="s">
        <v>9</v>
      </c>
      <c r="G5309" s="5" t="s">
        <v>25</v>
      </c>
      <c r="H5309">
        <v>14</v>
      </c>
      <c r="I5309" s="4">
        <v>35014</v>
      </c>
      <c r="J5309" s="4">
        <v>13090.000000000002</v>
      </c>
    </row>
    <row r="5310" spans="2:10" x14ac:dyDescent="0.3">
      <c r="B5310" s="7">
        <v>44287</v>
      </c>
      <c r="C5310" s="3">
        <f t="shared" si="164"/>
        <v>2021</v>
      </c>
      <c r="D5310" s="3">
        <f t="shared" si="165"/>
        <v>202104</v>
      </c>
      <c r="E5310" s="5" t="s">
        <v>7</v>
      </c>
      <c r="F5310" s="5" t="s">
        <v>9</v>
      </c>
      <c r="G5310" s="5" t="s">
        <v>25</v>
      </c>
      <c r="H5310">
        <v>27</v>
      </c>
      <c r="I5310" s="4">
        <v>83997</v>
      </c>
      <c r="J5310" s="4">
        <v>25245.000000000004</v>
      </c>
    </row>
    <row r="5311" spans="2:10" x14ac:dyDescent="0.3">
      <c r="B5311" s="7">
        <v>44317</v>
      </c>
      <c r="C5311" s="3">
        <f t="shared" si="164"/>
        <v>2021</v>
      </c>
      <c r="D5311" s="3">
        <f t="shared" si="165"/>
        <v>202105</v>
      </c>
      <c r="E5311" s="5" t="s">
        <v>7</v>
      </c>
      <c r="F5311" s="5" t="s">
        <v>9</v>
      </c>
      <c r="G5311" s="5" t="s">
        <v>25</v>
      </c>
      <c r="H5311">
        <v>34</v>
      </c>
      <c r="I5311" s="4">
        <v>115158</v>
      </c>
      <c r="J5311" s="4">
        <v>31790.000000000004</v>
      </c>
    </row>
    <row r="5312" spans="2:10" x14ac:dyDescent="0.3">
      <c r="B5312" s="7">
        <v>44348</v>
      </c>
      <c r="C5312" s="3">
        <f t="shared" si="164"/>
        <v>2021</v>
      </c>
      <c r="D5312" s="3">
        <f t="shared" si="165"/>
        <v>202106</v>
      </c>
      <c r="E5312" s="5" t="s">
        <v>7</v>
      </c>
      <c r="F5312" s="5" t="s">
        <v>9</v>
      </c>
      <c r="G5312" s="5" t="s">
        <v>25</v>
      </c>
      <c r="H5312">
        <v>32</v>
      </c>
      <c r="I5312" s="4">
        <v>104544</v>
      </c>
      <c r="J5312" s="4">
        <v>29920.000000000004</v>
      </c>
    </row>
    <row r="5313" spans="2:10" x14ac:dyDescent="0.3">
      <c r="B5313" s="7">
        <v>44378</v>
      </c>
      <c r="C5313" s="3">
        <f t="shared" si="164"/>
        <v>2021</v>
      </c>
      <c r="D5313" s="3">
        <f t="shared" si="165"/>
        <v>202107</v>
      </c>
      <c r="E5313" s="5" t="s">
        <v>7</v>
      </c>
      <c r="F5313" s="5" t="s">
        <v>9</v>
      </c>
      <c r="G5313" s="5" t="s">
        <v>25</v>
      </c>
      <c r="H5313">
        <v>34</v>
      </c>
      <c r="I5313" s="4">
        <v>60962</v>
      </c>
      <c r="J5313" s="4">
        <v>31790.000000000004</v>
      </c>
    </row>
    <row r="5314" spans="2:10" x14ac:dyDescent="0.3">
      <c r="B5314" s="7">
        <v>44409</v>
      </c>
      <c r="C5314" s="3">
        <f t="shared" si="164"/>
        <v>2021</v>
      </c>
      <c r="D5314" s="3">
        <f t="shared" si="165"/>
        <v>202108</v>
      </c>
      <c r="E5314" s="5" t="s">
        <v>7</v>
      </c>
      <c r="F5314" s="5" t="s">
        <v>9</v>
      </c>
      <c r="G5314" s="5" t="s">
        <v>25</v>
      </c>
      <c r="H5314">
        <v>28</v>
      </c>
      <c r="I5314" s="4">
        <v>63784</v>
      </c>
      <c r="J5314" s="4">
        <v>26180.000000000004</v>
      </c>
    </row>
    <row r="5315" spans="2:10" x14ac:dyDescent="0.3">
      <c r="B5315" s="7">
        <v>44440</v>
      </c>
      <c r="C5315" s="3">
        <f t="shared" ref="C5315:C5378" si="166">YEAR(B5315)</f>
        <v>2021</v>
      </c>
      <c r="D5315" s="3">
        <f t="shared" ref="D5315:D5378" si="167">VALUE(TEXT(B5315,"ГГГГММ"))</f>
        <v>202109</v>
      </c>
      <c r="E5315" s="5" t="s">
        <v>7</v>
      </c>
      <c r="F5315" s="5" t="s">
        <v>9</v>
      </c>
      <c r="G5315" s="5" t="s">
        <v>25</v>
      </c>
      <c r="H5315">
        <v>30</v>
      </c>
      <c r="I5315" s="4">
        <v>92190</v>
      </c>
      <c r="J5315" s="4">
        <v>28050.000000000004</v>
      </c>
    </row>
    <row r="5316" spans="2:10" x14ac:dyDescent="0.3">
      <c r="B5316" s="7">
        <v>44470</v>
      </c>
      <c r="C5316" s="3">
        <f t="shared" si="166"/>
        <v>2021</v>
      </c>
      <c r="D5316" s="3">
        <f t="shared" si="167"/>
        <v>202110</v>
      </c>
      <c r="E5316" s="5" t="s">
        <v>7</v>
      </c>
      <c r="F5316" s="5" t="s">
        <v>9</v>
      </c>
      <c r="G5316" s="5" t="s">
        <v>25</v>
      </c>
      <c r="H5316">
        <v>25</v>
      </c>
      <c r="I5316" s="4">
        <v>78425</v>
      </c>
      <c r="J5316" s="4">
        <v>23375.000000000004</v>
      </c>
    </row>
    <row r="5317" spans="2:10" x14ac:dyDescent="0.3">
      <c r="B5317" s="7">
        <v>44501</v>
      </c>
      <c r="C5317" s="3">
        <f t="shared" si="166"/>
        <v>2021</v>
      </c>
      <c r="D5317" s="3">
        <f t="shared" si="167"/>
        <v>202111</v>
      </c>
      <c r="E5317" s="5" t="s">
        <v>7</v>
      </c>
      <c r="F5317" s="5" t="s">
        <v>9</v>
      </c>
      <c r="G5317" s="5" t="s">
        <v>25</v>
      </c>
      <c r="H5317">
        <v>18</v>
      </c>
      <c r="I5317" s="4">
        <v>45180</v>
      </c>
      <c r="J5317" s="4">
        <v>16830.000000000004</v>
      </c>
    </row>
    <row r="5318" spans="2:10" x14ac:dyDescent="0.3">
      <c r="B5318" s="7">
        <v>44531</v>
      </c>
      <c r="C5318" s="3">
        <f t="shared" si="166"/>
        <v>2021</v>
      </c>
      <c r="D5318" s="3">
        <f t="shared" si="167"/>
        <v>202112</v>
      </c>
      <c r="E5318" s="5" t="s">
        <v>7</v>
      </c>
      <c r="F5318" s="5" t="s">
        <v>9</v>
      </c>
      <c r="G5318" s="5" t="s">
        <v>25</v>
      </c>
      <c r="H5318">
        <v>21</v>
      </c>
      <c r="I5318" s="4">
        <v>51618</v>
      </c>
      <c r="J5318" s="4">
        <v>19635.000000000004</v>
      </c>
    </row>
    <row r="5319" spans="2:10" x14ac:dyDescent="0.3">
      <c r="B5319" s="7">
        <v>44562</v>
      </c>
      <c r="C5319" s="3">
        <f t="shared" si="166"/>
        <v>2022</v>
      </c>
      <c r="D5319" s="3">
        <f t="shared" si="167"/>
        <v>202201</v>
      </c>
      <c r="E5319" s="5" t="s">
        <v>7</v>
      </c>
      <c r="F5319" s="5" t="s">
        <v>9</v>
      </c>
      <c r="G5319" s="5" t="s">
        <v>25</v>
      </c>
      <c r="H5319">
        <v>31</v>
      </c>
      <c r="I5319" s="4">
        <v>93620</v>
      </c>
      <c r="J5319" s="4">
        <v>28985.000000000004</v>
      </c>
    </row>
    <row r="5320" spans="2:10" x14ac:dyDescent="0.3">
      <c r="B5320" s="7">
        <v>44593</v>
      </c>
      <c r="C5320" s="3">
        <f t="shared" si="166"/>
        <v>2022</v>
      </c>
      <c r="D5320" s="3">
        <f t="shared" si="167"/>
        <v>202202</v>
      </c>
      <c r="E5320" s="5" t="s">
        <v>7</v>
      </c>
      <c r="F5320" s="5" t="s">
        <v>9</v>
      </c>
      <c r="G5320" s="5" t="s">
        <v>25</v>
      </c>
      <c r="H5320">
        <v>20</v>
      </c>
      <c r="I5320" s="4">
        <v>66760</v>
      </c>
      <c r="J5320" s="4">
        <v>18700.000000000004</v>
      </c>
    </row>
    <row r="5321" spans="2:10" x14ac:dyDescent="0.3">
      <c r="B5321" s="7">
        <v>44621</v>
      </c>
      <c r="C5321" s="3">
        <f t="shared" si="166"/>
        <v>2022</v>
      </c>
      <c r="D5321" s="3">
        <f t="shared" si="167"/>
        <v>202203</v>
      </c>
      <c r="E5321" s="5" t="s">
        <v>7</v>
      </c>
      <c r="F5321" s="5" t="s">
        <v>9</v>
      </c>
      <c r="G5321" s="5" t="s">
        <v>25</v>
      </c>
      <c r="H5321">
        <v>16</v>
      </c>
      <c r="I5321" s="4">
        <v>45536</v>
      </c>
      <c r="J5321" s="4">
        <v>14960.000000000002</v>
      </c>
    </row>
    <row r="5322" spans="2:10" x14ac:dyDescent="0.3">
      <c r="B5322" s="7">
        <v>44652</v>
      </c>
      <c r="C5322" s="3">
        <f t="shared" si="166"/>
        <v>2022</v>
      </c>
      <c r="D5322" s="3">
        <f t="shared" si="167"/>
        <v>202204</v>
      </c>
      <c r="E5322" s="5" t="s">
        <v>7</v>
      </c>
      <c r="F5322" s="5" t="s">
        <v>9</v>
      </c>
      <c r="G5322" s="5" t="s">
        <v>25</v>
      </c>
      <c r="H5322">
        <v>29</v>
      </c>
      <c r="I5322" s="4">
        <v>95352</v>
      </c>
      <c r="J5322" s="4">
        <v>27115.000000000004</v>
      </c>
    </row>
    <row r="5323" spans="2:10" x14ac:dyDescent="0.3">
      <c r="B5323" s="7">
        <v>44682</v>
      </c>
      <c r="C5323" s="3">
        <f t="shared" si="166"/>
        <v>2022</v>
      </c>
      <c r="D5323" s="3">
        <f t="shared" si="167"/>
        <v>202205</v>
      </c>
      <c r="E5323" s="5" t="s">
        <v>7</v>
      </c>
      <c r="F5323" s="5" t="s">
        <v>9</v>
      </c>
      <c r="G5323" s="5" t="s">
        <v>25</v>
      </c>
      <c r="H5323">
        <v>37</v>
      </c>
      <c r="I5323" s="4">
        <v>129241</v>
      </c>
      <c r="J5323" s="4">
        <v>34595.000000000007</v>
      </c>
    </row>
    <row r="5324" spans="2:10" x14ac:dyDescent="0.3">
      <c r="B5324" s="7">
        <v>44713</v>
      </c>
      <c r="C5324" s="3">
        <f t="shared" si="166"/>
        <v>2022</v>
      </c>
      <c r="D5324" s="3">
        <f t="shared" si="167"/>
        <v>202206</v>
      </c>
      <c r="E5324" s="5" t="s">
        <v>7</v>
      </c>
      <c r="F5324" s="5" t="s">
        <v>9</v>
      </c>
      <c r="G5324" s="5" t="s">
        <v>25</v>
      </c>
      <c r="H5324">
        <v>35</v>
      </c>
      <c r="I5324" s="4">
        <v>95760</v>
      </c>
      <c r="J5324" s="4">
        <v>32725.000000000004</v>
      </c>
    </row>
    <row r="5325" spans="2:10" x14ac:dyDescent="0.3">
      <c r="B5325" s="7">
        <v>44743</v>
      </c>
      <c r="C5325" s="3">
        <f t="shared" si="166"/>
        <v>2022</v>
      </c>
      <c r="D5325" s="3">
        <f t="shared" si="167"/>
        <v>202207</v>
      </c>
      <c r="E5325" s="5" t="s">
        <v>7</v>
      </c>
      <c r="F5325" s="5" t="s">
        <v>9</v>
      </c>
      <c r="G5325" s="5" t="s">
        <v>25</v>
      </c>
      <c r="H5325">
        <v>37</v>
      </c>
      <c r="I5325" s="4">
        <v>66600</v>
      </c>
      <c r="J5325" s="4">
        <v>34595.000000000007</v>
      </c>
    </row>
    <row r="5326" spans="2:10" x14ac:dyDescent="0.3">
      <c r="B5326" s="7">
        <v>44774</v>
      </c>
      <c r="C5326" s="3">
        <f t="shared" si="166"/>
        <v>2022</v>
      </c>
      <c r="D5326" s="3">
        <f t="shared" si="167"/>
        <v>202208</v>
      </c>
      <c r="E5326" s="5" t="s">
        <v>7</v>
      </c>
      <c r="F5326" s="5" t="s">
        <v>9</v>
      </c>
      <c r="G5326" s="5" t="s">
        <v>25</v>
      </c>
      <c r="H5326">
        <v>31</v>
      </c>
      <c r="I5326" s="4">
        <v>80848</v>
      </c>
      <c r="J5326" s="4">
        <v>28985.000000000004</v>
      </c>
    </row>
    <row r="5327" spans="2:10" x14ac:dyDescent="0.3">
      <c r="B5327" s="7">
        <v>44805</v>
      </c>
      <c r="C5327" s="3">
        <f t="shared" si="166"/>
        <v>2022</v>
      </c>
      <c r="D5327" s="3">
        <f t="shared" si="167"/>
        <v>202209</v>
      </c>
      <c r="E5327" s="5" t="s">
        <v>7</v>
      </c>
      <c r="F5327" s="5" t="s">
        <v>9</v>
      </c>
      <c r="G5327" s="5" t="s">
        <v>25</v>
      </c>
      <c r="H5327">
        <v>33</v>
      </c>
      <c r="I5327" s="4">
        <v>84975</v>
      </c>
      <c r="J5327" s="4">
        <v>30855.000000000004</v>
      </c>
    </row>
    <row r="5328" spans="2:10" x14ac:dyDescent="0.3">
      <c r="B5328" s="7">
        <v>44835</v>
      </c>
      <c r="C5328" s="3">
        <f t="shared" si="166"/>
        <v>2022</v>
      </c>
      <c r="D5328" s="3">
        <f t="shared" si="167"/>
        <v>202210</v>
      </c>
      <c r="E5328" s="5" t="s">
        <v>7</v>
      </c>
      <c r="F5328" s="5" t="s">
        <v>9</v>
      </c>
      <c r="G5328" s="5" t="s">
        <v>25</v>
      </c>
      <c r="H5328">
        <v>27</v>
      </c>
      <c r="I5328" s="4">
        <v>81270</v>
      </c>
      <c r="J5328" s="4">
        <v>25245.000000000004</v>
      </c>
    </row>
    <row r="5329" spans="2:10" x14ac:dyDescent="0.3">
      <c r="B5329" s="7">
        <v>44866</v>
      </c>
      <c r="C5329" s="3">
        <f t="shared" si="166"/>
        <v>2022</v>
      </c>
      <c r="D5329" s="3">
        <f t="shared" si="167"/>
        <v>202211</v>
      </c>
      <c r="E5329" s="5" t="s">
        <v>7</v>
      </c>
      <c r="F5329" s="5" t="s">
        <v>9</v>
      </c>
      <c r="G5329" s="5" t="s">
        <v>25</v>
      </c>
      <c r="H5329">
        <v>20</v>
      </c>
      <c r="I5329" s="4">
        <v>53440</v>
      </c>
      <c r="J5329" s="4">
        <v>18700.000000000004</v>
      </c>
    </row>
    <row r="5330" spans="2:10" x14ac:dyDescent="0.3">
      <c r="B5330" s="7">
        <v>44896</v>
      </c>
      <c r="C5330" s="3">
        <f t="shared" si="166"/>
        <v>2022</v>
      </c>
      <c r="D5330" s="3">
        <f t="shared" si="167"/>
        <v>202212</v>
      </c>
      <c r="E5330" s="5" t="s">
        <v>7</v>
      </c>
      <c r="F5330" s="5" t="s">
        <v>9</v>
      </c>
      <c r="G5330" s="5" t="s">
        <v>25</v>
      </c>
      <c r="H5330">
        <v>23</v>
      </c>
      <c r="I5330" s="4">
        <v>56626</v>
      </c>
      <c r="J5330" s="4">
        <v>21505.000000000004</v>
      </c>
    </row>
    <row r="5331" spans="2:10" x14ac:dyDescent="0.3">
      <c r="B5331" s="7">
        <v>44197</v>
      </c>
      <c r="C5331" s="3">
        <f t="shared" si="166"/>
        <v>2021</v>
      </c>
      <c r="D5331" s="3">
        <f t="shared" si="167"/>
        <v>202101</v>
      </c>
      <c r="E5331" s="5" t="s">
        <v>7</v>
      </c>
      <c r="F5331" s="5" t="s">
        <v>9</v>
      </c>
      <c r="G5331" s="5" t="s">
        <v>26</v>
      </c>
      <c r="H5331">
        <v>35</v>
      </c>
      <c r="I5331" s="4">
        <v>182595</v>
      </c>
      <c r="J5331" s="4">
        <v>69160</v>
      </c>
    </row>
    <row r="5332" spans="2:10" x14ac:dyDescent="0.3">
      <c r="B5332" s="7">
        <v>44228</v>
      </c>
      <c r="C5332" s="3">
        <f t="shared" si="166"/>
        <v>2021</v>
      </c>
      <c r="D5332" s="3">
        <f t="shared" si="167"/>
        <v>202102</v>
      </c>
      <c r="E5332" s="5" t="s">
        <v>7</v>
      </c>
      <c r="F5332" s="5" t="s">
        <v>9</v>
      </c>
      <c r="G5332" s="5" t="s">
        <v>26</v>
      </c>
      <c r="H5332">
        <v>22</v>
      </c>
      <c r="I5332" s="4">
        <v>109934</v>
      </c>
      <c r="J5332" s="4">
        <v>43472</v>
      </c>
    </row>
    <row r="5333" spans="2:10" x14ac:dyDescent="0.3">
      <c r="B5333" s="7">
        <v>44256</v>
      </c>
      <c r="C5333" s="3">
        <f t="shared" si="166"/>
        <v>2021</v>
      </c>
      <c r="D5333" s="3">
        <f t="shared" si="167"/>
        <v>202103</v>
      </c>
      <c r="E5333" s="5" t="s">
        <v>7</v>
      </c>
      <c r="F5333" s="5" t="s">
        <v>9</v>
      </c>
      <c r="G5333" s="5" t="s">
        <v>26</v>
      </c>
      <c r="H5333">
        <v>18</v>
      </c>
      <c r="I5333" s="4">
        <v>88200</v>
      </c>
      <c r="J5333" s="4">
        <v>35568</v>
      </c>
    </row>
    <row r="5334" spans="2:10" x14ac:dyDescent="0.3">
      <c r="B5334" s="7">
        <v>44287</v>
      </c>
      <c r="C5334" s="3">
        <f t="shared" si="166"/>
        <v>2021</v>
      </c>
      <c r="D5334" s="3">
        <f t="shared" si="167"/>
        <v>202104</v>
      </c>
      <c r="E5334" s="5" t="s">
        <v>7</v>
      </c>
      <c r="F5334" s="5" t="s">
        <v>9</v>
      </c>
      <c r="G5334" s="5" t="s">
        <v>26</v>
      </c>
      <c r="H5334">
        <v>33</v>
      </c>
      <c r="I5334" s="4">
        <v>192258</v>
      </c>
      <c r="J5334" s="4">
        <v>65208</v>
      </c>
    </row>
    <row r="5335" spans="2:10" x14ac:dyDescent="0.3">
      <c r="B5335" s="7">
        <v>44317</v>
      </c>
      <c r="C5335" s="3">
        <f t="shared" si="166"/>
        <v>2021</v>
      </c>
      <c r="D5335" s="3">
        <f t="shared" si="167"/>
        <v>202105</v>
      </c>
      <c r="E5335" s="5" t="s">
        <v>7</v>
      </c>
      <c r="F5335" s="5" t="s">
        <v>9</v>
      </c>
      <c r="G5335" s="5" t="s">
        <v>26</v>
      </c>
      <c r="H5335">
        <v>41</v>
      </c>
      <c r="I5335" s="4">
        <v>229641</v>
      </c>
      <c r="J5335" s="4">
        <v>81016</v>
      </c>
    </row>
    <row r="5336" spans="2:10" x14ac:dyDescent="0.3">
      <c r="B5336" s="7">
        <v>44348</v>
      </c>
      <c r="C5336" s="3">
        <f t="shared" si="166"/>
        <v>2021</v>
      </c>
      <c r="D5336" s="3">
        <f t="shared" si="167"/>
        <v>202106</v>
      </c>
      <c r="E5336" s="5" t="s">
        <v>7</v>
      </c>
      <c r="F5336" s="5" t="s">
        <v>9</v>
      </c>
      <c r="G5336" s="5" t="s">
        <v>26</v>
      </c>
      <c r="H5336">
        <v>39</v>
      </c>
      <c r="I5336" s="4">
        <v>204477</v>
      </c>
      <c r="J5336" s="4">
        <v>77064</v>
      </c>
    </row>
    <row r="5337" spans="2:10" x14ac:dyDescent="0.3">
      <c r="B5337" s="7">
        <v>44378</v>
      </c>
      <c r="C5337" s="3">
        <f t="shared" si="166"/>
        <v>2021</v>
      </c>
      <c r="D5337" s="3">
        <f t="shared" si="167"/>
        <v>202107</v>
      </c>
      <c r="E5337" s="5" t="s">
        <v>7</v>
      </c>
      <c r="F5337" s="5" t="s">
        <v>9</v>
      </c>
      <c r="G5337" s="5" t="s">
        <v>26</v>
      </c>
      <c r="H5337">
        <v>41</v>
      </c>
      <c r="I5337" s="4">
        <v>163221</v>
      </c>
      <c r="J5337" s="4">
        <v>81016</v>
      </c>
    </row>
    <row r="5338" spans="2:10" x14ac:dyDescent="0.3">
      <c r="B5338" s="7">
        <v>44409</v>
      </c>
      <c r="C5338" s="3">
        <f t="shared" si="166"/>
        <v>2021</v>
      </c>
      <c r="D5338" s="3">
        <f t="shared" si="167"/>
        <v>202108</v>
      </c>
      <c r="E5338" s="5" t="s">
        <v>7</v>
      </c>
      <c r="F5338" s="5" t="s">
        <v>9</v>
      </c>
      <c r="G5338" s="5" t="s">
        <v>26</v>
      </c>
      <c r="H5338">
        <v>35</v>
      </c>
      <c r="I5338" s="4">
        <v>161490</v>
      </c>
      <c r="J5338" s="4">
        <v>69160</v>
      </c>
    </row>
    <row r="5339" spans="2:10" x14ac:dyDescent="0.3">
      <c r="B5339" s="7">
        <v>44440</v>
      </c>
      <c r="C5339" s="3">
        <f t="shared" si="166"/>
        <v>2021</v>
      </c>
      <c r="D5339" s="3">
        <f t="shared" si="167"/>
        <v>202109</v>
      </c>
      <c r="E5339" s="5" t="s">
        <v>7</v>
      </c>
      <c r="F5339" s="5" t="s">
        <v>9</v>
      </c>
      <c r="G5339" s="5" t="s">
        <v>26</v>
      </c>
      <c r="H5339">
        <v>37</v>
      </c>
      <c r="I5339" s="4">
        <v>185518</v>
      </c>
      <c r="J5339" s="4">
        <v>73112</v>
      </c>
    </row>
    <row r="5340" spans="2:10" x14ac:dyDescent="0.3">
      <c r="B5340" s="7">
        <v>44470</v>
      </c>
      <c r="C5340" s="3">
        <f t="shared" si="166"/>
        <v>2021</v>
      </c>
      <c r="D5340" s="3">
        <f t="shared" si="167"/>
        <v>202110</v>
      </c>
      <c r="E5340" s="5" t="s">
        <v>7</v>
      </c>
      <c r="F5340" s="5" t="s">
        <v>9</v>
      </c>
      <c r="G5340" s="5" t="s">
        <v>26</v>
      </c>
      <c r="H5340">
        <v>30</v>
      </c>
      <c r="I5340" s="4">
        <v>152640</v>
      </c>
      <c r="J5340" s="4">
        <v>59280</v>
      </c>
    </row>
    <row r="5341" spans="2:10" x14ac:dyDescent="0.3">
      <c r="B5341" s="7">
        <v>44501</v>
      </c>
      <c r="C5341" s="3">
        <f t="shared" si="166"/>
        <v>2021</v>
      </c>
      <c r="D5341" s="3">
        <f t="shared" si="167"/>
        <v>202111</v>
      </c>
      <c r="E5341" s="5" t="s">
        <v>7</v>
      </c>
      <c r="F5341" s="5" t="s">
        <v>9</v>
      </c>
      <c r="G5341" s="5" t="s">
        <v>26</v>
      </c>
      <c r="H5341">
        <v>22</v>
      </c>
      <c r="I5341" s="4">
        <v>116534</v>
      </c>
      <c r="J5341" s="4">
        <v>43472</v>
      </c>
    </row>
    <row r="5342" spans="2:10" x14ac:dyDescent="0.3">
      <c r="B5342" s="7">
        <v>44531</v>
      </c>
      <c r="C5342" s="3">
        <f t="shared" si="166"/>
        <v>2021</v>
      </c>
      <c r="D5342" s="3">
        <f t="shared" si="167"/>
        <v>202112</v>
      </c>
      <c r="E5342" s="5" t="s">
        <v>7</v>
      </c>
      <c r="F5342" s="5" t="s">
        <v>9</v>
      </c>
      <c r="G5342" s="5" t="s">
        <v>26</v>
      </c>
      <c r="H5342">
        <v>26</v>
      </c>
      <c r="I5342" s="4">
        <v>108992</v>
      </c>
      <c r="J5342" s="4">
        <v>51376</v>
      </c>
    </row>
    <row r="5343" spans="2:10" x14ac:dyDescent="0.3">
      <c r="B5343" s="7">
        <v>44562</v>
      </c>
      <c r="C5343" s="3">
        <f t="shared" si="166"/>
        <v>2022</v>
      </c>
      <c r="D5343" s="3">
        <f t="shared" si="167"/>
        <v>202201</v>
      </c>
      <c r="E5343" s="5" t="s">
        <v>7</v>
      </c>
      <c r="F5343" s="5" t="s">
        <v>9</v>
      </c>
      <c r="G5343" s="5" t="s">
        <v>26</v>
      </c>
      <c r="H5343">
        <v>38</v>
      </c>
      <c r="I5343" s="4">
        <v>206188</v>
      </c>
      <c r="J5343" s="4">
        <v>75088</v>
      </c>
    </row>
    <row r="5344" spans="2:10" x14ac:dyDescent="0.3">
      <c r="B5344" s="7">
        <v>44593</v>
      </c>
      <c r="C5344" s="3">
        <f t="shared" si="166"/>
        <v>2022</v>
      </c>
      <c r="D5344" s="3">
        <f t="shared" si="167"/>
        <v>202202</v>
      </c>
      <c r="E5344" s="5" t="s">
        <v>7</v>
      </c>
      <c r="F5344" s="5" t="s">
        <v>9</v>
      </c>
      <c r="G5344" s="5" t="s">
        <v>26</v>
      </c>
      <c r="H5344">
        <v>24</v>
      </c>
      <c r="I5344" s="4">
        <v>123792</v>
      </c>
      <c r="J5344" s="4">
        <v>47424</v>
      </c>
    </row>
    <row r="5345" spans="2:10" x14ac:dyDescent="0.3">
      <c r="B5345" s="7">
        <v>44621</v>
      </c>
      <c r="C5345" s="3">
        <f t="shared" si="166"/>
        <v>2022</v>
      </c>
      <c r="D5345" s="3">
        <f t="shared" si="167"/>
        <v>202203</v>
      </c>
      <c r="E5345" s="5" t="s">
        <v>7</v>
      </c>
      <c r="F5345" s="5" t="s">
        <v>9</v>
      </c>
      <c r="G5345" s="5" t="s">
        <v>26</v>
      </c>
      <c r="H5345">
        <v>19</v>
      </c>
      <c r="I5345" s="4">
        <v>77843</v>
      </c>
      <c r="J5345" s="4">
        <v>37544</v>
      </c>
    </row>
    <row r="5346" spans="2:10" x14ac:dyDescent="0.3">
      <c r="B5346" s="7">
        <v>44652</v>
      </c>
      <c r="C5346" s="3">
        <f t="shared" si="166"/>
        <v>2022</v>
      </c>
      <c r="D5346" s="3">
        <f t="shared" si="167"/>
        <v>202204</v>
      </c>
      <c r="E5346" s="5" t="s">
        <v>7</v>
      </c>
      <c r="F5346" s="5" t="s">
        <v>9</v>
      </c>
      <c r="G5346" s="5" t="s">
        <v>26</v>
      </c>
      <c r="H5346">
        <v>36</v>
      </c>
      <c r="I5346" s="4">
        <v>208044</v>
      </c>
      <c r="J5346" s="4">
        <v>71136</v>
      </c>
    </row>
    <row r="5347" spans="2:10" x14ac:dyDescent="0.3">
      <c r="B5347" s="7">
        <v>44682</v>
      </c>
      <c r="C5347" s="3">
        <f t="shared" si="166"/>
        <v>2022</v>
      </c>
      <c r="D5347" s="3">
        <f t="shared" si="167"/>
        <v>202205</v>
      </c>
      <c r="E5347" s="5" t="s">
        <v>7</v>
      </c>
      <c r="F5347" s="5" t="s">
        <v>9</v>
      </c>
      <c r="G5347" s="5" t="s">
        <v>26</v>
      </c>
      <c r="H5347">
        <v>45</v>
      </c>
      <c r="I5347" s="4">
        <v>268830</v>
      </c>
      <c r="J5347" s="4">
        <v>88920</v>
      </c>
    </row>
    <row r="5348" spans="2:10" x14ac:dyDescent="0.3">
      <c r="B5348" s="7">
        <v>44713</v>
      </c>
      <c r="C5348" s="3">
        <f t="shared" si="166"/>
        <v>2022</v>
      </c>
      <c r="D5348" s="3">
        <f t="shared" si="167"/>
        <v>202206</v>
      </c>
      <c r="E5348" s="5" t="s">
        <v>7</v>
      </c>
      <c r="F5348" s="5" t="s">
        <v>9</v>
      </c>
      <c r="G5348" s="5" t="s">
        <v>26</v>
      </c>
      <c r="H5348">
        <v>43</v>
      </c>
      <c r="I5348" s="4">
        <v>243595</v>
      </c>
      <c r="J5348" s="4">
        <v>84968</v>
      </c>
    </row>
    <row r="5349" spans="2:10" x14ac:dyDescent="0.3">
      <c r="B5349" s="7">
        <v>44743</v>
      </c>
      <c r="C5349" s="3">
        <f t="shared" si="166"/>
        <v>2022</v>
      </c>
      <c r="D5349" s="3">
        <f t="shared" si="167"/>
        <v>202207</v>
      </c>
      <c r="E5349" s="5" t="s">
        <v>7</v>
      </c>
      <c r="F5349" s="5" t="s">
        <v>9</v>
      </c>
      <c r="G5349" s="5" t="s">
        <v>26</v>
      </c>
      <c r="H5349">
        <v>45</v>
      </c>
      <c r="I5349" s="4">
        <v>171540</v>
      </c>
      <c r="J5349" s="4">
        <v>88920</v>
      </c>
    </row>
    <row r="5350" spans="2:10" x14ac:dyDescent="0.3">
      <c r="B5350" s="7">
        <v>44774</v>
      </c>
      <c r="C5350" s="3">
        <f t="shared" si="166"/>
        <v>2022</v>
      </c>
      <c r="D5350" s="3">
        <f t="shared" si="167"/>
        <v>202208</v>
      </c>
      <c r="E5350" s="5" t="s">
        <v>7</v>
      </c>
      <c r="F5350" s="5" t="s">
        <v>9</v>
      </c>
      <c r="G5350" s="5" t="s">
        <v>26</v>
      </c>
      <c r="H5350">
        <v>38</v>
      </c>
      <c r="I5350" s="4">
        <v>168378</v>
      </c>
      <c r="J5350" s="4">
        <v>75088</v>
      </c>
    </row>
    <row r="5351" spans="2:10" x14ac:dyDescent="0.3">
      <c r="B5351" s="7">
        <v>44805</v>
      </c>
      <c r="C5351" s="3">
        <f t="shared" si="166"/>
        <v>2022</v>
      </c>
      <c r="D5351" s="3">
        <f t="shared" si="167"/>
        <v>202209</v>
      </c>
      <c r="E5351" s="5" t="s">
        <v>7</v>
      </c>
      <c r="F5351" s="5" t="s">
        <v>9</v>
      </c>
      <c r="G5351" s="5" t="s">
        <v>26</v>
      </c>
      <c r="H5351">
        <v>41</v>
      </c>
      <c r="I5351" s="4">
        <v>168592</v>
      </c>
      <c r="J5351" s="4">
        <v>81016</v>
      </c>
    </row>
    <row r="5352" spans="2:10" x14ac:dyDescent="0.3">
      <c r="B5352" s="7">
        <v>44835</v>
      </c>
      <c r="C5352" s="3">
        <f t="shared" si="166"/>
        <v>2022</v>
      </c>
      <c r="D5352" s="3">
        <f t="shared" si="167"/>
        <v>202210</v>
      </c>
      <c r="E5352" s="5" t="s">
        <v>7</v>
      </c>
      <c r="F5352" s="5" t="s">
        <v>9</v>
      </c>
      <c r="G5352" s="5" t="s">
        <v>26</v>
      </c>
      <c r="H5352">
        <v>33</v>
      </c>
      <c r="I5352" s="4">
        <v>168564</v>
      </c>
      <c r="J5352" s="4">
        <v>65208</v>
      </c>
    </row>
    <row r="5353" spans="2:10" x14ac:dyDescent="0.3">
      <c r="B5353" s="7">
        <v>44866</v>
      </c>
      <c r="C5353" s="3">
        <f t="shared" si="166"/>
        <v>2022</v>
      </c>
      <c r="D5353" s="3">
        <f t="shared" si="167"/>
        <v>202211</v>
      </c>
      <c r="E5353" s="5" t="s">
        <v>7</v>
      </c>
      <c r="F5353" s="5" t="s">
        <v>9</v>
      </c>
      <c r="G5353" s="5" t="s">
        <v>26</v>
      </c>
      <c r="H5353">
        <v>24</v>
      </c>
      <c r="I5353" s="4">
        <v>122112</v>
      </c>
      <c r="J5353" s="4">
        <v>47424</v>
      </c>
    </row>
    <row r="5354" spans="2:10" x14ac:dyDescent="0.3">
      <c r="B5354" s="7">
        <v>44896</v>
      </c>
      <c r="C5354" s="3">
        <f t="shared" si="166"/>
        <v>2022</v>
      </c>
      <c r="D5354" s="3">
        <f t="shared" si="167"/>
        <v>202212</v>
      </c>
      <c r="E5354" s="5" t="s">
        <v>7</v>
      </c>
      <c r="F5354" s="5" t="s">
        <v>9</v>
      </c>
      <c r="G5354" s="5" t="s">
        <v>26</v>
      </c>
      <c r="H5354">
        <v>29</v>
      </c>
      <c r="I5354" s="4">
        <v>133313</v>
      </c>
      <c r="J5354" s="4">
        <v>57304</v>
      </c>
    </row>
    <row r="5355" spans="2:10" x14ac:dyDescent="0.3">
      <c r="B5355" s="7">
        <v>44197</v>
      </c>
      <c r="C5355" s="3">
        <f t="shared" si="166"/>
        <v>2021</v>
      </c>
      <c r="D5355" s="3">
        <f t="shared" si="167"/>
        <v>202101</v>
      </c>
      <c r="E5355" s="5" t="s">
        <v>7</v>
      </c>
      <c r="F5355" s="5" t="s">
        <v>9</v>
      </c>
      <c r="G5355" s="5" t="s">
        <v>27</v>
      </c>
      <c r="H5355">
        <v>31</v>
      </c>
      <c r="I5355" s="4">
        <v>163618</v>
      </c>
      <c r="J5355" s="4">
        <v>55800</v>
      </c>
    </row>
    <row r="5356" spans="2:10" x14ac:dyDescent="0.3">
      <c r="B5356" s="7">
        <v>44228</v>
      </c>
      <c r="C5356" s="3">
        <f t="shared" si="166"/>
        <v>2021</v>
      </c>
      <c r="D5356" s="3">
        <f t="shared" si="167"/>
        <v>202102</v>
      </c>
      <c r="E5356" s="5" t="s">
        <v>7</v>
      </c>
      <c r="F5356" s="5" t="s">
        <v>9</v>
      </c>
      <c r="G5356" s="5" t="s">
        <v>27</v>
      </c>
      <c r="H5356">
        <v>20</v>
      </c>
      <c r="I5356" s="4">
        <v>119520</v>
      </c>
      <c r="J5356" s="4">
        <v>36000</v>
      </c>
    </row>
    <row r="5357" spans="2:10" x14ac:dyDescent="0.3">
      <c r="B5357" s="7">
        <v>44256</v>
      </c>
      <c r="C5357" s="3">
        <f t="shared" si="166"/>
        <v>2021</v>
      </c>
      <c r="D5357" s="3">
        <f t="shared" si="167"/>
        <v>202103</v>
      </c>
      <c r="E5357" s="5" t="s">
        <v>7</v>
      </c>
      <c r="F5357" s="5" t="s">
        <v>9</v>
      </c>
      <c r="G5357" s="5" t="s">
        <v>27</v>
      </c>
      <c r="H5357">
        <v>16</v>
      </c>
      <c r="I5357" s="4">
        <v>82560</v>
      </c>
      <c r="J5357" s="4">
        <v>28800</v>
      </c>
    </row>
    <row r="5358" spans="2:10" x14ac:dyDescent="0.3">
      <c r="B5358" s="7">
        <v>44287</v>
      </c>
      <c r="C5358" s="3">
        <f t="shared" si="166"/>
        <v>2021</v>
      </c>
      <c r="D5358" s="3">
        <f t="shared" si="167"/>
        <v>202104</v>
      </c>
      <c r="E5358" s="5" t="s">
        <v>7</v>
      </c>
      <c r="F5358" s="5" t="s">
        <v>9</v>
      </c>
      <c r="G5358" s="5" t="s">
        <v>27</v>
      </c>
      <c r="H5358">
        <v>29</v>
      </c>
      <c r="I5358" s="4">
        <v>171042</v>
      </c>
      <c r="J5358" s="4">
        <v>52200</v>
      </c>
    </row>
    <row r="5359" spans="2:10" x14ac:dyDescent="0.3">
      <c r="B5359" s="7">
        <v>44317</v>
      </c>
      <c r="C5359" s="3">
        <f t="shared" si="166"/>
        <v>2021</v>
      </c>
      <c r="D5359" s="3">
        <f t="shared" si="167"/>
        <v>202105</v>
      </c>
      <c r="E5359" s="5" t="s">
        <v>7</v>
      </c>
      <c r="F5359" s="5" t="s">
        <v>9</v>
      </c>
      <c r="G5359" s="5" t="s">
        <v>27</v>
      </c>
      <c r="H5359">
        <v>37</v>
      </c>
      <c r="I5359" s="4">
        <v>245939</v>
      </c>
      <c r="J5359" s="4">
        <v>66600</v>
      </c>
    </row>
    <row r="5360" spans="2:10" x14ac:dyDescent="0.3">
      <c r="B5360" s="7">
        <v>44348</v>
      </c>
      <c r="C5360" s="3">
        <f t="shared" si="166"/>
        <v>2021</v>
      </c>
      <c r="D5360" s="3">
        <f t="shared" si="167"/>
        <v>202106</v>
      </c>
      <c r="E5360" s="5" t="s">
        <v>7</v>
      </c>
      <c r="F5360" s="5" t="s">
        <v>9</v>
      </c>
      <c r="G5360" s="5" t="s">
        <v>27</v>
      </c>
      <c r="H5360">
        <v>35</v>
      </c>
      <c r="I5360" s="4">
        <v>225400</v>
      </c>
      <c r="J5360" s="4">
        <v>63000</v>
      </c>
    </row>
    <row r="5361" spans="2:10" x14ac:dyDescent="0.3">
      <c r="B5361" s="7">
        <v>44378</v>
      </c>
      <c r="C5361" s="3">
        <f t="shared" si="166"/>
        <v>2021</v>
      </c>
      <c r="D5361" s="3">
        <f t="shared" si="167"/>
        <v>202107</v>
      </c>
      <c r="E5361" s="5" t="s">
        <v>7</v>
      </c>
      <c r="F5361" s="5" t="s">
        <v>9</v>
      </c>
      <c r="G5361" s="5" t="s">
        <v>27</v>
      </c>
      <c r="H5361">
        <v>37</v>
      </c>
      <c r="I5361" s="4">
        <v>142154</v>
      </c>
      <c r="J5361" s="4">
        <v>66600</v>
      </c>
    </row>
    <row r="5362" spans="2:10" x14ac:dyDescent="0.3">
      <c r="B5362" s="7">
        <v>44409</v>
      </c>
      <c r="C5362" s="3">
        <f t="shared" si="166"/>
        <v>2021</v>
      </c>
      <c r="D5362" s="3">
        <f t="shared" si="167"/>
        <v>202108</v>
      </c>
      <c r="E5362" s="5" t="s">
        <v>7</v>
      </c>
      <c r="F5362" s="5" t="s">
        <v>9</v>
      </c>
      <c r="G5362" s="5" t="s">
        <v>27</v>
      </c>
      <c r="H5362">
        <v>31</v>
      </c>
      <c r="I5362" s="4">
        <v>148397</v>
      </c>
      <c r="J5362" s="4">
        <v>55800</v>
      </c>
    </row>
    <row r="5363" spans="2:10" x14ac:dyDescent="0.3">
      <c r="B5363" s="7">
        <v>44440</v>
      </c>
      <c r="C5363" s="3">
        <f t="shared" si="166"/>
        <v>2021</v>
      </c>
      <c r="D5363" s="3">
        <f t="shared" si="167"/>
        <v>202109</v>
      </c>
      <c r="E5363" s="5" t="s">
        <v>7</v>
      </c>
      <c r="F5363" s="5" t="s">
        <v>9</v>
      </c>
      <c r="G5363" s="5" t="s">
        <v>27</v>
      </c>
      <c r="H5363">
        <v>33</v>
      </c>
      <c r="I5363" s="4">
        <v>180543</v>
      </c>
      <c r="J5363" s="4">
        <v>59400</v>
      </c>
    </row>
    <row r="5364" spans="2:10" x14ac:dyDescent="0.3">
      <c r="B5364" s="7">
        <v>44470</v>
      </c>
      <c r="C5364" s="3">
        <f t="shared" si="166"/>
        <v>2021</v>
      </c>
      <c r="D5364" s="3">
        <f t="shared" si="167"/>
        <v>202110</v>
      </c>
      <c r="E5364" s="5" t="s">
        <v>7</v>
      </c>
      <c r="F5364" s="5" t="s">
        <v>9</v>
      </c>
      <c r="G5364" s="5" t="s">
        <v>27</v>
      </c>
      <c r="H5364">
        <v>27</v>
      </c>
      <c r="I5364" s="4">
        <v>150012</v>
      </c>
      <c r="J5364" s="4">
        <v>48600</v>
      </c>
    </row>
    <row r="5365" spans="2:10" x14ac:dyDescent="0.3">
      <c r="B5365" s="7">
        <v>44501</v>
      </c>
      <c r="C5365" s="3">
        <f t="shared" si="166"/>
        <v>2021</v>
      </c>
      <c r="D5365" s="3">
        <f t="shared" si="167"/>
        <v>202111</v>
      </c>
      <c r="E5365" s="5" t="s">
        <v>7</v>
      </c>
      <c r="F5365" s="5" t="s">
        <v>9</v>
      </c>
      <c r="G5365" s="5" t="s">
        <v>27</v>
      </c>
      <c r="H5365">
        <v>20</v>
      </c>
      <c r="I5365" s="4">
        <v>128920</v>
      </c>
      <c r="J5365" s="4">
        <v>36000</v>
      </c>
    </row>
    <row r="5366" spans="2:10" x14ac:dyDescent="0.3">
      <c r="B5366" s="7">
        <v>44531</v>
      </c>
      <c r="C5366" s="3">
        <f t="shared" si="166"/>
        <v>2021</v>
      </c>
      <c r="D5366" s="3">
        <f t="shared" si="167"/>
        <v>202112</v>
      </c>
      <c r="E5366" s="5" t="s">
        <v>7</v>
      </c>
      <c r="F5366" s="5" t="s">
        <v>9</v>
      </c>
      <c r="G5366" s="5" t="s">
        <v>27</v>
      </c>
      <c r="H5366">
        <v>24</v>
      </c>
      <c r="I5366" s="4">
        <v>110400</v>
      </c>
      <c r="J5366" s="4">
        <v>43200</v>
      </c>
    </row>
    <row r="5367" spans="2:10" x14ac:dyDescent="0.3">
      <c r="B5367" s="7">
        <v>44562</v>
      </c>
      <c r="C5367" s="3">
        <f t="shared" si="166"/>
        <v>2022</v>
      </c>
      <c r="D5367" s="3">
        <f t="shared" si="167"/>
        <v>202201</v>
      </c>
      <c r="E5367" s="5" t="s">
        <v>7</v>
      </c>
      <c r="F5367" s="5" t="s">
        <v>9</v>
      </c>
      <c r="G5367" s="5" t="s">
        <v>27</v>
      </c>
      <c r="H5367">
        <v>34</v>
      </c>
      <c r="I5367" s="4">
        <v>182376</v>
      </c>
      <c r="J5367" s="4">
        <v>61200</v>
      </c>
    </row>
    <row r="5368" spans="2:10" x14ac:dyDescent="0.3">
      <c r="B5368" s="7">
        <v>44593</v>
      </c>
      <c r="C5368" s="3">
        <f t="shared" si="166"/>
        <v>2022</v>
      </c>
      <c r="D5368" s="3">
        <f t="shared" si="167"/>
        <v>202202</v>
      </c>
      <c r="E5368" s="5" t="s">
        <v>7</v>
      </c>
      <c r="F5368" s="5" t="s">
        <v>9</v>
      </c>
      <c r="G5368" s="5" t="s">
        <v>27</v>
      </c>
      <c r="H5368">
        <v>22</v>
      </c>
      <c r="I5368" s="4">
        <v>133210</v>
      </c>
      <c r="J5368" s="4">
        <v>39600</v>
      </c>
    </row>
    <row r="5369" spans="2:10" x14ac:dyDescent="0.3">
      <c r="B5369" s="7">
        <v>44621</v>
      </c>
      <c r="C5369" s="3">
        <f t="shared" si="166"/>
        <v>2022</v>
      </c>
      <c r="D5369" s="3">
        <f t="shared" si="167"/>
        <v>202203</v>
      </c>
      <c r="E5369" s="5" t="s">
        <v>7</v>
      </c>
      <c r="F5369" s="5" t="s">
        <v>9</v>
      </c>
      <c r="G5369" s="5" t="s">
        <v>27</v>
      </c>
      <c r="H5369">
        <v>17</v>
      </c>
      <c r="I5369" s="4">
        <v>85595</v>
      </c>
      <c r="J5369" s="4">
        <v>30600</v>
      </c>
    </row>
    <row r="5370" spans="2:10" x14ac:dyDescent="0.3">
      <c r="B5370" s="7">
        <v>44652</v>
      </c>
      <c r="C5370" s="3">
        <f t="shared" si="166"/>
        <v>2022</v>
      </c>
      <c r="D5370" s="3">
        <f t="shared" si="167"/>
        <v>202204</v>
      </c>
      <c r="E5370" s="5" t="s">
        <v>7</v>
      </c>
      <c r="F5370" s="5" t="s">
        <v>9</v>
      </c>
      <c r="G5370" s="5" t="s">
        <v>27</v>
      </c>
      <c r="H5370">
        <v>32</v>
      </c>
      <c r="I5370" s="4">
        <v>208256</v>
      </c>
      <c r="J5370" s="4">
        <v>57600</v>
      </c>
    </row>
    <row r="5371" spans="2:10" x14ac:dyDescent="0.3">
      <c r="B5371" s="7">
        <v>44682</v>
      </c>
      <c r="C5371" s="3">
        <f t="shared" si="166"/>
        <v>2022</v>
      </c>
      <c r="D5371" s="3">
        <f t="shared" si="167"/>
        <v>202205</v>
      </c>
      <c r="E5371" s="5" t="s">
        <v>7</v>
      </c>
      <c r="F5371" s="5" t="s">
        <v>9</v>
      </c>
      <c r="G5371" s="5" t="s">
        <v>27</v>
      </c>
      <c r="H5371">
        <v>41</v>
      </c>
      <c r="I5371" s="4">
        <v>250674</v>
      </c>
      <c r="J5371" s="4">
        <v>73800</v>
      </c>
    </row>
    <row r="5372" spans="2:10" x14ac:dyDescent="0.3">
      <c r="B5372" s="7">
        <v>44713</v>
      </c>
      <c r="C5372" s="3">
        <f t="shared" si="166"/>
        <v>2022</v>
      </c>
      <c r="D5372" s="3">
        <f t="shared" si="167"/>
        <v>202206</v>
      </c>
      <c r="E5372" s="5" t="s">
        <v>7</v>
      </c>
      <c r="F5372" s="5" t="s">
        <v>9</v>
      </c>
      <c r="G5372" s="5" t="s">
        <v>27</v>
      </c>
      <c r="H5372">
        <v>39</v>
      </c>
      <c r="I5372" s="4">
        <v>224835</v>
      </c>
      <c r="J5372" s="4">
        <v>70200</v>
      </c>
    </row>
    <row r="5373" spans="2:10" x14ac:dyDescent="0.3">
      <c r="B5373" s="7">
        <v>44743</v>
      </c>
      <c r="C5373" s="3">
        <f t="shared" si="166"/>
        <v>2022</v>
      </c>
      <c r="D5373" s="3">
        <f t="shared" si="167"/>
        <v>202207</v>
      </c>
      <c r="E5373" s="5" t="s">
        <v>7</v>
      </c>
      <c r="F5373" s="5" t="s">
        <v>9</v>
      </c>
      <c r="G5373" s="5" t="s">
        <v>27</v>
      </c>
      <c r="H5373">
        <v>41</v>
      </c>
      <c r="I5373" s="4">
        <v>164410</v>
      </c>
      <c r="J5373" s="4">
        <v>73800</v>
      </c>
    </row>
    <row r="5374" spans="2:10" x14ac:dyDescent="0.3">
      <c r="B5374" s="7">
        <v>44774</v>
      </c>
      <c r="C5374" s="3">
        <f t="shared" si="166"/>
        <v>2022</v>
      </c>
      <c r="D5374" s="3">
        <f t="shared" si="167"/>
        <v>202208</v>
      </c>
      <c r="E5374" s="5" t="s">
        <v>7</v>
      </c>
      <c r="F5374" s="5" t="s">
        <v>9</v>
      </c>
      <c r="G5374" s="5" t="s">
        <v>27</v>
      </c>
      <c r="H5374">
        <v>34</v>
      </c>
      <c r="I5374" s="4">
        <v>186082</v>
      </c>
      <c r="J5374" s="4">
        <v>61200</v>
      </c>
    </row>
    <row r="5375" spans="2:10" x14ac:dyDescent="0.3">
      <c r="B5375" s="7">
        <v>44805</v>
      </c>
      <c r="C5375" s="3">
        <f t="shared" si="166"/>
        <v>2022</v>
      </c>
      <c r="D5375" s="3">
        <f t="shared" si="167"/>
        <v>202209</v>
      </c>
      <c r="E5375" s="5" t="s">
        <v>7</v>
      </c>
      <c r="F5375" s="5" t="s">
        <v>9</v>
      </c>
      <c r="G5375" s="5" t="s">
        <v>27</v>
      </c>
      <c r="H5375">
        <v>36</v>
      </c>
      <c r="I5375" s="4">
        <v>192924</v>
      </c>
      <c r="J5375" s="4">
        <v>64800</v>
      </c>
    </row>
    <row r="5376" spans="2:10" x14ac:dyDescent="0.3">
      <c r="B5376" s="7">
        <v>44835</v>
      </c>
      <c r="C5376" s="3">
        <f t="shared" si="166"/>
        <v>2022</v>
      </c>
      <c r="D5376" s="3">
        <f t="shared" si="167"/>
        <v>202210</v>
      </c>
      <c r="E5376" s="5" t="s">
        <v>7</v>
      </c>
      <c r="F5376" s="5" t="s">
        <v>9</v>
      </c>
      <c r="G5376" s="5" t="s">
        <v>27</v>
      </c>
      <c r="H5376">
        <v>30</v>
      </c>
      <c r="I5376" s="4">
        <v>178200</v>
      </c>
      <c r="J5376" s="4">
        <v>54000</v>
      </c>
    </row>
    <row r="5377" spans="2:10" x14ac:dyDescent="0.3">
      <c r="B5377" s="7">
        <v>44866</v>
      </c>
      <c r="C5377" s="3">
        <f t="shared" si="166"/>
        <v>2022</v>
      </c>
      <c r="D5377" s="3">
        <f t="shared" si="167"/>
        <v>202211</v>
      </c>
      <c r="E5377" s="5" t="s">
        <v>7</v>
      </c>
      <c r="F5377" s="5" t="s">
        <v>9</v>
      </c>
      <c r="G5377" s="5" t="s">
        <v>27</v>
      </c>
      <c r="H5377">
        <v>22</v>
      </c>
      <c r="I5377" s="4">
        <v>134882</v>
      </c>
      <c r="J5377" s="4">
        <v>39600</v>
      </c>
    </row>
    <row r="5378" spans="2:10" x14ac:dyDescent="0.3">
      <c r="B5378" s="7">
        <v>44896</v>
      </c>
      <c r="C5378" s="3">
        <f t="shared" si="166"/>
        <v>2022</v>
      </c>
      <c r="D5378" s="3">
        <f t="shared" si="167"/>
        <v>202212</v>
      </c>
      <c r="E5378" s="5" t="s">
        <v>7</v>
      </c>
      <c r="F5378" s="5" t="s">
        <v>9</v>
      </c>
      <c r="G5378" s="5" t="s">
        <v>27</v>
      </c>
      <c r="H5378">
        <v>26</v>
      </c>
      <c r="I5378" s="4">
        <v>144274</v>
      </c>
      <c r="J5378" s="4">
        <v>46800</v>
      </c>
    </row>
    <row r="5379" spans="2:10" x14ac:dyDescent="0.3">
      <c r="B5379" s="7">
        <v>44197</v>
      </c>
      <c r="C5379" s="3">
        <f t="shared" ref="C5379:C5442" si="168">YEAR(B5379)</f>
        <v>2021</v>
      </c>
      <c r="D5379" s="3">
        <f t="shared" ref="D5379:D5442" si="169">VALUE(TEXT(B5379,"ГГГГММ"))</f>
        <v>202101</v>
      </c>
      <c r="E5379" s="5" t="s">
        <v>7</v>
      </c>
      <c r="F5379" s="5" t="s">
        <v>10</v>
      </c>
      <c r="G5379" s="5" t="s">
        <v>28</v>
      </c>
      <c r="H5379">
        <v>21</v>
      </c>
      <c r="I5379" s="4">
        <v>762993</v>
      </c>
      <c r="J5379" s="4">
        <v>433650</v>
      </c>
    </row>
    <row r="5380" spans="2:10" x14ac:dyDescent="0.3">
      <c r="B5380" s="7">
        <v>44228</v>
      </c>
      <c r="C5380" s="3">
        <f t="shared" si="168"/>
        <v>2021</v>
      </c>
      <c r="D5380" s="3">
        <f t="shared" si="169"/>
        <v>202102</v>
      </c>
      <c r="E5380" s="5" t="s">
        <v>7</v>
      </c>
      <c r="F5380" s="5" t="s">
        <v>10</v>
      </c>
      <c r="G5380" s="5" t="s">
        <v>28</v>
      </c>
      <c r="H5380">
        <v>13</v>
      </c>
      <c r="I5380" s="4">
        <v>471016</v>
      </c>
      <c r="J5380" s="4">
        <v>268450</v>
      </c>
    </row>
    <row r="5381" spans="2:10" x14ac:dyDescent="0.3">
      <c r="B5381" s="7">
        <v>44256</v>
      </c>
      <c r="C5381" s="3">
        <f t="shared" si="168"/>
        <v>2021</v>
      </c>
      <c r="D5381" s="3">
        <f t="shared" si="169"/>
        <v>202103</v>
      </c>
      <c r="E5381" s="5" t="s">
        <v>7</v>
      </c>
      <c r="F5381" s="5" t="s">
        <v>10</v>
      </c>
      <c r="G5381" s="5" t="s">
        <v>28</v>
      </c>
      <c r="H5381">
        <v>11</v>
      </c>
      <c r="I5381" s="4">
        <v>388091</v>
      </c>
      <c r="J5381" s="4">
        <v>227150</v>
      </c>
    </row>
    <row r="5382" spans="2:10" x14ac:dyDescent="0.3">
      <c r="B5382" s="7">
        <v>44287</v>
      </c>
      <c r="C5382" s="3">
        <f t="shared" si="168"/>
        <v>2021</v>
      </c>
      <c r="D5382" s="3">
        <f t="shared" si="169"/>
        <v>202104</v>
      </c>
      <c r="E5382" s="5" t="s">
        <v>7</v>
      </c>
      <c r="F5382" s="5" t="s">
        <v>10</v>
      </c>
      <c r="G5382" s="5" t="s">
        <v>28</v>
      </c>
      <c r="H5382">
        <v>20</v>
      </c>
      <c r="I5382" s="4">
        <v>743760</v>
      </c>
      <c r="J5382" s="4">
        <v>413000</v>
      </c>
    </row>
    <row r="5383" spans="2:10" x14ac:dyDescent="0.3">
      <c r="B5383" s="7">
        <v>44317</v>
      </c>
      <c r="C5383" s="3">
        <f t="shared" si="168"/>
        <v>2021</v>
      </c>
      <c r="D5383" s="3">
        <f t="shared" si="169"/>
        <v>202105</v>
      </c>
      <c r="E5383" s="5" t="s">
        <v>7</v>
      </c>
      <c r="F5383" s="5" t="s">
        <v>10</v>
      </c>
      <c r="G5383" s="5" t="s">
        <v>28</v>
      </c>
      <c r="H5383">
        <v>25</v>
      </c>
      <c r="I5383" s="4">
        <v>923025</v>
      </c>
      <c r="J5383" s="4">
        <v>516250</v>
      </c>
    </row>
    <row r="5384" spans="2:10" x14ac:dyDescent="0.3">
      <c r="B5384" s="7">
        <v>44348</v>
      </c>
      <c r="C5384" s="3">
        <f t="shared" si="168"/>
        <v>2021</v>
      </c>
      <c r="D5384" s="3">
        <f t="shared" si="169"/>
        <v>202106</v>
      </c>
      <c r="E5384" s="5" t="s">
        <v>7</v>
      </c>
      <c r="F5384" s="5" t="s">
        <v>10</v>
      </c>
      <c r="G5384" s="5" t="s">
        <v>28</v>
      </c>
      <c r="H5384">
        <v>24</v>
      </c>
      <c r="I5384" s="4">
        <v>866760</v>
      </c>
      <c r="J5384" s="4">
        <v>495600</v>
      </c>
    </row>
    <row r="5385" spans="2:10" x14ac:dyDescent="0.3">
      <c r="B5385" s="7">
        <v>44378</v>
      </c>
      <c r="C5385" s="3">
        <f t="shared" si="168"/>
        <v>2021</v>
      </c>
      <c r="D5385" s="3">
        <f t="shared" si="169"/>
        <v>202107</v>
      </c>
      <c r="E5385" s="5" t="s">
        <v>7</v>
      </c>
      <c r="F5385" s="5" t="s">
        <v>10</v>
      </c>
      <c r="G5385" s="5" t="s">
        <v>28</v>
      </c>
      <c r="H5385">
        <v>25</v>
      </c>
      <c r="I5385" s="4">
        <v>871675</v>
      </c>
      <c r="J5385" s="4">
        <v>516250</v>
      </c>
    </row>
    <row r="5386" spans="2:10" x14ac:dyDescent="0.3">
      <c r="B5386" s="7">
        <v>44409</v>
      </c>
      <c r="C5386" s="3">
        <f t="shared" si="168"/>
        <v>2021</v>
      </c>
      <c r="D5386" s="3">
        <f t="shared" si="169"/>
        <v>202108</v>
      </c>
      <c r="E5386" s="5" t="s">
        <v>7</v>
      </c>
      <c r="F5386" s="5" t="s">
        <v>10</v>
      </c>
      <c r="G5386" s="5" t="s">
        <v>28</v>
      </c>
      <c r="H5386">
        <v>21</v>
      </c>
      <c r="I5386" s="4">
        <v>747705</v>
      </c>
      <c r="J5386" s="4">
        <v>433650</v>
      </c>
    </row>
    <row r="5387" spans="2:10" x14ac:dyDescent="0.3">
      <c r="B5387" s="7">
        <v>44440</v>
      </c>
      <c r="C5387" s="3">
        <f t="shared" si="168"/>
        <v>2021</v>
      </c>
      <c r="D5387" s="3">
        <f t="shared" si="169"/>
        <v>202109</v>
      </c>
      <c r="E5387" s="5" t="s">
        <v>7</v>
      </c>
      <c r="F5387" s="5" t="s">
        <v>10</v>
      </c>
      <c r="G5387" s="5" t="s">
        <v>28</v>
      </c>
      <c r="H5387">
        <v>22</v>
      </c>
      <c r="I5387" s="4">
        <v>788766</v>
      </c>
      <c r="J5387" s="4">
        <v>454300</v>
      </c>
    </row>
    <row r="5388" spans="2:10" x14ac:dyDescent="0.3">
      <c r="B5388" s="7">
        <v>44470</v>
      </c>
      <c r="C5388" s="3">
        <f t="shared" si="168"/>
        <v>2021</v>
      </c>
      <c r="D5388" s="3">
        <f t="shared" si="169"/>
        <v>202110</v>
      </c>
      <c r="E5388" s="5" t="s">
        <v>7</v>
      </c>
      <c r="F5388" s="5" t="s">
        <v>10</v>
      </c>
      <c r="G5388" s="5" t="s">
        <v>28</v>
      </c>
      <c r="H5388">
        <v>18</v>
      </c>
      <c r="I5388" s="4">
        <v>652572</v>
      </c>
      <c r="J5388" s="4">
        <v>371700</v>
      </c>
    </row>
    <row r="5389" spans="2:10" x14ac:dyDescent="0.3">
      <c r="B5389" s="7">
        <v>44501</v>
      </c>
      <c r="C5389" s="3">
        <f t="shared" si="168"/>
        <v>2021</v>
      </c>
      <c r="D5389" s="3">
        <f t="shared" si="169"/>
        <v>202111</v>
      </c>
      <c r="E5389" s="5" t="s">
        <v>7</v>
      </c>
      <c r="F5389" s="5" t="s">
        <v>10</v>
      </c>
      <c r="G5389" s="5" t="s">
        <v>28</v>
      </c>
      <c r="H5389">
        <v>13</v>
      </c>
      <c r="I5389" s="4">
        <v>474097</v>
      </c>
      <c r="J5389" s="4">
        <v>268450</v>
      </c>
    </row>
    <row r="5390" spans="2:10" x14ac:dyDescent="0.3">
      <c r="B5390" s="7">
        <v>44531</v>
      </c>
      <c r="C5390" s="3">
        <f t="shared" si="168"/>
        <v>2021</v>
      </c>
      <c r="D5390" s="3">
        <f t="shared" si="169"/>
        <v>202112</v>
      </c>
      <c r="E5390" s="5" t="s">
        <v>7</v>
      </c>
      <c r="F5390" s="5" t="s">
        <v>10</v>
      </c>
      <c r="G5390" s="5" t="s">
        <v>28</v>
      </c>
      <c r="H5390">
        <v>16</v>
      </c>
      <c r="I5390" s="4">
        <v>575424</v>
      </c>
      <c r="J5390" s="4">
        <v>330400</v>
      </c>
    </row>
    <row r="5391" spans="2:10" x14ac:dyDescent="0.3">
      <c r="B5391" s="7">
        <v>44562</v>
      </c>
      <c r="C5391" s="3">
        <f t="shared" si="168"/>
        <v>2022</v>
      </c>
      <c r="D5391" s="3">
        <f t="shared" si="169"/>
        <v>202201</v>
      </c>
      <c r="E5391" s="5" t="s">
        <v>7</v>
      </c>
      <c r="F5391" s="5" t="s">
        <v>10</v>
      </c>
      <c r="G5391" s="5" t="s">
        <v>28</v>
      </c>
      <c r="H5391">
        <v>23</v>
      </c>
      <c r="I5391" s="4">
        <v>826505</v>
      </c>
      <c r="J5391" s="4">
        <v>474950</v>
      </c>
    </row>
    <row r="5392" spans="2:10" x14ac:dyDescent="0.3">
      <c r="B5392" s="7">
        <v>44593</v>
      </c>
      <c r="C5392" s="3">
        <f t="shared" si="168"/>
        <v>2022</v>
      </c>
      <c r="D5392" s="3">
        <f t="shared" si="169"/>
        <v>202202</v>
      </c>
      <c r="E5392" s="5" t="s">
        <v>7</v>
      </c>
      <c r="F5392" s="5" t="s">
        <v>10</v>
      </c>
      <c r="G5392" s="5" t="s">
        <v>28</v>
      </c>
      <c r="H5392">
        <v>15</v>
      </c>
      <c r="I5392" s="4">
        <v>545760</v>
      </c>
      <c r="J5392" s="4">
        <v>309750</v>
      </c>
    </row>
    <row r="5393" spans="2:10" x14ac:dyDescent="0.3">
      <c r="B5393" s="7">
        <v>44621</v>
      </c>
      <c r="C5393" s="3">
        <f t="shared" si="168"/>
        <v>2022</v>
      </c>
      <c r="D5393" s="3">
        <f t="shared" si="169"/>
        <v>202203</v>
      </c>
      <c r="E5393" s="5" t="s">
        <v>7</v>
      </c>
      <c r="F5393" s="5" t="s">
        <v>10</v>
      </c>
      <c r="G5393" s="5" t="s">
        <v>28</v>
      </c>
      <c r="H5393">
        <v>12</v>
      </c>
      <c r="I5393" s="4">
        <v>426204</v>
      </c>
      <c r="J5393" s="4">
        <v>247800</v>
      </c>
    </row>
    <row r="5394" spans="2:10" x14ac:dyDescent="0.3">
      <c r="B5394" s="7">
        <v>44652</v>
      </c>
      <c r="C5394" s="3">
        <f t="shared" si="168"/>
        <v>2022</v>
      </c>
      <c r="D5394" s="3">
        <f t="shared" si="169"/>
        <v>202204</v>
      </c>
      <c r="E5394" s="5" t="s">
        <v>7</v>
      </c>
      <c r="F5394" s="5" t="s">
        <v>10</v>
      </c>
      <c r="G5394" s="5" t="s">
        <v>28</v>
      </c>
      <c r="H5394">
        <v>22</v>
      </c>
      <c r="I5394" s="4">
        <v>800932</v>
      </c>
      <c r="J5394" s="4">
        <v>454300</v>
      </c>
    </row>
    <row r="5395" spans="2:10" x14ac:dyDescent="0.3">
      <c r="B5395" s="7">
        <v>44682</v>
      </c>
      <c r="C5395" s="3">
        <f t="shared" si="168"/>
        <v>2022</v>
      </c>
      <c r="D5395" s="3">
        <f t="shared" si="169"/>
        <v>202205</v>
      </c>
      <c r="E5395" s="5" t="s">
        <v>7</v>
      </c>
      <c r="F5395" s="5" t="s">
        <v>10</v>
      </c>
      <c r="G5395" s="5" t="s">
        <v>28</v>
      </c>
      <c r="H5395">
        <v>27</v>
      </c>
      <c r="I5395" s="4">
        <v>1000836</v>
      </c>
      <c r="J5395" s="4">
        <v>557550</v>
      </c>
    </row>
    <row r="5396" spans="2:10" x14ac:dyDescent="0.3">
      <c r="B5396" s="7">
        <v>44713</v>
      </c>
      <c r="C5396" s="3">
        <f t="shared" si="168"/>
        <v>2022</v>
      </c>
      <c r="D5396" s="3">
        <f t="shared" si="169"/>
        <v>202206</v>
      </c>
      <c r="E5396" s="5" t="s">
        <v>7</v>
      </c>
      <c r="F5396" s="5" t="s">
        <v>10</v>
      </c>
      <c r="G5396" s="5" t="s">
        <v>28</v>
      </c>
      <c r="H5396">
        <v>26</v>
      </c>
      <c r="I5396" s="4">
        <v>962156</v>
      </c>
      <c r="J5396" s="4">
        <v>536900</v>
      </c>
    </row>
    <row r="5397" spans="2:10" x14ac:dyDescent="0.3">
      <c r="B5397" s="7">
        <v>44743</v>
      </c>
      <c r="C5397" s="3">
        <f t="shared" si="168"/>
        <v>2022</v>
      </c>
      <c r="D5397" s="3">
        <f t="shared" si="169"/>
        <v>202207</v>
      </c>
      <c r="E5397" s="5" t="s">
        <v>7</v>
      </c>
      <c r="F5397" s="5" t="s">
        <v>10</v>
      </c>
      <c r="G5397" s="5" t="s">
        <v>28</v>
      </c>
      <c r="H5397">
        <v>27</v>
      </c>
      <c r="I5397" s="4">
        <v>932877</v>
      </c>
      <c r="J5397" s="4">
        <v>557550</v>
      </c>
    </row>
    <row r="5398" spans="2:10" x14ac:dyDescent="0.3">
      <c r="B5398" s="7">
        <v>44774</v>
      </c>
      <c r="C5398" s="3">
        <f t="shared" si="168"/>
        <v>2022</v>
      </c>
      <c r="D5398" s="3">
        <f t="shared" si="169"/>
        <v>202208</v>
      </c>
      <c r="E5398" s="5" t="s">
        <v>7</v>
      </c>
      <c r="F5398" s="5" t="s">
        <v>10</v>
      </c>
      <c r="G5398" s="5" t="s">
        <v>28</v>
      </c>
      <c r="H5398">
        <v>23</v>
      </c>
      <c r="I5398" s="4">
        <v>826436</v>
      </c>
      <c r="J5398" s="4">
        <v>474950</v>
      </c>
    </row>
    <row r="5399" spans="2:10" x14ac:dyDescent="0.3">
      <c r="B5399" s="7">
        <v>44805</v>
      </c>
      <c r="C5399" s="3">
        <f t="shared" si="168"/>
        <v>2022</v>
      </c>
      <c r="D5399" s="3">
        <f t="shared" si="169"/>
        <v>202209</v>
      </c>
      <c r="E5399" s="5" t="s">
        <v>7</v>
      </c>
      <c r="F5399" s="5" t="s">
        <v>10</v>
      </c>
      <c r="G5399" s="5" t="s">
        <v>28</v>
      </c>
      <c r="H5399">
        <v>25</v>
      </c>
      <c r="I5399" s="4">
        <v>904450</v>
      </c>
      <c r="J5399" s="4">
        <v>516250</v>
      </c>
    </row>
    <row r="5400" spans="2:10" x14ac:dyDescent="0.3">
      <c r="B5400" s="7">
        <v>44835</v>
      </c>
      <c r="C5400" s="3">
        <f t="shared" si="168"/>
        <v>2022</v>
      </c>
      <c r="D5400" s="3">
        <f t="shared" si="169"/>
        <v>202210</v>
      </c>
      <c r="E5400" s="5" t="s">
        <v>7</v>
      </c>
      <c r="F5400" s="5" t="s">
        <v>10</v>
      </c>
      <c r="G5400" s="5" t="s">
        <v>28</v>
      </c>
      <c r="H5400">
        <v>20</v>
      </c>
      <c r="I5400" s="4">
        <v>729400</v>
      </c>
      <c r="J5400" s="4">
        <v>413000</v>
      </c>
    </row>
    <row r="5401" spans="2:10" x14ac:dyDescent="0.3">
      <c r="B5401" s="7">
        <v>44866</v>
      </c>
      <c r="C5401" s="3">
        <f t="shared" si="168"/>
        <v>2022</v>
      </c>
      <c r="D5401" s="3">
        <f t="shared" si="169"/>
        <v>202211</v>
      </c>
      <c r="E5401" s="5" t="s">
        <v>7</v>
      </c>
      <c r="F5401" s="5" t="s">
        <v>10</v>
      </c>
      <c r="G5401" s="5" t="s">
        <v>28</v>
      </c>
      <c r="H5401">
        <v>15</v>
      </c>
      <c r="I5401" s="4">
        <v>538380</v>
      </c>
      <c r="J5401" s="4">
        <v>309750</v>
      </c>
    </row>
    <row r="5402" spans="2:10" x14ac:dyDescent="0.3">
      <c r="B5402" s="7">
        <v>44896</v>
      </c>
      <c r="C5402" s="3">
        <f t="shared" si="168"/>
        <v>2022</v>
      </c>
      <c r="D5402" s="3">
        <f t="shared" si="169"/>
        <v>202212</v>
      </c>
      <c r="E5402" s="5" t="s">
        <v>7</v>
      </c>
      <c r="F5402" s="5" t="s">
        <v>10</v>
      </c>
      <c r="G5402" s="5" t="s">
        <v>28</v>
      </c>
      <c r="H5402">
        <v>17</v>
      </c>
      <c r="I5402" s="4">
        <v>597193</v>
      </c>
      <c r="J5402" s="4">
        <v>351050</v>
      </c>
    </row>
    <row r="5403" spans="2:10" x14ac:dyDescent="0.3">
      <c r="B5403" s="7">
        <v>44197</v>
      </c>
      <c r="C5403" s="3">
        <f t="shared" si="168"/>
        <v>2021</v>
      </c>
      <c r="D5403" s="3">
        <f t="shared" si="169"/>
        <v>202101</v>
      </c>
      <c r="E5403" s="5" t="s">
        <v>7</v>
      </c>
      <c r="F5403" s="5" t="s">
        <v>10</v>
      </c>
      <c r="G5403" s="5" t="s">
        <v>29</v>
      </c>
      <c r="H5403">
        <v>17</v>
      </c>
      <c r="I5403" s="4">
        <v>566253</v>
      </c>
      <c r="J5403" s="4">
        <v>266560</v>
      </c>
    </row>
    <row r="5404" spans="2:10" x14ac:dyDescent="0.3">
      <c r="B5404" s="7">
        <v>44228</v>
      </c>
      <c r="C5404" s="3">
        <f t="shared" si="168"/>
        <v>2021</v>
      </c>
      <c r="D5404" s="3">
        <f t="shared" si="169"/>
        <v>202102</v>
      </c>
      <c r="E5404" s="5" t="s">
        <v>7</v>
      </c>
      <c r="F5404" s="5" t="s">
        <v>10</v>
      </c>
      <c r="G5404" s="5" t="s">
        <v>29</v>
      </c>
      <c r="H5404">
        <v>11</v>
      </c>
      <c r="I5404" s="4">
        <v>365948</v>
      </c>
      <c r="J5404" s="4">
        <v>172480</v>
      </c>
    </row>
    <row r="5405" spans="2:10" x14ac:dyDescent="0.3">
      <c r="B5405" s="7">
        <v>44256</v>
      </c>
      <c r="C5405" s="3">
        <f t="shared" si="168"/>
        <v>2021</v>
      </c>
      <c r="D5405" s="3">
        <f t="shared" si="169"/>
        <v>202103</v>
      </c>
      <c r="E5405" s="5" t="s">
        <v>7</v>
      </c>
      <c r="F5405" s="5" t="s">
        <v>10</v>
      </c>
      <c r="G5405" s="5" t="s">
        <v>29</v>
      </c>
      <c r="H5405">
        <v>9</v>
      </c>
      <c r="I5405" s="4">
        <v>292941</v>
      </c>
      <c r="J5405" s="4">
        <v>141120</v>
      </c>
    </row>
    <row r="5406" spans="2:10" x14ac:dyDescent="0.3">
      <c r="B5406" s="7">
        <v>44287</v>
      </c>
      <c r="C5406" s="3">
        <f t="shared" si="168"/>
        <v>2021</v>
      </c>
      <c r="D5406" s="3">
        <f t="shared" si="169"/>
        <v>202104</v>
      </c>
      <c r="E5406" s="5" t="s">
        <v>7</v>
      </c>
      <c r="F5406" s="5" t="s">
        <v>10</v>
      </c>
      <c r="G5406" s="5" t="s">
        <v>29</v>
      </c>
      <c r="H5406">
        <v>16</v>
      </c>
      <c r="I5406" s="4">
        <v>538288</v>
      </c>
      <c r="J5406" s="4">
        <v>250880</v>
      </c>
    </row>
    <row r="5407" spans="2:10" x14ac:dyDescent="0.3">
      <c r="B5407" s="7">
        <v>44317</v>
      </c>
      <c r="C5407" s="3">
        <f t="shared" si="168"/>
        <v>2021</v>
      </c>
      <c r="D5407" s="3">
        <f t="shared" si="169"/>
        <v>202105</v>
      </c>
      <c r="E5407" s="5" t="s">
        <v>7</v>
      </c>
      <c r="F5407" s="5" t="s">
        <v>10</v>
      </c>
      <c r="G5407" s="5" t="s">
        <v>29</v>
      </c>
      <c r="H5407">
        <v>20</v>
      </c>
      <c r="I5407" s="4">
        <v>673780</v>
      </c>
      <c r="J5407" s="4">
        <v>313600</v>
      </c>
    </row>
    <row r="5408" spans="2:10" x14ac:dyDescent="0.3">
      <c r="B5408" s="7">
        <v>44348</v>
      </c>
      <c r="C5408" s="3">
        <f t="shared" si="168"/>
        <v>2021</v>
      </c>
      <c r="D5408" s="3">
        <f t="shared" si="169"/>
        <v>202106</v>
      </c>
      <c r="E5408" s="5" t="s">
        <v>7</v>
      </c>
      <c r="F5408" s="5" t="s">
        <v>10</v>
      </c>
      <c r="G5408" s="5" t="s">
        <v>29</v>
      </c>
      <c r="H5408">
        <v>19</v>
      </c>
      <c r="I5408" s="4">
        <v>629147</v>
      </c>
      <c r="J5408" s="4">
        <v>297920</v>
      </c>
    </row>
    <row r="5409" spans="2:10" x14ac:dyDescent="0.3">
      <c r="B5409" s="7">
        <v>44378</v>
      </c>
      <c r="C5409" s="3">
        <f t="shared" si="168"/>
        <v>2021</v>
      </c>
      <c r="D5409" s="3">
        <f t="shared" si="169"/>
        <v>202107</v>
      </c>
      <c r="E5409" s="5" t="s">
        <v>7</v>
      </c>
      <c r="F5409" s="5" t="s">
        <v>10</v>
      </c>
      <c r="G5409" s="5" t="s">
        <v>29</v>
      </c>
      <c r="H5409">
        <v>20</v>
      </c>
      <c r="I5409" s="4">
        <v>630420</v>
      </c>
      <c r="J5409" s="4">
        <v>313600</v>
      </c>
    </row>
    <row r="5410" spans="2:10" x14ac:dyDescent="0.3">
      <c r="B5410" s="7">
        <v>44409</v>
      </c>
      <c r="C5410" s="3">
        <f t="shared" si="168"/>
        <v>2021</v>
      </c>
      <c r="D5410" s="3">
        <f t="shared" si="169"/>
        <v>202108</v>
      </c>
      <c r="E5410" s="5" t="s">
        <v>7</v>
      </c>
      <c r="F5410" s="5" t="s">
        <v>10</v>
      </c>
      <c r="G5410" s="5" t="s">
        <v>29</v>
      </c>
      <c r="H5410">
        <v>17</v>
      </c>
      <c r="I5410" s="4">
        <v>545649</v>
      </c>
      <c r="J5410" s="4">
        <v>266560</v>
      </c>
    </row>
    <row r="5411" spans="2:10" x14ac:dyDescent="0.3">
      <c r="B5411" s="7">
        <v>44440</v>
      </c>
      <c r="C5411" s="3">
        <f t="shared" si="168"/>
        <v>2021</v>
      </c>
      <c r="D5411" s="3">
        <f t="shared" si="169"/>
        <v>202109</v>
      </c>
      <c r="E5411" s="5" t="s">
        <v>7</v>
      </c>
      <c r="F5411" s="5" t="s">
        <v>10</v>
      </c>
      <c r="G5411" s="5" t="s">
        <v>29</v>
      </c>
      <c r="H5411">
        <v>18</v>
      </c>
      <c r="I5411" s="4">
        <v>597312</v>
      </c>
      <c r="J5411" s="4">
        <v>282240</v>
      </c>
    </row>
    <row r="5412" spans="2:10" x14ac:dyDescent="0.3">
      <c r="B5412" s="7">
        <v>44470</v>
      </c>
      <c r="C5412" s="3">
        <f t="shared" si="168"/>
        <v>2021</v>
      </c>
      <c r="D5412" s="3">
        <f t="shared" si="169"/>
        <v>202110</v>
      </c>
      <c r="E5412" s="5" t="s">
        <v>7</v>
      </c>
      <c r="F5412" s="5" t="s">
        <v>10</v>
      </c>
      <c r="G5412" s="5" t="s">
        <v>29</v>
      </c>
      <c r="H5412">
        <v>15</v>
      </c>
      <c r="I5412" s="4">
        <v>499980</v>
      </c>
      <c r="J5412" s="4">
        <v>235200</v>
      </c>
    </row>
    <row r="5413" spans="2:10" x14ac:dyDescent="0.3">
      <c r="B5413" s="7">
        <v>44501</v>
      </c>
      <c r="C5413" s="3">
        <f t="shared" si="168"/>
        <v>2021</v>
      </c>
      <c r="D5413" s="3">
        <f t="shared" si="169"/>
        <v>202111</v>
      </c>
      <c r="E5413" s="5" t="s">
        <v>7</v>
      </c>
      <c r="F5413" s="5" t="s">
        <v>10</v>
      </c>
      <c r="G5413" s="5" t="s">
        <v>29</v>
      </c>
      <c r="H5413">
        <v>11</v>
      </c>
      <c r="I5413" s="4">
        <v>368302</v>
      </c>
      <c r="J5413" s="4">
        <v>172480</v>
      </c>
    </row>
    <row r="5414" spans="2:10" x14ac:dyDescent="0.3">
      <c r="B5414" s="7">
        <v>44531</v>
      </c>
      <c r="C5414" s="3">
        <f t="shared" si="168"/>
        <v>2021</v>
      </c>
      <c r="D5414" s="3">
        <f t="shared" si="169"/>
        <v>202112</v>
      </c>
      <c r="E5414" s="5" t="s">
        <v>7</v>
      </c>
      <c r="F5414" s="5" t="s">
        <v>10</v>
      </c>
      <c r="G5414" s="5" t="s">
        <v>29</v>
      </c>
      <c r="H5414">
        <v>13</v>
      </c>
      <c r="I5414" s="4">
        <v>430274</v>
      </c>
      <c r="J5414" s="4">
        <v>203840</v>
      </c>
    </row>
    <row r="5415" spans="2:10" x14ac:dyDescent="0.3">
      <c r="B5415" s="7">
        <v>44562</v>
      </c>
      <c r="C5415" s="3">
        <f t="shared" si="168"/>
        <v>2022</v>
      </c>
      <c r="D5415" s="3">
        <f t="shared" si="169"/>
        <v>202201</v>
      </c>
      <c r="E5415" s="5" t="s">
        <v>7</v>
      </c>
      <c r="F5415" s="5" t="s">
        <v>10</v>
      </c>
      <c r="G5415" s="5" t="s">
        <v>29</v>
      </c>
      <c r="H5415">
        <v>19</v>
      </c>
      <c r="I5415" s="4">
        <v>621338</v>
      </c>
      <c r="J5415" s="4">
        <v>297920</v>
      </c>
    </row>
    <row r="5416" spans="2:10" x14ac:dyDescent="0.3">
      <c r="B5416" s="7">
        <v>44593</v>
      </c>
      <c r="C5416" s="3">
        <f t="shared" si="168"/>
        <v>2022</v>
      </c>
      <c r="D5416" s="3">
        <f t="shared" si="169"/>
        <v>202202</v>
      </c>
      <c r="E5416" s="5" t="s">
        <v>7</v>
      </c>
      <c r="F5416" s="5" t="s">
        <v>10</v>
      </c>
      <c r="G5416" s="5" t="s">
        <v>29</v>
      </c>
      <c r="H5416">
        <v>12</v>
      </c>
      <c r="I5416" s="4">
        <v>393204</v>
      </c>
      <c r="J5416" s="4">
        <v>188160</v>
      </c>
    </row>
    <row r="5417" spans="2:10" x14ac:dyDescent="0.3">
      <c r="B5417" s="7">
        <v>44621</v>
      </c>
      <c r="C5417" s="3">
        <f t="shared" si="168"/>
        <v>2022</v>
      </c>
      <c r="D5417" s="3">
        <f t="shared" si="169"/>
        <v>202203</v>
      </c>
      <c r="E5417" s="5" t="s">
        <v>7</v>
      </c>
      <c r="F5417" s="5" t="s">
        <v>10</v>
      </c>
      <c r="G5417" s="5" t="s">
        <v>29</v>
      </c>
      <c r="H5417">
        <v>10</v>
      </c>
      <c r="I5417" s="4">
        <v>333400</v>
      </c>
      <c r="J5417" s="4">
        <v>156800</v>
      </c>
    </row>
    <row r="5418" spans="2:10" x14ac:dyDescent="0.3">
      <c r="B5418" s="7">
        <v>44652</v>
      </c>
      <c r="C5418" s="3">
        <f t="shared" si="168"/>
        <v>2022</v>
      </c>
      <c r="D5418" s="3">
        <f t="shared" si="169"/>
        <v>202204</v>
      </c>
      <c r="E5418" s="5" t="s">
        <v>7</v>
      </c>
      <c r="F5418" s="5" t="s">
        <v>10</v>
      </c>
      <c r="G5418" s="5" t="s">
        <v>29</v>
      </c>
      <c r="H5418">
        <v>18</v>
      </c>
      <c r="I5418" s="4">
        <v>607932</v>
      </c>
      <c r="J5418" s="4">
        <v>282240</v>
      </c>
    </row>
    <row r="5419" spans="2:10" x14ac:dyDescent="0.3">
      <c r="B5419" s="7">
        <v>44682</v>
      </c>
      <c r="C5419" s="3">
        <f t="shared" si="168"/>
        <v>2022</v>
      </c>
      <c r="D5419" s="3">
        <f t="shared" si="169"/>
        <v>202205</v>
      </c>
      <c r="E5419" s="5" t="s">
        <v>7</v>
      </c>
      <c r="F5419" s="5" t="s">
        <v>10</v>
      </c>
      <c r="G5419" s="5" t="s">
        <v>29</v>
      </c>
      <c r="H5419">
        <v>22</v>
      </c>
      <c r="I5419" s="4">
        <v>743402</v>
      </c>
      <c r="J5419" s="4">
        <v>344960</v>
      </c>
    </row>
    <row r="5420" spans="2:10" x14ac:dyDescent="0.3">
      <c r="B5420" s="7">
        <v>44713</v>
      </c>
      <c r="C5420" s="3">
        <f t="shared" si="168"/>
        <v>2022</v>
      </c>
      <c r="D5420" s="3">
        <f t="shared" si="169"/>
        <v>202206</v>
      </c>
      <c r="E5420" s="5" t="s">
        <v>7</v>
      </c>
      <c r="F5420" s="5" t="s">
        <v>10</v>
      </c>
      <c r="G5420" s="5" t="s">
        <v>29</v>
      </c>
      <c r="H5420">
        <v>21</v>
      </c>
      <c r="I5420" s="4">
        <v>708456</v>
      </c>
      <c r="J5420" s="4">
        <v>329280</v>
      </c>
    </row>
    <row r="5421" spans="2:10" x14ac:dyDescent="0.3">
      <c r="B5421" s="7">
        <v>44743</v>
      </c>
      <c r="C5421" s="3">
        <f t="shared" si="168"/>
        <v>2022</v>
      </c>
      <c r="D5421" s="3">
        <f t="shared" si="169"/>
        <v>202207</v>
      </c>
      <c r="E5421" s="5" t="s">
        <v>7</v>
      </c>
      <c r="F5421" s="5" t="s">
        <v>10</v>
      </c>
      <c r="G5421" s="5" t="s">
        <v>29</v>
      </c>
      <c r="H5421">
        <v>22</v>
      </c>
      <c r="I5421" s="4">
        <v>699028</v>
      </c>
      <c r="J5421" s="4">
        <v>344960</v>
      </c>
    </row>
    <row r="5422" spans="2:10" x14ac:dyDescent="0.3">
      <c r="B5422" s="7">
        <v>44774</v>
      </c>
      <c r="C5422" s="3">
        <f t="shared" si="168"/>
        <v>2022</v>
      </c>
      <c r="D5422" s="3">
        <f t="shared" si="169"/>
        <v>202208</v>
      </c>
      <c r="E5422" s="5" t="s">
        <v>7</v>
      </c>
      <c r="F5422" s="5" t="s">
        <v>10</v>
      </c>
      <c r="G5422" s="5" t="s">
        <v>29</v>
      </c>
      <c r="H5422">
        <v>19</v>
      </c>
      <c r="I5422" s="4">
        <v>619552</v>
      </c>
      <c r="J5422" s="4">
        <v>297920</v>
      </c>
    </row>
    <row r="5423" spans="2:10" x14ac:dyDescent="0.3">
      <c r="B5423" s="7">
        <v>44805</v>
      </c>
      <c r="C5423" s="3">
        <f t="shared" si="168"/>
        <v>2022</v>
      </c>
      <c r="D5423" s="3">
        <f t="shared" si="169"/>
        <v>202209</v>
      </c>
      <c r="E5423" s="5" t="s">
        <v>7</v>
      </c>
      <c r="F5423" s="5" t="s">
        <v>10</v>
      </c>
      <c r="G5423" s="5" t="s">
        <v>29</v>
      </c>
      <c r="H5423">
        <v>20</v>
      </c>
      <c r="I5423" s="4">
        <v>662040</v>
      </c>
      <c r="J5423" s="4">
        <v>313600</v>
      </c>
    </row>
    <row r="5424" spans="2:10" x14ac:dyDescent="0.3">
      <c r="B5424" s="7">
        <v>44835</v>
      </c>
      <c r="C5424" s="3">
        <f t="shared" si="168"/>
        <v>2022</v>
      </c>
      <c r="D5424" s="3">
        <f t="shared" si="169"/>
        <v>202210</v>
      </c>
      <c r="E5424" s="5" t="s">
        <v>7</v>
      </c>
      <c r="F5424" s="5" t="s">
        <v>10</v>
      </c>
      <c r="G5424" s="5" t="s">
        <v>29</v>
      </c>
      <c r="H5424">
        <v>16</v>
      </c>
      <c r="I5424" s="4">
        <v>539072</v>
      </c>
      <c r="J5424" s="4">
        <v>250880</v>
      </c>
    </row>
    <row r="5425" spans="2:10" x14ac:dyDescent="0.3">
      <c r="B5425" s="7">
        <v>44866</v>
      </c>
      <c r="C5425" s="3">
        <f t="shared" si="168"/>
        <v>2022</v>
      </c>
      <c r="D5425" s="3">
        <f t="shared" si="169"/>
        <v>202211</v>
      </c>
      <c r="E5425" s="5" t="s">
        <v>7</v>
      </c>
      <c r="F5425" s="5" t="s">
        <v>10</v>
      </c>
      <c r="G5425" s="5" t="s">
        <v>29</v>
      </c>
      <c r="H5425">
        <v>12</v>
      </c>
      <c r="I5425" s="4">
        <v>403752</v>
      </c>
      <c r="J5425" s="4">
        <v>188160</v>
      </c>
    </row>
    <row r="5426" spans="2:10" x14ac:dyDescent="0.3">
      <c r="B5426" s="7">
        <v>44896</v>
      </c>
      <c r="C5426" s="3">
        <f t="shared" si="168"/>
        <v>2022</v>
      </c>
      <c r="D5426" s="3">
        <f t="shared" si="169"/>
        <v>202212</v>
      </c>
      <c r="E5426" s="5" t="s">
        <v>7</v>
      </c>
      <c r="F5426" s="5" t="s">
        <v>10</v>
      </c>
      <c r="G5426" s="5" t="s">
        <v>29</v>
      </c>
      <c r="H5426">
        <v>14</v>
      </c>
      <c r="I5426" s="4">
        <v>451318</v>
      </c>
      <c r="J5426" s="4">
        <v>219520</v>
      </c>
    </row>
    <row r="5427" spans="2:10" x14ac:dyDescent="0.3">
      <c r="B5427" s="7">
        <v>44197</v>
      </c>
      <c r="C5427" s="3">
        <f t="shared" si="168"/>
        <v>2021</v>
      </c>
      <c r="D5427" s="3">
        <f t="shared" si="169"/>
        <v>202101</v>
      </c>
      <c r="E5427" s="5" t="s">
        <v>7</v>
      </c>
      <c r="F5427" s="5" t="s">
        <v>10</v>
      </c>
      <c r="G5427" s="5" t="s">
        <v>30</v>
      </c>
      <c r="H5427">
        <v>19</v>
      </c>
      <c r="I5427" s="4">
        <v>818311</v>
      </c>
      <c r="J5427" s="4">
        <v>343140</v>
      </c>
    </row>
    <row r="5428" spans="2:10" x14ac:dyDescent="0.3">
      <c r="B5428" s="7">
        <v>44228</v>
      </c>
      <c r="C5428" s="3">
        <f t="shared" si="168"/>
        <v>2021</v>
      </c>
      <c r="D5428" s="3">
        <f t="shared" si="169"/>
        <v>202102</v>
      </c>
      <c r="E5428" s="5" t="s">
        <v>7</v>
      </c>
      <c r="F5428" s="5" t="s">
        <v>10</v>
      </c>
      <c r="G5428" s="5" t="s">
        <v>30</v>
      </c>
      <c r="H5428">
        <v>12</v>
      </c>
      <c r="I5428" s="4">
        <v>522600</v>
      </c>
      <c r="J5428" s="4">
        <v>216720</v>
      </c>
    </row>
    <row r="5429" spans="2:10" x14ac:dyDescent="0.3">
      <c r="B5429" s="7">
        <v>44256</v>
      </c>
      <c r="C5429" s="3">
        <f t="shared" si="168"/>
        <v>2021</v>
      </c>
      <c r="D5429" s="3">
        <f t="shared" si="169"/>
        <v>202103</v>
      </c>
      <c r="E5429" s="5" t="s">
        <v>7</v>
      </c>
      <c r="F5429" s="5" t="s">
        <v>10</v>
      </c>
      <c r="G5429" s="5" t="s">
        <v>30</v>
      </c>
      <c r="H5429">
        <v>10</v>
      </c>
      <c r="I5429" s="4">
        <v>427770</v>
      </c>
      <c r="J5429" s="4">
        <v>180600</v>
      </c>
    </row>
    <row r="5430" spans="2:10" x14ac:dyDescent="0.3">
      <c r="B5430" s="7">
        <v>44287</v>
      </c>
      <c r="C5430" s="3">
        <f t="shared" si="168"/>
        <v>2021</v>
      </c>
      <c r="D5430" s="3">
        <f t="shared" si="169"/>
        <v>202104</v>
      </c>
      <c r="E5430" s="5" t="s">
        <v>7</v>
      </c>
      <c r="F5430" s="5" t="s">
        <v>10</v>
      </c>
      <c r="G5430" s="5" t="s">
        <v>30</v>
      </c>
      <c r="H5430">
        <v>18</v>
      </c>
      <c r="I5430" s="4">
        <v>778428</v>
      </c>
      <c r="J5430" s="4">
        <v>325080</v>
      </c>
    </row>
    <row r="5431" spans="2:10" x14ac:dyDescent="0.3">
      <c r="B5431" s="7">
        <v>44317</v>
      </c>
      <c r="C5431" s="3">
        <f t="shared" si="168"/>
        <v>2021</v>
      </c>
      <c r="D5431" s="3">
        <f t="shared" si="169"/>
        <v>202105</v>
      </c>
      <c r="E5431" s="5" t="s">
        <v>7</v>
      </c>
      <c r="F5431" s="5" t="s">
        <v>10</v>
      </c>
      <c r="G5431" s="5" t="s">
        <v>30</v>
      </c>
      <c r="H5431">
        <v>22</v>
      </c>
      <c r="I5431" s="4">
        <v>981200</v>
      </c>
      <c r="J5431" s="4">
        <v>397320</v>
      </c>
    </row>
    <row r="5432" spans="2:10" x14ac:dyDescent="0.3">
      <c r="B5432" s="7">
        <v>44348</v>
      </c>
      <c r="C5432" s="3">
        <f t="shared" si="168"/>
        <v>2021</v>
      </c>
      <c r="D5432" s="3">
        <f t="shared" si="169"/>
        <v>202106</v>
      </c>
      <c r="E5432" s="5" t="s">
        <v>7</v>
      </c>
      <c r="F5432" s="5" t="s">
        <v>10</v>
      </c>
      <c r="G5432" s="5" t="s">
        <v>30</v>
      </c>
      <c r="H5432">
        <v>21</v>
      </c>
      <c r="I5432" s="4">
        <v>903861</v>
      </c>
      <c r="J5432" s="4">
        <v>379260</v>
      </c>
    </row>
    <row r="5433" spans="2:10" x14ac:dyDescent="0.3">
      <c r="B5433" s="7">
        <v>44378</v>
      </c>
      <c r="C5433" s="3">
        <f t="shared" si="168"/>
        <v>2021</v>
      </c>
      <c r="D5433" s="3">
        <f t="shared" si="169"/>
        <v>202107</v>
      </c>
      <c r="E5433" s="5" t="s">
        <v>7</v>
      </c>
      <c r="F5433" s="5" t="s">
        <v>10</v>
      </c>
      <c r="G5433" s="5" t="s">
        <v>30</v>
      </c>
      <c r="H5433">
        <v>22</v>
      </c>
      <c r="I5433" s="4">
        <v>915200</v>
      </c>
      <c r="J5433" s="4">
        <v>397320</v>
      </c>
    </row>
    <row r="5434" spans="2:10" x14ac:dyDescent="0.3">
      <c r="B5434" s="7">
        <v>44409</v>
      </c>
      <c r="C5434" s="3">
        <f t="shared" si="168"/>
        <v>2021</v>
      </c>
      <c r="D5434" s="3">
        <f t="shared" si="169"/>
        <v>202108</v>
      </c>
      <c r="E5434" s="5" t="s">
        <v>7</v>
      </c>
      <c r="F5434" s="5" t="s">
        <v>10</v>
      </c>
      <c r="G5434" s="5" t="s">
        <v>30</v>
      </c>
      <c r="H5434">
        <v>19</v>
      </c>
      <c r="I5434" s="4">
        <v>816145</v>
      </c>
      <c r="J5434" s="4">
        <v>343140</v>
      </c>
    </row>
    <row r="5435" spans="2:10" x14ac:dyDescent="0.3">
      <c r="B5435" s="7">
        <v>44440</v>
      </c>
      <c r="C5435" s="3">
        <f t="shared" si="168"/>
        <v>2021</v>
      </c>
      <c r="D5435" s="3">
        <f t="shared" si="169"/>
        <v>202109</v>
      </c>
      <c r="E5435" s="5" t="s">
        <v>7</v>
      </c>
      <c r="F5435" s="5" t="s">
        <v>10</v>
      </c>
      <c r="G5435" s="5" t="s">
        <v>30</v>
      </c>
      <c r="H5435">
        <v>20</v>
      </c>
      <c r="I5435" s="4">
        <v>852620</v>
      </c>
      <c r="J5435" s="4">
        <v>361200</v>
      </c>
    </row>
    <row r="5436" spans="2:10" x14ac:dyDescent="0.3">
      <c r="B5436" s="7">
        <v>44470</v>
      </c>
      <c r="C5436" s="3">
        <f t="shared" si="168"/>
        <v>2021</v>
      </c>
      <c r="D5436" s="3">
        <f t="shared" si="169"/>
        <v>202110</v>
      </c>
      <c r="E5436" s="5" t="s">
        <v>7</v>
      </c>
      <c r="F5436" s="5" t="s">
        <v>10</v>
      </c>
      <c r="G5436" s="5" t="s">
        <v>30</v>
      </c>
      <c r="H5436">
        <v>17</v>
      </c>
      <c r="I5436" s="4">
        <v>736644</v>
      </c>
      <c r="J5436" s="4">
        <v>307020</v>
      </c>
    </row>
    <row r="5437" spans="2:10" x14ac:dyDescent="0.3">
      <c r="B5437" s="7">
        <v>44501</v>
      </c>
      <c r="C5437" s="3">
        <f t="shared" si="168"/>
        <v>2021</v>
      </c>
      <c r="D5437" s="3">
        <f t="shared" si="169"/>
        <v>202111</v>
      </c>
      <c r="E5437" s="5" t="s">
        <v>7</v>
      </c>
      <c r="F5437" s="5" t="s">
        <v>10</v>
      </c>
      <c r="G5437" s="5" t="s">
        <v>30</v>
      </c>
      <c r="H5437">
        <v>12</v>
      </c>
      <c r="I5437" s="4">
        <v>520404</v>
      </c>
      <c r="J5437" s="4">
        <v>216720</v>
      </c>
    </row>
    <row r="5438" spans="2:10" x14ac:dyDescent="0.3">
      <c r="B5438" s="7">
        <v>44531</v>
      </c>
      <c r="C5438" s="3">
        <f t="shared" si="168"/>
        <v>2021</v>
      </c>
      <c r="D5438" s="3">
        <f t="shared" si="169"/>
        <v>202112</v>
      </c>
      <c r="E5438" s="5" t="s">
        <v>7</v>
      </c>
      <c r="F5438" s="5" t="s">
        <v>10</v>
      </c>
      <c r="G5438" s="5" t="s">
        <v>30</v>
      </c>
      <c r="H5438">
        <v>14</v>
      </c>
      <c r="I5438" s="4">
        <v>595168</v>
      </c>
      <c r="J5438" s="4">
        <v>252840</v>
      </c>
    </row>
    <row r="5439" spans="2:10" x14ac:dyDescent="0.3">
      <c r="B5439" s="7">
        <v>44562</v>
      </c>
      <c r="C5439" s="3">
        <f t="shared" si="168"/>
        <v>2022</v>
      </c>
      <c r="D5439" s="3">
        <f t="shared" si="169"/>
        <v>202201</v>
      </c>
      <c r="E5439" s="5" t="s">
        <v>7</v>
      </c>
      <c r="F5439" s="5" t="s">
        <v>10</v>
      </c>
      <c r="G5439" s="5" t="s">
        <v>30</v>
      </c>
      <c r="H5439">
        <v>21</v>
      </c>
      <c r="I5439" s="4">
        <v>910014</v>
      </c>
      <c r="J5439" s="4">
        <v>379260</v>
      </c>
    </row>
    <row r="5440" spans="2:10" x14ac:dyDescent="0.3">
      <c r="B5440" s="7">
        <v>44593</v>
      </c>
      <c r="C5440" s="3">
        <f t="shared" si="168"/>
        <v>2022</v>
      </c>
      <c r="D5440" s="3">
        <f t="shared" si="169"/>
        <v>202202</v>
      </c>
      <c r="E5440" s="5" t="s">
        <v>7</v>
      </c>
      <c r="F5440" s="5" t="s">
        <v>10</v>
      </c>
      <c r="G5440" s="5" t="s">
        <v>30</v>
      </c>
      <c r="H5440">
        <v>13</v>
      </c>
      <c r="I5440" s="4">
        <v>571155</v>
      </c>
      <c r="J5440" s="4">
        <v>234780</v>
      </c>
    </row>
    <row r="5441" spans="2:10" x14ac:dyDescent="0.3">
      <c r="B5441" s="7">
        <v>44621</v>
      </c>
      <c r="C5441" s="3">
        <f t="shared" si="168"/>
        <v>2022</v>
      </c>
      <c r="D5441" s="3">
        <f t="shared" si="169"/>
        <v>202203</v>
      </c>
      <c r="E5441" s="5" t="s">
        <v>7</v>
      </c>
      <c r="F5441" s="5" t="s">
        <v>10</v>
      </c>
      <c r="G5441" s="5" t="s">
        <v>30</v>
      </c>
      <c r="H5441">
        <v>11</v>
      </c>
      <c r="I5441" s="4">
        <v>470217</v>
      </c>
      <c r="J5441" s="4">
        <v>198660</v>
      </c>
    </row>
    <row r="5442" spans="2:10" x14ac:dyDescent="0.3">
      <c r="B5442" s="7">
        <v>44652</v>
      </c>
      <c r="C5442" s="3">
        <f t="shared" si="168"/>
        <v>2022</v>
      </c>
      <c r="D5442" s="3">
        <f t="shared" si="169"/>
        <v>202204</v>
      </c>
      <c r="E5442" s="5" t="s">
        <v>7</v>
      </c>
      <c r="F5442" s="5" t="s">
        <v>10</v>
      </c>
      <c r="G5442" s="5" t="s">
        <v>30</v>
      </c>
      <c r="H5442">
        <v>20</v>
      </c>
      <c r="I5442" s="4">
        <v>871400</v>
      </c>
      <c r="J5442" s="4">
        <v>361200</v>
      </c>
    </row>
    <row r="5443" spans="2:10" x14ac:dyDescent="0.3">
      <c r="B5443" s="7">
        <v>44682</v>
      </c>
      <c r="C5443" s="3">
        <f t="shared" ref="C5443:C5506" si="170">YEAR(B5443)</f>
        <v>2022</v>
      </c>
      <c r="D5443" s="3">
        <f t="shared" ref="D5443:D5506" si="171">VALUE(TEXT(B5443,"ГГГГММ"))</f>
        <v>202205</v>
      </c>
      <c r="E5443" s="5" t="s">
        <v>7</v>
      </c>
      <c r="F5443" s="5" t="s">
        <v>10</v>
      </c>
      <c r="G5443" s="5" t="s">
        <v>30</v>
      </c>
      <c r="H5443">
        <v>25</v>
      </c>
      <c r="I5443" s="4">
        <v>1097250</v>
      </c>
      <c r="J5443" s="4">
        <v>451500</v>
      </c>
    </row>
    <row r="5444" spans="2:10" x14ac:dyDescent="0.3">
      <c r="B5444" s="7">
        <v>44713</v>
      </c>
      <c r="C5444" s="3">
        <f t="shared" si="170"/>
        <v>2022</v>
      </c>
      <c r="D5444" s="3">
        <f t="shared" si="171"/>
        <v>202206</v>
      </c>
      <c r="E5444" s="5" t="s">
        <v>7</v>
      </c>
      <c r="F5444" s="5" t="s">
        <v>10</v>
      </c>
      <c r="G5444" s="5" t="s">
        <v>30</v>
      </c>
      <c r="H5444">
        <v>23</v>
      </c>
      <c r="I5444" s="4">
        <v>1009585</v>
      </c>
      <c r="J5444" s="4">
        <v>415380</v>
      </c>
    </row>
    <row r="5445" spans="2:10" x14ac:dyDescent="0.3">
      <c r="B5445" s="7">
        <v>44743</v>
      </c>
      <c r="C5445" s="3">
        <f t="shared" si="170"/>
        <v>2022</v>
      </c>
      <c r="D5445" s="3">
        <f t="shared" si="171"/>
        <v>202207</v>
      </c>
      <c r="E5445" s="5" t="s">
        <v>7</v>
      </c>
      <c r="F5445" s="5" t="s">
        <v>10</v>
      </c>
      <c r="G5445" s="5" t="s">
        <v>30</v>
      </c>
      <c r="H5445">
        <v>25</v>
      </c>
      <c r="I5445" s="4">
        <v>1043550</v>
      </c>
      <c r="J5445" s="4">
        <v>451500</v>
      </c>
    </row>
    <row r="5446" spans="2:10" x14ac:dyDescent="0.3">
      <c r="B5446" s="7">
        <v>44774</v>
      </c>
      <c r="C5446" s="3">
        <f t="shared" si="170"/>
        <v>2022</v>
      </c>
      <c r="D5446" s="3">
        <f t="shared" si="171"/>
        <v>202208</v>
      </c>
      <c r="E5446" s="5" t="s">
        <v>7</v>
      </c>
      <c r="F5446" s="5" t="s">
        <v>10</v>
      </c>
      <c r="G5446" s="5" t="s">
        <v>30</v>
      </c>
      <c r="H5446">
        <v>21</v>
      </c>
      <c r="I5446" s="4">
        <v>906738</v>
      </c>
      <c r="J5446" s="4">
        <v>379260</v>
      </c>
    </row>
    <row r="5447" spans="2:10" x14ac:dyDescent="0.3">
      <c r="B5447" s="7">
        <v>44805</v>
      </c>
      <c r="C5447" s="3">
        <f t="shared" si="170"/>
        <v>2022</v>
      </c>
      <c r="D5447" s="3">
        <f t="shared" si="171"/>
        <v>202209</v>
      </c>
      <c r="E5447" s="5" t="s">
        <v>7</v>
      </c>
      <c r="F5447" s="5" t="s">
        <v>10</v>
      </c>
      <c r="G5447" s="5" t="s">
        <v>30</v>
      </c>
      <c r="H5447">
        <v>22</v>
      </c>
      <c r="I5447" s="4">
        <v>948904</v>
      </c>
      <c r="J5447" s="4">
        <v>397320</v>
      </c>
    </row>
    <row r="5448" spans="2:10" x14ac:dyDescent="0.3">
      <c r="B5448" s="7">
        <v>44835</v>
      </c>
      <c r="C5448" s="3">
        <f t="shared" si="170"/>
        <v>2022</v>
      </c>
      <c r="D5448" s="3">
        <f t="shared" si="171"/>
        <v>202210</v>
      </c>
      <c r="E5448" s="5" t="s">
        <v>7</v>
      </c>
      <c r="F5448" s="5" t="s">
        <v>10</v>
      </c>
      <c r="G5448" s="5" t="s">
        <v>30</v>
      </c>
      <c r="H5448">
        <v>18</v>
      </c>
      <c r="I5448" s="4">
        <v>788868</v>
      </c>
      <c r="J5448" s="4">
        <v>325080</v>
      </c>
    </row>
    <row r="5449" spans="2:10" x14ac:dyDescent="0.3">
      <c r="B5449" s="7">
        <v>44866</v>
      </c>
      <c r="C5449" s="3">
        <f t="shared" si="170"/>
        <v>2022</v>
      </c>
      <c r="D5449" s="3">
        <f t="shared" si="171"/>
        <v>202211</v>
      </c>
      <c r="E5449" s="5" t="s">
        <v>7</v>
      </c>
      <c r="F5449" s="5" t="s">
        <v>10</v>
      </c>
      <c r="G5449" s="5" t="s">
        <v>30</v>
      </c>
      <c r="H5449">
        <v>13</v>
      </c>
      <c r="I5449" s="4">
        <v>561821</v>
      </c>
      <c r="J5449" s="4">
        <v>234780</v>
      </c>
    </row>
    <row r="5450" spans="2:10" x14ac:dyDescent="0.3">
      <c r="B5450" s="7">
        <v>44896</v>
      </c>
      <c r="C5450" s="3">
        <f t="shared" si="170"/>
        <v>2022</v>
      </c>
      <c r="D5450" s="3">
        <f t="shared" si="171"/>
        <v>202212</v>
      </c>
      <c r="E5450" s="5" t="s">
        <v>7</v>
      </c>
      <c r="F5450" s="5" t="s">
        <v>10</v>
      </c>
      <c r="G5450" s="5" t="s">
        <v>30</v>
      </c>
      <c r="H5450">
        <v>16</v>
      </c>
      <c r="I5450" s="4">
        <v>681840</v>
      </c>
      <c r="J5450" s="4">
        <v>288960</v>
      </c>
    </row>
    <row r="5451" spans="2:10" x14ac:dyDescent="0.3">
      <c r="B5451" s="7">
        <v>44197</v>
      </c>
      <c r="C5451" s="3">
        <f t="shared" si="170"/>
        <v>2021</v>
      </c>
      <c r="D5451" s="3">
        <f t="shared" si="171"/>
        <v>202101</v>
      </c>
      <c r="E5451" s="5" t="s">
        <v>7</v>
      </c>
      <c r="F5451" s="5" t="s">
        <v>10</v>
      </c>
      <c r="G5451" s="5" t="s">
        <v>31</v>
      </c>
      <c r="H5451">
        <v>17</v>
      </c>
      <c r="I5451" s="4">
        <v>500956</v>
      </c>
      <c r="J5451" s="4">
        <v>190400</v>
      </c>
    </row>
    <row r="5452" spans="2:10" x14ac:dyDescent="0.3">
      <c r="B5452" s="7">
        <v>44228</v>
      </c>
      <c r="C5452" s="3">
        <f t="shared" si="170"/>
        <v>2021</v>
      </c>
      <c r="D5452" s="3">
        <f t="shared" si="171"/>
        <v>202102</v>
      </c>
      <c r="E5452" s="5" t="s">
        <v>7</v>
      </c>
      <c r="F5452" s="5" t="s">
        <v>10</v>
      </c>
      <c r="G5452" s="5" t="s">
        <v>31</v>
      </c>
      <c r="H5452">
        <v>11</v>
      </c>
      <c r="I5452" s="4">
        <v>318681</v>
      </c>
      <c r="J5452" s="4">
        <v>123200</v>
      </c>
    </row>
    <row r="5453" spans="2:10" x14ac:dyDescent="0.3">
      <c r="B5453" s="7">
        <v>44256</v>
      </c>
      <c r="C5453" s="3">
        <f t="shared" si="170"/>
        <v>2021</v>
      </c>
      <c r="D5453" s="3">
        <f t="shared" si="171"/>
        <v>202103</v>
      </c>
      <c r="E5453" s="5" t="s">
        <v>7</v>
      </c>
      <c r="F5453" s="5" t="s">
        <v>10</v>
      </c>
      <c r="G5453" s="5" t="s">
        <v>31</v>
      </c>
      <c r="H5453">
        <v>9</v>
      </c>
      <c r="I5453" s="4">
        <v>260001</v>
      </c>
      <c r="J5453" s="4">
        <v>100800</v>
      </c>
    </row>
    <row r="5454" spans="2:10" x14ac:dyDescent="0.3">
      <c r="B5454" s="7">
        <v>44287</v>
      </c>
      <c r="C5454" s="3">
        <f t="shared" si="170"/>
        <v>2021</v>
      </c>
      <c r="D5454" s="3">
        <f t="shared" si="171"/>
        <v>202104</v>
      </c>
      <c r="E5454" s="5" t="s">
        <v>7</v>
      </c>
      <c r="F5454" s="5" t="s">
        <v>10</v>
      </c>
      <c r="G5454" s="5" t="s">
        <v>31</v>
      </c>
      <c r="H5454">
        <v>16</v>
      </c>
      <c r="I5454" s="4">
        <v>478800</v>
      </c>
      <c r="J5454" s="4">
        <v>179200</v>
      </c>
    </row>
    <row r="5455" spans="2:10" x14ac:dyDescent="0.3">
      <c r="B5455" s="7">
        <v>44317</v>
      </c>
      <c r="C5455" s="3">
        <f t="shared" si="170"/>
        <v>2021</v>
      </c>
      <c r="D5455" s="3">
        <f t="shared" si="171"/>
        <v>202105</v>
      </c>
      <c r="E5455" s="5" t="s">
        <v>7</v>
      </c>
      <c r="F5455" s="5" t="s">
        <v>10</v>
      </c>
      <c r="G5455" s="5" t="s">
        <v>31</v>
      </c>
      <c r="H5455">
        <v>20</v>
      </c>
      <c r="I5455" s="4">
        <v>606400</v>
      </c>
      <c r="J5455" s="4">
        <v>224000</v>
      </c>
    </row>
    <row r="5456" spans="2:10" x14ac:dyDescent="0.3">
      <c r="B5456" s="7">
        <v>44348</v>
      </c>
      <c r="C5456" s="3">
        <f t="shared" si="170"/>
        <v>2021</v>
      </c>
      <c r="D5456" s="3">
        <f t="shared" si="171"/>
        <v>202106</v>
      </c>
      <c r="E5456" s="5" t="s">
        <v>7</v>
      </c>
      <c r="F5456" s="5" t="s">
        <v>10</v>
      </c>
      <c r="G5456" s="5" t="s">
        <v>31</v>
      </c>
      <c r="H5456">
        <v>19</v>
      </c>
      <c r="I5456" s="4">
        <v>564281</v>
      </c>
      <c r="J5456" s="4">
        <v>212800</v>
      </c>
    </row>
    <row r="5457" spans="2:10" x14ac:dyDescent="0.3">
      <c r="B5457" s="7">
        <v>44378</v>
      </c>
      <c r="C5457" s="3">
        <f t="shared" si="170"/>
        <v>2021</v>
      </c>
      <c r="D5457" s="3">
        <f t="shared" si="171"/>
        <v>202107</v>
      </c>
      <c r="E5457" s="5" t="s">
        <v>7</v>
      </c>
      <c r="F5457" s="5" t="s">
        <v>10</v>
      </c>
      <c r="G5457" s="5" t="s">
        <v>31</v>
      </c>
      <c r="H5457">
        <v>20</v>
      </c>
      <c r="I5457" s="4">
        <v>562380</v>
      </c>
      <c r="J5457" s="4">
        <v>224000</v>
      </c>
    </row>
    <row r="5458" spans="2:10" x14ac:dyDescent="0.3">
      <c r="B5458" s="7">
        <v>44409</v>
      </c>
      <c r="C5458" s="3">
        <f t="shared" si="170"/>
        <v>2021</v>
      </c>
      <c r="D5458" s="3">
        <f t="shared" si="171"/>
        <v>202108</v>
      </c>
      <c r="E5458" s="5" t="s">
        <v>7</v>
      </c>
      <c r="F5458" s="5" t="s">
        <v>10</v>
      </c>
      <c r="G5458" s="5" t="s">
        <v>31</v>
      </c>
      <c r="H5458">
        <v>17</v>
      </c>
      <c r="I5458" s="4">
        <v>494105</v>
      </c>
      <c r="J5458" s="4">
        <v>190400</v>
      </c>
    </row>
    <row r="5459" spans="2:10" x14ac:dyDescent="0.3">
      <c r="B5459" s="7">
        <v>44440</v>
      </c>
      <c r="C5459" s="3">
        <f t="shared" si="170"/>
        <v>2021</v>
      </c>
      <c r="D5459" s="3">
        <f t="shared" si="171"/>
        <v>202109</v>
      </c>
      <c r="E5459" s="5" t="s">
        <v>7</v>
      </c>
      <c r="F5459" s="5" t="s">
        <v>10</v>
      </c>
      <c r="G5459" s="5" t="s">
        <v>31</v>
      </c>
      <c r="H5459">
        <v>18</v>
      </c>
      <c r="I5459" s="4">
        <v>525996</v>
      </c>
      <c r="J5459" s="4">
        <v>201600</v>
      </c>
    </row>
    <row r="5460" spans="2:10" x14ac:dyDescent="0.3">
      <c r="B5460" s="7">
        <v>44470</v>
      </c>
      <c r="C5460" s="3">
        <f t="shared" si="170"/>
        <v>2021</v>
      </c>
      <c r="D5460" s="3">
        <f t="shared" si="171"/>
        <v>202110</v>
      </c>
      <c r="E5460" s="5" t="s">
        <v>7</v>
      </c>
      <c r="F5460" s="5" t="s">
        <v>10</v>
      </c>
      <c r="G5460" s="5" t="s">
        <v>31</v>
      </c>
      <c r="H5460">
        <v>15</v>
      </c>
      <c r="I5460" s="4">
        <v>440925</v>
      </c>
      <c r="J5460" s="4">
        <v>168000</v>
      </c>
    </row>
    <row r="5461" spans="2:10" x14ac:dyDescent="0.3">
      <c r="B5461" s="7">
        <v>44501</v>
      </c>
      <c r="C5461" s="3">
        <f t="shared" si="170"/>
        <v>2021</v>
      </c>
      <c r="D5461" s="3">
        <f t="shared" si="171"/>
        <v>202111</v>
      </c>
      <c r="E5461" s="5" t="s">
        <v>7</v>
      </c>
      <c r="F5461" s="5" t="s">
        <v>10</v>
      </c>
      <c r="G5461" s="5" t="s">
        <v>31</v>
      </c>
      <c r="H5461">
        <v>11</v>
      </c>
      <c r="I5461" s="4">
        <v>324368</v>
      </c>
      <c r="J5461" s="4">
        <v>123200</v>
      </c>
    </row>
    <row r="5462" spans="2:10" x14ac:dyDescent="0.3">
      <c r="B5462" s="7">
        <v>44531</v>
      </c>
      <c r="C5462" s="3">
        <f t="shared" si="170"/>
        <v>2021</v>
      </c>
      <c r="D5462" s="3">
        <f t="shared" si="171"/>
        <v>202112</v>
      </c>
      <c r="E5462" s="5" t="s">
        <v>7</v>
      </c>
      <c r="F5462" s="5" t="s">
        <v>10</v>
      </c>
      <c r="G5462" s="5" t="s">
        <v>31</v>
      </c>
      <c r="H5462">
        <v>13</v>
      </c>
      <c r="I5462" s="4">
        <v>379821</v>
      </c>
      <c r="J5462" s="4">
        <v>145600</v>
      </c>
    </row>
    <row r="5463" spans="2:10" x14ac:dyDescent="0.3">
      <c r="B5463" s="7">
        <v>44562</v>
      </c>
      <c r="C5463" s="3">
        <f t="shared" si="170"/>
        <v>2022</v>
      </c>
      <c r="D5463" s="3">
        <f t="shared" si="171"/>
        <v>202201</v>
      </c>
      <c r="E5463" s="5" t="s">
        <v>7</v>
      </c>
      <c r="F5463" s="5" t="s">
        <v>10</v>
      </c>
      <c r="G5463" s="5" t="s">
        <v>31</v>
      </c>
      <c r="H5463">
        <v>19</v>
      </c>
      <c r="I5463" s="4">
        <v>565953</v>
      </c>
      <c r="J5463" s="4">
        <v>212800</v>
      </c>
    </row>
    <row r="5464" spans="2:10" x14ac:dyDescent="0.3">
      <c r="B5464" s="7">
        <v>44593</v>
      </c>
      <c r="C5464" s="3">
        <f t="shared" si="170"/>
        <v>2022</v>
      </c>
      <c r="D5464" s="3">
        <f t="shared" si="171"/>
        <v>202202</v>
      </c>
      <c r="E5464" s="5" t="s">
        <v>7</v>
      </c>
      <c r="F5464" s="5" t="s">
        <v>10</v>
      </c>
      <c r="G5464" s="5" t="s">
        <v>31</v>
      </c>
      <c r="H5464">
        <v>12</v>
      </c>
      <c r="I5464" s="4">
        <v>353448</v>
      </c>
      <c r="J5464" s="4">
        <v>134400</v>
      </c>
    </row>
    <row r="5465" spans="2:10" x14ac:dyDescent="0.3">
      <c r="B5465" s="7">
        <v>44621</v>
      </c>
      <c r="C5465" s="3">
        <f t="shared" si="170"/>
        <v>2022</v>
      </c>
      <c r="D5465" s="3">
        <f t="shared" si="171"/>
        <v>202203</v>
      </c>
      <c r="E5465" s="5" t="s">
        <v>7</v>
      </c>
      <c r="F5465" s="5" t="s">
        <v>10</v>
      </c>
      <c r="G5465" s="5" t="s">
        <v>31</v>
      </c>
      <c r="H5465">
        <v>10</v>
      </c>
      <c r="I5465" s="4">
        <v>286990</v>
      </c>
      <c r="J5465" s="4">
        <v>112000</v>
      </c>
    </row>
    <row r="5466" spans="2:10" x14ac:dyDescent="0.3">
      <c r="B5466" s="7">
        <v>44652</v>
      </c>
      <c r="C5466" s="3">
        <f t="shared" si="170"/>
        <v>2022</v>
      </c>
      <c r="D5466" s="3">
        <f t="shared" si="171"/>
        <v>202204</v>
      </c>
      <c r="E5466" s="5" t="s">
        <v>7</v>
      </c>
      <c r="F5466" s="5" t="s">
        <v>10</v>
      </c>
      <c r="G5466" s="5" t="s">
        <v>31</v>
      </c>
      <c r="H5466">
        <v>18</v>
      </c>
      <c r="I5466" s="4">
        <v>531000</v>
      </c>
      <c r="J5466" s="4">
        <v>201600</v>
      </c>
    </row>
    <row r="5467" spans="2:10" x14ac:dyDescent="0.3">
      <c r="B5467" s="7">
        <v>44682</v>
      </c>
      <c r="C5467" s="3">
        <f t="shared" si="170"/>
        <v>2022</v>
      </c>
      <c r="D5467" s="3">
        <f t="shared" si="171"/>
        <v>202205</v>
      </c>
      <c r="E5467" s="5" t="s">
        <v>7</v>
      </c>
      <c r="F5467" s="5" t="s">
        <v>10</v>
      </c>
      <c r="G5467" s="5" t="s">
        <v>31</v>
      </c>
      <c r="H5467">
        <v>22</v>
      </c>
      <c r="I5467" s="4">
        <v>658680</v>
      </c>
      <c r="J5467" s="4">
        <v>246400</v>
      </c>
    </row>
    <row r="5468" spans="2:10" x14ac:dyDescent="0.3">
      <c r="B5468" s="7">
        <v>44713</v>
      </c>
      <c r="C5468" s="3">
        <f t="shared" si="170"/>
        <v>2022</v>
      </c>
      <c r="D5468" s="3">
        <f t="shared" si="171"/>
        <v>202206</v>
      </c>
      <c r="E5468" s="5" t="s">
        <v>7</v>
      </c>
      <c r="F5468" s="5" t="s">
        <v>10</v>
      </c>
      <c r="G5468" s="5" t="s">
        <v>31</v>
      </c>
      <c r="H5468">
        <v>21</v>
      </c>
      <c r="I5468" s="4">
        <v>610218</v>
      </c>
      <c r="J5468" s="4">
        <v>235200</v>
      </c>
    </row>
    <row r="5469" spans="2:10" x14ac:dyDescent="0.3">
      <c r="B5469" s="7">
        <v>44743</v>
      </c>
      <c r="C5469" s="3">
        <f t="shared" si="170"/>
        <v>2022</v>
      </c>
      <c r="D5469" s="3">
        <f t="shared" si="171"/>
        <v>202207</v>
      </c>
      <c r="E5469" s="5" t="s">
        <v>7</v>
      </c>
      <c r="F5469" s="5" t="s">
        <v>10</v>
      </c>
      <c r="G5469" s="5" t="s">
        <v>31</v>
      </c>
      <c r="H5469">
        <v>22</v>
      </c>
      <c r="I5469" s="4">
        <v>601788</v>
      </c>
      <c r="J5469" s="4">
        <v>246400</v>
      </c>
    </row>
    <row r="5470" spans="2:10" x14ac:dyDescent="0.3">
      <c r="B5470" s="7">
        <v>44774</v>
      </c>
      <c r="C5470" s="3">
        <f t="shared" si="170"/>
        <v>2022</v>
      </c>
      <c r="D5470" s="3">
        <f t="shared" si="171"/>
        <v>202208</v>
      </c>
      <c r="E5470" s="5" t="s">
        <v>7</v>
      </c>
      <c r="F5470" s="5" t="s">
        <v>10</v>
      </c>
      <c r="G5470" s="5" t="s">
        <v>31</v>
      </c>
      <c r="H5470">
        <v>19</v>
      </c>
      <c r="I5470" s="4">
        <v>542811</v>
      </c>
      <c r="J5470" s="4">
        <v>212800</v>
      </c>
    </row>
    <row r="5471" spans="2:10" x14ac:dyDescent="0.3">
      <c r="B5471" s="7">
        <v>44805</v>
      </c>
      <c r="C5471" s="3">
        <f t="shared" si="170"/>
        <v>2022</v>
      </c>
      <c r="D5471" s="3">
        <f t="shared" si="171"/>
        <v>202209</v>
      </c>
      <c r="E5471" s="5" t="s">
        <v>7</v>
      </c>
      <c r="F5471" s="5" t="s">
        <v>10</v>
      </c>
      <c r="G5471" s="5" t="s">
        <v>31</v>
      </c>
      <c r="H5471">
        <v>20</v>
      </c>
      <c r="I5471" s="4">
        <v>570180</v>
      </c>
      <c r="J5471" s="4">
        <v>224000</v>
      </c>
    </row>
    <row r="5472" spans="2:10" x14ac:dyDescent="0.3">
      <c r="B5472" s="7">
        <v>44835</v>
      </c>
      <c r="C5472" s="3">
        <f t="shared" si="170"/>
        <v>2022</v>
      </c>
      <c r="D5472" s="3">
        <f t="shared" si="171"/>
        <v>202210</v>
      </c>
      <c r="E5472" s="5" t="s">
        <v>7</v>
      </c>
      <c r="F5472" s="5" t="s">
        <v>10</v>
      </c>
      <c r="G5472" s="5" t="s">
        <v>31</v>
      </c>
      <c r="H5472">
        <v>17</v>
      </c>
      <c r="I5472" s="4">
        <v>492473</v>
      </c>
      <c r="J5472" s="4">
        <v>190400</v>
      </c>
    </row>
    <row r="5473" spans="2:10" x14ac:dyDescent="0.3">
      <c r="B5473" s="7">
        <v>44866</v>
      </c>
      <c r="C5473" s="3">
        <f t="shared" si="170"/>
        <v>2022</v>
      </c>
      <c r="D5473" s="3">
        <f t="shared" si="171"/>
        <v>202211</v>
      </c>
      <c r="E5473" s="5" t="s">
        <v>7</v>
      </c>
      <c r="F5473" s="5" t="s">
        <v>10</v>
      </c>
      <c r="G5473" s="5" t="s">
        <v>31</v>
      </c>
      <c r="H5473">
        <v>12</v>
      </c>
      <c r="I5473" s="4">
        <v>359652</v>
      </c>
      <c r="J5473" s="4">
        <v>134400</v>
      </c>
    </row>
    <row r="5474" spans="2:10" x14ac:dyDescent="0.3">
      <c r="B5474" s="7">
        <v>44896</v>
      </c>
      <c r="C5474" s="3">
        <f t="shared" si="170"/>
        <v>2022</v>
      </c>
      <c r="D5474" s="3">
        <f t="shared" si="171"/>
        <v>202212</v>
      </c>
      <c r="E5474" s="5" t="s">
        <v>7</v>
      </c>
      <c r="F5474" s="5" t="s">
        <v>10</v>
      </c>
      <c r="G5474" s="5" t="s">
        <v>31</v>
      </c>
      <c r="H5474">
        <v>14</v>
      </c>
      <c r="I5474" s="4">
        <v>396004</v>
      </c>
      <c r="J5474" s="4">
        <v>156800</v>
      </c>
    </row>
    <row r="5475" spans="2:10" x14ac:dyDescent="0.3">
      <c r="B5475" s="7">
        <v>44197</v>
      </c>
      <c r="C5475" s="3">
        <f t="shared" si="170"/>
        <v>2021</v>
      </c>
      <c r="D5475" s="3">
        <f t="shared" si="171"/>
        <v>202101</v>
      </c>
      <c r="E5475" s="5" t="s">
        <v>7</v>
      </c>
      <c r="F5475" s="5" t="s">
        <v>10</v>
      </c>
      <c r="G5475" s="5" t="s">
        <v>32</v>
      </c>
      <c r="H5475">
        <v>22</v>
      </c>
      <c r="I5475" s="4">
        <v>1016532</v>
      </c>
      <c r="J5475" s="4">
        <v>554400.00000000012</v>
      </c>
    </row>
    <row r="5476" spans="2:10" x14ac:dyDescent="0.3">
      <c r="B5476" s="7">
        <v>44228</v>
      </c>
      <c r="C5476" s="3">
        <f t="shared" si="170"/>
        <v>2021</v>
      </c>
      <c r="D5476" s="3">
        <f t="shared" si="171"/>
        <v>202102</v>
      </c>
      <c r="E5476" s="5" t="s">
        <v>7</v>
      </c>
      <c r="F5476" s="5" t="s">
        <v>10</v>
      </c>
      <c r="G5476" s="5" t="s">
        <v>32</v>
      </c>
      <c r="H5476">
        <v>14</v>
      </c>
      <c r="I5476" s="4">
        <v>652610</v>
      </c>
      <c r="J5476" s="4">
        <v>352800.00000000006</v>
      </c>
    </row>
    <row r="5477" spans="2:10" x14ac:dyDescent="0.3">
      <c r="B5477" s="7">
        <v>44256</v>
      </c>
      <c r="C5477" s="3">
        <f t="shared" si="170"/>
        <v>2021</v>
      </c>
      <c r="D5477" s="3">
        <f t="shared" si="171"/>
        <v>202103</v>
      </c>
      <c r="E5477" s="5" t="s">
        <v>7</v>
      </c>
      <c r="F5477" s="5" t="s">
        <v>10</v>
      </c>
      <c r="G5477" s="5" t="s">
        <v>32</v>
      </c>
      <c r="H5477">
        <v>11</v>
      </c>
      <c r="I5477" s="4">
        <v>496023</v>
      </c>
      <c r="J5477" s="4">
        <v>277200.00000000006</v>
      </c>
    </row>
    <row r="5478" spans="2:10" x14ac:dyDescent="0.3">
      <c r="B5478" s="7">
        <v>44287</v>
      </c>
      <c r="C5478" s="3">
        <f t="shared" si="170"/>
        <v>2021</v>
      </c>
      <c r="D5478" s="3">
        <f t="shared" si="171"/>
        <v>202104</v>
      </c>
      <c r="E5478" s="5" t="s">
        <v>7</v>
      </c>
      <c r="F5478" s="5" t="s">
        <v>10</v>
      </c>
      <c r="G5478" s="5" t="s">
        <v>32</v>
      </c>
      <c r="H5478">
        <v>20</v>
      </c>
      <c r="I5478" s="4">
        <v>931240</v>
      </c>
      <c r="J5478" s="4">
        <v>504000.00000000006</v>
      </c>
    </row>
    <row r="5479" spans="2:10" x14ac:dyDescent="0.3">
      <c r="B5479" s="7">
        <v>44317</v>
      </c>
      <c r="C5479" s="3">
        <f t="shared" si="170"/>
        <v>2021</v>
      </c>
      <c r="D5479" s="3">
        <f t="shared" si="171"/>
        <v>202105</v>
      </c>
      <c r="E5479" s="5" t="s">
        <v>7</v>
      </c>
      <c r="F5479" s="5" t="s">
        <v>10</v>
      </c>
      <c r="G5479" s="5" t="s">
        <v>32</v>
      </c>
      <c r="H5479">
        <v>26</v>
      </c>
      <c r="I5479" s="4">
        <v>1208480</v>
      </c>
      <c r="J5479" s="4">
        <v>655200.00000000012</v>
      </c>
    </row>
    <row r="5480" spans="2:10" x14ac:dyDescent="0.3">
      <c r="B5480" s="7">
        <v>44348</v>
      </c>
      <c r="C5480" s="3">
        <f t="shared" si="170"/>
        <v>2021</v>
      </c>
      <c r="D5480" s="3">
        <f t="shared" si="171"/>
        <v>202106</v>
      </c>
      <c r="E5480" s="5" t="s">
        <v>7</v>
      </c>
      <c r="F5480" s="5" t="s">
        <v>10</v>
      </c>
      <c r="G5480" s="5" t="s">
        <v>32</v>
      </c>
      <c r="H5480">
        <v>24</v>
      </c>
      <c r="I5480" s="4">
        <v>1109064</v>
      </c>
      <c r="J5480" s="4">
        <v>604800.00000000012</v>
      </c>
    </row>
    <row r="5481" spans="2:10" x14ac:dyDescent="0.3">
      <c r="B5481" s="7">
        <v>44378</v>
      </c>
      <c r="C5481" s="3">
        <f t="shared" si="170"/>
        <v>2021</v>
      </c>
      <c r="D5481" s="3">
        <f t="shared" si="171"/>
        <v>202107</v>
      </c>
      <c r="E5481" s="5" t="s">
        <v>7</v>
      </c>
      <c r="F5481" s="5" t="s">
        <v>10</v>
      </c>
      <c r="G5481" s="5" t="s">
        <v>32</v>
      </c>
      <c r="H5481">
        <v>26</v>
      </c>
      <c r="I5481" s="4">
        <v>1157754</v>
      </c>
      <c r="J5481" s="4">
        <v>655200.00000000012</v>
      </c>
    </row>
    <row r="5482" spans="2:10" x14ac:dyDescent="0.3">
      <c r="B5482" s="7">
        <v>44409</v>
      </c>
      <c r="C5482" s="3">
        <f t="shared" si="170"/>
        <v>2021</v>
      </c>
      <c r="D5482" s="3">
        <f t="shared" si="171"/>
        <v>202108</v>
      </c>
      <c r="E5482" s="5" t="s">
        <v>7</v>
      </c>
      <c r="F5482" s="5" t="s">
        <v>10</v>
      </c>
      <c r="G5482" s="5" t="s">
        <v>32</v>
      </c>
      <c r="H5482">
        <v>22</v>
      </c>
      <c r="I5482" s="4">
        <v>993894</v>
      </c>
      <c r="J5482" s="4">
        <v>554400.00000000012</v>
      </c>
    </row>
    <row r="5483" spans="2:10" x14ac:dyDescent="0.3">
      <c r="B5483" s="7">
        <v>44440</v>
      </c>
      <c r="C5483" s="3">
        <f t="shared" si="170"/>
        <v>2021</v>
      </c>
      <c r="D5483" s="3">
        <f t="shared" si="171"/>
        <v>202109</v>
      </c>
      <c r="E5483" s="5" t="s">
        <v>7</v>
      </c>
      <c r="F5483" s="5" t="s">
        <v>10</v>
      </c>
      <c r="G5483" s="5" t="s">
        <v>32</v>
      </c>
      <c r="H5483">
        <v>23</v>
      </c>
      <c r="I5483" s="4">
        <v>1052227</v>
      </c>
      <c r="J5483" s="4">
        <v>579600.00000000012</v>
      </c>
    </row>
    <row r="5484" spans="2:10" x14ac:dyDescent="0.3">
      <c r="B5484" s="7">
        <v>44470</v>
      </c>
      <c r="C5484" s="3">
        <f t="shared" si="170"/>
        <v>2021</v>
      </c>
      <c r="D5484" s="3">
        <f t="shared" si="171"/>
        <v>202110</v>
      </c>
      <c r="E5484" s="5" t="s">
        <v>7</v>
      </c>
      <c r="F5484" s="5" t="s">
        <v>10</v>
      </c>
      <c r="G5484" s="5" t="s">
        <v>32</v>
      </c>
      <c r="H5484">
        <v>19</v>
      </c>
      <c r="I5484" s="4">
        <v>872993</v>
      </c>
      <c r="J5484" s="4">
        <v>478800.00000000006</v>
      </c>
    </row>
    <row r="5485" spans="2:10" x14ac:dyDescent="0.3">
      <c r="B5485" s="7">
        <v>44501</v>
      </c>
      <c r="C5485" s="3">
        <f t="shared" si="170"/>
        <v>2021</v>
      </c>
      <c r="D5485" s="3">
        <f t="shared" si="171"/>
        <v>202111</v>
      </c>
      <c r="E5485" s="5" t="s">
        <v>7</v>
      </c>
      <c r="F5485" s="5" t="s">
        <v>10</v>
      </c>
      <c r="G5485" s="5" t="s">
        <v>32</v>
      </c>
      <c r="H5485">
        <v>14</v>
      </c>
      <c r="I5485" s="4">
        <v>647164</v>
      </c>
      <c r="J5485" s="4">
        <v>352800.00000000006</v>
      </c>
    </row>
    <row r="5486" spans="2:10" x14ac:dyDescent="0.3">
      <c r="B5486" s="7">
        <v>44531</v>
      </c>
      <c r="C5486" s="3">
        <f t="shared" si="170"/>
        <v>2021</v>
      </c>
      <c r="D5486" s="3">
        <f t="shared" si="171"/>
        <v>202112</v>
      </c>
      <c r="E5486" s="5" t="s">
        <v>7</v>
      </c>
      <c r="F5486" s="5" t="s">
        <v>10</v>
      </c>
      <c r="G5486" s="5" t="s">
        <v>32</v>
      </c>
      <c r="H5486">
        <v>16</v>
      </c>
      <c r="I5486" s="4">
        <v>724416</v>
      </c>
      <c r="J5486" s="4">
        <v>403200.00000000006</v>
      </c>
    </row>
    <row r="5487" spans="2:10" x14ac:dyDescent="0.3">
      <c r="B5487" s="7">
        <v>44562</v>
      </c>
      <c r="C5487" s="3">
        <f t="shared" si="170"/>
        <v>2022</v>
      </c>
      <c r="D5487" s="3">
        <f t="shared" si="171"/>
        <v>202201</v>
      </c>
      <c r="E5487" s="5" t="s">
        <v>7</v>
      </c>
      <c r="F5487" s="5" t="s">
        <v>10</v>
      </c>
      <c r="G5487" s="5" t="s">
        <v>32</v>
      </c>
      <c r="H5487">
        <v>24</v>
      </c>
      <c r="I5487" s="4">
        <v>1115904</v>
      </c>
      <c r="J5487" s="4">
        <v>604800.00000000012</v>
      </c>
    </row>
    <row r="5488" spans="2:10" x14ac:dyDescent="0.3">
      <c r="B5488" s="7">
        <v>44593</v>
      </c>
      <c r="C5488" s="3">
        <f t="shared" si="170"/>
        <v>2022</v>
      </c>
      <c r="D5488" s="3">
        <f t="shared" si="171"/>
        <v>202202</v>
      </c>
      <c r="E5488" s="5" t="s">
        <v>7</v>
      </c>
      <c r="F5488" s="5" t="s">
        <v>10</v>
      </c>
      <c r="G5488" s="5" t="s">
        <v>32</v>
      </c>
      <c r="H5488">
        <v>15</v>
      </c>
      <c r="I5488" s="4">
        <v>693285</v>
      </c>
      <c r="J5488" s="4">
        <v>378000.00000000006</v>
      </c>
    </row>
    <row r="5489" spans="2:10" x14ac:dyDescent="0.3">
      <c r="B5489" s="7">
        <v>44621</v>
      </c>
      <c r="C5489" s="3">
        <f t="shared" si="170"/>
        <v>2022</v>
      </c>
      <c r="D5489" s="3">
        <f t="shared" si="171"/>
        <v>202203</v>
      </c>
      <c r="E5489" s="5" t="s">
        <v>7</v>
      </c>
      <c r="F5489" s="5" t="s">
        <v>10</v>
      </c>
      <c r="G5489" s="5" t="s">
        <v>32</v>
      </c>
      <c r="H5489">
        <v>12</v>
      </c>
      <c r="I5489" s="4">
        <v>544872</v>
      </c>
      <c r="J5489" s="4">
        <v>302400.00000000006</v>
      </c>
    </row>
    <row r="5490" spans="2:10" x14ac:dyDescent="0.3">
      <c r="B5490" s="7">
        <v>44652</v>
      </c>
      <c r="C5490" s="3">
        <f t="shared" si="170"/>
        <v>2022</v>
      </c>
      <c r="D5490" s="3">
        <f t="shared" si="171"/>
        <v>202204</v>
      </c>
      <c r="E5490" s="5" t="s">
        <v>7</v>
      </c>
      <c r="F5490" s="5" t="s">
        <v>10</v>
      </c>
      <c r="G5490" s="5" t="s">
        <v>32</v>
      </c>
      <c r="H5490">
        <v>22</v>
      </c>
      <c r="I5490" s="4">
        <v>1026806</v>
      </c>
      <c r="J5490" s="4">
        <v>554400.00000000012</v>
      </c>
    </row>
    <row r="5491" spans="2:10" x14ac:dyDescent="0.3">
      <c r="B5491" s="7">
        <v>44682</v>
      </c>
      <c r="C5491" s="3">
        <f t="shared" si="170"/>
        <v>2022</v>
      </c>
      <c r="D5491" s="3">
        <f t="shared" si="171"/>
        <v>202205</v>
      </c>
      <c r="E5491" s="5" t="s">
        <v>7</v>
      </c>
      <c r="F5491" s="5" t="s">
        <v>10</v>
      </c>
      <c r="G5491" s="5" t="s">
        <v>32</v>
      </c>
      <c r="H5491">
        <v>28</v>
      </c>
      <c r="I5491" s="4">
        <v>1325044</v>
      </c>
      <c r="J5491" s="4">
        <v>705600.00000000012</v>
      </c>
    </row>
    <row r="5492" spans="2:10" x14ac:dyDescent="0.3">
      <c r="B5492" s="7">
        <v>44713</v>
      </c>
      <c r="C5492" s="3">
        <f t="shared" si="170"/>
        <v>2022</v>
      </c>
      <c r="D5492" s="3">
        <f t="shared" si="171"/>
        <v>202206</v>
      </c>
      <c r="E5492" s="5" t="s">
        <v>7</v>
      </c>
      <c r="F5492" s="5" t="s">
        <v>10</v>
      </c>
      <c r="G5492" s="5" t="s">
        <v>32</v>
      </c>
      <c r="H5492">
        <v>27</v>
      </c>
      <c r="I5492" s="4">
        <v>1238166</v>
      </c>
      <c r="J5492" s="4">
        <v>680400.00000000012</v>
      </c>
    </row>
    <row r="5493" spans="2:10" x14ac:dyDescent="0.3">
      <c r="B5493" s="7">
        <v>44743</v>
      </c>
      <c r="C5493" s="3">
        <f t="shared" si="170"/>
        <v>2022</v>
      </c>
      <c r="D5493" s="3">
        <f t="shared" si="171"/>
        <v>202207</v>
      </c>
      <c r="E5493" s="5" t="s">
        <v>7</v>
      </c>
      <c r="F5493" s="5" t="s">
        <v>10</v>
      </c>
      <c r="G5493" s="5" t="s">
        <v>32</v>
      </c>
      <c r="H5493">
        <v>28</v>
      </c>
      <c r="I5493" s="4">
        <v>1234044</v>
      </c>
      <c r="J5493" s="4">
        <v>705600.00000000012</v>
      </c>
    </row>
    <row r="5494" spans="2:10" x14ac:dyDescent="0.3">
      <c r="B5494" s="7">
        <v>44774</v>
      </c>
      <c r="C5494" s="3">
        <f t="shared" si="170"/>
        <v>2022</v>
      </c>
      <c r="D5494" s="3">
        <f t="shared" si="171"/>
        <v>202208</v>
      </c>
      <c r="E5494" s="5" t="s">
        <v>7</v>
      </c>
      <c r="F5494" s="5" t="s">
        <v>10</v>
      </c>
      <c r="G5494" s="5" t="s">
        <v>32</v>
      </c>
      <c r="H5494">
        <v>24</v>
      </c>
      <c r="I5494" s="4">
        <v>1096992</v>
      </c>
      <c r="J5494" s="4">
        <v>604800.00000000012</v>
      </c>
    </row>
    <row r="5495" spans="2:10" x14ac:dyDescent="0.3">
      <c r="B5495" s="7">
        <v>44805</v>
      </c>
      <c r="C5495" s="3">
        <f t="shared" si="170"/>
        <v>2022</v>
      </c>
      <c r="D5495" s="3">
        <f t="shared" si="171"/>
        <v>202209</v>
      </c>
      <c r="E5495" s="5" t="s">
        <v>7</v>
      </c>
      <c r="F5495" s="5" t="s">
        <v>10</v>
      </c>
      <c r="G5495" s="5" t="s">
        <v>32</v>
      </c>
      <c r="H5495">
        <v>25</v>
      </c>
      <c r="I5495" s="4">
        <v>1144875</v>
      </c>
      <c r="J5495" s="4">
        <v>630000.00000000012</v>
      </c>
    </row>
    <row r="5496" spans="2:10" x14ac:dyDescent="0.3">
      <c r="B5496" s="7">
        <v>44835</v>
      </c>
      <c r="C5496" s="3">
        <f t="shared" si="170"/>
        <v>2022</v>
      </c>
      <c r="D5496" s="3">
        <f t="shared" si="171"/>
        <v>202210</v>
      </c>
      <c r="E5496" s="5" t="s">
        <v>7</v>
      </c>
      <c r="F5496" s="5" t="s">
        <v>10</v>
      </c>
      <c r="G5496" s="5" t="s">
        <v>32</v>
      </c>
      <c r="H5496">
        <v>21</v>
      </c>
      <c r="I5496" s="4">
        <v>978537</v>
      </c>
      <c r="J5496" s="4">
        <v>529200.00000000012</v>
      </c>
    </row>
    <row r="5497" spans="2:10" x14ac:dyDescent="0.3">
      <c r="B5497" s="7">
        <v>44866</v>
      </c>
      <c r="C5497" s="3">
        <f t="shared" si="170"/>
        <v>2022</v>
      </c>
      <c r="D5497" s="3">
        <f t="shared" si="171"/>
        <v>202211</v>
      </c>
      <c r="E5497" s="5" t="s">
        <v>7</v>
      </c>
      <c r="F5497" s="5" t="s">
        <v>10</v>
      </c>
      <c r="G5497" s="5" t="s">
        <v>32</v>
      </c>
      <c r="H5497">
        <v>15</v>
      </c>
      <c r="I5497" s="4">
        <v>691050</v>
      </c>
      <c r="J5497" s="4">
        <v>378000.00000000006</v>
      </c>
    </row>
    <row r="5498" spans="2:10" x14ac:dyDescent="0.3">
      <c r="B5498" s="7">
        <v>44896</v>
      </c>
      <c r="C5498" s="3">
        <f t="shared" si="170"/>
        <v>2022</v>
      </c>
      <c r="D5498" s="3">
        <f t="shared" si="171"/>
        <v>202212</v>
      </c>
      <c r="E5498" s="5" t="s">
        <v>7</v>
      </c>
      <c r="F5498" s="5" t="s">
        <v>10</v>
      </c>
      <c r="G5498" s="5" t="s">
        <v>32</v>
      </c>
      <c r="H5498">
        <v>18</v>
      </c>
      <c r="I5498" s="4">
        <v>815346</v>
      </c>
      <c r="J5498" s="4">
        <v>453600.00000000006</v>
      </c>
    </row>
    <row r="5499" spans="2:10" x14ac:dyDescent="0.3">
      <c r="B5499" s="7">
        <v>44197</v>
      </c>
      <c r="C5499" s="3">
        <f t="shared" si="170"/>
        <v>2021</v>
      </c>
      <c r="D5499" s="3">
        <f t="shared" si="171"/>
        <v>202101</v>
      </c>
      <c r="E5499" s="5" t="s">
        <v>7</v>
      </c>
      <c r="F5499" s="5" t="s">
        <v>10</v>
      </c>
      <c r="G5499" s="5" t="s">
        <v>33</v>
      </c>
      <c r="H5499">
        <v>22</v>
      </c>
      <c r="I5499" s="4">
        <v>408628</v>
      </c>
      <c r="J5499" s="4">
        <v>209440</v>
      </c>
    </row>
    <row r="5500" spans="2:10" x14ac:dyDescent="0.3">
      <c r="B5500" s="7">
        <v>44228</v>
      </c>
      <c r="C5500" s="3">
        <f t="shared" si="170"/>
        <v>2021</v>
      </c>
      <c r="D5500" s="3">
        <f t="shared" si="171"/>
        <v>202102</v>
      </c>
      <c r="E5500" s="5" t="s">
        <v>7</v>
      </c>
      <c r="F5500" s="5" t="s">
        <v>10</v>
      </c>
      <c r="G5500" s="5" t="s">
        <v>33</v>
      </c>
      <c r="H5500">
        <v>14</v>
      </c>
      <c r="I5500" s="4">
        <v>253428</v>
      </c>
      <c r="J5500" s="4">
        <v>133280</v>
      </c>
    </row>
    <row r="5501" spans="2:10" x14ac:dyDescent="0.3">
      <c r="B5501" s="7">
        <v>44256</v>
      </c>
      <c r="C5501" s="3">
        <f t="shared" si="170"/>
        <v>2021</v>
      </c>
      <c r="D5501" s="3">
        <f t="shared" si="171"/>
        <v>202103</v>
      </c>
      <c r="E5501" s="5" t="s">
        <v>7</v>
      </c>
      <c r="F5501" s="5" t="s">
        <v>10</v>
      </c>
      <c r="G5501" s="5" t="s">
        <v>33</v>
      </c>
      <c r="H5501">
        <v>11</v>
      </c>
      <c r="I5501" s="4">
        <v>196977</v>
      </c>
      <c r="J5501" s="4">
        <v>104720</v>
      </c>
    </row>
    <row r="5502" spans="2:10" x14ac:dyDescent="0.3">
      <c r="B5502" s="7">
        <v>44287</v>
      </c>
      <c r="C5502" s="3">
        <f t="shared" si="170"/>
        <v>2021</v>
      </c>
      <c r="D5502" s="3">
        <f t="shared" si="171"/>
        <v>202104</v>
      </c>
      <c r="E5502" s="5" t="s">
        <v>7</v>
      </c>
      <c r="F5502" s="5" t="s">
        <v>10</v>
      </c>
      <c r="G5502" s="5" t="s">
        <v>33</v>
      </c>
      <c r="H5502">
        <v>20</v>
      </c>
      <c r="I5502" s="4">
        <v>370240</v>
      </c>
      <c r="J5502" s="4">
        <v>190400</v>
      </c>
    </row>
    <row r="5503" spans="2:10" x14ac:dyDescent="0.3">
      <c r="B5503" s="7">
        <v>44317</v>
      </c>
      <c r="C5503" s="3">
        <f t="shared" si="170"/>
        <v>2021</v>
      </c>
      <c r="D5503" s="3">
        <f t="shared" si="171"/>
        <v>202105</v>
      </c>
      <c r="E5503" s="5" t="s">
        <v>7</v>
      </c>
      <c r="F5503" s="5" t="s">
        <v>10</v>
      </c>
      <c r="G5503" s="5" t="s">
        <v>33</v>
      </c>
      <c r="H5503">
        <v>26</v>
      </c>
      <c r="I5503" s="4">
        <v>493584</v>
      </c>
      <c r="J5503" s="4">
        <v>247520</v>
      </c>
    </row>
    <row r="5504" spans="2:10" x14ac:dyDescent="0.3">
      <c r="B5504" s="7">
        <v>44348</v>
      </c>
      <c r="C5504" s="3">
        <f t="shared" si="170"/>
        <v>2021</v>
      </c>
      <c r="D5504" s="3">
        <f t="shared" si="171"/>
        <v>202106</v>
      </c>
      <c r="E5504" s="5" t="s">
        <v>7</v>
      </c>
      <c r="F5504" s="5" t="s">
        <v>10</v>
      </c>
      <c r="G5504" s="5" t="s">
        <v>33</v>
      </c>
      <c r="H5504">
        <v>24</v>
      </c>
      <c r="I5504" s="4">
        <v>441720</v>
      </c>
      <c r="J5504" s="4">
        <v>228480</v>
      </c>
    </row>
    <row r="5505" spans="2:10" x14ac:dyDescent="0.3">
      <c r="B5505" s="7">
        <v>44378</v>
      </c>
      <c r="C5505" s="3">
        <f t="shared" si="170"/>
        <v>2021</v>
      </c>
      <c r="D5505" s="3">
        <f t="shared" si="171"/>
        <v>202107</v>
      </c>
      <c r="E5505" s="5" t="s">
        <v>7</v>
      </c>
      <c r="F5505" s="5" t="s">
        <v>10</v>
      </c>
      <c r="G5505" s="5" t="s">
        <v>33</v>
      </c>
      <c r="H5505">
        <v>26</v>
      </c>
      <c r="I5505" s="4">
        <v>442416</v>
      </c>
      <c r="J5505" s="4">
        <v>247520</v>
      </c>
    </row>
    <row r="5506" spans="2:10" x14ac:dyDescent="0.3">
      <c r="B5506" s="7">
        <v>44409</v>
      </c>
      <c r="C5506" s="3">
        <f t="shared" si="170"/>
        <v>2021</v>
      </c>
      <c r="D5506" s="3">
        <f t="shared" si="171"/>
        <v>202108</v>
      </c>
      <c r="E5506" s="5" t="s">
        <v>7</v>
      </c>
      <c r="F5506" s="5" t="s">
        <v>10</v>
      </c>
      <c r="G5506" s="5" t="s">
        <v>33</v>
      </c>
      <c r="H5506">
        <v>22</v>
      </c>
      <c r="I5506" s="4">
        <v>393206</v>
      </c>
      <c r="J5506" s="4">
        <v>209440</v>
      </c>
    </row>
    <row r="5507" spans="2:10" x14ac:dyDescent="0.3">
      <c r="B5507" s="7">
        <v>44440</v>
      </c>
      <c r="C5507" s="3">
        <f t="shared" ref="C5507:C5570" si="172">YEAR(B5507)</f>
        <v>2021</v>
      </c>
      <c r="D5507" s="3">
        <f t="shared" ref="D5507:D5570" si="173">VALUE(TEXT(B5507,"ГГГГММ"))</f>
        <v>202109</v>
      </c>
      <c r="E5507" s="5" t="s">
        <v>7</v>
      </c>
      <c r="F5507" s="5" t="s">
        <v>10</v>
      </c>
      <c r="G5507" s="5" t="s">
        <v>33</v>
      </c>
      <c r="H5507">
        <v>23</v>
      </c>
      <c r="I5507" s="4">
        <v>411815</v>
      </c>
      <c r="J5507" s="4">
        <v>218960</v>
      </c>
    </row>
    <row r="5508" spans="2:10" x14ac:dyDescent="0.3">
      <c r="B5508" s="7">
        <v>44470</v>
      </c>
      <c r="C5508" s="3">
        <f t="shared" si="172"/>
        <v>2021</v>
      </c>
      <c r="D5508" s="3">
        <f t="shared" si="173"/>
        <v>202110</v>
      </c>
      <c r="E5508" s="5" t="s">
        <v>7</v>
      </c>
      <c r="F5508" s="5" t="s">
        <v>10</v>
      </c>
      <c r="G5508" s="5" t="s">
        <v>33</v>
      </c>
      <c r="H5508">
        <v>19</v>
      </c>
      <c r="I5508" s="4">
        <v>338732</v>
      </c>
      <c r="J5508" s="4">
        <v>180880</v>
      </c>
    </row>
    <row r="5509" spans="2:10" x14ac:dyDescent="0.3">
      <c r="B5509" s="7">
        <v>44501</v>
      </c>
      <c r="C5509" s="3">
        <f t="shared" si="172"/>
        <v>2021</v>
      </c>
      <c r="D5509" s="3">
        <f t="shared" si="173"/>
        <v>202111</v>
      </c>
      <c r="E5509" s="5" t="s">
        <v>7</v>
      </c>
      <c r="F5509" s="5" t="s">
        <v>10</v>
      </c>
      <c r="G5509" s="5" t="s">
        <v>33</v>
      </c>
      <c r="H5509">
        <v>14</v>
      </c>
      <c r="I5509" s="4">
        <v>259308</v>
      </c>
      <c r="J5509" s="4">
        <v>133280</v>
      </c>
    </row>
    <row r="5510" spans="2:10" x14ac:dyDescent="0.3">
      <c r="B5510" s="7">
        <v>44531</v>
      </c>
      <c r="C5510" s="3">
        <f t="shared" si="172"/>
        <v>2021</v>
      </c>
      <c r="D5510" s="3">
        <f t="shared" si="173"/>
        <v>202112</v>
      </c>
      <c r="E5510" s="5" t="s">
        <v>7</v>
      </c>
      <c r="F5510" s="5" t="s">
        <v>10</v>
      </c>
      <c r="G5510" s="5" t="s">
        <v>33</v>
      </c>
      <c r="H5510">
        <v>16</v>
      </c>
      <c r="I5510" s="4">
        <v>280448</v>
      </c>
      <c r="J5510" s="4">
        <v>152320</v>
      </c>
    </row>
    <row r="5511" spans="2:10" x14ac:dyDescent="0.3">
      <c r="B5511" s="7">
        <v>44562</v>
      </c>
      <c r="C5511" s="3">
        <f t="shared" si="172"/>
        <v>2022</v>
      </c>
      <c r="D5511" s="3">
        <f t="shared" si="173"/>
        <v>202201</v>
      </c>
      <c r="E5511" s="5" t="s">
        <v>7</v>
      </c>
      <c r="F5511" s="5" t="s">
        <v>10</v>
      </c>
      <c r="G5511" s="5" t="s">
        <v>33</v>
      </c>
      <c r="H5511">
        <v>24</v>
      </c>
      <c r="I5511" s="4">
        <v>433272</v>
      </c>
      <c r="J5511" s="4">
        <v>228480</v>
      </c>
    </row>
    <row r="5512" spans="2:10" x14ac:dyDescent="0.3">
      <c r="B5512" s="7">
        <v>44593</v>
      </c>
      <c r="C5512" s="3">
        <f t="shared" si="172"/>
        <v>2022</v>
      </c>
      <c r="D5512" s="3">
        <f t="shared" si="173"/>
        <v>202202</v>
      </c>
      <c r="E5512" s="5" t="s">
        <v>7</v>
      </c>
      <c r="F5512" s="5" t="s">
        <v>10</v>
      </c>
      <c r="G5512" s="5" t="s">
        <v>33</v>
      </c>
      <c r="H5512">
        <v>15</v>
      </c>
      <c r="I5512" s="4">
        <v>274620</v>
      </c>
      <c r="J5512" s="4">
        <v>142800</v>
      </c>
    </row>
    <row r="5513" spans="2:10" x14ac:dyDescent="0.3">
      <c r="B5513" s="7">
        <v>44621</v>
      </c>
      <c r="C5513" s="3">
        <f t="shared" si="172"/>
        <v>2022</v>
      </c>
      <c r="D5513" s="3">
        <f t="shared" si="173"/>
        <v>202203</v>
      </c>
      <c r="E5513" s="5" t="s">
        <v>7</v>
      </c>
      <c r="F5513" s="5" t="s">
        <v>10</v>
      </c>
      <c r="G5513" s="5" t="s">
        <v>33</v>
      </c>
      <c r="H5513">
        <v>12</v>
      </c>
      <c r="I5513" s="4">
        <v>206748</v>
      </c>
      <c r="J5513" s="4">
        <v>114240</v>
      </c>
    </row>
    <row r="5514" spans="2:10" x14ac:dyDescent="0.3">
      <c r="B5514" s="7">
        <v>44652</v>
      </c>
      <c r="C5514" s="3">
        <f t="shared" si="172"/>
        <v>2022</v>
      </c>
      <c r="D5514" s="3">
        <f t="shared" si="173"/>
        <v>202204</v>
      </c>
      <c r="E5514" s="5" t="s">
        <v>7</v>
      </c>
      <c r="F5514" s="5" t="s">
        <v>10</v>
      </c>
      <c r="G5514" s="5" t="s">
        <v>33</v>
      </c>
      <c r="H5514">
        <v>22</v>
      </c>
      <c r="I5514" s="4">
        <v>413072</v>
      </c>
      <c r="J5514" s="4">
        <v>209440</v>
      </c>
    </row>
    <row r="5515" spans="2:10" x14ac:dyDescent="0.3">
      <c r="B5515" s="7">
        <v>44682</v>
      </c>
      <c r="C5515" s="3">
        <f t="shared" si="172"/>
        <v>2022</v>
      </c>
      <c r="D5515" s="3">
        <f t="shared" si="173"/>
        <v>202205</v>
      </c>
      <c r="E5515" s="5" t="s">
        <v>7</v>
      </c>
      <c r="F5515" s="5" t="s">
        <v>10</v>
      </c>
      <c r="G5515" s="5" t="s">
        <v>33</v>
      </c>
      <c r="H5515">
        <v>28</v>
      </c>
      <c r="I5515" s="4">
        <v>542556</v>
      </c>
      <c r="J5515" s="4">
        <v>266560</v>
      </c>
    </row>
    <row r="5516" spans="2:10" x14ac:dyDescent="0.3">
      <c r="B5516" s="7">
        <v>44713</v>
      </c>
      <c r="C5516" s="3">
        <f t="shared" si="172"/>
        <v>2022</v>
      </c>
      <c r="D5516" s="3">
        <f t="shared" si="173"/>
        <v>202206</v>
      </c>
      <c r="E5516" s="5" t="s">
        <v>7</v>
      </c>
      <c r="F5516" s="5" t="s">
        <v>10</v>
      </c>
      <c r="G5516" s="5" t="s">
        <v>33</v>
      </c>
      <c r="H5516">
        <v>27</v>
      </c>
      <c r="I5516" s="4">
        <v>479250</v>
      </c>
      <c r="J5516" s="4">
        <v>257040</v>
      </c>
    </row>
    <row r="5517" spans="2:10" x14ac:dyDescent="0.3">
      <c r="B5517" s="7">
        <v>44743</v>
      </c>
      <c r="C5517" s="3">
        <f t="shared" si="172"/>
        <v>2022</v>
      </c>
      <c r="D5517" s="3">
        <f t="shared" si="173"/>
        <v>202207</v>
      </c>
      <c r="E5517" s="5" t="s">
        <v>7</v>
      </c>
      <c r="F5517" s="5" t="s">
        <v>10</v>
      </c>
      <c r="G5517" s="5" t="s">
        <v>33</v>
      </c>
      <c r="H5517">
        <v>28</v>
      </c>
      <c r="I5517" s="4">
        <v>471660</v>
      </c>
      <c r="J5517" s="4">
        <v>266560</v>
      </c>
    </row>
    <row r="5518" spans="2:10" x14ac:dyDescent="0.3">
      <c r="B5518" s="7">
        <v>44774</v>
      </c>
      <c r="C5518" s="3">
        <f t="shared" si="172"/>
        <v>2022</v>
      </c>
      <c r="D5518" s="3">
        <f t="shared" si="173"/>
        <v>202208</v>
      </c>
      <c r="E5518" s="5" t="s">
        <v>7</v>
      </c>
      <c r="F5518" s="5" t="s">
        <v>10</v>
      </c>
      <c r="G5518" s="5" t="s">
        <v>33</v>
      </c>
      <c r="H5518">
        <v>24</v>
      </c>
      <c r="I5518" s="4">
        <v>426480</v>
      </c>
      <c r="J5518" s="4">
        <v>228480</v>
      </c>
    </row>
    <row r="5519" spans="2:10" x14ac:dyDescent="0.3">
      <c r="B5519" s="7">
        <v>44805</v>
      </c>
      <c r="C5519" s="3">
        <f t="shared" si="172"/>
        <v>2022</v>
      </c>
      <c r="D5519" s="3">
        <f t="shared" si="173"/>
        <v>202209</v>
      </c>
      <c r="E5519" s="5" t="s">
        <v>7</v>
      </c>
      <c r="F5519" s="5" t="s">
        <v>10</v>
      </c>
      <c r="G5519" s="5" t="s">
        <v>33</v>
      </c>
      <c r="H5519">
        <v>25</v>
      </c>
      <c r="I5519" s="4">
        <v>447975</v>
      </c>
      <c r="J5519" s="4">
        <v>238000</v>
      </c>
    </row>
    <row r="5520" spans="2:10" x14ac:dyDescent="0.3">
      <c r="B5520" s="7">
        <v>44835</v>
      </c>
      <c r="C5520" s="3">
        <f t="shared" si="172"/>
        <v>2022</v>
      </c>
      <c r="D5520" s="3">
        <f t="shared" si="173"/>
        <v>202210</v>
      </c>
      <c r="E5520" s="5" t="s">
        <v>7</v>
      </c>
      <c r="F5520" s="5" t="s">
        <v>10</v>
      </c>
      <c r="G5520" s="5" t="s">
        <v>33</v>
      </c>
      <c r="H5520">
        <v>21</v>
      </c>
      <c r="I5520" s="4">
        <v>380373</v>
      </c>
      <c r="J5520" s="4">
        <v>199920</v>
      </c>
    </row>
    <row r="5521" spans="2:10" x14ac:dyDescent="0.3">
      <c r="B5521" s="7">
        <v>44866</v>
      </c>
      <c r="C5521" s="3">
        <f t="shared" si="172"/>
        <v>2022</v>
      </c>
      <c r="D5521" s="3">
        <f t="shared" si="173"/>
        <v>202211</v>
      </c>
      <c r="E5521" s="5" t="s">
        <v>7</v>
      </c>
      <c r="F5521" s="5" t="s">
        <v>10</v>
      </c>
      <c r="G5521" s="5" t="s">
        <v>33</v>
      </c>
      <c r="H5521">
        <v>15</v>
      </c>
      <c r="I5521" s="4">
        <v>273945</v>
      </c>
      <c r="J5521" s="4">
        <v>142800</v>
      </c>
    </row>
    <row r="5522" spans="2:10" x14ac:dyDescent="0.3">
      <c r="B5522" s="7">
        <v>44896</v>
      </c>
      <c r="C5522" s="3">
        <f t="shared" si="172"/>
        <v>2022</v>
      </c>
      <c r="D5522" s="3">
        <f t="shared" si="173"/>
        <v>202212</v>
      </c>
      <c r="E5522" s="5" t="s">
        <v>7</v>
      </c>
      <c r="F5522" s="5" t="s">
        <v>10</v>
      </c>
      <c r="G5522" s="5" t="s">
        <v>33</v>
      </c>
      <c r="H5522">
        <v>18</v>
      </c>
      <c r="I5522" s="4">
        <v>309690</v>
      </c>
      <c r="J5522" s="4">
        <v>171360</v>
      </c>
    </row>
    <row r="5523" spans="2:10" x14ac:dyDescent="0.3">
      <c r="B5523" s="7">
        <v>44197</v>
      </c>
      <c r="C5523" s="3">
        <f t="shared" si="172"/>
        <v>2021</v>
      </c>
      <c r="D5523" s="3">
        <f t="shared" si="173"/>
        <v>202101</v>
      </c>
      <c r="E5523" s="5" t="s">
        <v>7</v>
      </c>
      <c r="F5523" s="5" t="s">
        <v>10</v>
      </c>
      <c r="G5523" s="5" t="s">
        <v>34</v>
      </c>
      <c r="H5523">
        <v>17</v>
      </c>
      <c r="I5523" s="4">
        <v>685848</v>
      </c>
      <c r="J5523" s="4">
        <v>278460</v>
      </c>
    </row>
    <row r="5524" spans="2:10" x14ac:dyDescent="0.3">
      <c r="B5524" s="7">
        <v>44228</v>
      </c>
      <c r="C5524" s="3">
        <f t="shared" si="172"/>
        <v>2021</v>
      </c>
      <c r="D5524" s="3">
        <f t="shared" si="173"/>
        <v>202102</v>
      </c>
      <c r="E5524" s="5" t="s">
        <v>7</v>
      </c>
      <c r="F5524" s="5" t="s">
        <v>10</v>
      </c>
      <c r="G5524" s="5" t="s">
        <v>34</v>
      </c>
      <c r="H5524">
        <v>11</v>
      </c>
      <c r="I5524" s="4">
        <v>440121</v>
      </c>
      <c r="J5524" s="4">
        <v>180180</v>
      </c>
    </row>
    <row r="5525" spans="2:10" x14ac:dyDescent="0.3">
      <c r="B5525" s="7">
        <v>44256</v>
      </c>
      <c r="C5525" s="3">
        <f t="shared" si="172"/>
        <v>2021</v>
      </c>
      <c r="D5525" s="3">
        <f t="shared" si="173"/>
        <v>202103</v>
      </c>
      <c r="E5525" s="5" t="s">
        <v>7</v>
      </c>
      <c r="F5525" s="5" t="s">
        <v>10</v>
      </c>
      <c r="G5525" s="5" t="s">
        <v>34</v>
      </c>
      <c r="H5525">
        <v>9</v>
      </c>
      <c r="I5525" s="4">
        <v>358281</v>
      </c>
      <c r="J5525" s="4">
        <v>147420</v>
      </c>
    </row>
    <row r="5526" spans="2:10" x14ac:dyDescent="0.3">
      <c r="B5526" s="7">
        <v>44287</v>
      </c>
      <c r="C5526" s="3">
        <f t="shared" si="172"/>
        <v>2021</v>
      </c>
      <c r="D5526" s="3">
        <f t="shared" si="173"/>
        <v>202104</v>
      </c>
      <c r="E5526" s="5" t="s">
        <v>7</v>
      </c>
      <c r="F5526" s="5" t="s">
        <v>10</v>
      </c>
      <c r="G5526" s="5" t="s">
        <v>34</v>
      </c>
      <c r="H5526">
        <v>16</v>
      </c>
      <c r="I5526" s="4">
        <v>654752</v>
      </c>
      <c r="J5526" s="4">
        <v>262080</v>
      </c>
    </row>
    <row r="5527" spans="2:10" x14ac:dyDescent="0.3">
      <c r="B5527" s="7">
        <v>44317</v>
      </c>
      <c r="C5527" s="3">
        <f t="shared" si="172"/>
        <v>2021</v>
      </c>
      <c r="D5527" s="3">
        <f t="shared" si="173"/>
        <v>202105</v>
      </c>
      <c r="E5527" s="5" t="s">
        <v>7</v>
      </c>
      <c r="F5527" s="5" t="s">
        <v>10</v>
      </c>
      <c r="G5527" s="5" t="s">
        <v>34</v>
      </c>
      <c r="H5527">
        <v>21</v>
      </c>
      <c r="I5527" s="4">
        <v>861966</v>
      </c>
      <c r="J5527" s="4">
        <v>343980</v>
      </c>
    </row>
    <row r="5528" spans="2:10" x14ac:dyDescent="0.3">
      <c r="B5528" s="7">
        <v>44348</v>
      </c>
      <c r="C5528" s="3">
        <f t="shared" si="172"/>
        <v>2021</v>
      </c>
      <c r="D5528" s="3">
        <f t="shared" si="173"/>
        <v>202106</v>
      </c>
      <c r="E5528" s="5" t="s">
        <v>7</v>
      </c>
      <c r="F5528" s="5" t="s">
        <v>10</v>
      </c>
      <c r="G5528" s="5" t="s">
        <v>34</v>
      </c>
      <c r="H5528">
        <v>20</v>
      </c>
      <c r="I5528" s="4">
        <v>816500</v>
      </c>
      <c r="J5528" s="4">
        <v>327600</v>
      </c>
    </row>
    <row r="5529" spans="2:10" x14ac:dyDescent="0.3">
      <c r="B5529" s="7">
        <v>44378</v>
      </c>
      <c r="C5529" s="3">
        <f t="shared" si="172"/>
        <v>2021</v>
      </c>
      <c r="D5529" s="3">
        <f t="shared" si="173"/>
        <v>202107</v>
      </c>
      <c r="E5529" s="5" t="s">
        <v>7</v>
      </c>
      <c r="F5529" s="5" t="s">
        <v>10</v>
      </c>
      <c r="G5529" s="5" t="s">
        <v>34</v>
      </c>
      <c r="H5529">
        <v>21</v>
      </c>
      <c r="I5529" s="4">
        <v>815409</v>
      </c>
      <c r="J5529" s="4">
        <v>343980</v>
      </c>
    </row>
    <row r="5530" spans="2:10" x14ac:dyDescent="0.3">
      <c r="B5530" s="7">
        <v>44409</v>
      </c>
      <c r="C5530" s="3">
        <f t="shared" si="172"/>
        <v>2021</v>
      </c>
      <c r="D5530" s="3">
        <f t="shared" si="173"/>
        <v>202108</v>
      </c>
      <c r="E5530" s="5" t="s">
        <v>7</v>
      </c>
      <c r="F5530" s="5" t="s">
        <v>10</v>
      </c>
      <c r="G5530" s="5" t="s">
        <v>34</v>
      </c>
      <c r="H5530">
        <v>17</v>
      </c>
      <c r="I5530" s="4">
        <v>673047</v>
      </c>
      <c r="J5530" s="4">
        <v>278460</v>
      </c>
    </row>
    <row r="5531" spans="2:10" x14ac:dyDescent="0.3">
      <c r="B5531" s="7">
        <v>44440</v>
      </c>
      <c r="C5531" s="3">
        <f t="shared" si="172"/>
        <v>2021</v>
      </c>
      <c r="D5531" s="3">
        <f t="shared" si="173"/>
        <v>202109</v>
      </c>
      <c r="E5531" s="5" t="s">
        <v>7</v>
      </c>
      <c r="F5531" s="5" t="s">
        <v>10</v>
      </c>
      <c r="G5531" s="5" t="s">
        <v>34</v>
      </c>
      <c r="H5531">
        <v>18</v>
      </c>
      <c r="I5531" s="4">
        <v>725166</v>
      </c>
      <c r="J5531" s="4">
        <v>294840</v>
      </c>
    </row>
    <row r="5532" spans="2:10" x14ac:dyDescent="0.3">
      <c r="B5532" s="7">
        <v>44470</v>
      </c>
      <c r="C5532" s="3">
        <f t="shared" si="172"/>
        <v>2021</v>
      </c>
      <c r="D5532" s="3">
        <f t="shared" si="173"/>
        <v>202110</v>
      </c>
      <c r="E5532" s="5" t="s">
        <v>7</v>
      </c>
      <c r="F5532" s="5" t="s">
        <v>10</v>
      </c>
      <c r="G5532" s="5" t="s">
        <v>34</v>
      </c>
      <c r="H5532">
        <v>15</v>
      </c>
      <c r="I5532" s="4">
        <v>600135</v>
      </c>
      <c r="J5532" s="4">
        <v>245700</v>
      </c>
    </row>
    <row r="5533" spans="2:10" x14ac:dyDescent="0.3">
      <c r="B5533" s="7">
        <v>44501</v>
      </c>
      <c r="C5533" s="3">
        <f t="shared" si="172"/>
        <v>2021</v>
      </c>
      <c r="D5533" s="3">
        <f t="shared" si="173"/>
        <v>202111</v>
      </c>
      <c r="E5533" s="5" t="s">
        <v>7</v>
      </c>
      <c r="F5533" s="5" t="s">
        <v>10</v>
      </c>
      <c r="G5533" s="5" t="s">
        <v>34</v>
      </c>
      <c r="H5533">
        <v>11</v>
      </c>
      <c r="I5533" s="4">
        <v>442948</v>
      </c>
      <c r="J5533" s="4">
        <v>180180</v>
      </c>
    </row>
    <row r="5534" spans="2:10" x14ac:dyDescent="0.3">
      <c r="B5534" s="7">
        <v>44531</v>
      </c>
      <c r="C5534" s="3">
        <f t="shared" si="172"/>
        <v>2021</v>
      </c>
      <c r="D5534" s="3">
        <f t="shared" si="173"/>
        <v>202112</v>
      </c>
      <c r="E5534" s="5" t="s">
        <v>7</v>
      </c>
      <c r="F5534" s="5" t="s">
        <v>10</v>
      </c>
      <c r="G5534" s="5" t="s">
        <v>34</v>
      </c>
      <c r="H5534">
        <v>13</v>
      </c>
      <c r="I5534" s="4">
        <v>512239</v>
      </c>
      <c r="J5534" s="4">
        <v>212940</v>
      </c>
    </row>
    <row r="5535" spans="2:10" x14ac:dyDescent="0.3">
      <c r="B5535" s="7">
        <v>44562</v>
      </c>
      <c r="C5535" s="3">
        <f t="shared" si="172"/>
        <v>2022</v>
      </c>
      <c r="D5535" s="3">
        <f t="shared" si="173"/>
        <v>202201</v>
      </c>
      <c r="E5535" s="5" t="s">
        <v>7</v>
      </c>
      <c r="F5535" s="5" t="s">
        <v>10</v>
      </c>
      <c r="G5535" s="5" t="s">
        <v>34</v>
      </c>
      <c r="H5535">
        <v>19</v>
      </c>
      <c r="I5535" s="4">
        <v>762774</v>
      </c>
      <c r="J5535" s="4">
        <v>311220</v>
      </c>
    </row>
    <row r="5536" spans="2:10" x14ac:dyDescent="0.3">
      <c r="B5536" s="7">
        <v>44593</v>
      </c>
      <c r="C5536" s="3">
        <f t="shared" si="172"/>
        <v>2022</v>
      </c>
      <c r="D5536" s="3">
        <f t="shared" si="173"/>
        <v>202202</v>
      </c>
      <c r="E5536" s="5" t="s">
        <v>7</v>
      </c>
      <c r="F5536" s="5" t="s">
        <v>10</v>
      </c>
      <c r="G5536" s="5" t="s">
        <v>34</v>
      </c>
      <c r="H5536">
        <v>12</v>
      </c>
      <c r="I5536" s="4">
        <v>481620</v>
      </c>
      <c r="J5536" s="4">
        <v>196560</v>
      </c>
    </row>
    <row r="5537" spans="2:10" x14ac:dyDescent="0.3">
      <c r="B5537" s="7">
        <v>44621</v>
      </c>
      <c r="C5537" s="3">
        <f t="shared" si="172"/>
        <v>2022</v>
      </c>
      <c r="D5537" s="3">
        <f t="shared" si="173"/>
        <v>202203</v>
      </c>
      <c r="E5537" s="5" t="s">
        <v>7</v>
      </c>
      <c r="F5537" s="5" t="s">
        <v>10</v>
      </c>
      <c r="G5537" s="5" t="s">
        <v>34</v>
      </c>
      <c r="H5537">
        <v>10</v>
      </c>
      <c r="I5537" s="4">
        <v>392030</v>
      </c>
      <c r="J5537" s="4">
        <v>163800</v>
      </c>
    </row>
    <row r="5538" spans="2:10" x14ac:dyDescent="0.3">
      <c r="B5538" s="7">
        <v>44652</v>
      </c>
      <c r="C5538" s="3">
        <f t="shared" si="172"/>
        <v>2022</v>
      </c>
      <c r="D5538" s="3">
        <f t="shared" si="173"/>
        <v>202204</v>
      </c>
      <c r="E5538" s="5" t="s">
        <v>7</v>
      </c>
      <c r="F5538" s="5" t="s">
        <v>10</v>
      </c>
      <c r="G5538" s="5" t="s">
        <v>34</v>
      </c>
      <c r="H5538">
        <v>18</v>
      </c>
      <c r="I5538" s="4">
        <v>740808</v>
      </c>
      <c r="J5538" s="4">
        <v>294840</v>
      </c>
    </row>
    <row r="5539" spans="2:10" x14ac:dyDescent="0.3">
      <c r="B5539" s="7">
        <v>44682</v>
      </c>
      <c r="C5539" s="3">
        <f t="shared" si="172"/>
        <v>2022</v>
      </c>
      <c r="D5539" s="3">
        <f t="shared" si="173"/>
        <v>202205</v>
      </c>
      <c r="E5539" s="5" t="s">
        <v>7</v>
      </c>
      <c r="F5539" s="5" t="s">
        <v>10</v>
      </c>
      <c r="G5539" s="5" t="s">
        <v>34</v>
      </c>
      <c r="H5539">
        <v>23</v>
      </c>
      <c r="I5539" s="4">
        <v>946220</v>
      </c>
      <c r="J5539" s="4">
        <v>376740</v>
      </c>
    </row>
    <row r="5540" spans="2:10" x14ac:dyDescent="0.3">
      <c r="B5540" s="7">
        <v>44713</v>
      </c>
      <c r="C5540" s="3">
        <f t="shared" si="172"/>
        <v>2022</v>
      </c>
      <c r="D5540" s="3">
        <f t="shared" si="173"/>
        <v>202206</v>
      </c>
      <c r="E5540" s="5" t="s">
        <v>7</v>
      </c>
      <c r="F5540" s="5" t="s">
        <v>10</v>
      </c>
      <c r="G5540" s="5" t="s">
        <v>34</v>
      </c>
      <c r="H5540">
        <v>21</v>
      </c>
      <c r="I5540" s="4">
        <v>845712</v>
      </c>
      <c r="J5540" s="4">
        <v>343980</v>
      </c>
    </row>
    <row r="5541" spans="2:10" x14ac:dyDescent="0.3">
      <c r="B5541" s="7">
        <v>44743</v>
      </c>
      <c r="C5541" s="3">
        <f t="shared" si="172"/>
        <v>2022</v>
      </c>
      <c r="D5541" s="3">
        <f t="shared" si="173"/>
        <v>202207</v>
      </c>
      <c r="E5541" s="5" t="s">
        <v>7</v>
      </c>
      <c r="F5541" s="5" t="s">
        <v>10</v>
      </c>
      <c r="G5541" s="5" t="s">
        <v>34</v>
      </c>
      <c r="H5541">
        <v>23</v>
      </c>
      <c r="I5541" s="4">
        <v>898380</v>
      </c>
      <c r="J5541" s="4">
        <v>376740</v>
      </c>
    </row>
    <row r="5542" spans="2:10" x14ac:dyDescent="0.3">
      <c r="B5542" s="7">
        <v>44774</v>
      </c>
      <c r="C5542" s="3">
        <f t="shared" si="172"/>
        <v>2022</v>
      </c>
      <c r="D5542" s="3">
        <f t="shared" si="173"/>
        <v>202208</v>
      </c>
      <c r="E5542" s="5" t="s">
        <v>7</v>
      </c>
      <c r="F5542" s="5" t="s">
        <v>10</v>
      </c>
      <c r="G5542" s="5" t="s">
        <v>34</v>
      </c>
      <c r="H5542">
        <v>19</v>
      </c>
      <c r="I5542" s="4">
        <v>750519</v>
      </c>
      <c r="J5542" s="4">
        <v>311220</v>
      </c>
    </row>
    <row r="5543" spans="2:10" x14ac:dyDescent="0.3">
      <c r="B5543" s="7">
        <v>44805</v>
      </c>
      <c r="C5543" s="3">
        <f t="shared" si="172"/>
        <v>2022</v>
      </c>
      <c r="D5543" s="3">
        <f t="shared" si="173"/>
        <v>202209</v>
      </c>
      <c r="E5543" s="5" t="s">
        <v>7</v>
      </c>
      <c r="F5543" s="5" t="s">
        <v>10</v>
      </c>
      <c r="G5543" s="5" t="s">
        <v>34</v>
      </c>
      <c r="H5543">
        <v>20</v>
      </c>
      <c r="I5543" s="4">
        <v>791580</v>
      </c>
      <c r="J5543" s="4">
        <v>327600</v>
      </c>
    </row>
    <row r="5544" spans="2:10" x14ac:dyDescent="0.3">
      <c r="B5544" s="7">
        <v>44835</v>
      </c>
      <c r="C5544" s="3">
        <f t="shared" si="172"/>
        <v>2022</v>
      </c>
      <c r="D5544" s="3">
        <f t="shared" si="173"/>
        <v>202210</v>
      </c>
      <c r="E5544" s="5" t="s">
        <v>7</v>
      </c>
      <c r="F5544" s="5" t="s">
        <v>10</v>
      </c>
      <c r="G5544" s="5" t="s">
        <v>34</v>
      </c>
      <c r="H5544">
        <v>17</v>
      </c>
      <c r="I5544" s="4">
        <v>684335</v>
      </c>
      <c r="J5544" s="4">
        <v>278460</v>
      </c>
    </row>
    <row r="5545" spans="2:10" x14ac:dyDescent="0.3">
      <c r="B5545" s="7">
        <v>44866</v>
      </c>
      <c r="C5545" s="3">
        <f t="shared" si="172"/>
        <v>2022</v>
      </c>
      <c r="D5545" s="3">
        <f t="shared" si="173"/>
        <v>202211</v>
      </c>
      <c r="E5545" s="5" t="s">
        <v>7</v>
      </c>
      <c r="F5545" s="5" t="s">
        <v>10</v>
      </c>
      <c r="G5545" s="5" t="s">
        <v>34</v>
      </c>
      <c r="H5545">
        <v>12</v>
      </c>
      <c r="I5545" s="4">
        <v>480276</v>
      </c>
      <c r="J5545" s="4">
        <v>196560</v>
      </c>
    </row>
    <row r="5546" spans="2:10" x14ac:dyDescent="0.3">
      <c r="B5546" s="7">
        <v>44896</v>
      </c>
      <c r="C5546" s="3">
        <f t="shared" si="172"/>
        <v>2022</v>
      </c>
      <c r="D5546" s="3">
        <f t="shared" si="173"/>
        <v>202212</v>
      </c>
      <c r="E5546" s="5" t="s">
        <v>7</v>
      </c>
      <c r="F5546" s="5" t="s">
        <v>10</v>
      </c>
      <c r="G5546" s="5" t="s">
        <v>34</v>
      </c>
      <c r="H5546">
        <v>14</v>
      </c>
      <c r="I5546" s="4">
        <v>559426</v>
      </c>
      <c r="J5546" s="4">
        <v>229320</v>
      </c>
    </row>
    <row r="5547" spans="2:10" x14ac:dyDescent="0.3">
      <c r="B5547" s="7">
        <v>44197</v>
      </c>
      <c r="C5547" s="3">
        <f t="shared" si="172"/>
        <v>2021</v>
      </c>
      <c r="D5547" s="3">
        <f t="shared" si="173"/>
        <v>202101</v>
      </c>
      <c r="E5547" s="5" t="s">
        <v>7</v>
      </c>
      <c r="F5547" s="5" t="s">
        <v>11</v>
      </c>
      <c r="G5547" s="5" t="s">
        <v>35</v>
      </c>
      <c r="H5547">
        <v>53</v>
      </c>
      <c r="I5547" s="4">
        <v>358704</v>
      </c>
      <c r="J5547" s="4">
        <v>121900</v>
      </c>
    </row>
    <row r="5548" spans="2:10" x14ac:dyDescent="0.3">
      <c r="B5548" s="7">
        <v>44228</v>
      </c>
      <c r="C5548" s="3">
        <f t="shared" si="172"/>
        <v>2021</v>
      </c>
      <c r="D5548" s="3">
        <f t="shared" si="173"/>
        <v>202102</v>
      </c>
      <c r="E5548" s="5" t="s">
        <v>7</v>
      </c>
      <c r="F5548" s="5" t="s">
        <v>11</v>
      </c>
      <c r="G5548" s="5" t="s">
        <v>35</v>
      </c>
      <c r="H5548">
        <v>33</v>
      </c>
      <c r="I5548" s="4">
        <v>229416</v>
      </c>
      <c r="J5548" s="4">
        <v>75900</v>
      </c>
    </row>
    <row r="5549" spans="2:10" x14ac:dyDescent="0.3">
      <c r="B5549" s="7">
        <v>44256</v>
      </c>
      <c r="C5549" s="3">
        <f t="shared" si="172"/>
        <v>2021</v>
      </c>
      <c r="D5549" s="3">
        <f t="shared" si="173"/>
        <v>202103</v>
      </c>
      <c r="E5549" s="5" t="s">
        <v>7</v>
      </c>
      <c r="F5549" s="5" t="s">
        <v>11</v>
      </c>
      <c r="G5549" s="5" t="s">
        <v>35</v>
      </c>
      <c r="H5549">
        <v>27</v>
      </c>
      <c r="I5549" s="4">
        <v>143532</v>
      </c>
      <c r="J5549" s="4">
        <v>62100</v>
      </c>
    </row>
    <row r="5550" spans="2:10" x14ac:dyDescent="0.3">
      <c r="B5550" s="7">
        <v>44287</v>
      </c>
      <c r="C5550" s="3">
        <f t="shared" si="172"/>
        <v>2021</v>
      </c>
      <c r="D5550" s="3">
        <f t="shared" si="173"/>
        <v>202104</v>
      </c>
      <c r="E5550" s="5" t="s">
        <v>7</v>
      </c>
      <c r="F5550" s="5" t="s">
        <v>11</v>
      </c>
      <c r="G5550" s="5" t="s">
        <v>35</v>
      </c>
      <c r="H5550">
        <v>50</v>
      </c>
      <c r="I5550" s="4">
        <v>366100</v>
      </c>
      <c r="J5550" s="4">
        <v>115000</v>
      </c>
    </row>
    <row r="5551" spans="2:10" x14ac:dyDescent="0.3">
      <c r="B5551" s="7">
        <v>44317</v>
      </c>
      <c r="C5551" s="3">
        <f t="shared" si="172"/>
        <v>2021</v>
      </c>
      <c r="D5551" s="3">
        <f t="shared" si="173"/>
        <v>202105</v>
      </c>
      <c r="E5551" s="5" t="s">
        <v>7</v>
      </c>
      <c r="F5551" s="5" t="s">
        <v>11</v>
      </c>
      <c r="G5551" s="5" t="s">
        <v>35</v>
      </c>
      <c r="H5551">
        <v>63</v>
      </c>
      <c r="I5551" s="4">
        <v>458829</v>
      </c>
      <c r="J5551" s="4">
        <v>144900</v>
      </c>
    </row>
    <row r="5552" spans="2:10" x14ac:dyDescent="0.3">
      <c r="B5552" s="7">
        <v>44348</v>
      </c>
      <c r="C5552" s="3">
        <f t="shared" si="172"/>
        <v>2021</v>
      </c>
      <c r="D5552" s="3">
        <f t="shared" si="173"/>
        <v>202106</v>
      </c>
      <c r="E5552" s="5" t="s">
        <v>7</v>
      </c>
      <c r="F5552" s="5" t="s">
        <v>11</v>
      </c>
      <c r="G5552" s="5" t="s">
        <v>35</v>
      </c>
      <c r="H5552">
        <v>60</v>
      </c>
      <c r="I5552" s="4">
        <v>392340</v>
      </c>
      <c r="J5552" s="4">
        <v>138000</v>
      </c>
    </row>
    <row r="5553" spans="2:10" x14ac:dyDescent="0.3">
      <c r="B5553" s="7">
        <v>44378</v>
      </c>
      <c r="C5553" s="3">
        <f t="shared" si="172"/>
        <v>2021</v>
      </c>
      <c r="D5553" s="3">
        <f t="shared" si="173"/>
        <v>202107</v>
      </c>
      <c r="E5553" s="5" t="s">
        <v>7</v>
      </c>
      <c r="F5553" s="5" t="s">
        <v>11</v>
      </c>
      <c r="G5553" s="5" t="s">
        <v>35</v>
      </c>
      <c r="H5553">
        <v>63</v>
      </c>
      <c r="I5553" s="4">
        <v>254079</v>
      </c>
      <c r="J5553" s="4">
        <v>144900</v>
      </c>
    </row>
    <row r="5554" spans="2:10" x14ac:dyDescent="0.3">
      <c r="B5554" s="7">
        <v>44409</v>
      </c>
      <c r="C5554" s="3">
        <f t="shared" si="172"/>
        <v>2021</v>
      </c>
      <c r="D5554" s="3">
        <f t="shared" si="173"/>
        <v>202108</v>
      </c>
      <c r="E5554" s="5" t="s">
        <v>7</v>
      </c>
      <c r="F5554" s="5" t="s">
        <v>11</v>
      </c>
      <c r="G5554" s="5" t="s">
        <v>35</v>
      </c>
      <c r="H5554">
        <v>53</v>
      </c>
      <c r="I5554" s="4">
        <v>301888</v>
      </c>
      <c r="J5554" s="4">
        <v>121900</v>
      </c>
    </row>
    <row r="5555" spans="2:10" x14ac:dyDescent="0.3">
      <c r="B5555" s="7">
        <v>44440</v>
      </c>
      <c r="C5555" s="3">
        <f t="shared" si="172"/>
        <v>2021</v>
      </c>
      <c r="D5555" s="3">
        <f t="shared" si="173"/>
        <v>202109</v>
      </c>
      <c r="E5555" s="5" t="s">
        <v>7</v>
      </c>
      <c r="F5555" s="5" t="s">
        <v>11</v>
      </c>
      <c r="G5555" s="5" t="s">
        <v>35</v>
      </c>
      <c r="H5555">
        <v>57</v>
      </c>
      <c r="I5555" s="4">
        <v>316806</v>
      </c>
      <c r="J5555" s="4">
        <v>131100</v>
      </c>
    </row>
    <row r="5556" spans="2:10" x14ac:dyDescent="0.3">
      <c r="B5556" s="7">
        <v>44470</v>
      </c>
      <c r="C5556" s="3">
        <f t="shared" si="172"/>
        <v>2021</v>
      </c>
      <c r="D5556" s="3">
        <f t="shared" si="173"/>
        <v>202110</v>
      </c>
      <c r="E5556" s="5" t="s">
        <v>7</v>
      </c>
      <c r="F5556" s="5" t="s">
        <v>11</v>
      </c>
      <c r="G5556" s="5" t="s">
        <v>35</v>
      </c>
      <c r="H5556">
        <v>47</v>
      </c>
      <c r="I5556" s="4">
        <v>302680</v>
      </c>
      <c r="J5556" s="4">
        <v>108100</v>
      </c>
    </row>
    <row r="5557" spans="2:10" x14ac:dyDescent="0.3">
      <c r="B5557" s="7">
        <v>44501</v>
      </c>
      <c r="C5557" s="3">
        <f t="shared" si="172"/>
        <v>2021</v>
      </c>
      <c r="D5557" s="3">
        <f t="shared" si="173"/>
        <v>202111</v>
      </c>
      <c r="E5557" s="5" t="s">
        <v>7</v>
      </c>
      <c r="F5557" s="5" t="s">
        <v>11</v>
      </c>
      <c r="G5557" s="5" t="s">
        <v>35</v>
      </c>
      <c r="H5557">
        <v>33</v>
      </c>
      <c r="I5557" s="4">
        <v>185757</v>
      </c>
      <c r="J5557" s="4">
        <v>75900</v>
      </c>
    </row>
    <row r="5558" spans="2:10" x14ac:dyDescent="0.3">
      <c r="B5558" s="7">
        <v>44531</v>
      </c>
      <c r="C5558" s="3">
        <f t="shared" si="172"/>
        <v>2021</v>
      </c>
      <c r="D5558" s="3">
        <f t="shared" si="173"/>
        <v>202112</v>
      </c>
      <c r="E5558" s="5" t="s">
        <v>7</v>
      </c>
      <c r="F5558" s="5" t="s">
        <v>11</v>
      </c>
      <c r="G5558" s="5" t="s">
        <v>35</v>
      </c>
      <c r="H5558">
        <v>40</v>
      </c>
      <c r="I5558" s="4">
        <v>208040</v>
      </c>
      <c r="J5558" s="4">
        <v>92000</v>
      </c>
    </row>
    <row r="5559" spans="2:10" x14ac:dyDescent="0.3">
      <c r="B5559" s="7">
        <v>44562</v>
      </c>
      <c r="C5559" s="3">
        <f t="shared" si="172"/>
        <v>2022</v>
      </c>
      <c r="D5559" s="3">
        <f t="shared" si="173"/>
        <v>202201</v>
      </c>
      <c r="E5559" s="5" t="s">
        <v>7</v>
      </c>
      <c r="F5559" s="5" t="s">
        <v>11</v>
      </c>
      <c r="G5559" s="5" t="s">
        <v>35</v>
      </c>
      <c r="H5559">
        <v>59</v>
      </c>
      <c r="I5559" s="4">
        <v>379606</v>
      </c>
      <c r="J5559" s="4">
        <v>135700</v>
      </c>
    </row>
    <row r="5560" spans="2:10" x14ac:dyDescent="0.3">
      <c r="B5560" s="7">
        <v>44593</v>
      </c>
      <c r="C5560" s="3">
        <f t="shared" si="172"/>
        <v>2022</v>
      </c>
      <c r="D5560" s="3">
        <f t="shared" si="173"/>
        <v>202202</v>
      </c>
      <c r="E5560" s="5" t="s">
        <v>7</v>
      </c>
      <c r="F5560" s="5" t="s">
        <v>11</v>
      </c>
      <c r="G5560" s="5" t="s">
        <v>35</v>
      </c>
      <c r="H5560">
        <v>37</v>
      </c>
      <c r="I5560" s="4">
        <v>232508</v>
      </c>
      <c r="J5560" s="4">
        <v>85100</v>
      </c>
    </row>
    <row r="5561" spans="2:10" x14ac:dyDescent="0.3">
      <c r="B5561" s="7">
        <v>44621</v>
      </c>
      <c r="C5561" s="3">
        <f t="shared" si="172"/>
        <v>2022</v>
      </c>
      <c r="D5561" s="3">
        <f t="shared" si="173"/>
        <v>202203</v>
      </c>
      <c r="E5561" s="5" t="s">
        <v>7</v>
      </c>
      <c r="F5561" s="5" t="s">
        <v>11</v>
      </c>
      <c r="G5561" s="5" t="s">
        <v>35</v>
      </c>
      <c r="H5561">
        <v>30</v>
      </c>
      <c r="I5561" s="4">
        <v>186900</v>
      </c>
      <c r="J5561" s="4">
        <v>69000</v>
      </c>
    </row>
    <row r="5562" spans="2:10" x14ac:dyDescent="0.3">
      <c r="B5562" s="7">
        <v>44652</v>
      </c>
      <c r="C5562" s="3">
        <f t="shared" si="172"/>
        <v>2022</v>
      </c>
      <c r="D5562" s="3">
        <f t="shared" si="173"/>
        <v>202204</v>
      </c>
      <c r="E5562" s="5" t="s">
        <v>7</v>
      </c>
      <c r="F5562" s="5" t="s">
        <v>11</v>
      </c>
      <c r="G5562" s="5" t="s">
        <v>35</v>
      </c>
      <c r="H5562">
        <v>55</v>
      </c>
      <c r="I5562" s="4">
        <v>370975</v>
      </c>
      <c r="J5562" s="4">
        <v>126500</v>
      </c>
    </row>
    <row r="5563" spans="2:10" x14ac:dyDescent="0.3">
      <c r="B5563" s="7">
        <v>44682</v>
      </c>
      <c r="C5563" s="3">
        <f t="shared" si="172"/>
        <v>2022</v>
      </c>
      <c r="D5563" s="3">
        <f t="shared" si="173"/>
        <v>202205</v>
      </c>
      <c r="E5563" s="5" t="s">
        <v>7</v>
      </c>
      <c r="F5563" s="5" t="s">
        <v>11</v>
      </c>
      <c r="G5563" s="5" t="s">
        <v>35</v>
      </c>
      <c r="H5563">
        <v>69</v>
      </c>
      <c r="I5563" s="4">
        <v>513498</v>
      </c>
      <c r="J5563" s="4">
        <v>158700</v>
      </c>
    </row>
    <row r="5564" spans="2:10" x14ac:dyDescent="0.3">
      <c r="B5564" s="7">
        <v>44713</v>
      </c>
      <c r="C5564" s="3">
        <f t="shared" si="172"/>
        <v>2022</v>
      </c>
      <c r="D5564" s="3">
        <f t="shared" si="173"/>
        <v>202206</v>
      </c>
      <c r="E5564" s="5" t="s">
        <v>7</v>
      </c>
      <c r="F5564" s="5" t="s">
        <v>11</v>
      </c>
      <c r="G5564" s="5" t="s">
        <v>35</v>
      </c>
      <c r="H5564">
        <v>66</v>
      </c>
      <c r="I5564" s="4">
        <v>397320</v>
      </c>
      <c r="J5564" s="4">
        <v>151800</v>
      </c>
    </row>
    <row r="5565" spans="2:10" x14ac:dyDescent="0.3">
      <c r="B5565" s="7">
        <v>44743</v>
      </c>
      <c r="C5565" s="3">
        <f t="shared" si="172"/>
        <v>2022</v>
      </c>
      <c r="D5565" s="3">
        <f t="shared" si="173"/>
        <v>202207</v>
      </c>
      <c r="E5565" s="5" t="s">
        <v>7</v>
      </c>
      <c r="F5565" s="5" t="s">
        <v>11</v>
      </c>
      <c r="G5565" s="5" t="s">
        <v>35</v>
      </c>
      <c r="H5565">
        <v>69</v>
      </c>
      <c r="I5565" s="4">
        <v>345483</v>
      </c>
      <c r="J5565" s="4">
        <v>158700</v>
      </c>
    </row>
    <row r="5566" spans="2:10" x14ac:dyDescent="0.3">
      <c r="B5566" s="7">
        <v>44774</v>
      </c>
      <c r="C5566" s="3">
        <f t="shared" si="172"/>
        <v>2022</v>
      </c>
      <c r="D5566" s="3">
        <f t="shared" si="173"/>
        <v>202208</v>
      </c>
      <c r="E5566" s="5" t="s">
        <v>7</v>
      </c>
      <c r="F5566" s="5" t="s">
        <v>11</v>
      </c>
      <c r="G5566" s="5" t="s">
        <v>35</v>
      </c>
      <c r="H5566">
        <v>59</v>
      </c>
      <c r="I5566" s="4">
        <v>311402</v>
      </c>
      <c r="J5566" s="4">
        <v>135700</v>
      </c>
    </row>
    <row r="5567" spans="2:10" x14ac:dyDescent="0.3">
      <c r="B5567" s="7">
        <v>44805</v>
      </c>
      <c r="C5567" s="3">
        <f t="shared" si="172"/>
        <v>2022</v>
      </c>
      <c r="D5567" s="3">
        <f t="shared" si="173"/>
        <v>202209</v>
      </c>
      <c r="E5567" s="5" t="s">
        <v>7</v>
      </c>
      <c r="F5567" s="5" t="s">
        <v>11</v>
      </c>
      <c r="G5567" s="5" t="s">
        <v>35</v>
      </c>
      <c r="H5567">
        <v>62</v>
      </c>
      <c r="I5567" s="4">
        <v>348812</v>
      </c>
      <c r="J5567" s="4">
        <v>142600</v>
      </c>
    </row>
    <row r="5568" spans="2:10" x14ac:dyDescent="0.3">
      <c r="B5568" s="7">
        <v>44835</v>
      </c>
      <c r="C5568" s="3">
        <f t="shared" si="172"/>
        <v>2022</v>
      </c>
      <c r="D5568" s="3">
        <f t="shared" si="173"/>
        <v>202210</v>
      </c>
      <c r="E5568" s="5" t="s">
        <v>7</v>
      </c>
      <c r="F5568" s="5" t="s">
        <v>11</v>
      </c>
      <c r="G5568" s="5" t="s">
        <v>35</v>
      </c>
      <c r="H5568">
        <v>51</v>
      </c>
      <c r="I5568" s="4">
        <v>312324</v>
      </c>
      <c r="J5568" s="4">
        <v>117300</v>
      </c>
    </row>
    <row r="5569" spans="2:10" x14ac:dyDescent="0.3">
      <c r="B5569" s="7">
        <v>44866</v>
      </c>
      <c r="C5569" s="3">
        <f t="shared" si="172"/>
        <v>2022</v>
      </c>
      <c r="D5569" s="3">
        <f t="shared" si="173"/>
        <v>202211</v>
      </c>
      <c r="E5569" s="5" t="s">
        <v>7</v>
      </c>
      <c r="F5569" s="5" t="s">
        <v>11</v>
      </c>
      <c r="G5569" s="5" t="s">
        <v>35</v>
      </c>
      <c r="H5569">
        <v>37</v>
      </c>
      <c r="I5569" s="4">
        <v>211048</v>
      </c>
      <c r="J5569" s="4">
        <v>85100</v>
      </c>
    </row>
    <row r="5570" spans="2:10" x14ac:dyDescent="0.3">
      <c r="B5570" s="7">
        <v>44896</v>
      </c>
      <c r="C5570" s="3">
        <f t="shared" si="172"/>
        <v>2022</v>
      </c>
      <c r="D5570" s="3">
        <f t="shared" si="173"/>
        <v>202212</v>
      </c>
      <c r="E5570" s="5" t="s">
        <v>7</v>
      </c>
      <c r="F5570" s="5" t="s">
        <v>11</v>
      </c>
      <c r="G5570" s="5" t="s">
        <v>35</v>
      </c>
      <c r="H5570">
        <v>44</v>
      </c>
      <c r="I5570" s="4">
        <v>259688</v>
      </c>
      <c r="J5570" s="4">
        <v>101200</v>
      </c>
    </row>
    <row r="5571" spans="2:10" x14ac:dyDescent="0.3">
      <c r="B5571" s="7">
        <v>44197</v>
      </c>
      <c r="C5571" s="3">
        <f t="shared" ref="C5571:C5634" si="174">YEAR(B5571)</f>
        <v>2021</v>
      </c>
      <c r="D5571" s="3">
        <f t="shared" ref="D5571:D5634" si="175">VALUE(TEXT(B5571,"ГГГГММ"))</f>
        <v>202101</v>
      </c>
      <c r="E5571" s="5" t="s">
        <v>7</v>
      </c>
      <c r="F5571" s="5" t="s">
        <v>11</v>
      </c>
      <c r="G5571" s="5" t="s">
        <v>36</v>
      </c>
      <c r="H5571">
        <v>47</v>
      </c>
      <c r="I5571" s="4">
        <v>506425</v>
      </c>
      <c r="J5571" s="4">
        <v>190350</v>
      </c>
    </row>
    <row r="5572" spans="2:10" x14ac:dyDescent="0.3">
      <c r="B5572" s="7">
        <v>44228</v>
      </c>
      <c r="C5572" s="3">
        <f t="shared" si="174"/>
        <v>2021</v>
      </c>
      <c r="D5572" s="3">
        <f t="shared" si="175"/>
        <v>202102</v>
      </c>
      <c r="E5572" s="5" t="s">
        <v>7</v>
      </c>
      <c r="F5572" s="5" t="s">
        <v>11</v>
      </c>
      <c r="G5572" s="5" t="s">
        <v>36</v>
      </c>
      <c r="H5572">
        <v>30</v>
      </c>
      <c r="I5572" s="4">
        <v>298200</v>
      </c>
      <c r="J5572" s="4">
        <v>121500</v>
      </c>
    </row>
    <row r="5573" spans="2:10" x14ac:dyDescent="0.3">
      <c r="B5573" s="7">
        <v>44256</v>
      </c>
      <c r="C5573" s="3">
        <f t="shared" si="174"/>
        <v>2021</v>
      </c>
      <c r="D5573" s="3">
        <f t="shared" si="175"/>
        <v>202103</v>
      </c>
      <c r="E5573" s="5" t="s">
        <v>7</v>
      </c>
      <c r="F5573" s="5" t="s">
        <v>11</v>
      </c>
      <c r="G5573" s="5" t="s">
        <v>36</v>
      </c>
      <c r="H5573">
        <v>24</v>
      </c>
      <c r="I5573" s="4">
        <v>237768</v>
      </c>
      <c r="J5573" s="4">
        <v>97200</v>
      </c>
    </row>
    <row r="5574" spans="2:10" x14ac:dyDescent="0.3">
      <c r="B5574" s="7">
        <v>44287</v>
      </c>
      <c r="C5574" s="3">
        <f t="shared" si="174"/>
        <v>2021</v>
      </c>
      <c r="D5574" s="3">
        <f t="shared" si="175"/>
        <v>202104</v>
      </c>
      <c r="E5574" s="5" t="s">
        <v>7</v>
      </c>
      <c r="F5574" s="5" t="s">
        <v>11</v>
      </c>
      <c r="G5574" s="5" t="s">
        <v>36</v>
      </c>
      <c r="H5574">
        <v>44</v>
      </c>
      <c r="I5574" s="4">
        <v>465960</v>
      </c>
      <c r="J5574" s="4">
        <v>178200</v>
      </c>
    </row>
    <row r="5575" spans="2:10" x14ac:dyDescent="0.3">
      <c r="B5575" s="7">
        <v>44317</v>
      </c>
      <c r="C5575" s="3">
        <f t="shared" si="174"/>
        <v>2021</v>
      </c>
      <c r="D5575" s="3">
        <f t="shared" si="175"/>
        <v>202105</v>
      </c>
      <c r="E5575" s="5" t="s">
        <v>7</v>
      </c>
      <c r="F5575" s="5" t="s">
        <v>11</v>
      </c>
      <c r="G5575" s="5" t="s">
        <v>36</v>
      </c>
      <c r="H5575">
        <v>56</v>
      </c>
      <c r="I5575" s="4">
        <v>635936</v>
      </c>
      <c r="J5575" s="4">
        <v>226800</v>
      </c>
    </row>
    <row r="5576" spans="2:10" x14ac:dyDescent="0.3">
      <c r="B5576" s="7">
        <v>44348</v>
      </c>
      <c r="C5576" s="3">
        <f t="shared" si="174"/>
        <v>2021</v>
      </c>
      <c r="D5576" s="3">
        <f t="shared" si="175"/>
        <v>202106</v>
      </c>
      <c r="E5576" s="5" t="s">
        <v>7</v>
      </c>
      <c r="F5576" s="5" t="s">
        <v>11</v>
      </c>
      <c r="G5576" s="5" t="s">
        <v>36</v>
      </c>
      <c r="H5576">
        <v>53</v>
      </c>
      <c r="I5576" s="4">
        <v>563602</v>
      </c>
      <c r="J5576" s="4">
        <v>214650</v>
      </c>
    </row>
    <row r="5577" spans="2:10" x14ac:dyDescent="0.3">
      <c r="B5577" s="7">
        <v>44378</v>
      </c>
      <c r="C5577" s="3">
        <f t="shared" si="174"/>
        <v>2021</v>
      </c>
      <c r="D5577" s="3">
        <f t="shared" si="175"/>
        <v>202107</v>
      </c>
      <c r="E5577" s="5" t="s">
        <v>7</v>
      </c>
      <c r="F5577" s="5" t="s">
        <v>11</v>
      </c>
      <c r="G5577" s="5" t="s">
        <v>36</v>
      </c>
      <c r="H5577">
        <v>56</v>
      </c>
      <c r="I5577" s="4">
        <v>474096</v>
      </c>
      <c r="J5577" s="4">
        <v>226800</v>
      </c>
    </row>
    <row r="5578" spans="2:10" x14ac:dyDescent="0.3">
      <c r="B5578" s="7">
        <v>44409</v>
      </c>
      <c r="C5578" s="3">
        <f t="shared" si="174"/>
        <v>2021</v>
      </c>
      <c r="D5578" s="3">
        <f t="shared" si="175"/>
        <v>202108</v>
      </c>
      <c r="E5578" s="5" t="s">
        <v>7</v>
      </c>
      <c r="F5578" s="5" t="s">
        <v>11</v>
      </c>
      <c r="G5578" s="5" t="s">
        <v>36</v>
      </c>
      <c r="H5578">
        <v>47</v>
      </c>
      <c r="I5578" s="4">
        <v>472867</v>
      </c>
      <c r="J5578" s="4">
        <v>190350</v>
      </c>
    </row>
    <row r="5579" spans="2:10" x14ac:dyDescent="0.3">
      <c r="B5579" s="7">
        <v>44440</v>
      </c>
      <c r="C5579" s="3">
        <f t="shared" si="174"/>
        <v>2021</v>
      </c>
      <c r="D5579" s="3">
        <f t="shared" si="175"/>
        <v>202109</v>
      </c>
      <c r="E5579" s="5" t="s">
        <v>7</v>
      </c>
      <c r="F5579" s="5" t="s">
        <v>11</v>
      </c>
      <c r="G5579" s="5" t="s">
        <v>36</v>
      </c>
      <c r="H5579">
        <v>50</v>
      </c>
      <c r="I5579" s="4">
        <v>508900</v>
      </c>
      <c r="J5579" s="4">
        <v>202500</v>
      </c>
    </row>
    <row r="5580" spans="2:10" x14ac:dyDescent="0.3">
      <c r="B5580" s="7">
        <v>44470</v>
      </c>
      <c r="C5580" s="3">
        <f t="shared" si="174"/>
        <v>2021</v>
      </c>
      <c r="D5580" s="3">
        <f t="shared" si="175"/>
        <v>202110</v>
      </c>
      <c r="E5580" s="5" t="s">
        <v>7</v>
      </c>
      <c r="F5580" s="5" t="s">
        <v>11</v>
      </c>
      <c r="G5580" s="5" t="s">
        <v>36</v>
      </c>
      <c r="H5580">
        <v>41</v>
      </c>
      <c r="I5580" s="4">
        <v>426564</v>
      </c>
      <c r="J5580" s="4">
        <v>166050</v>
      </c>
    </row>
    <row r="5581" spans="2:10" x14ac:dyDescent="0.3">
      <c r="B5581" s="7">
        <v>44501</v>
      </c>
      <c r="C5581" s="3">
        <f t="shared" si="174"/>
        <v>2021</v>
      </c>
      <c r="D5581" s="3">
        <f t="shared" si="175"/>
        <v>202111</v>
      </c>
      <c r="E5581" s="5" t="s">
        <v>7</v>
      </c>
      <c r="F5581" s="5" t="s">
        <v>11</v>
      </c>
      <c r="G5581" s="5" t="s">
        <v>36</v>
      </c>
      <c r="H5581">
        <v>30</v>
      </c>
      <c r="I5581" s="4">
        <v>305100</v>
      </c>
      <c r="J5581" s="4">
        <v>121500</v>
      </c>
    </row>
    <row r="5582" spans="2:10" x14ac:dyDescent="0.3">
      <c r="B5582" s="7">
        <v>44531</v>
      </c>
      <c r="C5582" s="3">
        <f t="shared" si="174"/>
        <v>2021</v>
      </c>
      <c r="D5582" s="3">
        <f t="shared" si="175"/>
        <v>202112</v>
      </c>
      <c r="E5582" s="5" t="s">
        <v>7</v>
      </c>
      <c r="F5582" s="5" t="s">
        <v>11</v>
      </c>
      <c r="G5582" s="5" t="s">
        <v>36</v>
      </c>
      <c r="H5582">
        <v>35</v>
      </c>
      <c r="I5582" s="4">
        <v>345240</v>
      </c>
      <c r="J5582" s="4">
        <v>141750</v>
      </c>
    </row>
    <row r="5583" spans="2:10" x14ac:dyDescent="0.3">
      <c r="B5583" s="7">
        <v>44562</v>
      </c>
      <c r="C5583" s="3">
        <f t="shared" si="174"/>
        <v>2022</v>
      </c>
      <c r="D5583" s="3">
        <f t="shared" si="175"/>
        <v>202201</v>
      </c>
      <c r="E5583" s="5" t="s">
        <v>7</v>
      </c>
      <c r="F5583" s="5" t="s">
        <v>11</v>
      </c>
      <c r="G5583" s="5" t="s">
        <v>36</v>
      </c>
      <c r="H5583">
        <v>52</v>
      </c>
      <c r="I5583" s="4">
        <v>547560</v>
      </c>
      <c r="J5583" s="4">
        <v>210600</v>
      </c>
    </row>
    <row r="5584" spans="2:10" x14ac:dyDescent="0.3">
      <c r="B5584" s="7">
        <v>44593</v>
      </c>
      <c r="C5584" s="3">
        <f t="shared" si="174"/>
        <v>2022</v>
      </c>
      <c r="D5584" s="3">
        <f t="shared" si="175"/>
        <v>202202</v>
      </c>
      <c r="E5584" s="5" t="s">
        <v>7</v>
      </c>
      <c r="F5584" s="5" t="s">
        <v>11</v>
      </c>
      <c r="G5584" s="5" t="s">
        <v>36</v>
      </c>
      <c r="H5584">
        <v>33</v>
      </c>
      <c r="I5584" s="4">
        <v>340197</v>
      </c>
      <c r="J5584" s="4">
        <v>133650</v>
      </c>
    </row>
    <row r="5585" spans="2:10" x14ac:dyDescent="0.3">
      <c r="B5585" s="7">
        <v>44621</v>
      </c>
      <c r="C5585" s="3">
        <f t="shared" si="174"/>
        <v>2022</v>
      </c>
      <c r="D5585" s="3">
        <f t="shared" si="175"/>
        <v>202203</v>
      </c>
      <c r="E5585" s="5" t="s">
        <v>7</v>
      </c>
      <c r="F5585" s="5" t="s">
        <v>11</v>
      </c>
      <c r="G5585" s="5" t="s">
        <v>36</v>
      </c>
      <c r="H5585">
        <v>26</v>
      </c>
      <c r="I5585" s="4">
        <v>251056</v>
      </c>
      <c r="J5585" s="4">
        <v>105300</v>
      </c>
    </row>
    <row r="5586" spans="2:10" x14ac:dyDescent="0.3">
      <c r="B5586" s="7">
        <v>44652</v>
      </c>
      <c r="C5586" s="3">
        <f t="shared" si="174"/>
        <v>2022</v>
      </c>
      <c r="D5586" s="3">
        <f t="shared" si="175"/>
        <v>202204</v>
      </c>
      <c r="E5586" s="5" t="s">
        <v>7</v>
      </c>
      <c r="F5586" s="5" t="s">
        <v>11</v>
      </c>
      <c r="G5586" s="5" t="s">
        <v>36</v>
      </c>
      <c r="H5586">
        <v>49</v>
      </c>
      <c r="I5586" s="4">
        <v>504847</v>
      </c>
      <c r="J5586" s="4">
        <v>198450</v>
      </c>
    </row>
    <row r="5587" spans="2:10" x14ac:dyDescent="0.3">
      <c r="B5587" s="7">
        <v>44682</v>
      </c>
      <c r="C5587" s="3">
        <f t="shared" si="174"/>
        <v>2022</v>
      </c>
      <c r="D5587" s="3">
        <f t="shared" si="175"/>
        <v>202205</v>
      </c>
      <c r="E5587" s="5" t="s">
        <v>7</v>
      </c>
      <c r="F5587" s="5" t="s">
        <v>11</v>
      </c>
      <c r="G5587" s="5" t="s">
        <v>36</v>
      </c>
      <c r="H5587">
        <v>61</v>
      </c>
      <c r="I5587" s="4">
        <v>669353</v>
      </c>
      <c r="J5587" s="4">
        <v>247050</v>
      </c>
    </row>
    <row r="5588" spans="2:10" x14ac:dyDescent="0.3">
      <c r="B5588" s="7">
        <v>44713</v>
      </c>
      <c r="C5588" s="3">
        <f t="shared" si="174"/>
        <v>2022</v>
      </c>
      <c r="D5588" s="3">
        <f t="shared" si="175"/>
        <v>202206</v>
      </c>
      <c r="E5588" s="5" t="s">
        <v>7</v>
      </c>
      <c r="F5588" s="5" t="s">
        <v>11</v>
      </c>
      <c r="G5588" s="5" t="s">
        <v>36</v>
      </c>
      <c r="H5588">
        <v>58</v>
      </c>
      <c r="I5588" s="4">
        <v>583074</v>
      </c>
      <c r="J5588" s="4">
        <v>234900</v>
      </c>
    </row>
    <row r="5589" spans="2:10" x14ac:dyDescent="0.3">
      <c r="B5589" s="7">
        <v>44743</v>
      </c>
      <c r="C5589" s="3">
        <f t="shared" si="174"/>
        <v>2022</v>
      </c>
      <c r="D5589" s="3">
        <f t="shared" si="175"/>
        <v>202207</v>
      </c>
      <c r="E5589" s="5" t="s">
        <v>7</v>
      </c>
      <c r="F5589" s="5" t="s">
        <v>11</v>
      </c>
      <c r="G5589" s="5" t="s">
        <v>36</v>
      </c>
      <c r="H5589">
        <v>61</v>
      </c>
      <c r="I5589" s="4">
        <v>524478</v>
      </c>
      <c r="J5589" s="4">
        <v>247050</v>
      </c>
    </row>
    <row r="5590" spans="2:10" x14ac:dyDescent="0.3">
      <c r="B5590" s="7">
        <v>44774</v>
      </c>
      <c r="C5590" s="3">
        <f t="shared" si="174"/>
        <v>2022</v>
      </c>
      <c r="D5590" s="3">
        <f t="shared" si="175"/>
        <v>202208</v>
      </c>
      <c r="E5590" s="5" t="s">
        <v>7</v>
      </c>
      <c r="F5590" s="5" t="s">
        <v>11</v>
      </c>
      <c r="G5590" s="5" t="s">
        <v>36</v>
      </c>
      <c r="H5590">
        <v>52</v>
      </c>
      <c r="I5590" s="4">
        <v>497120</v>
      </c>
      <c r="J5590" s="4">
        <v>210600</v>
      </c>
    </row>
    <row r="5591" spans="2:10" x14ac:dyDescent="0.3">
      <c r="B5591" s="7">
        <v>44805</v>
      </c>
      <c r="C5591" s="3">
        <f t="shared" si="174"/>
        <v>2022</v>
      </c>
      <c r="D5591" s="3">
        <f t="shared" si="175"/>
        <v>202209</v>
      </c>
      <c r="E5591" s="5" t="s">
        <v>7</v>
      </c>
      <c r="F5591" s="5" t="s">
        <v>11</v>
      </c>
      <c r="G5591" s="5" t="s">
        <v>36</v>
      </c>
      <c r="H5591">
        <v>55</v>
      </c>
      <c r="I5591" s="4">
        <v>571450</v>
      </c>
      <c r="J5591" s="4">
        <v>222750</v>
      </c>
    </row>
    <row r="5592" spans="2:10" x14ac:dyDescent="0.3">
      <c r="B5592" s="7">
        <v>44835</v>
      </c>
      <c r="C5592" s="3">
        <f t="shared" si="174"/>
        <v>2022</v>
      </c>
      <c r="D5592" s="3">
        <f t="shared" si="175"/>
        <v>202210</v>
      </c>
      <c r="E5592" s="5" t="s">
        <v>7</v>
      </c>
      <c r="F5592" s="5" t="s">
        <v>11</v>
      </c>
      <c r="G5592" s="5" t="s">
        <v>36</v>
      </c>
      <c r="H5592">
        <v>45</v>
      </c>
      <c r="I5592" s="4">
        <v>495900</v>
      </c>
      <c r="J5592" s="4">
        <v>182250</v>
      </c>
    </row>
    <row r="5593" spans="2:10" x14ac:dyDescent="0.3">
      <c r="B5593" s="7">
        <v>44866</v>
      </c>
      <c r="C5593" s="3">
        <f t="shared" si="174"/>
        <v>2022</v>
      </c>
      <c r="D5593" s="3">
        <f t="shared" si="175"/>
        <v>202211</v>
      </c>
      <c r="E5593" s="5" t="s">
        <v>7</v>
      </c>
      <c r="F5593" s="5" t="s">
        <v>11</v>
      </c>
      <c r="G5593" s="5" t="s">
        <v>36</v>
      </c>
      <c r="H5593">
        <v>33</v>
      </c>
      <c r="I5593" s="4">
        <v>344157</v>
      </c>
      <c r="J5593" s="4">
        <v>133650</v>
      </c>
    </row>
    <row r="5594" spans="2:10" x14ac:dyDescent="0.3">
      <c r="B5594" s="7">
        <v>44896</v>
      </c>
      <c r="C5594" s="3">
        <f t="shared" si="174"/>
        <v>2022</v>
      </c>
      <c r="D5594" s="3">
        <f t="shared" si="175"/>
        <v>202212</v>
      </c>
      <c r="E5594" s="5" t="s">
        <v>7</v>
      </c>
      <c r="F5594" s="5" t="s">
        <v>11</v>
      </c>
      <c r="G5594" s="5" t="s">
        <v>36</v>
      </c>
      <c r="H5594">
        <v>39</v>
      </c>
      <c r="I5594" s="4">
        <v>386139</v>
      </c>
      <c r="J5594" s="4">
        <v>157950</v>
      </c>
    </row>
    <row r="5595" spans="2:10" x14ac:dyDescent="0.3">
      <c r="B5595" s="7">
        <v>44197</v>
      </c>
      <c r="C5595" s="3">
        <f t="shared" si="174"/>
        <v>2021</v>
      </c>
      <c r="D5595" s="3">
        <f t="shared" si="175"/>
        <v>202101</v>
      </c>
      <c r="E5595" s="5" t="s">
        <v>7</v>
      </c>
      <c r="F5595" s="5" t="s">
        <v>11</v>
      </c>
      <c r="G5595" s="5" t="s">
        <v>37</v>
      </c>
      <c r="H5595">
        <v>53</v>
      </c>
      <c r="I5595" s="4">
        <v>432109</v>
      </c>
      <c r="J5595" s="4">
        <v>211469.99999999997</v>
      </c>
    </row>
    <row r="5596" spans="2:10" x14ac:dyDescent="0.3">
      <c r="B5596" s="7">
        <v>44228</v>
      </c>
      <c r="C5596" s="3">
        <f t="shared" si="174"/>
        <v>2021</v>
      </c>
      <c r="D5596" s="3">
        <f t="shared" si="175"/>
        <v>202102</v>
      </c>
      <c r="E5596" s="5" t="s">
        <v>7</v>
      </c>
      <c r="F5596" s="5" t="s">
        <v>11</v>
      </c>
      <c r="G5596" s="5" t="s">
        <v>37</v>
      </c>
      <c r="H5596">
        <v>33</v>
      </c>
      <c r="I5596" s="4">
        <v>298947</v>
      </c>
      <c r="J5596" s="4">
        <v>131669.99999999997</v>
      </c>
    </row>
    <row r="5597" spans="2:10" x14ac:dyDescent="0.3">
      <c r="B5597" s="7">
        <v>44256</v>
      </c>
      <c r="C5597" s="3">
        <f t="shared" si="174"/>
        <v>2021</v>
      </c>
      <c r="D5597" s="3">
        <f t="shared" si="175"/>
        <v>202103</v>
      </c>
      <c r="E5597" s="5" t="s">
        <v>7</v>
      </c>
      <c r="F5597" s="5" t="s">
        <v>11</v>
      </c>
      <c r="G5597" s="5" t="s">
        <v>37</v>
      </c>
      <c r="H5597">
        <v>27</v>
      </c>
      <c r="I5597" s="4">
        <v>208683</v>
      </c>
      <c r="J5597" s="4">
        <v>107729.99999999999</v>
      </c>
    </row>
    <row r="5598" spans="2:10" x14ac:dyDescent="0.3">
      <c r="B5598" s="7">
        <v>44287</v>
      </c>
      <c r="C5598" s="3">
        <f t="shared" si="174"/>
        <v>2021</v>
      </c>
      <c r="D5598" s="3">
        <f t="shared" si="175"/>
        <v>202104</v>
      </c>
      <c r="E5598" s="5" t="s">
        <v>7</v>
      </c>
      <c r="F5598" s="5" t="s">
        <v>11</v>
      </c>
      <c r="G5598" s="5" t="s">
        <v>37</v>
      </c>
      <c r="H5598">
        <v>50</v>
      </c>
      <c r="I5598" s="4">
        <v>435000</v>
      </c>
      <c r="J5598" s="4">
        <v>199499.99999999997</v>
      </c>
    </row>
    <row r="5599" spans="2:10" x14ac:dyDescent="0.3">
      <c r="B5599" s="7">
        <v>44317</v>
      </c>
      <c r="C5599" s="3">
        <f t="shared" si="174"/>
        <v>2021</v>
      </c>
      <c r="D5599" s="3">
        <f t="shared" si="175"/>
        <v>202105</v>
      </c>
      <c r="E5599" s="5" t="s">
        <v>7</v>
      </c>
      <c r="F5599" s="5" t="s">
        <v>11</v>
      </c>
      <c r="G5599" s="5" t="s">
        <v>37</v>
      </c>
      <c r="H5599">
        <v>63</v>
      </c>
      <c r="I5599" s="4">
        <v>589932</v>
      </c>
      <c r="J5599" s="4">
        <v>251369.99999999997</v>
      </c>
    </row>
    <row r="5600" spans="2:10" x14ac:dyDescent="0.3">
      <c r="B5600" s="7">
        <v>44348</v>
      </c>
      <c r="C5600" s="3">
        <f t="shared" si="174"/>
        <v>2021</v>
      </c>
      <c r="D5600" s="3">
        <f t="shared" si="175"/>
        <v>202106</v>
      </c>
      <c r="E5600" s="5" t="s">
        <v>7</v>
      </c>
      <c r="F5600" s="5" t="s">
        <v>11</v>
      </c>
      <c r="G5600" s="5" t="s">
        <v>37</v>
      </c>
      <c r="H5600">
        <v>60</v>
      </c>
      <c r="I5600" s="4">
        <v>499200</v>
      </c>
      <c r="J5600" s="4">
        <v>239399.99999999997</v>
      </c>
    </row>
    <row r="5601" spans="2:10" x14ac:dyDescent="0.3">
      <c r="B5601" s="7">
        <v>44378</v>
      </c>
      <c r="C5601" s="3">
        <f t="shared" si="174"/>
        <v>2021</v>
      </c>
      <c r="D5601" s="3">
        <f t="shared" si="175"/>
        <v>202107</v>
      </c>
      <c r="E5601" s="5" t="s">
        <v>7</v>
      </c>
      <c r="F5601" s="5" t="s">
        <v>11</v>
      </c>
      <c r="G5601" s="5" t="s">
        <v>37</v>
      </c>
      <c r="H5601">
        <v>63</v>
      </c>
      <c r="I5601" s="4">
        <v>431487</v>
      </c>
      <c r="J5601" s="4">
        <v>251369.99999999997</v>
      </c>
    </row>
    <row r="5602" spans="2:10" x14ac:dyDescent="0.3">
      <c r="B5602" s="7">
        <v>44409</v>
      </c>
      <c r="C5602" s="3">
        <f t="shared" si="174"/>
        <v>2021</v>
      </c>
      <c r="D5602" s="3">
        <f t="shared" si="175"/>
        <v>202108</v>
      </c>
      <c r="E5602" s="5" t="s">
        <v>7</v>
      </c>
      <c r="F5602" s="5" t="s">
        <v>11</v>
      </c>
      <c r="G5602" s="5" t="s">
        <v>37</v>
      </c>
      <c r="H5602">
        <v>53</v>
      </c>
      <c r="I5602" s="4">
        <v>423629</v>
      </c>
      <c r="J5602" s="4">
        <v>211469.99999999997</v>
      </c>
    </row>
    <row r="5603" spans="2:10" x14ac:dyDescent="0.3">
      <c r="B5603" s="7">
        <v>44440</v>
      </c>
      <c r="C5603" s="3">
        <f t="shared" si="174"/>
        <v>2021</v>
      </c>
      <c r="D5603" s="3">
        <f t="shared" si="175"/>
        <v>202109</v>
      </c>
      <c r="E5603" s="5" t="s">
        <v>7</v>
      </c>
      <c r="F5603" s="5" t="s">
        <v>11</v>
      </c>
      <c r="G5603" s="5" t="s">
        <v>37</v>
      </c>
      <c r="H5603">
        <v>57</v>
      </c>
      <c r="I5603" s="4">
        <v>471219</v>
      </c>
      <c r="J5603" s="4">
        <v>227429.99999999997</v>
      </c>
    </row>
    <row r="5604" spans="2:10" x14ac:dyDescent="0.3">
      <c r="B5604" s="7">
        <v>44470</v>
      </c>
      <c r="C5604" s="3">
        <f t="shared" si="174"/>
        <v>2021</v>
      </c>
      <c r="D5604" s="3">
        <f t="shared" si="175"/>
        <v>202110</v>
      </c>
      <c r="E5604" s="5" t="s">
        <v>7</v>
      </c>
      <c r="F5604" s="5" t="s">
        <v>11</v>
      </c>
      <c r="G5604" s="5" t="s">
        <v>37</v>
      </c>
      <c r="H5604">
        <v>47</v>
      </c>
      <c r="I5604" s="4">
        <v>409464</v>
      </c>
      <c r="J5604" s="4">
        <v>187529.99999999997</v>
      </c>
    </row>
    <row r="5605" spans="2:10" x14ac:dyDescent="0.3">
      <c r="B5605" s="7">
        <v>44501</v>
      </c>
      <c r="C5605" s="3">
        <f t="shared" si="174"/>
        <v>2021</v>
      </c>
      <c r="D5605" s="3">
        <f t="shared" si="175"/>
        <v>202111</v>
      </c>
      <c r="E5605" s="5" t="s">
        <v>7</v>
      </c>
      <c r="F5605" s="5" t="s">
        <v>11</v>
      </c>
      <c r="G5605" s="5" t="s">
        <v>37</v>
      </c>
      <c r="H5605">
        <v>33</v>
      </c>
      <c r="I5605" s="4">
        <v>277035</v>
      </c>
      <c r="J5605" s="4">
        <v>131669.99999999997</v>
      </c>
    </row>
    <row r="5606" spans="2:10" x14ac:dyDescent="0.3">
      <c r="B5606" s="7">
        <v>44531</v>
      </c>
      <c r="C5606" s="3">
        <f t="shared" si="174"/>
        <v>2021</v>
      </c>
      <c r="D5606" s="3">
        <f t="shared" si="175"/>
        <v>202112</v>
      </c>
      <c r="E5606" s="5" t="s">
        <v>7</v>
      </c>
      <c r="F5606" s="5" t="s">
        <v>11</v>
      </c>
      <c r="G5606" s="5" t="s">
        <v>37</v>
      </c>
      <c r="H5606">
        <v>40</v>
      </c>
      <c r="I5606" s="4">
        <v>306120</v>
      </c>
      <c r="J5606" s="4">
        <v>159599.99999999997</v>
      </c>
    </row>
    <row r="5607" spans="2:10" x14ac:dyDescent="0.3">
      <c r="B5607" s="7">
        <v>44562</v>
      </c>
      <c r="C5607" s="3">
        <f t="shared" si="174"/>
        <v>2022</v>
      </c>
      <c r="D5607" s="3">
        <f t="shared" si="175"/>
        <v>202201</v>
      </c>
      <c r="E5607" s="5" t="s">
        <v>7</v>
      </c>
      <c r="F5607" s="5" t="s">
        <v>11</v>
      </c>
      <c r="G5607" s="5" t="s">
        <v>37</v>
      </c>
      <c r="H5607">
        <v>59</v>
      </c>
      <c r="I5607" s="4">
        <v>466749</v>
      </c>
      <c r="J5607" s="4">
        <v>235409.99999999997</v>
      </c>
    </row>
    <row r="5608" spans="2:10" x14ac:dyDescent="0.3">
      <c r="B5608" s="7">
        <v>44593</v>
      </c>
      <c r="C5608" s="3">
        <f t="shared" si="174"/>
        <v>2022</v>
      </c>
      <c r="D5608" s="3">
        <f t="shared" si="175"/>
        <v>202202</v>
      </c>
      <c r="E5608" s="5" t="s">
        <v>7</v>
      </c>
      <c r="F5608" s="5" t="s">
        <v>11</v>
      </c>
      <c r="G5608" s="5" t="s">
        <v>37</v>
      </c>
      <c r="H5608">
        <v>37</v>
      </c>
      <c r="I5608" s="4">
        <v>290783</v>
      </c>
      <c r="J5608" s="4">
        <v>147629.99999999997</v>
      </c>
    </row>
    <row r="5609" spans="2:10" x14ac:dyDescent="0.3">
      <c r="B5609" s="7">
        <v>44621</v>
      </c>
      <c r="C5609" s="3">
        <f t="shared" si="174"/>
        <v>2022</v>
      </c>
      <c r="D5609" s="3">
        <f t="shared" si="175"/>
        <v>202203</v>
      </c>
      <c r="E5609" s="5" t="s">
        <v>7</v>
      </c>
      <c r="F5609" s="5" t="s">
        <v>11</v>
      </c>
      <c r="G5609" s="5" t="s">
        <v>37</v>
      </c>
      <c r="H5609">
        <v>30</v>
      </c>
      <c r="I5609" s="4">
        <v>234270</v>
      </c>
      <c r="J5609" s="4">
        <v>119699.99999999999</v>
      </c>
    </row>
    <row r="5610" spans="2:10" x14ac:dyDescent="0.3">
      <c r="B5610" s="7">
        <v>44652</v>
      </c>
      <c r="C5610" s="3">
        <f t="shared" si="174"/>
        <v>2022</v>
      </c>
      <c r="D5610" s="3">
        <f t="shared" si="175"/>
        <v>202204</v>
      </c>
      <c r="E5610" s="5" t="s">
        <v>7</v>
      </c>
      <c r="F5610" s="5" t="s">
        <v>11</v>
      </c>
      <c r="G5610" s="5" t="s">
        <v>37</v>
      </c>
      <c r="H5610">
        <v>55</v>
      </c>
      <c r="I5610" s="4">
        <v>484715</v>
      </c>
      <c r="J5610" s="4">
        <v>219449.99999999997</v>
      </c>
    </row>
    <row r="5611" spans="2:10" x14ac:dyDescent="0.3">
      <c r="B5611" s="7">
        <v>44682</v>
      </c>
      <c r="C5611" s="3">
        <f t="shared" si="174"/>
        <v>2022</v>
      </c>
      <c r="D5611" s="3">
        <f t="shared" si="175"/>
        <v>202205</v>
      </c>
      <c r="E5611" s="5" t="s">
        <v>7</v>
      </c>
      <c r="F5611" s="5" t="s">
        <v>11</v>
      </c>
      <c r="G5611" s="5" t="s">
        <v>37</v>
      </c>
      <c r="H5611">
        <v>69</v>
      </c>
      <c r="I5611" s="4">
        <v>598713</v>
      </c>
      <c r="J5611" s="4">
        <v>275309.99999999994</v>
      </c>
    </row>
    <row r="5612" spans="2:10" x14ac:dyDescent="0.3">
      <c r="B5612" s="7">
        <v>44713</v>
      </c>
      <c r="C5612" s="3">
        <f t="shared" si="174"/>
        <v>2022</v>
      </c>
      <c r="D5612" s="3">
        <f t="shared" si="175"/>
        <v>202206</v>
      </c>
      <c r="E5612" s="5" t="s">
        <v>7</v>
      </c>
      <c r="F5612" s="5" t="s">
        <v>11</v>
      </c>
      <c r="G5612" s="5" t="s">
        <v>37</v>
      </c>
      <c r="H5612">
        <v>66</v>
      </c>
      <c r="I5612" s="4">
        <v>550704</v>
      </c>
      <c r="J5612" s="4">
        <v>263339.99999999994</v>
      </c>
    </row>
    <row r="5613" spans="2:10" x14ac:dyDescent="0.3">
      <c r="B5613" s="7">
        <v>44743</v>
      </c>
      <c r="C5613" s="3">
        <f t="shared" si="174"/>
        <v>2022</v>
      </c>
      <c r="D5613" s="3">
        <f t="shared" si="175"/>
        <v>202207</v>
      </c>
      <c r="E5613" s="5" t="s">
        <v>7</v>
      </c>
      <c r="F5613" s="5" t="s">
        <v>11</v>
      </c>
      <c r="G5613" s="5" t="s">
        <v>37</v>
      </c>
      <c r="H5613">
        <v>69</v>
      </c>
      <c r="I5613" s="4">
        <v>483828</v>
      </c>
      <c r="J5613" s="4">
        <v>275309.99999999994</v>
      </c>
    </row>
    <row r="5614" spans="2:10" x14ac:dyDescent="0.3">
      <c r="B5614" s="7">
        <v>44774</v>
      </c>
      <c r="C5614" s="3">
        <f t="shared" si="174"/>
        <v>2022</v>
      </c>
      <c r="D5614" s="3">
        <f t="shared" si="175"/>
        <v>202208</v>
      </c>
      <c r="E5614" s="5" t="s">
        <v>7</v>
      </c>
      <c r="F5614" s="5" t="s">
        <v>11</v>
      </c>
      <c r="G5614" s="5" t="s">
        <v>37</v>
      </c>
      <c r="H5614">
        <v>59</v>
      </c>
      <c r="I5614" s="4">
        <v>418133</v>
      </c>
      <c r="J5614" s="4">
        <v>235409.99999999997</v>
      </c>
    </row>
    <row r="5615" spans="2:10" x14ac:dyDescent="0.3">
      <c r="B5615" s="7">
        <v>44805</v>
      </c>
      <c r="C5615" s="3">
        <f t="shared" si="174"/>
        <v>2022</v>
      </c>
      <c r="D5615" s="3">
        <f t="shared" si="175"/>
        <v>202209</v>
      </c>
      <c r="E5615" s="5" t="s">
        <v>7</v>
      </c>
      <c r="F5615" s="5" t="s">
        <v>11</v>
      </c>
      <c r="G5615" s="5" t="s">
        <v>37</v>
      </c>
      <c r="H5615">
        <v>62</v>
      </c>
      <c r="I5615" s="4">
        <v>502572</v>
      </c>
      <c r="J5615" s="4">
        <v>247379.99999999997</v>
      </c>
    </row>
    <row r="5616" spans="2:10" x14ac:dyDescent="0.3">
      <c r="B5616" s="7">
        <v>44835</v>
      </c>
      <c r="C5616" s="3">
        <f t="shared" si="174"/>
        <v>2022</v>
      </c>
      <c r="D5616" s="3">
        <f t="shared" si="175"/>
        <v>202210</v>
      </c>
      <c r="E5616" s="5" t="s">
        <v>7</v>
      </c>
      <c r="F5616" s="5" t="s">
        <v>11</v>
      </c>
      <c r="G5616" s="5" t="s">
        <v>37</v>
      </c>
      <c r="H5616">
        <v>51</v>
      </c>
      <c r="I5616" s="4">
        <v>461193</v>
      </c>
      <c r="J5616" s="4">
        <v>203489.99999999997</v>
      </c>
    </row>
    <row r="5617" spans="2:10" x14ac:dyDescent="0.3">
      <c r="B5617" s="7">
        <v>44866</v>
      </c>
      <c r="C5617" s="3">
        <f t="shared" si="174"/>
        <v>2022</v>
      </c>
      <c r="D5617" s="3">
        <f t="shared" si="175"/>
        <v>202211</v>
      </c>
      <c r="E5617" s="5" t="s">
        <v>7</v>
      </c>
      <c r="F5617" s="5" t="s">
        <v>11</v>
      </c>
      <c r="G5617" s="5" t="s">
        <v>37</v>
      </c>
      <c r="H5617">
        <v>37</v>
      </c>
      <c r="I5617" s="4">
        <v>322862</v>
      </c>
      <c r="J5617" s="4">
        <v>147629.99999999997</v>
      </c>
    </row>
    <row r="5618" spans="2:10" x14ac:dyDescent="0.3">
      <c r="B5618" s="7">
        <v>44896</v>
      </c>
      <c r="C5618" s="3">
        <f t="shared" si="174"/>
        <v>2022</v>
      </c>
      <c r="D5618" s="3">
        <f t="shared" si="175"/>
        <v>202212</v>
      </c>
      <c r="E5618" s="5" t="s">
        <v>7</v>
      </c>
      <c r="F5618" s="5" t="s">
        <v>11</v>
      </c>
      <c r="G5618" s="5" t="s">
        <v>37</v>
      </c>
      <c r="H5618">
        <v>44</v>
      </c>
      <c r="I5618" s="4">
        <v>329208</v>
      </c>
      <c r="J5618" s="4">
        <v>175559.99999999997</v>
      </c>
    </row>
    <row r="5619" spans="2:10" x14ac:dyDescent="0.3">
      <c r="B5619" s="7">
        <v>44197</v>
      </c>
      <c r="C5619" s="3">
        <f t="shared" si="174"/>
        <v>2021</v>
      </c>
      <c r="D5619" s="3">
        <f t="shared" si="175"/>
        <v>202101</v>
      </c>
      <c r="E5619" s="5" t="s">
        <v>7</v>
      </c>
      <c r="F5619" s="5" t="s">
        <v>11</v>
      </c>
      <c r="G5619" s="5" t="s">
        <v>38</v>
      </c>
      <c r="H5619">
        <v>47</v>
      </c>
      <c r="I5619" s="4">
        <v>458626</v>
      </c>
      <c r="J5619" s="4">
        <v>195755</v>
      </c>
    </row>
    <row r="5620" spans="2:10" x14ac:dyDescent="0.3">
      <c r="B5620" s="7">
        <v>44228</v>
      </c>
      <c r="C5620" s="3">
        <f t="shared" si="174"/>
        <v>2021</v>
      </c>
      <c r="D5620" s="3">
        <f t="shared" si="175"/>
        <v>202102</v>
      </c>
      <c r="E5620" s="5" t="s">
        <v>7</v>
      </c>
      <c r="F5620" s="5" t="s">
        <v>11</v>
      </c>
      <c r="G5620" s="5" t="s">
        <v>38</v>
      </c>
      <c r="H5620">
        <v>29</v>
      </c>
      <c r="I5620" s="4">
        <v>287593</v>
      </c>
      <c r="J5620" s="4">
        <v>120785</v>
      </c>
    </row>
    <row r="5621" spans="2:10" x14ac:dyDescent="0.3">
      <c r="B5621" s="7">
        <v>44256</v>
      </c>
      <c r="C5621" s="3">
        <f t="shared" si="174"/>
        <v>2021</v>
      </c>
      <c r="D5621" s="3">
        <f t="shared" si="175"/>
        <v>202103</v>
      </c>
      <c r="E5621" s="5" t="s">
        <v>7</v>
      </c>
      <c r="F5621" s="5" t="s">
        <v>11</v>
      </c>
      <c r="G5621" s="5" t="s">
        <v>38</v>
      </c>
      <c r="H5621">
        <v>24</v>
      </c>
      <c r="I5621" s="4">
        <v>210480</v>
      </c>
      <c r="J5621" s="4">
        <v>99960</v>
      </c>
    </row>
    <row r="5622" spans="2:10" x14ac:dyDescent="0.3">
      <c r="B5622" s="7">
        <v>44287</v>
      </c>
      <c r="C5622" s="3">
        <f t="shared" si="174"/>
        <v>2021</v>
      </c>
      <c r="D5622" s="3">
        <f t="shared" si="175"/>
        <v>202104</v>
      </c>
      <c r="E5622" s="5" t="s">
        <v>7</v>
      </c>
      <c r="F5622" s="5" t="s">
        <v>11</v>
      </c>
      <c r="G5622" s="5" t="s">
        <v>38</v>
      </c>
      <c r="H5622">
        <v>44</v>
      </c>
      <c r="I5622" s="4">
        <v>449152</v>
      </c>
      <c r="J5622" s="4">
        <v>183260</v>
      </c>
    </row>
    <row r="5623" spans="2:10" x14ac:dyDescent="0.3">
      <c r="B5623" s="7">
        <v>44317</v>
      </c>
      <c r="C5623" s="3">
        <f t="shared" si="174"/>
        <v>2021</v>
      </c>
      <c r="D5623" s="3">
        <f t="shared" si="175"/>
        <v>202105</v>
      </c>
      <c r="E5623" s="5" t="s">
        <v>7</v>
      </c>
      <c r="F5623" s="5" t="s">
        <v>11</v>
      </c>
      <c r="G5623" s="5" t="s">
        <v>38</v>
      </c>
      <c r="H5623">
        <v>55</v>
      </c>
      <c r="I5623" s="4">
        <v>586465</v>
      </c>
      <c r="J5623" s="4">
        <v>229075</v>
      </c>
    </row>
    <row r="5624" spans="2:10" x14ac:dyDescent="0.3">
      <c r="B5624" s="7">
        <v>44348</v>
      </c>
      <c r="C5624" s="3">
        <f t="shared" si="174"/>
        <v>2021</v>
      </c>
      <c r="D5624" s="3">
        <f t="shared" si="175"/>
        <v>202106</v>
      </c>
      <c r="E5624" s="5" t="s">
        <v>7</v>
      </c>
      <c r="F5624" s="5" t="s">
        <v>11</v>
      </c>
      <c r="G5624" s="5" t="s">
        <v>38</v>
      </c>
      <c r="H5624">
        <v>52</v>
      </c>
      <c r="I5624" s="4">
        <v>494832</v>
      </c>
      <c r="J5624" s="4">
        <v>216580</v>
      </c>
    </row>
    <row r="5625" spans="2:10" x14ac:dyDescent="0.3">
      <c r="B5625" s="7">
        <v>44378</v>
      </c>
      <c r="C5625" s="3">
        <f t="shared" si="174"/>
        <v>2021</v>
      </c>
      <c r="D5625" s="3">
        <f t="shared" si="175"/>
        <v>202107</v>
      </c>
      <c r="E5625" s="5" t="s">
        <v>7</v>
      </c>
      <c r="F5625" s="5" t="s">
        <v>11</v>
      </c>
      <c r="G5625" s="5" t="s">
        <v>38</v>
      </c>
      <c r="H5625">
        <v>55</v>
      </c>
      <c r="I5625" s="4">
        <v>445610</v>
      </c>
      <c r="J5625" s="4">
        <v>229075</v>
      </c>
    </row>
    <row r="5626" spans="2:10" x14ac:dyDescent="0.3">
      <c r="B5626" s="7">
        <v>44409</v>
      </c>
      <c r="C5626" s="3">
        <f t="shared" si="174"/>
        <v>2021</v>
      </c>
      <c r="D5626" s="3">
        <f t="shared" si="175"/>
        <v>202108</v>
      </c>
      <c r="E5626" s="5" t="s">
        <v>7</v>
      </c>
      <c r="F5626" s="5" t="s">
        <v>11</v>
      </c>
      <c r="G5626" s="5" t="s">
        <v>38</v>
      </c>
      <c r="H5626">
        <v>47</v>
      </c>
      <c r="I5626" s="4">
        <v>443633</v>
      </c>
      <c r="J5626" s="4">
        <v>195755</v>
      </c>
    </row>
    <row r="5627" spans="2:10" x14ac:dyDescent="0.3">
      <c r="B5627" s="7">
        <v>44440</v>
      </c>
      <c r="C5627" s="3">
        <f t="shared" si="174"/>
        <v>2021</v>
      </c>
      <c r="D5627" s="3">
        <f t="shared" si="175"/>
        <v>202109</v>
      </c>
      <c r="E5627" s="5" t="s">
        <v>7</v>
      </c>
      <c r="F5627" s="5" t="s">
        <v>11</v>
      </c>
      <c r="G5627" s="5" t="s">
        <v>38</v>
      </c>
      <c r="H5627">
        <v>49</v>
      </c>
      <c r="I5627" s="4">
        <v>466725</v>
      </c>
      <c r="J5627" s="4">
        <v>204085</v>
      </c>
    </row>
    <row r="5628" spans="2:10" x14ac:dyDescent="0.3">
      <c r="B5628" s="7">
        <v>44470</v>
      </c>
      <c r="C5628" s="3">
        <f t="shared" si="174"/>
        <v>2021</v>
      </c>
      <c r="D5628" s="3">
        <f t="shared" si="175"/>
        <v>202110</v>
      </c>
      <c r="E5628" s="5" t="s">
        <v>7</v>
      </c>
      <c r="F5628" s="5" t="s">
        <v>11</v>
      </c>
      <c r="G5628" s="5" t="s">
        <v>38</v>
      </c>
      <c r="H5628">
        <v>41</v>
      </c>
      <c r="I5628" s="4">
        <v>411353</v>
      </c>
      <c r="J5628" s="4">
        <v>170765</v>
      </c>
    </row>
    <row r="5629" spans="2:10" x14ac:dyDescent="0.3">
      <c r="B5629" s="7">
        <v>44501</v>
      </c>
      <c r="C5629" s="3">
        <f t="shared" si="174"/>
        <v>2021</v>
      </c>
      <c r="D5629" s="3">
        <f t="shared" si="175"/>
        <v>202111</v>
      </c>
      <c r="E5629" s="5" t="s">
        <v>7</v>
      </c>
      <c r="F5629" s="5" t="s">
        <v>11</v>
      </c>
      <c r="G5629" s="5" t="s">
        <v>38</v>
      </c>
      <c r="H5629">
        <v>29</v>
      </c>
      <c r="I5629" s="4">
        <v>272339</v>
      </c>
      <c r="J5629" s="4">
        <v>120785</v>
      </c>
    </row>
    <row r="5630" spans="2:10" x14ac:dyDescent="0.3">
      <c r="B5630" s="7">
        <v>44531</v>
      </c>
      <c r="C5630" s="3">
        <f t="shared" si="174"/>
        <v>2021</v>
      </c>
      <c r="D5630" s="3">
        <f t="shared" si="175"/>
        <v>202112</v>
      </c>
      <c r="E5630" s="5" t="s">
        <v>7</v>
      </c>
      <c r="F5630" s="5" t="s">
        <v>11</v>
      </c>
      <c r="G5630" s="5" t="s">
        <v>38</v>
      </c>
      <c r="H5630">
        <v>35</v>
      </c>
      <c r="I5630" s="4">
        <v>317415</v>
      </c>
      <c r="J5630" s="4">
        <v>145775</v>
      </c>
    </row>
    <row r="5631" spans="2:10" x14ac:dyDescent="0.3">
      <c r="B5631" s="7">
        <v>44562</v>
      </c>
      <c r="C5631" s="3">
        <f t="shared" si="174"/>
        <v>2022</v>
      </c>
      <c r="D5631" s="3">
        <f t="shared" si="175"/>
        <v>202201</v>
      </c>
      <c r="E5631" s="5" t="s">
        <v>7</v>
      </c>
      <c r="F5631" s="5" t="s">
        <v>11</v>
      </c>
      <c r="G5631" s="5" t="s">
        <v>38</v>
      </c>
      <c r="H5631">
        <v>51</v>
      </c>
      <c r="I5631" s="4">
        <v>477462</v>
      </c>
      <c r="J5631" s="4">
        <v>212415</v>
      </c>
    </row>
    <row r="5632" spans="2:10" x14ac:dyDescent="0.3">
      <c r="B5632" s="7">
        <v>44593</v>
      </c>
      <c r="C5632" s="3">
        <f t="shared" si="174"/>
        <v>2022</v>
      </c>
      <c r="D5632" s="3">
        <f t="shared" si="175"/>
        <v>202202</v>
      </c>
      <c r="E5632" s="5" t="s">
        <v>7</v>
      </c>
      <c r="F5632" s="5" t="s">
        <v>11</v>
      </c>
      <c r="G5632" s="5" t="s">
        <v>38</v>
      </c>
      <c r="H5632">
        <v>32</v>
      </c>
      <c r="I5632" s="4">
        <v>306368</v>
      </c>
      <c r="J5632" s="4">
        <v>133280</v>
      </c>
    </row>
    <row r="5633" spans="2:10" x14ac:dyDescent="0.3">
      <c r="B5633" s="7">
        <v>44621</v>
      </c>
      <c r="C5633" s="3">
        <f t="shared" si="174"/>
        <v>2022</v>
      </c>
      <c r="D5633" s="3">
        <f t="shared" si="175"/>
        <v>202203</v>
      </c>
      <c r="E5633" s="5" t="s">
        <v>7</v>
      </c>
      <c r="F5633" s="5" t="s">
        <v>11</v>
      </c>
      <c r="G5633" s="5" t="s">
        <v>38</v>
      </c>
      <c r="H5633">
        <v>26</v>
      </c>
      <c r="I5633" s="4">
        <v>253370</v>
      </c>
      <c r="J5633" s="4">
        <v>108290</v>
      </c>
    </row>
    <row r="5634" spans="2:10" x14ac:dyDescent="0.3">
      <c r="B5634" s="7">
        <v>44652</v>
      </c>
      <c r="C5634" s="3">
        <f t="shared" si="174"/>
        <v>2022</v>
      </c>
      <c r="D5634" s="3">
        <f t="shared" si="175"/>
        <v>202204</v>
      </c>
      <c r="E5634" s="5" t="s">
        <v>7</v>
      </c>
      <c r="F5634" s="5" t="s">
        <v>11</v>
      </c>
      <c r="G5634" s="5" t="s">
        <v>38</v>
      </c>
      <c r="H5634">
        <v>48</v>
      </c>
      <c r="I5634" s="4">
        <v>513984</v>
      </c>
      <c r="J5634" s="4">
        <v>199920</v>
      </c>
    </row>
    <row r="5635" spans="2:10" x14ac:dyDescent="0.3">
      <c r="B5635" s="7">
        <v>44682</v>
      </c>
      <c r="C5635" s="3">
        <f t="shared" ref="C5635:C5698" si="176">YEAR(B5635)</f>
        <v>2022</v>
      </c>
      <c r="D5635" s="3">
        <f t="shared" ref="D5635:D5698" si="177">VALUE(TEXT(B5635,"ГГГГММ"))</f>
        <v>202205</v>
      </c>
      <c r="E5635" s="5" t="s">
        <v>7</v>
      </c>
      <c r="F5635" s="5" t="s">
        <v>11</v>
      </c>
      <c r="G5635" s="5" t="s">
        <v>38</v>
      </c>
      <c r="H5635">
        <v>61</v>
      </c>
      <c r="I5635" s="4">
        <v>637206</v>
      </c>
      <c r="J5635" s="4">
        <v>254065</v>
      </c>
    </row>
    <row r="5636" spans="2:10" x14ac:dyDescent="0.3">
      <c r="B5636" s="7">
        <v>44713</v>
      </c>
      <c r="C5636" s="3">
        <f t="shared" si="176"/>
        <v>2022</v>
      </c>
      <c r="D5636" s="3">
        <f t="shared" si="177"/>
        <v>202206</v>
      </c>
      <c r="E5636" s="5" t="s">
        <v>7</v>
      </c>
      <c r="F5636" s="5" t="s">
        <v>11</v>
      </c>
      <c r="G5636" s="5" t="s">
        <v>38</v>
      </c>
      <c r="H5636">
        <v>58</v>
      </c>
      <c r="I5636" s="4">
        <v>559410</v>
      </c>
      <c r="J5636" s="4">
        <v>241570</v>
      </c>
    </row>
    <row r="5637" spans="2:10" x14ac:dyDescent="0.3">
      <c r="B5637" s="7">
        <v>44743</v>
      </c>
      <c r="C5637" s="3">
        <f t="shared" si="176"/>
        <v>2022</v>
      </c>
      <c r="D5637" s="3">
        <f t="shared" si="177"/>
        <v>202207</v>
      </c>
      <c r="E5637" s="5" t="s">
        <v>7</v>
      </c>
      <c r="F5637" s="5" t="s">
        <v>11</v>
      </c>
      <c r="G5637" s="5" t="s">
        <v>38</v>
      </c>
      <c r="H5637">
        <v>61</v>
      </c>
      <c r="I5637" s="4">
        <v>520208</v>
      </c>
      <c r="J5637" s="4">
        <v>254065</v>
      </c>
    </row>
    <row r="5638" spans="2:10" x14ac:dyDescent="0.3">
      <c r="B5638" s="7">
        <v>44774</v>
      </c>
      <c r="C5638" s="3">
        <f t="shared" si="176"/>
        <v>2022</v>
      </c>
      <c r="D5638" s="3">
        <f t="shared" si="177"/>
        <v>202208</v>
      </c>
      <c r="E5638" s="5" t="s">
        <v>7</v>
      </c>
      <c r="F5638" s="5" t="s">
        <v>11</v>
      </c>
      <c r="G5638" s="5" t="s">
        <v>38</v>
      </c>
      <c r="H5638">
        <v>51</v>
      </c>
      <c r="I5638" s="4">
        <v>482817</v>
      </c>
      <c r="J5638" s="4">
        <v>212415</v>
      </c>
    </row>
    <row r="5639" spans="2:10" x14ac:dyDescent="0.3">
      <c r="B5639" s="7">
        <v>44805</v>
      </c>
      <c r="C5639" s="3">
        <f t="shared" si="176"/>
        <v>2022</v>
      </c>
      <c r="D5639" s="3">
        <f t="shared" si="177"/>
        <v>202209</v>
      </c>
      <c r="E5639" s="5" t="s">
        <v>7</v>
      </c>
      <c r="F5639" s="5" t="s">
        <v>11</v>
      </c>
      <c r="G5639" s="5" t="s">
        <v>38</v>
      </c>
      <c r="H5639">
        <v>54</v>
      </c>
      <c r="I5639" s="4">
        <v>516780</v>
      </c>
      <c r="J5639" s="4">
        <v>224910</v>
      </c>
    </row>
    <row r="5640" spans="2:10" x14ac:dyDescent="0.3">
      <c r="B5640" s="7">
        <v>44835</v>
      </c>
      <c r="C5640" s="3">
        <f t="shared" si="176"/>
        <v>2022</v>
      </c>
      <c r="D5640" s="3">
        <f t="shared" si="177"/>
        <v>202210</v>
      </c>
      <c r="E5640" s="5" t="s">
        <v>7</v>
      </c>
      <c r="F5640" s="5" t="s">
        <v>11</v>
      </c>
      <c r="G5640" s="5" t="s">
        <v>38</v>
      </c>
      <c r="H5640">
        <v>45</v>
      </c>
      <c r="I5640" s="4">
        <v>461610</v>
      </c>
      <c r="J5640" s="4">
        <v>187425</v>
      </c>
    </row>
    <row r="5641" spans="2:10" x14ac:dyDescent="0.3">
      <c r="B5641" s="7">
        <v>44866</v>
      </c>
      <c r="C5641" s="3">
        <f t="shared" si="176"/>
        <v>2022</v>
      </c>
      <c r="D5641" s="3">
        <f t="shared" si="177"/>
        <v>202211</v>
      </c>
      <c r="E5641" s="5" t="s">
        <v>7</v>
      </c>
      <c r="F5641" s="5" t="s">
        <v>11</v>
      </c>
      <c r="G5641" s="5" t="s">
        <v>38</v>
      </c>
      <c r="H5641">
        <v>32</v>
      </c>
      <c r="I5641" s="4">
        <v>311392</v>
      </c>
      <c r="J5641" s="4">
        <v>133280</v>
      </c>
    </row>
    <row r="5642" spans="2:10" x14ac:dyDescent="0.3">
      <c r="B5642" s="7">
        <v>44896</v>
      </c>
      <c r="C5642" s="3">
        <f t="shared" si="176"/>
        <v>2022</v>
      </c>
      <c r="D5642" s="3">
        <f t="shared" si="177"/>
        <v>202212</v>
      </c>
      <c r="E5642" s="5" t="s">
        <v>7</v>
      </c>
      <c r="F5642" s="5" t="s">
        <v>11</v>
      </c>
      <c r="G5642" s="5" t="s">
        <v>38</v>
      </c>
      <c r="H5642">
        <v>39</v>
      </c>
      <c r="I5642" s="4">
        <v>368589</v>
      </c>
      <c r="J5642" s="4">
        <v>162435</v>
      </c>
    </row>
    <row r="5643" spans="2:10" x14ac:dyDescent="0.3">
      <c r="B5643" s="7">
        <v>44197</v>
      </c>
      <c r="C5643" s="3">
        <f t="shared" si="176"/>
        <v>2021</v>
      </c>
      <c r="D5643" s="3">
        <f t="shared" si="177"/>
        <v>202101</v>
      </c>
      <c r="E5643" s="5" t="s">
        <v>7</v>
      </c>
      <c r="F5643" s="5" t="s">
        <v>11</v>
      </c>
      <c r="G5643" s="5" t="s">
        <v>39</v>
      </c>
      <c r="H5643">
        <v>47</v>
      </c>
      <c r="I5643" s="4">
        <v>330034</v>
      </c>
      <c r="J5643" s="4">
        <v>143820</v>
      </c>
    </row>
    <row r="5644" spans="2:10" x14ac:dyDescent="0.3">
      <c r="B5644" s="7">
        <v>44228</v>
      </c>
      <c r="C5644" s="3">
        <f t="shared" si="176"/>
        <v>2021</v>
      </c>
      <c r="D5644" s="3">
        <f t="shared" si="177"/>
        <v>202102</v>
      </c>
      <c r="E5644" s="5" t="s">
        <v>7</v>
      </c>
      <c r="F5644" s="5" t="s">
        <v>11</v>
      </c>
      <c r="G5644" s="5" t="s">
        <v>39</v>
      </c>
      <c r="H5644">
        <v>29</v>
      </c>
      <c r="I5644" s="4">
        <v>213034</v>
      </c>
      <c r="J5644" s="4">
        <v>88740</v>
      </c>
    </row>
    <row r="5645" spans="2:10" x14ac:dyDescent="0.3">
      <c r="B5645" s="7">
        <v>44256</v>
      </c>
      <c r="C5645" s="3">
        <f t="shared" si="176"/>
        <v>2021</v>
      </c>
      <c r="D5645" s="3">
        <f t="shared" si="177"/>
        <v>202103</v>
      </c>
      <c r="E5645" s="5" t="s">
        <v>7</v>
      </c>
      <c r="F5645" s="5" t="s">
        <v>11</v>
      </c>
      <c r="G5645" s="5" t="s">
        <v>39</v>
      </c>
      <c r="H5645">
        <v>24</v>
      </c>
      <c r="I5645" s="4">
        <v>173472</v>
      </c>
      <c r="J5645" s="4">
        <v>73440</v>
      </c>
    </row>
    <row r="5646" spans="2:10" x14ac:dyDescent="0.3">
      <c r="B5646" s="7">
        <v>44287</v>
      </c>
      <c r="C5646" s="3">
        <f t="shared" si="176"/>
        <v>2021</v>
      </c>
      <c r="D5646" s="3">
        <f t="shared" si="177"/>
        <v>202104</v>
      </c>
      <c r="E5646" s="5" t="s">
        <v>7</v>
      </c>
      <c r="F5646" s="5" t="s">
        <v>11</v>
      </c>
      <c r="G5646" s="5" t="s">
        <v>39</v>
      </c>
      <c r="H5646">
        <v>44</v>
      </c>
      <c r="I5646" s="4">
        <v>351208</v>
      </c>
      <c r="J5646" s="4">
        <v>134640</v>
      </c>
    </row>
    <row r="5647" spans="2:10" x14ac:dyDescent="0.3">
      <c r="B5647" s="7">
        <v>44317</v>
      </c>
      <c r="C5647" s="3">
        <f t="shared" si="176"/>
        <v>2021</v>
      </c>
      <c r="D5647" s="3">
        <f t="shared" si="177"/>
        <v>202105</v>
      </c>
      <c r="E5647" s="5" t="s">
        <v>7</v>
      </c>
      <c r="F5647" s="5" t="s">
        <v>11</v>
      </c>
      <c r="G5647" s="5" t="s">
        <v>39</v>
      </c>
      <c r="H5647">
        <v>55</v>
      </c>
      <c r="I5647" s="4">
        <v>430265</v>
      </c>
      <c r="J5647" s="4">
        <v>168300</v>
      </c>
    </row>
    <row r="5648" spans="2:10" x14ac:dyDescent="0.3">
      <c r="B5648" s="7">
        <v>44348</v>
      </c>
      <c r="C5648" s="3">
        <f t="shared" si="176"/>
        <v>2021</v>
      </c>
      <c r="D5648" s="3">
        <f t="shared" si="177"/>
        <v>202106</v>
      </c>
      <c r="E5648" s="5" t="s">
        <v>7</v>
      </c>
      <c r="F5648" s="5" t="s">
        <v>11</v>
      </c>
      <c r="G5648" s="5" t="s">
        <v>39</v>
      </c>
      <c r="H5648">
        <v>52</v>
      </c>
      <c r="I5648" s="4">
        <v>396188</v>
      </c>
      <c r="J5648" s="4">
        <v>159120</v>
      </c>
    </row>
    <row r="5649" spans="2:10" x14ac:dyDescent="0.3">
      <c r="B5649" s="7">
        <v>44378</v>
      </c>
      <c r="C5649" s="3">
        <f t="shared" si="176"/>
        <v>2021</v>
      </c>
      <c r="D5649" s="3">
        <f t="shared" si="177"/>
        <v>202107</v>
      </c>
      <c r="E5649" s="5" t="s">
        <v>7</v>
      </c>
      <c r="F5649" s="5" t="s">
        <v>11</v>
      </c>
      <c r="G5649" s="5" t="s">
        <v>39</v>
      </c>
      <c r="H5649">
        <v>55</v>
      </c>
      <c r="I5649" s="4">
        <v>327800</v>
      </c>
      <c r="J5649" s="4">
        <v>168300</v>
      </c>
    </row>
    <row r="5650" spans="2:10" x14ac:dyDescent="0.3">
      <c r="B5650" s="7">
        <v>44409</v>
      </c>
      <c r="C5650" s="3">
        <f t="shared" si="176"/>
        <v>2021</v>
      </c>
      <c r="D5650" s="3">
        <f t="shared" si="177"/>
        <v>202108</v>
      </c>
      <c r="E5650" s="5" t="s">
        <v>7</v>
      </c>
      <c r="F5650" s="5" t="s">
        <v>11</v>
      </c>
      <c r="G5650" s="5" t="s">
        <v>39</v>
      </c>
      <c r="H5650">
        <v>47</v>
      </c>
      <c r="I5650" s="4">
        <v>309401</v>
      </c>
      <c r="J5650" s="4">
        <v>143820</v>
      </c>
    </row>
    <row r="5651" spans="2:10" x14ac:dyDescent="0.3">
      <c r="B5651" s="7">
        <v>44440</v>
      </c>
      <c r="C5651" s="3">
        <f t="shared" si="176"/>
        <v>2021</v>
      </c>
      <c r="D5651" s="3">
        <f t="shared" si="177"/>
        <v>202109</v>
      </c>
      <c r="E5651" s="5" t="s">
        <v>7</v>
      </c>
      <c r="F5651" s="5" t="s">
        <v>11</v>
      </c>
      <c r="G5651" s="5" t="s">
        <v>39</v>
      </c>
      <c r="H5651">
        <v>49</v>
      </c>
      <c r="I5651" s="4">
        <v>340942</v>
      </c>
      <c r="J5651" s="4">
        <v>149940</v>
      </c>
    </row>
    <row r="5652" spans="2:10" x14ac:dyDescent="0.3">
      <c r="B5652" s="7">
        <v>44470</v>
      </c>
      <c r="C5652" s="3">
        <f t="shared" si="176"/>
        <v>2021</v>
      </c>
      <c r="D5652" s="3">
        <f t="shared" si="177"/>
        <v>202110</v>
      </c>
      <c r="E5652" s="5" t="s">
        <v>7</v>
      </c>
      <c r="F5652" s="5" t="s">
        <v>11</v>
      </c>
      <c r="G5652" s="5" t="s">
        <v>39</v>
      </c>
      <c r="H5652">
        <v>41</v>
      </c>
      <c r="I5652" s="4">
        <v>296922</v>
      </c>
      <c r="J5652" s="4">
        <v>125460</v>
      </c>
    </row>
    <row r="5653" spans="2:10" x14ac:dyDescent="0.3">
      <c r="B5653" s="7">
        <v>44501</v>
      </c>
      <c r="C5653" s="3">
        <f t="shared" si="176"/>
        <v>2021</v>
      </c>
      <c r="D5653" s="3">
        <f t="shared" si="177"/>
        <v>202111</v>
      </c>
      <c r="E5653" s="5" t="s">
        <v>7</v>
      </c>
      <c r="F5653" s="5" t="s">
        <v>11</v>
      </c>
      <c r="G5653" s="5" t="s">
        <v>39</v>
      </c>
      <c r="H5653">
        <v>29</v>
      </c>
      <c r="I5653" s="4">
        <v>225156</v>
      </c>
      <c r="J5653" s="4">
        <v>88740</v>
      </c>
    </row>
    <row r="5654" spans="2:10" x14ac:dyDescent="0.3">
      <c r="B5654" s="7">
        <v>44531</v>
      </c>
      <c r="C5654" s="3">
        <f t="shared" si="176"/>
        <v>2021</v>
      </c>
      <c r="D5654" s="3">
        <f t="shared" si="177"/>
        <v>202112</v>
      </c>
      <c r="E5654" s="5" t="s">
        <v>7</v>
      </c>
      <c r="F5654" s="5" t="s">
        <v>11</v>
      </c>
      <c r="G5654" s="5" t="s">
        <v>39</v>
      </c>
      <c r="H5654">
        <v>35</v>
      </c>
      <c r="I5654" s="4">
        <v>233065</v>
      </c>
      <c r="J5654" s="4">
        <v>107100</v>
      </c>
    </row>
    <row r="5655" spans="2:10" x14ac:dyDescent="0.3">
      <c r="B5655" s="7">
        <v>44562</v>
      </c>
      <c r="C5655" s="3">
        <f t="shared" si="176"/>
        <v>2022</v>
      </c>
      <c r="D5655" s="3">
        <f t="shared" si="177"/>
        <v>202201</v>
      </c>
      <c r="E5655" s="5" t="s">
        <v>7</v>
      </c>
      <c r="F5655" s="5" t="s">
        <v>11</v>
      </c>
      <c r="G5655" s="5" t="s">
        <v>39</v>
      </c>
      <c r="H5655">
        <v>51</v>
      </c>
      <c r="I5655" s="4">
        <v>335733</v>
      </c>
      <c r="J5655" s="4">
        <v>156060</v>
      </c>
    </row>
    <row r="5656" spans="2:10" x14ac:dyDescent="0.3">
      <c r="B5656" s="7">
        <v>44593</v>
      </c>
      <c r="C5656" s="3">
        <f t="shared" si="176"/>
        <v>2022</v>
      </c>
      <c r="D5656" s="3">
        <f t="shared" si="177"/>
        <v>202202</v>
      </c>
      <c r="E5656" s="5" t="s">
        <v>7</v>
      </c>
      <c r="F5656" s="5" t="s">
        <v>11</v>
      </c>
      <c r="G5656" s="5" t="s">
        <v>39</v>
      </c>
      <c r="H5656">
        <v>32</v>
      </c>
      <c r="I5656" s="4">
        <v>258368</v>
      </c>
      <c r="J5656" s="4">
        <v>97920</v>
      </c>
    </row>
    <row r="5657" spans="2:10" x14ac:dyDescent="0.3">
      <c r="B5657" s="7">
        <v>44621</v>
      </c>
      <c r="C5657" s="3">
        <f t="shared" si="176"/>
        <v>2022</v>
      </c>
      <c r="D5657" s="3">
        <f t="shared" si="177"/>
        <v>202203</v>
      </c>
      <c r="E5657" s="5" t="s">
        <v>7</v>
      </c>
      <c r="F5657" s="5" t="s">
        <v>11</v>
      </c>
      <c r="G5657" s="5" t="s">
        <v>39</v>
      </c>
      <c r="H5657">
        <v>26</v>
      </c>
      <c r="I5657" s="4">
        <v>176696</v>
      </c>
      <c r="J5657" s="4">
        <v>79560</v>
      </c>
    </row>
    <row r="5658" spans="2:10" x14ac:dyDescent="0.3">
      <c r="B5658" s="7">
        <v>44652</v>
      </c>
      <c r="C5658" s="3">
        <f t="shared" si="176"/>
        <v>2022</v>
      </c>
      <c r="D5658" s="3">
        <f t="shared" si="177"/>
        <v>202204</v>
      </c>
      <c r="E5658" s="5" t="s">
        <v>7</v>
      </c>
      <c r="F5658" s="5" t="s">
        <v>11</v>
      </c>
      <c r="G5658" s="5" t="s">
        <v>39</v>
      </c>
      <c r="H5658">
        <v>48</v>
      </c>
      <c r="I5658" s="4">
        <v>379584</v>
      </c>
      <c r="J5658" s="4">
        <v>146880</v>
      </c>
    </row>
    <row r="5659" spans="2:10" x14ac:dyDescent="0.3">
      <c r="B5659" s="7">
        <v>44682</v>
      </c>
      <c r="C5659" s="3">
        <f t="shared" si="176"/>
        <v>2022</v>
      </c>
      <c r="D5659" s="3">
        <f t="shared" si="177"/>
        <v>202205</v>
      </c>
      <c r="E5659" s="5" t="s">
        <v>7</v>
      </c>
      <c r="F5659" s="5" t="s">
        <v>11</v>
      </c>
      <c r="G5659" s="5" t="s">
        <v>39</v>
      </c>
      <c r="H5659">
        <v>61</v>
      </c>
      <c r="I5659" s="4">
        <v>469334</v>
      </c>
      <c r="J5659" s="4">
        <v>186660</v>
      </c>
    </row>
    <row r="5660" spans="2:10" x14ac:dyDescent="0.3">
      <c r="B5660" s="7">
        <v>44713</v>
      </c>
      <c r="C5660" s="3">
        <f t="shared" si="176"/>
        <v>2022</v>
      </c>
      <c r="D5660" s="3">
        <f t="shared" si="177"/>
        <v>202206</v>
      </c>
      <c r="E5660" s="5" t="s">
        <v>7</v>
      </c>
      <c r="F5660" s="5" t="s">
        <v>11</v>
      </c>
      <c r="G5660" s="5" t="s">
        <v>39</v>
      </c>
      <c r="H5660">
        <v>58</v>
      </c>
      <c r="I5660" s="4">
        <v>432158</v>
      </c>
      <c r="J5660" s="4">
        <v>177480</v>
      </c>
    </row>
    <row r="5661" spans="2:10" x14ac:dyDescent="0.3">
      <c r="B5661" s="7">
        <v>44743</v>
      </c>
      <c r="C5661" s="3">
        <f t="shared" si="176"/>
        <v>2022</v>
      </c>
      <c r="D5661" s="3">
        <f t="shared" si="177"/>
        <v>202207</v>
      </c>
      <c r="E5661" s="5" t="s">
        <v>7</v>
      </c>
      <c r="F5661" s="5" t="s">
        <v>11</v>
      </c>
      <c r="G5661" s="5" t="s">
        <v>39</v>
      </c>
      <c r="H5661">
        <v>61</v>
      </c>
      <c r="I5661" s="4">
        <v>372466</v>
      </c>
      <c r="J5661" s="4">
        <v>186660</v>
      </c>
    </row>
    <row r="5662" spans="2:10" x14ac:dyDescent="0.3">
      <c r="B5662" s="7">
        <v>44774</v>
      </c>
      <c r="C5662" s="3">
        <f t="shared" si="176"/>
        <v>2022</v>
      </c>
      <c r="D5662" s="3">
        <f t="shared" si="177"/>
        <v>202208</v>
      </c>
      <c r="E5662" s="5" t="s">
        <v>7</v>
      </c>
      <c r="F5662" s="5" t="s">
        <v>11</v>
      </c>
      <c r="G5662" s="5" t="s">
        <v>39</v>
      </c>
      <c r="H5662">
        <v>51</v>
      </c>
      <c r="I5662" s="4">
        <v>361539</v>
      </c>
      <c r="J5662" s="4">
        <v>156060</v>
      </c>
    </row>
    <row r="5663" spans="2:10" x14ac:dyDescent="0.3">
      <c r="B5663" s="7">
        <v>44805</v>
      </c>
      <c r="C5663" s="3">
        <f t="shared" si="176"/>
        <v>2022</v>
      </c>
      <c r="D5663" s="3">
        <f t="shared" si="177"/>
        <v>202209</v>
      </c>
      <c r="E5663" s="5" t="s">
        <v>7</v>
      </c>
      <c r="F5663" s="5" t="s">
        <v>11</v>
      </c>
      <c r="G5663" s="5" t="s">
        <v>39</v>
      </c>
      <c r="H5663">
        <v>54</v>
      </c>
      <c r="I5663" s="4">
        <v>377514</v>
      </c>
      <c r="J5663" s="4">
        <v>165240</v>
      </c>
    </row>
    <row r="5664" spans="2:10" x14ac:dyDescent="0.3">
      <c r="B5664" s="7">
        <v>44835</v>
      </c>
      <c r="C5664" s="3">
        <f t="shared" si="176"/>
        <v>2022</v>
      </c>
      <c r="D5664" s="3">
        <f t="shared" si="177"/>
        <v>202210</v>
      </c>
      <c r="E5664" s="5" t="s">
        <v>7</v>
      </c>
      <c r="F5664" s="5" t="s">
        <v>11</v>
      </c>
      <c r="G5664" s="5" t="s">
        <v>39</v>
      </c>
      <c r="H5664">
        <v>45</v>
      </c>
      <c r="I5664" s="4">
        <v>322965</v>
      </c>
      <c r="J5664" s="4">
        <v>137700</v>
      </c>
    </row>
    <row r="5665" spans="2:10" x14ac:dyDescent="0.3">
      <c r="B5665" s="7">
        <v>44866</v>
      </c>
      <c r="C5665" s="3">
        <f t="shared" si="176"/>
        <v>2022</v>
      </c>
      <c r="D5665" s="3">
        <f t="shared" si="177"/>
        <v>202211</v>
      </c>
      <c r="E5665" s="5" t="s">
        <v>7</v>
      </c>
      <c r="F5665" s="5" t="s">
        <v>11</v>
      </c>
      <c r="G5665" s="5" t="s">
        <v>39</v>
      </c>
      <c r="H5665">
        <v>32</v>
      </c>
      <c r="I5665" s="4">
        <v>244384</v>
      </c>
      <c r="J5665" s="4">
        <v>97920</v>
      </c>
    </row>
    <row r="5666" spans="2:10" x14ac:dyDescent="0.3">
      <c r="B5666" s="7">
        <v>44896</v>
      </c>
      <c r="C5666" s="3">
        <f t="shared" si="176"/>
        <v>2022</v>
      </c>
      <c r="D5666" s="3">
        <f t="shared" si="177"/>
        <v>202212</v>
      </c>
      <c r="E5666" s="5" t="s">
        <v>7</v>
      </c>
      <c r="F5666" s="5" t="s">
        <v>11</v>
      </c>
      <c r="G5666" s="5" t="s">
        <v>39</v>
      </c>
      <c r="H5666">
        <v>39</v>
      </c>
      <c r="I5666" s="4">
        <v>280839</v>
      </c>
      <c r="J5666" s="4">
        <v>119340</v>
      </c>
    </row>
    <row r="5667" spans="2:10" x14ac:dyDescent="0.3">
      <c r="B5667" s="7">
        <v>44197</v>
      </c>
      <c r="C5667" s="3">
        <f t="shared" si="176"/>
        <v>2021</v>
      </c>
      <c r="D5667" s="3">
        <f t="shared" si="177"/>
        <v>202101</v>
      </c>
      <c r="E5667" s="5" t="s">
        <v>7</v>
      </c>
      <c r="F5667" s="5" t="s">
        <v>11</v>
      </c>
      <c r="G5667" s="5" t="s">
        <v>40</v>
      </c>
      <c r="H5667">
        <v>49</v>
      </c>
      <c r="I5667" s="4">
        <v>429093</v>
      </c>
      <c r="J5667" s="4">
        <v>169344</v>
      </c>
    </row>
    <row r="5668" spans="2:10" x14ac:dyDescent="0.3">
      <c r="B5668" s="7">
        <v>44228</v>
      </c>
      <c r="C5668" s="3">
        <f t="shared" si="176"/>
        <v>2021</v>
      </c>
      <c r="D5668" s="3">
        <f t="shared" si="177"/>
        <v>202102</v>
      </c>
      <c r="E5668" s="5" t="s">
        <v>7</v>
      </c>
      <c r="F5668" s="5" t="s">
        <v>11</v>
      </c>
      <c r="G5668" s="5" t="s">
        <v>40</v>
      </c>
      <c r="H5668">
        <v>31</v>
      </c>
      <c r="I5668" s="4">
        <v>255409</v>
      </c>
      <c r="J5668" s="4">
        <v>107136</v>
      </c>
    </row>
    <row r="5669" spans="2:10" x14ac:dyDescent="0.3">
      <c r="B5669" s="7">
        <v>44256</v>
      </c>
      <c r="C5669" s="3">
        <f t="shared" si="176"/>
        <v>2021</v>
      </c>
      <c r="D5669" s="3">
        <f t="shared" si="177"/>
        <v>202103</v>
      </c>
      <c r="E5669" s="5" t="s">
        <v>7</v>
      </c>
      <c r="F5669" s="5" t="s">
        <v>11</v>
      </c>
      <c r="G5669" s="5" t="s">
        <v>40</v>
      </c>
      <c r="H5669">
        <v>25</v>
      </c>
      <c r="I5669" s="4">
        <v>200525</v>
      </c>
      <c r="J5669" s="4">
        <v>86400</v>
      </c>
    </row>
    <row r="5670" spans="2:10" x14ac:dyDescent="0.3">
      <c r="B5670" s="7">
        <v>44287</v>
      </c>
      <c r="C5670" s="3">
        <f t="shared" si="176"/>
        <v>2021</v>
      </c>
      <c r="D5670" s="3">
        <f t="shared" si="177"/>
        <v>202104</v>
      </c>
      <c r="E5670" s="5" t="s">
        <v>7</v>
      </c>
      <c r="F5670" s="5" t="s">
        <v>11</v>
      </c>
      <c r="G5670" s="5" t="s">
        <v>40</v>
      </c>
      <c r="H5670">
        <v>46</v>
      </c>
      <c r="I5670" s="4">
        <v>423200</v>
      </c>
      <c r="J5670" s="4">
        <v>158976</v>
      </c>
    </row>
    <row r="5671" spans="2:10" x14ac:dyDescent="0.3">
      <c r="B5671" s="7">
        <v>44317</v>
      </c>
      <c r="C5671" s="3">
        <f t="shared" si="176"/>
        <v>2021</v>
      </c>
      <c r="D5671" s="3">
        <f t="shared" si="177"/>
        <v>202105</v>
      </c>
      <c r="E5671" s="5" t="s">
        <v>7</v>
      </c>
      <c r="F5671" s="5" t="s">
        <v>11</v>
      </c>
      <c r="G5671" s="5" t="s">
        <v>40</v>
      </c>
      <c r="H5671">
        <v>58</v>
      </c>
      <c r="I5671" s="4">
        <v>495610</v>
      </c>
      <c r="J5671" s="4">
        <v>200448</v>
      </c>
    </row>
    <row r="5672" spans="2:10" x14ac:dyDescent="0.3">
      <c r="B5672" s="7">
        <v>44348</v>
      </c>
      <c r="C5672" s="3">
        <f t="shared" si="176"/>
        <v>2021</v>
      </c>
      <c r="D5672" s="3">
        <f t="shared" si="177"/>
        <v>202106</v>
      </c>
      <c r="E5672" s="5" t="s">
        <v>7</v>
      </c>
      <c r="F5672" s="5" t="s">
        <v>11</v>
      </c>
      <c r="G5672" s="5" t="s">
        <v>40</v>
      </c>
      <c r="H5672">
        <v>55</v>
      </c>
      <c r="I5672" s="4">
        <v>449955</v>
      </c>
      <c r="J5672" s="4">
        <v>190080</v>
      </c>
    </row>
    <row r="5673" spans="2:10" x14ac:dyDescent="0.3">
      <c r="B5673" s="7">
        <v>44378</v>
      </c>
      <c r="C5673" s="3">
        <f t="shared" si="176"/>
        <v>2021</v>
      </c>
      <c r="D5673" s="3">
        <f t="shared" si="177"/>
        <v>202107</v>
      </c>
      <c r="E5673" s="5" t="s">
        <v>7</v>
      </c>
      <c r="F5673" s="5" t="s">
        <v>11</v>
      </c>
      <c r="G5673" s="5" t="s">
        <v>40</v>
      </c>
      <c r="H5673">
        <v>58</v>
      </c>
      <c r="I5673" s="4">
        <v>376014</v>
      </c>
      <c r="J5673" s="4">
        <v>200448</v>
      </c>
    </row>
    <row r="5674" spans="2:10" x14ac:dyDescent="0.3">
      <c r="B5674" s="7">
        <v>44409</v>
      </c>
      <c r="C5674" s="3">
        <f t="shared" si="176"/>
        <v>2021</v>
      </c>
      <c r="D5674" s="3">
        <f t="shared" si="177"/>
        <v>202108</v>
      </c>
      <c r="E5674" s="5" t="s">
        <v>7</v>
      </c>
      <c r="F5674" s="5" t="s">
        <v>11</v>
      </c>
      <c r="G5674" s="5" t="s">
        <v>40</v>
      </c>
      <c r="H5674">
        <v>49</v>
      </c>
      <c r="I5674" s="4">
        <v>381073</v>
      </c>
      <c r="J5674" s="4">
        <v>169344</v>
      </c>
    </row>
    <row r="5675" spans="2:10" x14ac:dyDescent="0.3">
      <c r="B5675" s="7">
        <v>44440</v>
      </c>
      <c r="C5675" s="3">
        <f t="shared" si="176"/>
        <v>2021</v>
      </c>
      <c r="D5675" s="3">
        <f t="shared" si="177"/>
        <v>202109</v>
      </c>
      <c r="E5675" s="5" t="s">
        <v>7</v>
      </c>
      <c r="F5675" s="5" t="s">
        <v>11</v>
      </c>
      <c r="G5675" s="5" t="s">
        <v>40</v>
      </c>
      <c r="H5675">
        <v>52</v>
      </c>
      <c r="I5675" s="4">
        <v>442052</v>
      </c>
      <c r="J5675" s="4">
        <v>179712</v>
      </c>
    </row>
    <row r="5676" spans="2:10" x14ac:dyDescent="0.3">
      <c r="B5676" s="7">
        <v>44470</v>
      </c>
      <c r="C5676" s="3">
        <f t="shared" si="176"/>
        <v>2021</v>
      </c>
      <c r="D5676" s="3">
        <f t="shared" si="177"/>
        <v>202110</v>
      </c>
      <c r="E5676" s="5" t="s">
        <v>7</v>
      </c>
      <c r="F5676" s="5" t="s">
        <v>11</v>
      </c>
      <c r="G5676" s="5" t="s">
        <v>40</v>
      </c>
      <c r="H5676">
        <v>43</v>
      </c>
      <c r="I5676" s="4">
        <v>390569</v>
      </c>
      <c r="J5676" s="4">
        <v>148608</v>
      </c>
    </row>
    <row r="5677" spans="2:10" x14ac:dyDescent="0.3">
      <c r="B5677" s="7">
        <v>44501</v>
      </c>
      <c r="C5677" s="3">
        <f t="shared" si="176"/>
        <v>2021</v>
      </c>
      <c r="D5677" s="3">
        <f t="shared" si="177"/>
        <v>202111</v>
      </c>
      <c r="E5677" s="5" t="s">
        <v>7</v>
      </c>
      <c r="F5677" s="5" t="s">
        <v>11</v>
      </c>
      <c r="G5677" s="5" t="s">
        <v>40</v>
      </c>
      <c r="H5677">
        <v>31</v>
      </c>
      <c r="I5677" s="4">
        <v>261826</v>
      </c>
      <c r="J5677" s="4">
        <v>107136</v>
      </c>
    </row>
    <row r="5678" spans="2:10" x14ac:dyDescent="0.3">
      <c r="B5678" s="7">
        <v>44531</v>
      </c>
      <c r="C5678" s="3">
        <f t="shared" si="176"/>
        <v>2021</v>
      </c>
      <c r="D5678" s="3">
        <f t="shared" si="177"/>
        <v>202112</v>
      </c>
      <c r="E5678" s="5" t="s">
        <v>7</v>
      </c>
      <c r="F5678" s="5" t="s">
        <v>11</v>
      </c>
      <c r="G5678" s="5" t="s">
        <v>40</v>
      </c>
      <c r="H5678">
        <v>37</v>
      </c>
      <c r="I5678" s="4">
        <v>301883</v>
      </c>
      <c r="J5678" s="4">
        <v>127872</v>
      </c>
    </row>
    <row r="5679" spans="2:10" x14ac:dyDescent="0.3">
      <c r="B5679" s="7">
        <v>44562</v>
      </c>
      <c r="C5679" s="3">
        <f t="shared" si="176"/>
        <v>2022</v>
      </c>
      <c r="D5679" s="3">
        <f t="shared" si="177"/>
        <v>202201</v>
      </c>
      <c r="E5679" s="5" t="s">
        <v>7</v>
      </c>
      <c r="F5679" s="5" t="s">
        <v>11</v>
      </c>
      <c r="G5679" s="5" t="s">
        <v>40</v>
      </c>
      <c r="H5679">
        <v>53</v>
      </c>
      <c r="I5679" s="4">
        <v>463538</v>
      </c>
      <c r="J5679" s="4">
        <v>183168</v>
      </c>
    </row>
    <row r="5680" spans="2:10" x14ac:dyDescent="0.3">
      <c r="B5680" s="7">
        <v>44593</v>
      </c>
      <c r="C5680" s="3">
        <f t="shared" si="176"/>
        <v>2022</v>
      </c>
      <c r="D5680" s="3">
        <f t="shared" si="177"/>
        <v>202202</v>
      </c>
      <c r="E5680" s="5" t="s">
        <v>7</v>
      </c>
      <c r="F5680" s="5" t="s">
        <v>11</v>
      </c>
      <c r="G5680" s="5" t="s">
        <v>40</v>
      </c>
      <c r="H5680">
        <v>34</v>
      </c>
      <c r="I5680" s="4">
        <v>282064</v>
      </c>
      <c r="J5680" s="4">
        <v>117504</v>
      </c>
    </row>
    <row r="5681" spans="2:10" x14ac:dyDescent="0.3">
      <c r="B5681" s="7">
        <v>44621</v>
      </c>
      <c r="C5681" s="3">
        <f t="shared" si="176"/>
        <v>2022</v>
      </c>
      <c r="D5681" s="3">
        <f t="shared" si="177"/>
        <v>202203</v>
      </c>
      <c r="E5681" s="5" t="s">
        <v>7</v>
      </c>
      <c r="F5681" s="5" t="s">
        <v>11</v>
      </c>
      <c r="G5681" s="5" t="s">
        <v>40</v>
      </c>
      <c r="H5681">
        <v>27</v>
      </c>
      <c r="I5681" s="4">
        <v>220563</v>
      </c>
      <c r="J5681" s="4">
        <v>93312</v>
      </c>
    </row>
    <row r="5682" spans="2:10" x14ac:dyDescent="0.3">
      <c r="B5682" s="7">
        <v>44652</v>
      </c>
      <c r="C5682" s="3">
        <f t="shared" si="176"/>
        <v>2022</v>
      </c>
      <c r="D5682" s="3">
        <f t="shared" si="177"/>
        <v>202204</v>
      </c>
      <c r="E5682" s="5" t="s">
        <v>7</v>
      </c>
      <c r="F5682" s="5" t="s">
        <v>11</v>
      </c>
      <c r="G5682" s="5" t="s">
        <v>40</v>
      </c>
      <c r="H5682">
        <v>50</v>
      </c>
      <c r="I5682" s="4">
        <v>415250</v>
      </c>
      <c r="J5682" s="4">
        <v>172800</v>
      </c>
    </row>
    <row r="5683" spans="2:10" x14ac:dyDescent="0.3">
      <c r="B5683" s="7">
        <v>44682</v>
      </c>
      <c r="C5683" s="3">
        <f t="shared" si="176"/>
        <v>2022</v>
      </c>
      <c r="D5683" s="3">
        <f t="shared" si="177"/>
        <v>202205</v>
      </c>
      <c r="E5683" s="5" t="s">
        <v>7</v>
      </c>
      <c r="F5683" s="5" t="s">
        <v>11</v>
      </c>
      <c r="G5683" s="5" t="s">
        <v>40</v>
      </c>
      <c r="H5683">
        <v>63</v>
      </c>
      <c r="I5683" s="4">
        <v>593460</v>
      </c>
      <c r="J5683" s="4">
        <v>217728</v>
      </c>
    </row>
    <row r="5684" spans="2:10" x14ac:dyDescent="0.3">
      <c r="B5684" s="7">
        <v>44713</v>
      </c>
      <c r="C5684" s="3">
        <f t="shared" si="176"/>
        <v>2022</v>
      </c>
      <c r="D5684" s="3">
        <f t="shared" si="177"/>
        <v>202206</v>
      </c>
      <c r="E5684" s="5" t="s">
        <v>7</v>
      </c>
      <c r="F5684" s="5" t="s">
        <v>11</v>
      </c>
      <c r="G5684" s="5" t="s">
        <v>40</v>
      </c>
      <c r="H5684">
        <v>60</v>
      </c>
      <c r="I5684" s="4">
        <v>505200</v>
      </c>
      <c r="J5684" s="4">
        <v>207360</v>
      </c>
    </row>
    <row r="5685" spans="2:10" x14ac:dyDescent="0.3">
      <c r="B5685" s="7">
        <v>44743</v>
      </c>
      <c r="C5685" s="3">
        <f t="shared" si="176"/>
        <v>2022</v>
      </c>
      <c r="D5685" s="3">
        <f t="shared" si="177"/>
        <v>202207</v>
      </c>
      <c r="E5685" s="5" t="s">
        <v>7</v>
      </c>
      <c r="F5685" s="5" t="s">
        <v>11</v>
      </c>
      <c r="G5685" s="5" t="s">
        <v>40</v>
      </c>
      <c r="H5685">
        <v>63</v>
      </c>
      <c r="I5685" s="4">
        <v>459900</v>
      </c>
      <c r="J5685" s="4">
        <v>217728</v>
      </c>
    </row>
    <row r="5686" spans="2:10" x14ac:dyDescent="0.3">
      <c r="B5686" s="7">
        <v>44774</v>
      </c>
      <c r="C5686" s="3">
        <f t="shared" si="176"/>
        <v>2022</v>
      </c>
      <c r="D5686" s="3">
        <f t="shared" si="177"/>
        <v>202208</v>
      </c>
      <c r="E5686" s="5" t="s">
        <v>7</v>
      </c>
      <c r="F5686" s="5" t="s">
        <v>11</v>
      </c>
      <c r="G5686" s="5" t="s">
        <v>40</v>
      </c>
      <c r="H5686">
        <v>53</v>
      </c>
      <c r="I5686" s="4">
        <v>434123</v>
      </c>
      <c r="J5686" s="4">
        <v>183168</v>
      </c>
    </row>
    <row r="5687" spans="2:10" x14ac:dyDescent="0.3">
      <c r="B5687" s="7">
        <v>44805</v>
      </c>
      <c r="C5687" s="3">
        <f t="shared" si="176"/>
        <v>2022</v>
      </c>
      <c r="D5687" s="3">
        <f t="shared" si="177"/>
        <v>202209</v>
      </c>
      <c r="E5687" s="5" t="s">
        <v>7</v>
      </c>
      <c r="F5687" s="5" t="s">
        <v>11</v>
      </c>
      <c r="G5687" s="5" t="s">
        <v>40</v>
      </c>
      <c r="H5687">
        <v>57</v>
      </c>
      <c r="I5687" s="4">
        <v>466659</v>
      </c>
      <c r="J5687" s="4">
        <v>196992</v>
      </c>
    </row>
    <row r="5688" spans="2:10" x14ac:dyDescent="0.3">
      <c r="B5688" s="7">
        <v>44835</v>
      </c>
      <c r="C5688" s="3">
        <f t="shared" si="176"/>
        <v>2022</v>
      </c>
      <c r="D5688" s="3">
        <f t="shared" si="177"/>
        <v>202210</v>
      </c>
      <c r="E5688" s="5" t="s">
        <v>7</v>
      </c>
      <c r="F5688" s="5" t="s">
        <v>11</v>
      </c>
      <c r="G5688" s="5" t="s">
        <v>40</v>
      </c>
      <c r="H5688">
        <v>47</v>
      </c>
      <c r="I5688" s="4">
        <v>404952</v>
      </c>
      <c r="J5688" s="4">
        <v>162432</v>
      </c>
    </row>
    <row r="5689" spans="2:10" x14ac:dyDescent="0.3">
      <c r="B5689" s="7">
        <v>44866</v>
      </c>
      <c r="C5689" s="3">
        <f t="shared" si="176"/>
        <v>2022</v>
      </c>
      <c r="D5689" s="3">
        <f t="shared" si="177"/>
        <v>202211</v>
      </c>
      <c r="E5689" s="5" t="s">
        <v>7</v>
      </c>
      <c r="F5689" s="5" t="s">
        <v>11</v>
      </c>
      <c r="G5689" s="5" t="s">
        <v>40</v>
      </c>
      <c r="H5689">
        <v>34</v>
      </c>
      <c r="I5689" s="4">
        <v>295664</v>
      </c>
      <c r="J5689" s="4">
        <v>117504</v>
      </c>
    </row>
    <row r="5690" spans="2:10" x14ac:dyDescent="0.3">
      <c r="B5690" s="7">
        <v>44896</v>
      </c>
      <c r="C5690" s="3">
        <f t="shared" si="176"/>
        <v>2022</v>
      </c>
      <c r="D5690" s="3">
        <f t="shared" si="177"/>
        <v>202212</v>
      </c>
      <c r="E5690" s="5" t="s">
        <v>7</v>
      </c>
      <c r="F5690" s="5" t="s">
        <v>11</v>
      </c>
      <c r="G5690" s="5" t="s">
        <v>40</v>
      </c>
      <c r="H5690">
        <v>40</v>
      </c>
      <c r="I5690" s="4">
        <v>322920</v>
      </c>
      <c r="J5690" s="4">
        <v>138240</v>
      </c>
    </row>
    <row r="5691" spans="2:10" x14ac:dyDescent="0.3">
      <c r="B5691" s="7">
        <v>44197</v>
      </c>
      <c r="C5691" s="3">
        <f t="shared" si="176"/>
        <v>2021</v>
      </c>
      <c r="D5691" s="3">
        <f t="shared" si="177"/>
        <v>202101</v>
      </c>
      <c r="E5691" s="5" t="s">
        <v>7</v>
      </c>
      <c r="F5691" s="5" t="s">
        <v>11</v>
      </c>
      <c r="G5691" s="5" t="s">
        <v>41</v>
      </c>
      <c r="H5691">
        <v>50</v>
      </c>
      <c r="I5691" s="4">
        <v>526100</v>
      </c>
      <c r="J5691" s="4">
        <v>259350</v>
      </c>
    </row>
    <row r="5692" spans="2:10" x14ac:dyDescent="0.3">
      <c r="B5692" s="7">
        <v>44228</v>
      </c>
      <c r="C5692" s="3">
        <f t="shared" si="176"/>
        <v>2021</v>
      </c>
      <c r="D5692" s="3">
        <f t="shared" si="177"/>
        <v>202102</v>
      </c>
      <c r="E5692" s="5" t="s">
        <v>7</v>
      </c>
      <c r="F5692" s="5" t="s">
        <v>11</v>
      </c>
      <c r="G5692" s="5" t="s">
        <v>41</v>
      </c>
      <c r="H5692">
        <v>32</v>
      </c>
      <c r="I5692" s="4">
        <v>320800</v>
      </c>
      <c r="J5692" s="4">
        <v>165984</v>
      </c>
    </row>
    <row r="5693" spans="2:10" x14ac:dyDescent="0.3">
      <c r="B5693" s="7">
        <v>44256</v>
      </c>
      <c r="C5693" s="3">
        <f t="shared" si="176"/>
        <v>2021</v>
      </c>
      <c r="D5693" s="3">
        <f t="shared" si="177"/>
        <v>202103</v>
      </c>
      <c r="E5693" s="5" t="s">
        <v>7</v>
      </c>
      <c r="F5693" s="5" t="s">
        <v>11</v>
      </c>
      <c r="G5693" s="5" t="s">
        <v>41</v>
      </c>
      <c r="H5693">
        <v>25</v>
      </c>
      <c r="I5693" s="4">
        <v>232925</v>
      </c>
      <c r="J5693" s="4">
        <v>129675</v>
      </c>
    </row>
    <row r="5694" spans="2:10" x14ac:dyDescent="0.3">
      <c r="B5694" s="7">
        <v>44287</v>
      </c>
      <c r="C5694" s="3">
        <f t="shared" si="176"/>
        <v>2021</v>
      </c>
      <c r="D5694" s="3">
        <f t="shared" si="177"/>
        <v>202104</v>
      </c>
      <c r="E5694" s="5" t="s">
        <v>7</v>
      </c>
      <c r="F5694" s="5" t="s">
        <v>11</v>
      </c>
      <c r="G5694" s="5" t="s">
        <v>41</v>
      </c>
      <c r="H5694">
        <v>47</v>
      </c>
      <c r="I5694" s="4">
        <v>504404</v>
      </c>
      <c r="J5694" s="4">
        <v>243789</v>
      </c>
    </row>
    <row r="5695" spans="2:10" x14ac:dyDescent="0.3">
      <c r="B5695" s="7">
        <v>44317</v>
      </c>
      <c r="C5695" s="3">
        <f t="shared" si="176"/>
        <v>2021</v>
      </c>
      <c r="D5695" s="3">
        <f t="shared" si="177"/>
        <v>202105</v>
      </c>
      <c r="E5695" s="5" t="s">
        <v>7</v>
      </c>
      <c r="F5695" s="5" t="s">
        <v>11</v>
      </c>
      <c r="G5695" s="5" t="s">
        <v>41</v>
      </c>
      <c r="H5695">
        <v>59</v>
      </c>
      <c r="I5695" s="4">
        <v>647289</v>
      </c>
      <c r="J5695" s="4">
        <v>306033</v>
      </c>
    </row>
    <row r="5696" spans="2:10" x14ac:dyDescent="0.3">
      <c r="B5696" s="7">
        <v>44348</v>
      </c>
      <c r="C5696" s="3">
        <f t="shared" si="176"/>
        <v>2021</v>
      </c>
      <c r="D5696" s="3">
        <f t="shared" si="177"/>
        <v>202106</v>
      </c>
      <c r="E5696" s="5" t="s">
        <v>7</v>
      </c>
      <c r="F5696" s="5" t="s">
        <v>11</v>
      </c>
      <c r="G5696" s="5" t="s">
        <v>41</v>
      </c>
      <c r="H5696">
        <v>56</v>
      </c>
      <c r="I5696" s="4">
        <v>594944</v>
      </c>
      <c r="J5696" s="4">
        <v>290472</v>
      </c>
    </row>
    <row r="5697" spans="2:10" x14ac:dyDescent="0.3">
      <c r="B5697" s="7">
        <v>44378</v>
      </c>
      <c r="C5697" s="3">
        <f t="shared" si="176"/>
        <v>2021</v>
      </c>
      <c r="D5697" s="3">
        <f t="shared" si="177"/>
        <v>202107</v>
      </c>
      <c r="E5697" s="5" t="s">
        <v>7</v>
      </c>
      <c r="F5697" s="5" t="s">
        <v>11</v>
      </c>
      <c r="G5697" s="5" t="s">
        <v>41</v>
      </c>
      <c r="H5697">
        <v>59</v>
      </c>
      <c r="I5697" s="4">
        <v>530292</v>
      </c>
      <c r="J5697" s="4">
        <v>306033</v>
      </c>
    </row>
    <row r="5698" spans="2:10" x14ac:dyDescent="0.3">
      <c r="B5698" s="7">
        <v>44409</v>
      </c>
      <c r="C5698" s="3">
        <f t="shared" si="176"/>
        <v>2021</v>
      </c>
      <c r="D5698" s="3">
        <f t="shared" si="177"/>
        <v>202108</v>
      </c>
      <c r="E5698" s="5" t="s">
        <v>7</v>
      </c>
      <c r="F5698" s="5" t="s">
        <v>11</v>
      </c>
      <c r="G5698" s="5" t="s">
        <v>41</v>
      </c>
      <c r="H5698">
        <v>50</v>
      </c>
      <c r="I5698" s="4">
        <v>475550</v>
      </c>
      <c r="J5698" s="4">
        <v>259350</v>
      </c>
    </row>
    <row r="5699" spans="2:10" x14ac:dyDescent="0.3">
      <c r="B5699" s="7">
        <v>44440</v>
      </c>
      <c r="C5699" s="3">
        <f t="shared" ref="C5699:C5762" si="178">YEAR(B5699)</f>
        <v>2021</v>
      </c>
      <c r="D5699" s="3">
        <f t="shared" ref="D5699:D5762" si="179">VALUE(TEXT(B5699,"ГГГГММ"))</f>
        <v>202109</v>
      </c>
      <c r="E5699" s="5" t="s">
        <v>7</v>
      </c>
      <c r="F5699" s="5" t="s">
        <v>11</v>
      </c>
      <c r="G5699" s="5" t="s">
        <v>41</v>
      </c>
      <c r="H5699">
        <v>53</v>
      </c>
      <c r="I5699" s="4">
        <v>533922</v>
      </c>
      <c r="J5699" s="4">
        <v>274911</v>
      </c>
    </row>
    <row r="5700" spans="2:10" x14ac:dyDescent="0.3">
      <c r="B5700" s="7">
        <v>44470</v>
      </c>
      <c r="C5700" s="3">
        <f t="shared" si="178"/>
        <v>2021</v>
      </c>
      <c r="D5700" s="3">
        <f t="shared" si="179"/>
        <v>202110</v>
      </c>
      <c r="E5700" s="5" t="s">
        <v>7</v>
      </c>
      <c r="F5700" s="5" t="s">
        <v>11</v>
      </c>
      <c r="G5700" s="5" t="s">
        <v>41</v>
      </c>
      <c r="H5700">
        <v>44</v>
      </c>
      <c r="I5700" s="4">
        <v>467280</v>
      </c>
      <c r="J5700" s="4">
        <v>228228</v>
      </c>
    </row>
    <row r="5701" spans="2:10" x14ac:dyDescent="0.3">
      <c r="B5701" s="7">
        <v>44501</v>
      </c>
      <c r="C5701" s="3">
        <f t="shared" si="178"/>
        <v>2021</v>
      </c>
      <c r="D5701" s="3">
        <f t="shared" si="179"/>
        <v>202111</v>
      </c>
      <c r="E5701" s="5" t="s">
        <v>7</v>
      </c>
      <c r="F5701" s="5" t="s">
        <v>11</v>
      </c>
      <c r="G5701" s="5" t="s">
        <v>41</v>
      </c>
      <c r="H5701">
        <v>32</v>
      </c>
      <c r="I5701" s="4">
        <v>309344</v>
      </c>
      <c r="J5701" s="4">
        <v>165984</v>
      </c>
    </row>
    <row r="5702" spans="2:10" x14ac:dyDescent="0.3">
      <c r="B5702" s="7">
        <v>44531</v>
      </c>
      <c r="C5702" s="3">
        <f t="shared" si="178"/>
        <v>2021</v>
      </c>
      <c r="D5702" s="3">
        <f t="shared" si="179"/>
        <v>202112</v>
      </c>
      <c r="E5702" s="5" t="s">
        <v>7</v>
      </c>
      <c r="F5702" s="5" t="s">
        <v>11</v>
      </c>
      <c r="G5702" s="5" t="s">
        <v>41</v>
      </c>
      <c r="H5702">
        <v>38</v>
      </c>
      <c r="I5702" s="4">
        <v>366282</v>
      </c>
      <c r="J5702" s="4">
        <v>197106</v>
      </c>
    </row>
    <row r="5703" spans="2:10" x14ac:dyDescent="0.3">
      <c r="B5703" s="7">
        <v>44562</v>
      </c>
      <c r="C5703" s="3">
        <f t="shared" si="178"/>
        <v>2022</v>
      </c>
      <c r="D5703" s="3">
        <f t="shared" si="179"/>
        <v>202201</v>
      </c>
      <c r="E5703" s="5" t="s">
        <v>7</v>
      </c>
      <c r="F5703" s="5" t="s">
        <v>11</v>
      </c>
      <c r="G5703" s="5" t="s">
        <v>41</v>
      </c>
      <c r="H5703">
        <v>55</v>
      </c>
      <c r="I5703" s="4">
        <v>560395</v>
      </c>
      <c r="J5703" s="4">
        <v>285285</v>
      </c>
    </row>
    <row r="5704" spans="2:10" x14ac:dyDescent="0.3">
      <c r="B5704" s="7">
        <v>44593</v>
      </c>
      <c r="C5704" s="3">
        <f t="shared" si="178"/>
        <v>2022</v>
      </c>
      <c r="D5704" s="3">
        <f t="shared" si="179"/>
        <v>202202</v>
      </c>
      <c r="E5704" s="5" t="s">
        <v>7</v>
      </c>
      <c r="F5704" s="5" t="s">
        <v>11</v>
      </c>
      <c r="G5704" s="5" t="s">
        <v>41</v>
      </c>
      <c r="H5704">
        <v>35</v>
      </c>
      <c r="I5704" s="4">
        <v>357630</v>
      </c>
      <c r="J5704" s="4">
        <v>181545</v>
      </c>
    </row>
    <row r="5705" spans="2:10" x14ac:dyDescent="0.3">
      <c r="B5705" s="7">
        <v>44621</v>
      </c>
      <c r="C5705" s="3">
        <f t="shared" si="178"/>
        <v>2022</v>
      </c>
      <c r="D5705" s="3">
        <f t="shared" si="179"/>
        <v>202203</v>
      </c>
      <c r="E5705" s="5" t="s">
        <v>7</v>
      </c>
      <c r="F5705" s="5" t="s">
        <v>11</v>
      </c>
      <c r="G5705" s="5" t="s">
        <v>41</v>
      </c>
      <c r="H5705">
        <v>28</v>
      </c>
      <c r="I5705" s="4">
        <v>294952</v>
      </c>
      <c r="J5705" s="4">
        <v>145236</v>
      </c>
    </row>
    <row r="5706" spans="2:10" x14ac:dyDescent="0.3">
      <c r="B5706" s="7">
        <v>44652</v>
      </c>
      <c r="C5706" s="3">
        <f t="shared" si="178"/>
        <v>2022</v>
      </c>
      <c r="D5706" s="3">
        <f t="shared" si="179"/>
        <v>202204</v>
      </c>
      <c r="E5706" s="5" t="s">
        <v>7</v>
      </c>
      <c r="F5706" s="5" t="s">
        <v>11</v>
      </c>
      <c r="G5706" s="5" t="s">
        <v>41</v>
      </c>
      <c r="H5706">
        <v>52</v>
      </c>
      <c r="I5706" s="4">
        <v>551824</v>
      </c>
      <c r="J5706" s="4">
        <v>269724</v>
      </c>
    </row>
    <row r="5707" spans="2:10" x14ac:dyDescent="0.3">
      <c r="B5707" s="7">
        <v>44682</v>
      </c>
      <c r="C5707" s="3">
        <f t="shared" si="178"/>
        <v>2022</v>
      </c>
      <c r="D5707" s="3">
        <f t="shared" si="179"/>
        <v>202205</v>
      </c>
      <c r="E5707" s="5" t="s">
        <v>7</v>
      </c>
      <c r="F5707" s="5" t="s">
        <v>11</v>
      </c>
      <c r="G5707" s="5" t="s">
        <v>41</v>
      </c>
      <c r="H5707">
        <v>65</v>
      </c>
      <c r="I5707" s="4">
        <v>696410</v>
      </c>
      <c r="J5707" s="4">
        <v>337155</v>
      </c>
    </row>
    <row r="5708" spans="2:10" x14ac:dyDescent="0.3">
      <c r="B5708" s="7">
        <v>44713</v>
      </c>
      <c r="C5708" s="3">
        <f t="shared" si="178"/>
        <v>2022</v>
      </c>
      <c r="D5708" s="3">
        <f t="shared" si="179"/>
        <v>202206</v>
      </c>
      <c r="E5708" s="5" t="s">
        <v>7</v>
      </c>
      <c r="F5708" s="5" t="s">
        <v>11</v>
      </c>
      <c r="G5708" s="5" t="s">
        <v>41</v>
      </c>
      <c r="H5708">
        <v>62</v>
      </c>
      <c r="I5708" s="4">
        <v>664020</v>
      </c>
      <c r="J5708" s="4">
        <v>321594</v>
      </c>
    </row>
    <row r="5709" spans="2:10" x14ac:dyDescent="0.3">
      <c r="B5709" s="7">
        <v>44743</v>
      </c>
      <c r="C5709" s="3">
        <f t="shared" si="178"/>
        <v>2022</v>
      </c>
      <c r="D5709" s="3">
        <f t="shared" si="179"/>
        <v>202207</v>
      </c>
      <c r="E5709" s="5" t="s">
        <v>7</v>
      </c>
      <c r="F5709" s="5" t="s">
        <v>11</v>
      </c>
      <c r="G5709" s="5" t="s">
        <v>41</v>
      </c>
      <c r="H5709">
        <v>65</v>
      </c>
      <c r="I5709" s="4">
        <v>603265</v>
      </c>
      <c r="J5709" s="4">
        <v>337155</v>
      </c>
    </row>
    <row r="5710" spans="2:10" x14ac:dyDescent="0.3">
      <c r="B5710" s="7">
        <v>44774</v>
      </c>
      <c r="C5710" s="3">
        <f t="shared" si="178"/>
        <v>2022</v>
      </c>
      <c r="D5710" s="3">
        <f t="shared" si="179"/>
        <v>202208</v>
      </c>
      <c r="E5710" s="5" t="s">
        <v>7</v>
      </c>
      <c r="F5710" s="5" t="s">
        <v>11</v>
      </c>
      <c r="G5710" s="5" t="s">
        <v>41</v>
      </c>
      <c r="H5710">
        <v>55</v>
      </c>
      <c r="I5710" s="4">
        <v>522225</v>
      </c>
      <c r="J5710" s="4">
        <v>285285</v>
      </c>
    </row>
    <row r="5711" spans="2:10" x14ac:dyDescent="0.3">
      <c r="B5711" s="7">
        <v>44805</v>
      </c>
      <c r="C5711" s="3">
        <f t="shared" si="178"/>
        <v>2022</v>
      </c>
      <c r="D5711" s="3">
        <f t="shared" si="179"/>
        <v>202209</v>
      </c>
      <c r="E5711" s="5" t="s">
        <v>7</v>
      </c>
      <c r="F5711" s="5" t="s">
        <v>11</v>
      </c>
      <c r="G5711" s="5" t="s">
        <v>41</v>
      </c>
      <c r="H5711">
        <v>59</v>
      </c>
      <c r="I5711" s="4">
        <v>587522</v>
      </c>
      <c r="J5711" s="4">
        <v>306033</v>
      </c>
    </row>
    <row r="5712" spans="2:10" x14ac:dyDescent="0.3">
      <c r="B5712" s="7">
        <v>44835</v>
      </c>
      <c r="C5712" s="3">
        <f t="shared" si="178"/>
        <v>2022</v>
      </c>
      <c r="D5712" s="3">
        <f t="shared" si="179"/>
        <v>202210</v>
      </c>
      <c r="E5712" s="5" t="s">
        <v>7</v>
      </c>
      <c r="F5712" s="5" t="s">
        <v>11</v>
      </c>
      <c r="G5712" s="5" t="s">
        <v>41</v>
      </c>
      <c r="H5712">
        <v>48</v>
      </c>
      <c r="I5712" s="4">
        <v>524592</v>
      </c>
      <c r="J5712" s="4">
        <v>248976</v>
      </c>
    </row>
    <row r="5713" spans="2:10" x14ac:dyDescent="0.3">
      <c r="B5713" s="7">
        <v>44866</v>
      </c>
      <c r="C5713" s="3">
        <f t="shared" si="178"/>
        <v>2022</v>
      </c>
      <c r="D5713" s="3">
        <f t="shared" si="179"/>
        <v>202211</v>
      </c>
      <c r="E5713" s="5" t="s">
        <v>7</v>
      </c>
      <c r="F5713" s="5" t="s">
        <v>11</v>
      </c>
      <c r="G5713" s="5" t="s">
        <v>41</v>
      </c>
      <c r="H5713">
        <v>35</v>
      </c>
      <c r="I5713" s="4">
        <v>351225</v>
      </c>
      <c r="J5713" s="4">
        <v>181545</v>
      </c>
    </row>
    <row r="5714" spans="2:10" x14ac:dyDescent="0.3">
      <c r="B5714" s="7">
        <v>44896</v>
      </c>
      <c r="C5714" s="3">
        <f t="shared" si="178"/>
        <v>2022</v>
      </c>
      <c r="D5714" s="3">
        <f t="shared" si="179"/>
        <v>202212</v>
      </c>
      <c r="E5714" s="5" t="s">
        <v>7</v>
      </c>
      <c r="F5714" s="5" t="s">
        <v>11</v>
      </c>
      <c r="G5714" s="5" t="s">
        <v>41</v>
      </c>
      <c r="H5714">
        <v>41</v>
      </c>
      <c r="I5714" s="4">
        <v>420619</v>
      </c>
      <c r="J5714" s="4">
        <v>212667</v>
      </c>
    </row>
    <row r="5715" spans="2:10" x14ac:dyDescent="0.3">
      <c r="B5715" s="7">
        <v>44197</v>
      </c>
      <c r="C5715" s="3">
        <f t="shared" si="178"/>
        <v>2021</v>
      </c>
      <c r="D5715" s="3">
        <f t="shared" si="179"/>
        <v>202101</v>
      </c>
      <c r="E5715" s="5" t="s">
        <v>7</v>
      </c>
      <c r="F5715" s="5" t="s">
        <v>12</v>
      </c>
      <c r="G5715" s="5" t="s">
        <v>42</v>
      </c>
      <c r="H5715">
        <v>54</v>
      </c>
      <c r="I5715" s="4">
        <v>727326</v>
      </c>
      <c r="J5715" s="4">
        <v>324000</v>
      </c>
    </row>
    <row r="5716" spans="2:10" x14ac:dyDescent="0.3">
      <c r="B5716" s="7">
        <v>44228</v>
      </c>
      <c r="C5716" s="3">
        <f t="shared" si="178"/>
        <v>2021</v>
      </c>
      <c r="D5716" s="3">
        <f t="shared" si="179"/>
        <v>202102</v>
      </c>
      <c r="E5716" s="5" t="s">
        <v>7</v>
      </c>
      <c r="F5716" s="5" t="s">
        <v>12</v>
      </c>
      <c r="G5716" s="5" t="s">
        <v>42</v>
      </c>
      <c r="H5716">
        <v>34</v>
      </c>
      <c r="I5716" s="4">
        <v>468010</v>
      </c>
      <c r="J5716" s="4">
        <v>204000</v>
      </c>
    </row>
    <row r="5717" spans="2:10" x14ac:dyDescent="0.3">
      <c r="B5717" s="7">
        <v>44256</v>
      </c>
      <c r="C5717" s="3">
        <f t="shared" si="178"/>
        <v>2021</v>
      </c>
      <c r="D5717" s="3">
        <f t="shared" si="179"/>
        <v>202103</v>
      </c>
      <c r="E5717" s="5" t="s">
        <v>7</v>
      </c>
      <c r="F5717" s="5" t="s">
        <v>12</v>
      </c>
      <c r="G5717" s="5" t="s">
        <v>42</v>
      </c>
      <c r="H5717">
        <v>27</v>
      </c>
      <c r="I5717" s="4">
        <v>332910</v>
      </c>
      <c r="J5717" s="4">
        <v>162000</v>
      </c>
    </row>
    <row r="5718" spans="2:10" x14ac:dyDescent="0.3">
      <c r="B5718" s="7">
        <v>44287</v>
      </c>
      <c r="C5718" s="3">
        <f t="shared" si="178"/>
        <v>2021</v>
      </c>
      <c r="D5718" s="3">
        <f t="shared" si="179"/>
        <v>202104</v>
      </c>
      <c r="E5718" s="5" t="s">
        <v>7</v>
      </c>
      <c r="F5718" s="5" t="s">
        <v>12</v>
      </c>
      <c r="G5718" s="5" t="s">
        <v>42</v>
      </c>
      <c r="H5718">
        <v>50</v>
      </c>
      <c r="I5718" s="4">
        <v>698800</v>
      </c>
      <c r="J5718" s="4">
        <v>300000</v>
      </c>
    </row>
    <row r="5719" spans="2:10" x14ac:dyDescent="0.3">
      <c r="B5719" s="7">
        <v>44317</v>
      </c>
      <c r="C5719" s="3">
        <f t="shared" si="178"/>
        <v>2021</v>
      </c>
      <c r="D5719" s="3">
        <f t="shared" si="179"/>
        <v>202105</v>
      </c>
      <c r="E5719" s="5" t="s">
        <v>7</v>
      </c>
      <c r="F5719" s="5" t="s">
        <v>12</v>
      </c>
      <c r="G5719" s="5" t="s">
        <v>42</v>
      </c>
      <c r="H5719">
        <v>64</v>
      </c>
      <c r="I5719" s="4">
        <v>872384</v>
      </c>
      <c r="J5719" s="4">
        <v>384000</v>
      </c>
    </row>
    <row r="5720" spans="2:10" x14ac:dyDescent="0.3">
      <c r="B5720" s="7">
        <v>44348</v>
      </c>
      <c r="C5720" s="3">
        <f t="shared" si="178"/>
        <v>2021</v>
      </c>
      <c r="D5720" s="3">
        <f t="shared" si="179"/>
        <v>202106</v>
      </c>
      <c r="E5720" s="5" t="s">
        <v>7</v>
      </c>
      <c r="F5720" s="5" t="s">
        <v>12</v>
      </c>
      <c r="G5720" s="5" t="s">
        <v>42</v>
      </c>
      <c r="H5720">
        <v>60</v>
      </c>
      <c r="I5720" s="4">
        <v>826380</v>
      </c>
      <c r="J5720" s="4">
        <v>360000</v>
      </c>
    </row>
    <row r="5721" spans="2:10" x14ac:dyDescent="0.3">
      <c r="B5721" s="7">
        <v>44378</v>
      </c>
      <c r="C5721" s="3">
        <f t="shared" si="178"/>
        <v>2021</v>
      </c>
      <c r="D5721" s="3">
        <f t="shared" si="179"/>
        <v>202107</v>
      </c>
      <c r="E5721" s="5" t="s">
        <v>7</v>
      </c>
      <c r="F5721" s="5" t="s">
        <v>12</v>
      </c>
      <c r="G5721" s="5" t="s">
        <v>42</v>
      </c>
      <c r="H5721">
        <v>64</v>
      </c>
      <c r="I5721" s="4">
        <v>717248</v>
      </c>
      <c r="J5721" s="4">
        <v>384000</v>
      </c>
    </row>
    <row r="5722" spans="2:10" x14ac:dyDescent="0.3">
      <c r="B5722" s="7">
        <v>44409</v>
      </c>
      <c r="C5722" s="3">
        <f t="shared" si="178"/>
        <v>2021</v>
      </c>
      <c r="D5722" s="3">
        <f t="shared" si="179"/>
        <v>202108</v>
      </c>
      <c r="E5722" s="5" t="s">
        <v>7</v>
      </c>
      <c r="F5722" s="5" t="s">
        <v>12</v>
      </c>
      <c r="G5722" s="5" t="s">
        <v>42</v>
      </c>
      <c r="H5722">
        <v>54</v>
      </c>
      <c r="I5722" s="4">
        <v>672300</v>
      </c>
      <c r="J5722" s="4">
        <v>324000</v>
      </c>
    </row>
    <row r="5723" spans="2:10" x14ac:dyDescent="0.3">
      <c r="B5723" s="7">
        <v>44440</v>
      </c>
      <c r="C5723" s="3">
        <f t="shared" si="178"/>
        <v>2021</v>
      </c>
      <c r="D5723" s="3">
        <f t="shared" si="179"/>
        <v>202109</v>
      </c>
      <c r="E5723" s="5" t="s">
        <v>7</v>
      </c>
      <c r="F5723" s="5" t="s">
        <v>12</v>
      </c>
      <c r="G5723" s="5" t="s">
        <v>42</v>
      </c>
      <c r="H5723">
        <v>57</v>
      </c>
      <c r="I5723" s="4">
        <v>771153</v>
      </c>
      <c r="J5723" s="4">
        <v>342000</v>
      </c>
    </row>
    <row r="5724" spans="2:10" x14ac:dyDescent="0.3">
      <c r="B5724" s="7">
        <v>44470</v>
      </c>
      <c r="C5724" s="3">
        <f t="shared" si="178"/>
        <v>2021</v>
      </c>
      <c r="D5724" s="3">
        <f t="shared" si="179"/>
        <v>202110</v>
      </c>
      <c r="E5724" s="5" t="s">
        <v>7</v>
      </c>
      <c r="F5724" s="5" t="s">
        <v>12</v>
      </c>
      <c r="G5724" s="5" t="s">
        <v>42</v>
      </c>
      <c r="H5724">
        <v>47</v>
      </c>
      <c r="I5724" s="4">
        <v>653159</v>
      </c>
      <c r="J5724" s="4">
        <v>282000</v>
      </c>
    </row>
    <row r="5725" spans="2:10" x14ac:dyDescent="0.3">
      <c r="B5725" s="7">
        <v>44501</v>
      </c>
      <c r="C5725" s="3">
        <f t="shared" si="178"/>
        <v>2021</v>
      </c>
      <c r="D5725" s="3">
        <f t="shared" si="179"/>
        <v>202111</v>
      </c>
      <c r="E5725" s="5" t="s">
        <v>7</v>
      </c>
      <c r="F5725" s="5" t="s">
        <v>12</v>
      </c>
      <c r="G5725" s="5" t="s">
        <v>42</v>
      </c>
      <c r="H5725">
        <v>34</v>
      </c>
      <c r="I5725" s="4">
        <v>451486</v>
      </c>
      <c r="J5725" s="4">
        <v>204000</v>
      </c>
    </row>
    <row r="5726" spans="2:10" x14ac:dyDescent="0.3">
      <c r="B5726" s="7">
        <v>44531</v>
      </c>
      <c r="C5726" s="3">
        <f t="shared" si="178"/>
        <v>2021</v>
      </c>
      <c r="D5726" s="3">
        <f t="shared" si="179"/>
        <v>202112</v>
      </c>
      <c r="E5726" s="5" t="s">
        <v>7</v>
      </c>
      <c r="F5726" s="5" t="s">
        <v>12</v>
      </c>
      <c r="G5726" s="5" t="s">
        <v>42</v>
      </c>
      <c r="H5726">
        <v>40</v>
      </c>
      <c r="I5726" s="4">
        <v>505720</v>
      </c>
      <c r="J5726" s="4">
        <v>240000</v>
      </c>
    </row>
    <row r="5727" spans="2:10" x14ac:dyDescent="0.3">
      <c r="B5727" s="7">
        <v>44562</v>
      </c>
      <c r="C5727" s="3">
        <f t="shared" si="178"/>
        <v>2022</v>
      </c>
      <c r="D5727" s="3">
        <f t="shared" si="179"/>
        <v>202201</v>
      </c>
      <c r="E5727" s="5" t="s">
        <v>7</v>
      </c>
      <c r="F5727" s="5" t="s">
        <v>12</v>
      </c>
      <c r="G5727" s="5" t="s">
        <v>42</v>
      </c>
      <c r="H5727">
        <v>59</v>
      </c>
      <c r="I5727" s="4">
        <v>766882</v>
      </c>
      <c r="J5727" s="4">
        <v>354000</v>
      </c>
    </row>
    <row r="5728" spans="2:10" x14ac:dyDescent="0.3">
      <c r="B5728" s="7">
        <v>44593</v>
      </c>
      <c r="C5728" s="3">
        <f t="shared" si="178"/>
        <v>2022</v>
      </c>
      <c r="D5728" s="3">
        <f t="shared" si="179"/>
        <v>202202</v>
      </c>
      <c r="E5728" s="5" t="s">
        <v>7</v>
      </c>
      <c r="F5728" s="5" t="s">
        <v>12</v>
      </c>
      <c r="G5728" s="5" t="s">
        <v>42</v>
      </c>
      <c r="H5728">
        <v>37</v>
      </c>
      <c r="I5728" s="4">
        <v>511303</v>
      </c>
      <c r="J5728" s="4">
        <v>222000</v>
      </c>
    </row>
    <row r="5729" spans="2:10" x14ac:dyDescent="0.3">
      <c r="B5729" s="7">
        <v>44621</v>
      </c>
      <c r="C5729" s="3">
        <f t="shared" si="178"/>
        <v>2022</v>
      </c>
      <c r="D5729" s="3">
        <f t="shared" si="179"/>
        <v>202203</v>
      </c>
      <c r="E5729" s="5" t="s">
        <v>7</v>
      </c>
      <c r="F5729" s="5" t="s">
        <v>12</v>
      </c>
      <c r="G5729" s="5" t="s">
        <v>42</v>
      </c>
      <c r="H5729">
        <v>30</v>
      </c>
      <c r="I5729" s="4">
        <v>392640</v>
      </c>
      <c r="J5729" s="4">
        <v>180000</v>
      </c>
    </row>
    <row r="5730" spans="2:10" x14ac:dyDescent="0.3">
      <c r="B5730" s="7">
        <v>44652</v>
      </c>
      <c r="C5730" s="3">
        <f t="shared" si="178"/>
        <v>2022</v>
      </c>
      <c r="D5730" s="3">
        <f t="shared" si="179"/>
        <v>202204</v>
      </c>
      <c r="E5730" s="5" t="s">
        <v>7</v>
      </c>
      <c r="F5730" s="5" t="s">
        <v>12</v>
      </c>
      <c r="G5730" s="5" t="s">
        <v>42</v>
      </c>
      <c r="H5730">
        <v>55</v>
      </c>
      <c r="I5730" s="4">
        <v>753885</v>
      </c>
      <c r="J5730" s="4">
        <v>330000</v>
      </c>
    </row>
    <row r="5731" spans="2:10" x14ac:dyDescent="0.3">
      <c r="B5731" s="7">
        <v>44682</v>
      </c>
      <c r="C5731" s="3">
        <f t="shared" si="178"/>
        <v>2022</v>
      </c>
      <c r="D5731" s="3">
        <f t="shared" si="179"/>
        <v>202205</v>
      </c>
      <c r="E5731" s="5" t="s">
        <v>7</v>
      </c>
      <c r="F5731" s="5" t="s">
        <v>12</v>
      </c>
      <c r="G5731" s="5" t="s">
        <v>42</v>
      </c>
      <c r="H5731">
        <v>70</v>
      </c>
      <c r="I5731" s="4">
        <v>965510</v>
      </c>
      <c r="J5731" s="4">
        <v>420000</v>
      </c>
    </row>
    <row r="5732" spans="2:10" x14ac:dyDescent="0.3">
      <c r="B5732" s="7">
        <v>44713</v>
      </c>
      <c r="C5732" s="3">
        <f t="shared" si="178"/>
        <v>2022</v>
      </c>
      <c r="D5732" s="3">
        <f t="shared" si="179"/>
        <v>202206</v>
      </c>
      <c r="E5732" s="5" t="s">
        <v>7</v>
      </c>
      <c r="F5732" s="5" t="s">
        <v>12</v>
      </c>
      <c r="G5732" s="5" t="s">
        <v>42</v>
      </c>
      <c r="H5732">
        <v>66</v>
      </c>
      <c r="I5732" s="4">
        <v>878790</v>
      </c>
      <c r="J5732" s="4">
        <v>396000</v>
      </c>
    </row>
    <row r="5733" spans="2:10" x14ac:dyDescent="0.3">
      <c r="B5733" s="7">
        <v>44743</v>
      </c>
      <c r="C5733" s="3">
        <f t="shared" si="178"/>
        <v>2022</v>
      </c>
      <c r="D5733" s="3">
        <f t="shared" si="179"/>
        <v>202207</v>
      </c>
      <c r="E5733" s="5" t="s">
        <v>7</v>
      </c>
      <c r="F5733" s="5" t="s">
        <v>12</v>
      </c>
      <c r="G5733" s="5" t="s">
        <v>42</v>
      </c>
      <c r="H5733">
        <v>70</v>
      </c>
      <c r="I5733" s="4">
        <v>823270</v>
      </c>
      <c r="J5733" s="4">
        <v>420000</v>
      </c>
    </row>
    <row r="5734" spans="2:10" x14ac:dyDescent="0.3">
      <c r="B5734" s="7">
        <v>44774</v>
      </c>
      <c r="C5734" s="3">
        <f t="shared" si="178"/>
        <v>2022</v>
      </c>
      <c r="D5734" s="3">
        <f t="shared" si="179"/>
        <v>202208</v>
      </c>
      <c r="E5734" s="5" t="s">
        <v>7</v>
      </c>
      <c r="F5734" s="5" t="s">
        <v>12</v>
      </c>
      <c r="G5734" s="5" t="s">
        <v>42</v>
      </c>
      <c r="H5734">
        <v>59</v>
      </c>
      <c r="I5734" s="4">
        <v>738621</v>
      </c>
      <c r="J5734" s="4">
        <v>354000</v>
      </c>
    </row>
    <row r="5735" spans="2:10" x14ac:dyDescent="0.3">
      <c r="B5735" s="7">
        <v>44805</v>
      </c>
      <c r="C5735" s="3">
        <f t="shared" si="178"/>
        <v>2022</v>
      </c>
      <c r="D5735" s="3">
        <f t="shared" si="179"/>
        <v>202209</v>
      </c>
      <c r="E5735" s="5" t="s">
        <v>7</v>
      </c>
      <c r="F5735" s="5" t="s">
        <v>12</v>
      </c>
      <c r="G5735" s="5" t="s">
        <v>42</v>
      </c>
      <c r="H5735">
        <v>63</v>
      </c>
      <c r="I5735" s="4">
        <v>820827</v>
      </c>
      <c r="J5735" s="4">
        <v>378000</v>
      </c>
    </row>
    <row r="5736" spans="2:10" x14ac:dyDescent="0.3">
      <c r="B5736" s="7">
        <v>44835</v>
      </c>
      <c r="C5736" s="3">
        <f t="shared" si="178"/>
        <v>2022</v>
      </c>
      <c r="D5736" s="3">
        <f t="shared" si="179"/>
        <v>202210</v>
      </c>
      <c r="E5736" s="5" t="s">
        <v>7</v>
      </c>
      <c r="F5736" s="5" t="s">
        <v>12</v>
      </c>
      <c r="G5736" s="5" t="s">
        <v>42</v>
      </c>
      <c r="H5736">
        <v>52</v>
      </c>
      <c r="I5736" s="4">
        <v>701272</v>
      </c>
      <c r="J5736" s="4">
        <v>312000</v>
      </c>
    </row>
    <row r="5737" spans="2:10" x14ac:dyDescent="0.3">
      <c r="B5737" s="7">
        <v>44866</v>
      </c>
      <c r="C5737" s="3">
        <f t="shared" si="178"/>
        <v>2022</v>
      </c>
      <c r="D5737" s="3">
        <f t="shared" si="179"/>
        <v>202211</v>
      </c>
      <c r="E5737" s="5" t="s">
        <v>7</v>
      </c>
      <c r="F5737" s="5" t="s">
        <v>12</v>
      </c>
      <c r="G5737" s="5" t="s">
        <v>42</v>
      </c>
      <c r="H5737">
        <v>37</v>
      </c>
      <c r="I5737" s="4">
        <v>513190</v>
      </c>
      <c r="J5737" s="4">
        <v>222000</v>
      </c>
    </row>
    <row r="5738" spans="2:10" x14ac:dyDescent="0.3">
      <c r="B5738" s="7">
        <v>44896</v>
      </c>
      <c r="C5738" s="3">
        <f t="shared" si="178"/>
        <v>2022</v>
      </c>
      <c r="D5738" s="3">
        <f t="shared" si="179"/>
        <v>202212</v>
      </c>
      <c r="E5738" s="5" t="s">
        <v>7</v>
      </c>
      <c r="F5738" s="5" t="s">
        <v>12</v>
      </c>
      <c r="G5738" s="5" t="s">
        <v>42</v>
      </c>
      <c r="H5738">
        <v>44</v>
      </c>
      <c r="I5738" s="4">
        <v>550264</v>
      </c>
      <c r="J5738" s="4">
        <v>264000</v>
      </c>
    </row>
    <row r="5739" spans="2:10" x14ac:dyDescent="0.3">
      <c r="B5739" s="7">
        <v>44197</v>
      </c>
      <c r="C5739" s="3">
        <f t="shared" si="178"/>
        <v>2021</v>
      </c>
      <c r="D5739" s="3">
        <f t="shared" si="179"/>
        <v>202101</v>
      </c>
      <c r="E5739" s="5" t="s">
        <v>7</v>
      </c>
      <c r="F5739" s="5" t="s">
        <v>12</v>
      </c>
      <c r="G5739" s="5" t="s">
        <v>43</v>
      </c>
      <c r="H5739">
        <v>39</v>
      </c>
      <c r="I5739" s="4">
        <v>410007</v>
      </c>
      <c r="J5739" s="4">
        <v>207090</v>
      </c>
    </row>
    <row r="5740" spans="2:10" x14ac:dyDescent="0.3">
      <c r="B5740" s="7">
        <v>44228</v>
      </c>
      <c r="C5740" s="3">
        <f t="shared" si="178"/>
        <v>2021</v>
      </c>
      <c r="D5740" s="3">
        <f t="shared" si="179"/>
        <v>202102</v>
      </c>
      <c r="E5740" s="5" t="s">
        <v>7</v>
      </c>
      <c r="F5740" s="5" t="s">
        <v>12</v>
      </c>
      <c r="G5740" s="5" t="s">
        <v>43</v>
      </c>
      <c r="H5740">
        <v>25</v>
      </c>
      <c r="I5740" s="4">
        <v>253175</v>
      </c>
      <c r="J5740" s="4">
        <v>132750</v>
      </c>
    </row>
    <row r="5741" spans="2:10" x14ac:dyDescent="0.3">
      <c r="B5741" s="7">
        <v>44256</v>
      </c>
      <c r="C5741" s="3">
        <f t="shared" si="178"/>
        <v>2021</v>
      </c>
      <c r="D5741" s="3">
        <f t="shared" si="179"/>
        <v>202103</v>
      </c>
      <c r="E5741" s="5" t="s">
        <v>7</v>
      </c>
      <c r="F5741" s="5" t="s">
        <v>12</v>
      </c>
      <c r="G5741" s="5" t="s">
        <v>43</v>
      </c>
      <c r="H5741">
        <v>20</v>
      </c>
      <c r="I5741" s="4">
        <v>191460</v>
      </c>
      <c r="J5741" s="4">
        <v>106200</v>
      </c>
    </row>
    <row r="5742" spans="2:10" x14ac:dyDescent="0.3">
      <c r="B5742" s="7">
        <v>44287</v>
      </c>
      <c r="C5742" s="3">
        <f t="shared" si="178"/>
        <v>2021</v>
      </c>
      <c r="D5742" s="3">
        <f t="shared" si="179"/>
        <v>202104</v>
      </c>
      <c r="E5742" s="5" t="s">
        <v>7</v>
      </c>
      <c r="F5742" s="5" t="s">
        <v>12</v>
      </c>
      <c r="G5742" s="5" t="s">
        <v>43</v>
      </c>
      <c r="H5742">
        <v>37</v>
      </c>
      <c r="I5742" s="4">
        <v>384319</v>
      </c>
      <c r="J5742" s="4">
        <v>196470</v>
      </c>
    </row>
    <row r="5743" spans="2:10" x14ac:dyDescent="0.3">
      <c r="B5743" s="7">
        <v>44317</v>
      </c>
      <c r="C5743" s="3">
        <f t="shared" si="178"/>
        <v>2021</v>
      </c>
      <c r="D5743" s="3">
        <f t="shared" si="179"/>
        <v>202105</v>
      </c>
      <c r="E5743" s="5" t="s">
        <v>7</v>
      </c>
      <c r="F5743" s="5" t="s">
        <v>12</v>
      </c>
      <c r="G5743" s="5" t="s">
        <v>43</v>
      </c>
      <c r="H5743">
        <v>46</v>
      </c>
      <c r="I5743" s="4">
        <v>488704</v>
      </c>
      <c r="J5743" s="4">
        <v>244260</v>
      </c>
    </row>
    <row r="5744" spans="2:10" x14ac:dyDescent="0.3">
      <c r="B5744" s="7">
        <v>44348</v>
      </c>
      <c r="C5744" s="3">
        <f t="shared" si="178"/>
        <v>2021</v>
      </c>
      <c r="D5744" s="3">
        <f t="shared" si="179"/>
        <v>202106</v>
      </c>
      <c r="E5744" s="5" t="s">
        <v>7</v>
      </c>
      <c r="F5744" s="5" t="s">
        <v>12</v>
      </c>
      <c r="G5744" s="5" t="s">
        <v>43</v>
      </c>
      <c r="H5744">
        <v>44</v>
      </c>
      <c r="I5744" s="4">
        <v>437888</v>
      </c>
      <c r="J5744" s="4">
        <v>233640</v>
      </c>
    </row>
    <row r="5745" spans="2:10" x14ac:dyDescent="0.3">
      <c r="B5745" s="7">
        <v>44378</v>
      </c>
      <c r="C5745" s="3">
        <f t="shared" si="178"/>
        <v>2021</v>
      </c>
      <c r="D5745" s="3">
        <f t="shared" si="179"/>
        <v>202107</v>
      </c>
      <c r="E5745" s="5" t="s">
        <v>7</v>
      </c>
      <c r="F5745" s="5" t="s">
        <v>12</v>
      </c>
      <c r="G5745" s="5" t="s">
        <v>43</v>
      </c>
      <c r="H5745">
        <v>46</v>
      </c>
      <c r="I5745" s="4">
        <v>419750</v>
      </c>
      <c r="J5745" s="4">
        <v>244260</v>
      </c>
    </row>
    <row r="5746" spans="2:10" x14ac:dyDescent="0.3">
      <c r="B5746" s="7">
        <v>44409</v>
      </c>
      <c r="C5746" s="3">
        <f t="shared" si="178"/>
        <v>2021</v>
      </c>
      <c r="D5746" s="3">
        <f t="shared" si="179"/>
        <v>202108</v>
      </c>
      <c r="E5746" s="5" t="s">
        <v>7</v>
      </c>
      <c r="F5746" s="5" t="s">
        <v>12</v>
      </c>
      <c r="G5746" s="5" t="s">
        <v>43</v>
      </c>
      <c r="H5746">
        <v>39</v>
      </c>
      <c r="I5746" s="4">
        <v>356382</v>
      </c>
      <c r="J5746" s="4">
        <v>207090</v>
      </c>
    </row>
    <row r="5747" spans="2:10" x14ac:dyDescent="0.3">
      <c r="B5747" s="7">
        <v>44440</v>
      </c>
      <c r="C5747" s="3">
        <f t="shared" si="178"/>
        <v>2021</v>
      </c>
      <c r="D5747" s="3">
        <f t="shared" si="179"/>
        <v>202109</v>
      </c>
      <c r="E5747" s="5" t="s">
        <v>7</v>
      </c>
      <c r="F5747" s="5" t="s">
        <v>12</v>
      </c>
      <c r="G5747" s="5" t="s">
        <v>43</v>
      </c>
      <c r="H5747">
        <v>41</v>
      </c>
      <c r="I5747" s="4">
        <v>386220</v>
      </c>
      <c r="J5747" s="4">
        <v>217710</v>
      </c>
    </row>
    <row r="5748" spans="2:10" x14ac:dyDescent="0.3">
      <c r="B5748" s="7">
        <v>44470</v>
      </c>
      <c r="C5748" s="3">
        <f t="shared" si="178"/>
        <v>2021</v>
      </c>
      <c r="D5748" s="3">
        <f t="shared" si="179"/>
        <v>202110</v>
      </c>
      <c r="E5748" s="5" t="s">
        <v>7</v>
      </c>
      <c r="F5748" s="5" t="s">
        <v>12</v>
      </c>
      <c r="G5748" s="5" t="s">
        <v>43</v>
      </c>
      <c r="H5748">
        <v>34</v>
      </c>
      <c r="I5748" s="4">
        <v>370532</v>
      </c>
      <c r="J5748" s="4">
        <v>180540</v>
      </c>
    </row>
    <row r="5749" spans="2:10" x14ac:dyDescent="0.3">
      <c r="B5749" s="7">
        <v>44501</v>
      </c>
      <c r="C5749" s="3">
        <f t="shared" si="178"/>
        <v>2021</v>
      </c>
      <c r="D5749" s="3">
        <f t="shared" si="179"/>
        <v>202111</v>
      </c>
      <c r="E5749" s="5" t="s">
        <v>7</v>
      </c>
      <c r="F5749" s="5" t="s">
        <v>12</v>
      </c>
      <c r="G5749" s="5" t="s">
        <v>43</v>
      </c>
      <c r="H5749">
        <v>25</v>
      </c>
      <c r="I5749" s="4">
        <v>253625</v>
      </c>
      <c r="J5749" s="4">
        <v>132750</v>
      </c>
    </row>
    <row r="5750" spans="2:10" x14ac:dyDescent="0.3">
      <c r="B5750" s="7">
        <v>44531</v>
      </c>
      <c r="C5750" s="3">
        <f t="shared" si="178"/>
        <v>2021</v>
      </c>
      <c r="D5750" s="3">
        <f t="shared" si="179"/>
        <v>202112</v>
      </c>
      <c r="E5750" s="5" t="s">
        <v>7</v>
      </c>
      <c r="F5750" s="5" t="s">
        <v>12</v>
      </c>
      <c r="G5750" s="5" t="s">
        <v>43</v>
      </c>
      <c r="H5750">
        <v>29</v>
      </c>
      <c r="I5750" s="4">
        <v>271179</v>
      </c>
      <c r="J5750" s="4">
        <v>153990</v>
      </c>
    </row>
    <row r="5751" spans="2:10" x14ac:dyDescent="0.3">
      <c r="B5751" s="7">
        <v>44562</v>
      </c>
      <c r="C5751" s="3">
        <f t="shared" si="178"/>
        <v>2022</v>
      </c>
      <c r="D5751" s="3">
        <f t="shared" si="179"/>
        <v>202201</v>
      </c>
      <c r="E5751" s="5" t="s">
        <v>7</v>
      </c>
      <c r="F5751" s="5" t="s">
        <v>12</v>
      </c>
      <c r="G5751" s="5" t="s">
        <v>43</v>
      </c>
      <c r="H5751">
        <v>43</v>
      </c>
      <c r="I5751" s="4">
        <v>459111</v>
      </c>
      <c r="J5751" s="4">
        <v>228330</v>
      </c>
    </row>
    <row r="5752" spans="2:10" x14ac:dyDescent="0.3">
      <c r="B5752" s="7">
        <v>44593</v>
      </c>
      <c r="C5752" s="3">
        <f t="shared" si="178"/>
        <v>2022</v>
      </c>
      <c r="D5752" s="3">
        <f t="shared" si="179"/>
        <v>202202</v>
      </c>
      <c r="E5752" s="5" t="s">
        <v>7</v>
      </c>
      <c r="F5752" s="5" t="s">
        <v>12</v>
      </c>
      <c r="G5752" s="5" t="s">
        <v>43</v>
      </c>
      <c r="H5752">
        <v>27</v>
      </c>
      <c r="I5752" s="4">
        <v>275022</v>
      </c>
      <c r="J5752" s="4">
        <v>143370</v>
      </c>
    </row>
    <row r="5753" spans="2:10" x14ac:dyDescent="0.3">
      <c r="B5753" s="7">
        <v>44621</v>
      </c>
      <c r="C5753" s="3">
        <f t="shared" si="178"/>
        <v>2022</v>
      </c>
      <c r="D5753" s="3">
        <f t="shared" si="179"/>
        <v>202203</v>
      </c>
      <c r="E5753" s="5" t="s">
        <v>7</v>
      </c>
      <c r="F5753" s="5" t="s">
        <v>12</v>
      </c>
      <c r="G5753" s="5" t="s">
        <v>43</v>
      </c>
      <c r="H5753">
        <v>22</v>
      </c>
      <c r="I5753" s="4">
        <v>215666</v>
      </c>
      <c r="J5753" s="4">
        <v>116820</v>
      </c>
    </row>
    <row r="5754" spans="2:10" x14ac:dyDescent="0.3">
      <c r="B5754" s="7">
        <v>44652</v>
      </c>
      <c r="C5754" s="3">
        <f t="shared" si="178"/>
        <v>2022</v>
      </c>
      <c r="D5754" s="3">
        <f t="shared" si="179"/>
        <v>202204</v>
      </c>
      <c r="E5754" s="5" t="s">
        <v>7</v>
      </c>
      <c r="F5754" s="5" t="s">
        <v>12</v>
      </c>
      <c r="G5754" s="5" t="s">
        <v>43</v>
      </c>
      <c r="H5754">
        <v>40</v>
      </c>
      <c r="I5754" s="4">
        <v>429160</v>
      </c>
      <c r="J5754" s="4">
        <v>212400</v>
      </c>
    </row>
    <row r="5755" spans="2:10" x14ac:dyDescent="0.3">
      <c r="B5755" s="7">
        <v>44682</v>
      </c>
      <c r="C5755" s="3">
        <f t="shared" si="178"/>
        <v>2022</v>
      </c>
      <c r="D5755" s="3">
        <f t="shared" si="179"/>
        <v>202205</v>
      </c>
      <c r="E5755" s="5" t="s">
        <v>7</v>
      </c>
      <c r="F5755" s="5" t="s">
        <v>12</v>
      </c>
      <c r="G5755" s="5" t="s">
        <v>43</v>
      </c>
      <c r="H5755">
        <v>51</v>
      </c>
      <c r="I5755" s="4">
        <v>543456</v>
      </c>
      <c r="J5755" s="4">
        <v>270810</v>
      </c>
    </row>
    <row r="5756" spans="2:10" x14ac:dyDescent="0.3">
      <c r="B5756" s="7">
        <v>44713</v>
      </c>
      <c r="C5756" s="3">
        <f t="shared" si="178"/>
        <v>2022</v>
      </c>
      <c r="D5756" s="3">
        <f t="shared" si="179"/>
        <v>202206</v>
      </c>
      <c r="E5756" s="5" t="s">
        <v>7</v>
      </c>
      <c r="F5756" s="5" t="s">
        <v>12</v>
      </c>
      <c r="G5756" s="5" t="s">
        <v>43</v>
      </c>
      <c r="H5756">
        <v>48</v>
      </c>
      <c r="I5756" s="4">
        <v>488544</v>
      </c>
      <c r="J5756" s="4">
        <v>254880</v>
      </c>
    </row>
    <row r="5757" spans="2:10" x14ac:dyDescent="0.3">
      <c r="B5757" s="7">
        <v>44743</v>
      </c>
      <c r="C5757" s="3">
        <f t="shared" si="178"/>
        <v>2022</v>
      </c>
      <c r="D5757" s="3">
        <f t="shared" si="179"/>
        <v>202207</v>
      </c>
      <c r="E5757" s="5" t="s">
        <v>7</v>
      </c>
      <c r="F5757" s="5" t="s">
        <v>12</v>
      </c>
      <c r="G5757" s="5" t="s">
        <v>43</v>
      </c>
      <c r="H5757">
        <v>51</v>
      </c>
      <c r="I5757" s="4">
        <v>445485</v>
      </c>
      <c r="J5757" s="4">
        <v>270810</v>
      </c>
    </row>
    <row r="5758" spans="2:10" x14ac:dyDescent="0.3">
      <c r="B5758" s="7">
        <v>44774</v>
      </c>
      <c r="C5758" s="3">
        <f t="shared" si="178"/>
        <v>2022</v>
      </c>
      <c r="D5758" s="3">
        <f t="shared" si="179"/>
        <v>202208</v>
      </c>
      <c r="E5758" s="5" t="s">
        <v>7</v>
      </c>
      <c r="F5758" s="5" t="s">
        <v>12</v>
      </c>
      <c r="G5758" s="5" t="s">
        <v>43</v>
      </c>
      <c r="H5758">
        <v>43</v>
      </c>
      <c r="I5758" s="4">
        <v>411424</v>
      </c>
      <c r="J5758" s="4">
        <v>228330</v>
      </c>
    </row>
    <row r="5759" spans="2:10" x14ac:dyDescent="0.3">
      <c r="B5759" s="7">
        <v>44805</v>
      </c>
      <c r="C5759" s="3">
        <f t="shared" si="178"/>
        <v>2022</v>
      </c>
      <c r="D5759" s="3">
        <f t="shared" si="179"/>
        <v>202209</v>
      </c>
      <c r="E5759" s="5" t="s">
        <v>7</v>
      </c>
      <c r="F5759" s="5" t="s">
        <v>12</v>
      </c>
      <c r="G5759" s="5" t="s">
        <v>43</v>
      </c>
      <c r="H5759">
        <v>46</v>
      </c>
      <c r="I5759" s="4">
        <v>472926</v>
      </c>
      <c r="J5759" s="4">
        <v>244260</v>
      </c>
    </row>
    <row r="5760" spans="2:10" x14ac:dyDescent="0.3">
      <c r="B5760" s="7">
        <v>44835</v>
      </c>
      <c r="C5760" s="3">
        <f t="shared" si="178"/>
        <v>2022</v>
      </c>
      <c r="D5760" s="3">
        <f t="shared" si="179"/>
        <v>202210</v>
      </c>
      <c r="E5760" s="5" t="s">
        <v>7</v>
      </c>
      <c r="F5760" s="5" t="s">
        <v>12</v>
      </c>
      <c r="G5760" s="5" t="s">
        <v>43</v>
      </c>
      <c r="H5760">
        <v>38</v>
      </c>
      <c r="I5760" s="4">
        <v>382280</v>
      </c>
      <c r="J5760" s="4">
        <v>201780</v>
      </c>
    </row>
    <row r="5761" spans="2:10" x14ac:dyDescent="0.3">
      <c r="B5761" s="7">
        <v>44866</v>
      </c>
      <c r="C5761" s="3">
        <f t="shared" si="178"/>
        <v>2022</v>
      </c>
      <c r="D5761" s="3">
        <f t="shared" si="179"/>
        <v>202211</v>
      </c>
      <c r="E5761" s="5" t="s">
        <v>7</v>
      </c>
      <c r="F5761" s="5" t="s">
        <v>12</v>
      </c>
      <c r="G5761" s="5" t="s">
        <v>43</v>
      </c>
      <c r="H5761">
        <v>27</v>
      </c>
      <c r="I5761" s="4">
        <v>264573</v>
      </c>
      <c r="J5761" s="4">
        <v>143370</v>
      </c>
    </row>
    <row r="5762" spans="2:10" x14ac:dyDescent="0.3">
      <c r="B5762" s="7">
        <v>44896</v>
      </c>
      <c r="C5762" s="3">
        <f t="shared" si="178"/>
        <v>2022</v>
      </c>
      <c r="D5762" s="3">
        <f t="shared" si="179"/>
        <v>202212</v>
      </c>
      <c r="E5762" s="5" t="s">
        <v>7</v>
      </c>
      <c r="F5762" s="5" t="s">
        <v>12</v>
      </c>
      <c r="G5762" s="5" t="s">
        <v>43</v>
      </c>
      <c r="H5762">
        <v>32</v>
      </c>
      <c r="I5762" s="4">
        <v>326400</v>
      </c>
      <c r="J5762" s="4">
        <v>169920</v>
      </c>
    </row>
    <row r="5763" spans="2:10" x14ac:dyDescent="0.3">
      <c r="B5763" s="7">
        <v>44197</v>
      </c>
      <c r="C5763" s="3">
        <f t="shared" ref="C5763:C5826" si="180">YEAR(B5763)</f>
        <v>2021</v>
      </c>
      <c r="D5763" s="3">
        <f t="shared" ref="D5763:D5826" si="181">VALUE(TEXT(B5763,"ГГГГММ"))</f>
        <v>202101</v>
      </c>
      <c r="E5763" s="5" t="s">
        <v>7</v>
      </c>
      <c r="F5763" s="5" t="s">
        <v>12</v>
      </c>
      <c r="G5763" s="5" t="s">
        <v>44</v>
      </c>
      <c r="H5763">
        <v>37</v>
      </c>
      <c r="I5763" s="4">
        <v>298738</v>
      </c>
      <c r="J5763" s="4">
        <v>119140</v>
      </c>
    </row>
    <row r="5764" spans="2:10" x14ac:dyDescent="0.3">
      <c r="B5764" s="7">
        <v>44228</v>
      </c>
      <c r="C5764" s="3">
        <f t="shared" si="180"/>
        <v>2021</v>
      </c>
      <c r="D5764" s="3">
        <f t="shared" si="181"/>
        <v>202102</v>
      </c>
      <c r="E5764" s="5" t="s">
        <v>7</v>
      </c>
      <c r="F5764" s="5" t="s">
        <v>12</v>
      </c>
      <c r="G5764" s="5" t="s">
        <v>44</v>
      </c>
      <c r="H5764">
        <v>23</v>
      </c>
      <c r="I5764" s="4">
        <v>194373</v>
      </c>
      <c r="J5764" s="4">
        <v>74060</v>
      </c>
    </row>
    <row r="5765" spans="2:10" x14ac:dyDescent="0.3">
      <c r="B5765" s="7">
        <v>44256</v>
      </c>
      <c r="C5765" s="3">
        <f t="shared" si="180"/>
        <v>2021</v>
      </c>
      <c r="D5765" s="3">
        <f t="shared" si="181"/>
        <v>202103</v>
      </c>
      <c r="E5765" s="5" t="s">
        <v>7</v>
      </c>
      <c r="F5765" s="5" t="s">
        <v>12</v>
      </c>
      <c r="G5765" s="5" t="s">
        <v>44</v>
      </c>
      <c r="H5765">
        <v>19</v>
      </c>
      <c r="I5765" s="4">
        <v>155610</v>
      </c>
      <c r="J5765" s="4">
        <v>61180</v>
      </c>
    </row>
    <row r="5766" spans="2:10" x14ac:dyDescent="0.3">
      <c r="B5766" s="7">
        <v>44287</v>
      </c>
      <c r="C5766" s="3">
        <f t="shared" si="180"/>
        <v>2021</v>
      </c>
      <c r="D5766" s="3">
        <f t="shared" si="181"/>
        <v>202104</v>
      </c>
      <c r="E5766" s="5" t="s">
        <v>7</v>
      </c>
      <c r="F5766" s="5" t="s">
        <v>12</v>
      </c>
      <c r="G5766" s="5" t="s">
        <v>44</v>
      </c>
      <c r="H5766">
        <v>35</v>
      </c>
      <c r="I5766" s="4">
        <v>326515</v>
      </c>
      <c r="J5766" s="4">
        <v>112700</v>
      </c>
    </row>
    <row r="5767" spans="2:10" x14ac:dyDescent="0.3">
      <c r="B5767" s="7">
        <v>44317</v>
      </c>
      <c r="C5767" s="3">
        <f t="shared" si="180"/>
        <v>2021</v>
      </c>
      <c r="D5767" s="3">
        <f t="shared" si="181"/>
        <v>202105</v>
      </c>
      <c r="E5767" s="5" t="s">
        <v>7</v>
      </c>
      <c r="F5767" s="5" t="s">
        <v>12</v>
      </c>
      <c r="G5767" s="5" t="s">
        <v>44</v>
      </c>
      <c r="H5767">
        <v>44</v>
      </c>
      <c r="I5767" s="4">
        <v>386804</v>
      </c>
      <c r="J5767" s="4">
        <v>141680</v>
      </c>
    </row>
    <row r="5768" spans="2:10" x14ac:dyDescent="0.3">
      <c r="B5768" s="7">
        <v>44348</v>
      </c>
      <c r="C5768" s="3">
        <f t="shared" si="180"/>
        <v>2021</v>
      </c>
      <c r="D5768" s="3">
        <f t="shared" si="181"/>
        <v>202106</v>
      </c>
      <c r="E5768" s="5" t="s">
        <v>7</v>
      </c>
      <c r="F5768" s="5" t="s">
        <v>12</v>
      </c>
      <c r="G5768" s="5" t="s">
        <v>44</v>
      </c>
      <c r="H5768">
        <v>42</v>
      </c>
      <c r="I5768" s="4">
        <v>350364</v>
      </c>
      <c r="J5768" s="4">
        <v>135240</v>
      </c>
    </row>
    <row r="5769" spans="2:10" x14ac:dyDescent="0.3">
      <c r="B5769" s="7">
        <v>44378</v>
      </c>
      <c r="C5769" s="3">
        <f t="shared" si="180"/>
        <v>2021</v>
      </c>
      <c r="D5769" s="3">
        <f t="shared" si="181"/>
        <v>202107</v>
      </c>
      <c r="E5769" s="5" t="s">
        <v>7</v>
      </c>
      <c r="F5769" s="5" t="s">
        <v>12</v>
      </c>
      <c r="G5769" s="5" t="s">
        <v>44</v>
      </c>
      <c r="H5769">
        <v>44</v>
      </c>
      <c r="I5769" s="4">
        <v>293876</v>
      </c>
      <c r="J5769" s="4">
        <v>141680</v>
      </c>
    </row>
    <row r="5770" spans="2:10" x14ac:dyDescent="0.3">
      <c r="B5770" s="7">
        <v>44409</v>
      </c>
      <c r="C5770" s="3">
        <f t="shared" si="180"/>
        <v>2021</v>
      </c>
      <c r="D5770" s="3">
        <f t="shared" si="181"/>
        <v>202108</v>
      </c>
      <c r="E5770" s="5" t="s">
        <v>7</v>
      </c>
      <c r="F5770" s="5" t="s">
        <v>12</v>
      </c>
      <c r="G5770" s="5" t="s">
        <v>44</v>
      </c>
      <c r="H5770">
        <v>37</v>
      </c>
      <c r="I5770" s="4">
        <v>307951</v>
      </c>
      <c r="J5770" s="4">
        <v>119140</v>
      </c>
    </row>
    <row r="5771" spans="2:10" x14ac:dyDescent="0.3">
      <c r="B5771" s="7">
        <v>44440</v>
      </c>
      <c r="C5771" s="3">
        <f t="shared" si="180"/>
        <v>2021</v>
      </c>
      <c r="D5771" s="3">
        <f t="shared" si="181"/>
        <v>202109</v>
      </c>
      <c r="E5771" s="5" t="s">
        <v>7</v>
      </c>
      <c r="F5771" s="5" t="s">
        <v>12</v>
      </c>
      <c r="G5771" s="5" t="s">
        <v>44</v>
      </c>
      <c r="H5771">
        <v>40</v>
      </c>
      <c r="I5771" s="4">
        <v>287160</v>
      </c>
      <c r="J5771" s="4">
        <v>128800</v>
      </c>
    </row>
    <row r="5772" spans="2:10" x14ac:dyDescent="0.3">
      <c r="B5772" s="7">
        <v>44470</v>
      </c>
      <c r="C5772" s="3">
        <f t="shared" si="180"/>
        <v>2021</v>
      </c>
      <c r="D5772" s="3">
        <f t="shared" si="181"/>
        <v>202110</v>
      </c>
      <c r="E5772" s="5" t="s">
        <v>7</v>
      </c>
      <c r="F5772" s="5" t="s">
        <v>12</v>
      </c>
      <c r="G5772" s="5" t="s">
        <v>44</v>
      </c>
      <c r="H5772">
        <v>33</v>
      </c>
      <c r="I5772" s="4">
        <v>260304</v>
      </c>
      <c r="J5772" s="4">
        <v>106260</v>
      </c>
    </row>
    <row r="5773" spans="2:10" x14ac:dyDescent="0.3">
      <c r="B5773" s="7">
        <v>44501</v>
      </c>
      <c r="C5773" s="3">
        <f t="shared" si="180"/>
        <v>2021</v>
      </c>
      <c r="D5773" s="3">
        <f t="shared" si="181"/>
        <v>202111</v>
      </c>
      <c r="E5773" s="5" t="s">
        <v>7</v>
      </c>
      <c r="F5773" s="5" t="s">
        <v>12</v>
      </c>
      <c r="G5773" s="5" t="s">
        <v>44</v>
      </c>
      <c r="H5773">
        <v>23</v>
      </c>
      <c r="I5773" s="4">
        <v>199640</v>
      </c>
      <c r="J5773" s="4">
        <v>74060</v>
      </c>
    </row>
    <row r="5774" spans="2:10" x14ac:dyDescent="0.3">
      <c r="B5774" s="7">
        <v>44531</v>
      </c>
      <c r="C5774" s="3">
        <f t="shared" si="180"/>
        <v>2021</v>
      </c>
      <c r="D5774" s="3">
        <f t="shared" si="181"/>
        <v>202112</v>
      </c>
      <c r="E5774" s="5" t="s">
        <v>7</v>
      </c>
      <c r="F5774" s="5" t="s">
        <v>12</v>
      </c>
      <c r="G5774" s="5" t="s">
        <v>44</v>
      </c>
      <c r="H5774">
        <v>28</v>
      </c>
      <c r="I5774" s="4">
        <v>216104</v>
      </c>
      <c r="J5774" s="4">
        <v>90160</v>
      </c>
    </row>
    <row r="5775" spans="2:10" x14ac:dyDescent="0.3">
      <c r="B5775" s="7">
        <v>44562</v>
      </c>
      <c r="C5775" s="3">
        <f t="shared" si="180"/>
        <v>2022</v>
      </c>
      <c r="D5775" s="3">
        <f t="shared" si="181"/>
        <v>202201</v>
      </c>
      <c r="E5775" s="5" t="s">
        <v>7</v>
      </c>
      <c r="F5775" s="5" t="s">
        <v>12</v>
      </c>
      <c r="G5775" s="5" t="s">
        <v>44</v>
      </c>
      <c r="H5775">
        <v>41</v>
      </c>
      <c r="I5775" s="4">
        <v>348869</v>
      </c>
      <c r="J5775" s="4">
        <v>132020</v>
      </c>
    </row>
    <row r="5776" spans="2:10" x14ac:dyDescent="0.3">
      <c r="B5776" s="7">
        <v>44593</v>
      </c>
      <c r="C5776" s="3">
        <f t="shared" si="180"/>
        <v>2022</v>
      </c>
      <c r="D5776" s="3">
        <f t="shared" si="181"/>
        <v>202202</v>
      </c>
      <c r="E5776" s="5" t="s">
        <v>7</v>
      </c>
      <c r="F5776" s="5" t="s">
        <v>12</v>
      </c>
      <c r="G5776" s="5" t="s">
        <v>44</v>
      </c>
      <c r="H5776">
        <v>26</v>
      </c>
      <c r="I5776" s="4">
        <v>225654</v>
      </c>
      <c r="J5776" s="4">
        <v>83720</v>
      </c>
    </row>
    <row r="5777" spans="2:10" x14ac:dyDescent="0.3">
      <c r="B5777" s="7">
        <v>44621</v>
      </c>
      <c r="C5777" s="3">
        <f t="shared" si="180"/>
        <v>2022</v>
      </c>
      <c r="D5777" s="3">
        <f t="shared" si="181"/>
        <v>202203</v>
      </c>
      <c r="E5777" s="5" t="s">
        <v>7</v>
      </c>
      <c r="F5777" s="5" t="s">
        <v>12</v>
      </c>
      <c r="G5777" s="5" t="s">
        <v>44</v>
      </c>
      <c r="H5777">
        <v>21</v>
      </c>
      <c r="I5777" s="4">
        <v>163023</v>
      </c>
      <c r="J5777" s="4">
        <v>67620</v>
      </c>
    </row>
    <row r="5778" spans="2:10" x14ac:dyDescent="0.3">
      <c r="B5778" s="7">
        <v>44652</v>
      </c>
      <c r="C5778" s="3">
        <f t="shared" si="180"/>
        <v>2022</v>
      </c>
      <c r="D5778" s="3">
        <f t="shared" si="181"/>
        <v>202204</v>
      </c>
      <c r="E5778" s="5" t="s">
        <v>7</v>
      </c>
      <c r="F5778" s="5" t="s">
        <v>12</v>
      </c>
      <c r="G5778" s="5" t="s">
        <v>44</v>
      </c>
      <c r="H5778">
        <v>38</v>
      </c>
      <c r="I5778" s="4">
        <v>341278</v>
      </c>
      <c r="J5778" s="4">
        <v>122360</v>
      </c>
    </row>
    <row r="5779" spans="2:10" x14ac:dyDescent="0.3">
      <c r="B5779" s="7">
        <v>44682</v>
      </c>
      <c r="C5779" s="3">
        <f t="shared" si="180"/>
        <v>2022</v>
      </c>
      <c r="D5779" s="3">
        <f t="shared" si="181"/>
        <v>202205</v>
      </c>
      <c r="E5779" s="5" t="s">
        <v>7</v>
      </c>
      <c r="F5779" s="5" t="s">
        <v>12</v>
      </c>
      <c r="G5779" s="5" t="s">
        <v>44</v>
      </c>
      <c r="H5779">
        <v>48</v>
      </c>
      <c r="I5779" s="4">
        <v>425280</v>
      </c>
      <c r="J5779" s="4">
        <v>154560</v>
      </c>
    </row>
    <row r="5780" spans="2:10" x14ac:dyDescent="0.3">
      <c r="B5780" s="7">
        <v>44713</v>
      </c>
      <c r="C5780" s="3">
        <f t="shared" si="180"/>
        <v>2022</v>
      </c>
      <c r="D5780" s="3">
        <f t="shared" si="181"/>
        <v>202206</v>
      </c>
      <c r="E5780" s="5" t="s">
        <v>7</v>
      </c>
      <c r="F5780" s="5" t="s">
        <v>12</v>
      </c>
      <c r="G5780" s="5" t="s">
        <v>44</v>
      </c>
      <c r="H5780">
        <v>46</v>
      </c>
      <c r="I5780" s="4">
        <v>376878</v>
      </c>
      <c r="J5780" s="4">
        <v>148120</v>
      </c>
    </row>
    <row r="5781" spans="2:10" x14ac:dyDescent="0.3">
      <c r="B5781" s="7">
        <v>44743</v>
      </c>
      <c r="C5781" s="3">
        <f t="shared" si="180"/>
        <v>2022</v>
      </c>
      <c r="D5781" s="3">
        <f t="shared" si="181"/>
        <v>202207</v>
      </c>
      <c r="E5781" s="5" t="s">
        <v>7</v>
      </c>
      <c r="F5781" s="5" t="s">
        <v>12</v>
      </c>
      <c r="G5781" s="5" t="s">
        <v>44</v>
      </c>
      <c r="H5781">
        <v>48</v>
      </c>
      <c r="I5781" s="4">
        <v>320400</v>
      </c>
      <c r="J5781" s="4">
        <v>154560</v>
      </c>
    </row>
    <row r="5782" spans="2:10" x14ac:dyDescent="0.3">
      <c r="B5782" s="7">
        <v>44774</v>
      </c>
      <c r="C5782" s="3">
        <f t="shared" si="180"/>
        <v>2022</v>
      </c>
      <c r="D5782" s="3">
        <f t="shared" si="181"/>
        <v>202208</v>
      </c>
      <c r="E5782" s="5" t="s">
        <v>7</v>
      </c>
      <c r="F5782" s="5" t="s">
        <v>12</v>
      </c>
      <c r="G5782" s="5" t="s">
        <v>44</v>
      </c>
      <c r="H5782">
        <v>41</v>
      </c>
      <c r="I5782" s="4">
        <v>294380</v>
      </c>
      <c r="J5782" s="4">
        <v>132020</v>
      </c>
    </row>
    <row r="5783" spans="2:10" x14ac:dyDescent="0.3">
      <c r="B5783" s="7">
        <v>44805</v>
      </c>
      <c r="C5783" s="3">
        <f t="shared" si="180"/>
        <v>2022</v>
      </c>
      <c r="D5783" s="3">
        <f t="shared" si="181"/>
        <v>202209</v>
      </c>
      <c r="E5783" s="5" t="s">
        <v>7</v>
      </c>
      <c r="F5783" s="5" t="s">
        <v>12</v>
      </c>
      <c r="G5783" s="5" t="s">
        <v>44</v>
      </c>
      <c r="H5783">
        <v>43</v>
      </c>
      <c r="I5783" s="4">
        <v>343097</v>
      </c>
      <c r="J5783" s="4">
        <v>138460</v>
      </c>
    </row>
    <row r="5784" spans="2:10" x14ac:dyDescent="0.3">
      <c r="B5784" s="7">
        <v>44835</v>
      </c>
      <c r="C5784" s="3">
        <f t="shared" si="180"/>
        <v>2022</v>
      </c>
      <c r="D5784" s="3">
        <f t="shared" si="181"/>
        <v>202210</v>
      </c>
      <c r="E5784" s="5" t="s">
        <v>7</v>
      </c>
      <c r="F5784" s="5" t="s">
        <v>12</v>
      </c>
      <c r="G5784" s="5" t="s">
        <v>44</v>
      </c>
      <c r="H5784">
        <v>36</v>
      </c>
      <c r="I5784" s="4">
        <v>301284</v>
      </c>
      <c r="J5784" s="4">
        <v>115920</v>
      </c>
    </row>
    <row r="5785" spans="2:10" x14ac:dyDescent="0.3">
      <c r="B5785" s="7">
        <v>44866</v>
      </c>
      <c r="C5785" s="3">
        <f t="shared" si="180"/>
        <v>2022</v>
      </c>
      <c r="D5785" s="3">
        <f t="shared" si="181"/>
        <v>202211</v>
      </c>
      <c r="E5785" s="5" t="s">
        <v>7</v>
      </c>
      <c r="F5785" s="5" t="s">
        <v>12</v>
      </c>
      <c r="G5785" s="5" t="s">
        <v>44</v>
      </c>
      <c r="H5785">
        <v>26</v>
      </c>
      <c r="I5785" s="4">
        <v>228020</v>
      </c>
      <c r="J5785" s="4">
        <v>83720</v>
      </c>
    </row>
    <row r="5786" spans="2:10" x14ac:dyDescent="0.3">
      <c r="B5786" s="7">
        <v>44896</v>
      </c>
      <c r="C5786" s="3">
        <f t="shared" si="180"/>
        <v>2022</v>
      </c>
      <c r="D5786" s="3">
        <f t="shared" si="181"/>
        <v>202212</v>
      </c>
      <c r="E5786" s="5" t="s">
        <v>7</v>
      </c>
      <c r="F5786" s="5" t="s">
        <v>12</v>
      </c>
      <c r="G5786" s="5" t="s">
        <v>44</v>
      </c>
      <c r="H5786">
        <v>31</v>
      </c>
      <c r="I5786" s="4">
        <v>243226</v>
      </c>
      <c r="J5786" s="4">
        <v>99820</v>
      </c>
    </row>
    <row r="5787" spans="2:10" x14ac:dyDescent="0.3">
      <c r="B5787" s="7">
        <v>44197</v>
      </c>
      <c r="C5787" s="3">
        <f t="shared" si="180"/>
        <v>2021</v>
      </c>
      <c r="D5787" s="3">
        <f t="shared" si="181"/>
        <v>202101</v>
      </c>
      <c r="E5787" s="5" t="s">
        <v>7</v>
      </c>
      <c r="F5787" s="5" t="s">
        <v>12</v>
      </c>
      <c r="G5787" s="5" t="s">
        <v>45</v>
      </c>
      <c r="H5787">
        <v>46</v>
      </c>
      <c r="I5787" s="4">
        <v>376694</v>
      </c>
      <c r="J5787" s="4">
        <v>152490</v>
      </c>
    </row>
    <row r="5788" spans="2:10" x14ac:dyDescent="0.3">
      <c r="B5788" s="7">
        <v>44228</v>
      </c>
      <c r="C5788" s="3">
        <f t="shared" si="180"/>
        <v>2021</v>
      </c>
      <c r="D5788" s="3">
        <f t="shared" si="181"/>
        <v>202102</v>
      </c>
      <c r="E5788" s="5" t="s">
        <v>7</v>
      </c>
      <c r="F5788" s="5" t="s">
        <v>12</v>
      </c>
      <c r="G5788" s="5" t="s">
        <v>45</v>
      </c>
      <c r="H5788">
        <v>29</v>
      </c>
      <c r="I5788" s="4">
        <v>212512</v>
      </c>
      <c r="J5788" s="4">
        <v>96135</v>
      </c>
    </row>
    <row r="5789" spans="2:10" x14ac:dyDescent="0.3">
      <c r="B5789" s="7">
        <v>44256</v>
      </c>
      <c r="C5789" s="3">
        <f t="shared" si="180"/>
        <v>2021</v>
      </c>
      <c r="D5789" s="3">
        <f t="shared" si="181"/>
        <v>202103</v>
      </c>
      <c r="E5789" s="5" t="s">
        <v>7</v>
      </c>
      <c r="F5789" s="5" t="s">
        <v>12</v>
      </c>
      <c r="G5789" s="5" t="s">
        <v>45</v>
      </c>
      <c r="H5789">
        <v>23</v>
      </c>
      <c r="I5789" s="4">
        <v>162196</v>
      </c>
      <c r="J5789" s="4">
        <v>76245</v>
      </c>
    </row>
    <row r="5790" spans="2:10" x14ac:dyDescent="0.3">
      <c r="B5790" s="7">
        <v>44287</v>
      </c>
      <c r="C5790" s="3">
        <f t="shared" si="180"/>
        <v>2021</v>
      </c>
      <c r="D5790" s="3">
        <f t="shared" si="181"/>
        <v>202104</v>
      </c>
      <c r="E5790" s="5" t="s">
        <v>7</v>
      </c>
      <c r="F5790" s="5" t="s">
        <v>12</v>
      </c>
      <c r="G5790" s="5" t="s">
        <v>45</v>
      </c>
      <c r="H5790">
        <v>43</v>
      </c>
      <c r="I5790" s="4">
        <v>356599</v>
      </c>
      <c r="J5790" s="4">
        <v>142545</v>
      </c>
    </row>
    <row r="5791" spans="2:10" x14ac:dyDescent="0.3">
      <c r="B5791" s="7">
        <v>44317</v>
      </c>
      <c r="C5791" s="3">
        <f t="shared" si="180"/>
        <v>2021</v>
      </c>
      <c r="D5791" s="3">
        <f t="shared" si="181"/>
        <v>202105</v>
      </c>
      <c r="E5791" s="5" t="s">
        <v>7</v>
      </c>
      <c r="F5791" s="5" t="s">
        <v>12</v>
      </c>
      <c r="G5791" s="5" t="s">
        <v>45</v>
      </c>
      <c r="H5791">
        <v>55</v>
      </c>
      <c r="I5791" s="4">
        <v>431145</v>
      </c>
      <c r="J5791" s="4">
        <v>182325</v>
      </c>
    </row>
    <row r="5792" spans="2:10" x14ac:dyDescent="0.3">
      <c r="B5792" s="7">
        <v>44348</v>
      </c>
      <c r="C5792" s="3">
        <f t="shared" si="180"/>
        <v>2021</v>
      </c>
      <c r="D5792" s="3">
        <f t="shared" si="181"/>
        <v>202106</v>
      </c>
      <c r="E5792" s="5" t="s">
        <v>7</v>
      </c>
      <c r="F5792" s="5" t="s">
        <v>12</v>
      </c>
      <c r="G5792" s="5" t="s">
        <v>45</v>
      </c>
      <c r="H5792">
        <v>52</v>
      </c>
      <c r="I5792" s="4">
        <v>386828</v>
      </c>
      <c r="J5792" s="4">
        <v>172380</v>
      </c>
    </row>
    <row r="5793" spans="2:10" x14ac:dyDescent="0.3">
      <c r="B5793" s="7">
        <v>44378</v>
      </c>
      <c r="C5793" s="3">
        <f t="shared" si="180"/>
        <v>2021</v>
      </c>
      <c r="D5793" s="3">
        <f t="shared" si="181"/>
        <v>202107</v>
      </c>
      <c r="E5793" s="5" t="s">
        <v>7</v>
      </c>
      <c r="F5793" s="5" t="s">
        <v>12</v>
      </c>
      <c r="G5793" s="5" t="s">
        <v>45</v>
      </c>
      <c r="H5793">
        <v>55</v>
      </c>
      <c r="I5793" s="4">
        <v>342980</v>
      </c>
      <c r="J5793" s="4">
        <v>182325</v>
      </c>
    </row>
    <row r="5794" spans="2:10" x14ac:dyDescent="0.3">
      <c r="B5794" s="7">
        <v>44409</v>
      </c>
      <c r="C5794" s="3">
        <f t="shared" si="180"/>
        <v>2021</v>
      </c>
      <c r="D5794" s="3">
        <f t="shared" si="181"/>
        <v>202108</v>
      </c>
      <c r="E5794" s="5" t="s">
        <v>7</v>
      </c>
      <c r="F5794" s="5" t="s">
        <v>12</v>
      </c>
      <c r="G5794" s="5" t="s">
        <v>45</v>
      </c>
      <c r="H5794">
        <v>46</v>
      </c>
      <c r="I5794" s="4">
        <v>324990</v>
      </c>
      <c r="J5794" s="4">
        <v>152490</v>
      </c>
    </row>
    <row r="5795" spans="2:10" x14ac:dyDescent="0.3">
      <c r="B5795" s="7">
        <v>44440</v>
      </c>
      <c r="C5795" s="3">
        <f t="shared" si="180"/>
        <v>2021</v>
      </c>
      <c r="D5795" s="3">
        <f t="shared" si="181"/>
        <v>202109</v>
      </c>
      <c r="E5795" s="5" t="s">
        <v>7</v>
      </c>
      <c r="F5795" s="5" t="s">
        <v>12</v>
      </c>
      <c r="G5795" s="5" t="s">
        <v>45</v>
      </c>
      <c r="H5795">
        <v>49</v>
      </c>
      <c r="I5795" s="4">
        <v>357406</v>
      </c>
      <c r="J5795" s="4">
        <v>162435</v>
      </c>
    </row>
    <row r="5796" spans="2:10" x14ac:dyDescent="0.3">
      <c r="B5796" s="7">
        <v>44470</v>
      </c>
      <c r="C5796" s="3">
        <f t="shared" si="180"/>
        <v>2021</v>
      </c>
      <c r="D5796" s="3">
        <f t="shared" si="181"/>
        <v>202110</v>
      </c>
      <c r="E5796" s="5" t="s">
        <v>7</v>
      </c>
      <c r="F5796" s="5" t="s">
        <v>12</v>
      </c>
      <c r="G5796" s="5" t="s">
        <v>45</v>
      </c>
      <c r="H5796">
        <v>40</v>
      </c>
      <c r="I5796" s="4">
        <v>328440</v>
      </c>
      <c r="J5796" s="4">
        <v>132600</v>
      </c>
    </row>
    <row r="5797" spans="2:10" x14ac:dyDescent="0.3">
      <c r="B5797" s="7">
        <v>44501</v>
      </c>
      <c r="C5797" s="3">
        <f t="shared" si="180"/>
        <v>2021</v>
      </c>
      <c r="D5797" s="3">
        <f t="shared" si="181"/>
        <v>202111</v>
      </c>
      <c r="E5797" s="5" t="s">
        <v>7</v>
      </c>
      <c r="F5797" s="5" t="s">
        <v>12</v>
      </c>
      <c r="G5797" s="5" t="s">
        <v>45</v>
      </c>
      <c r="H5797">
        <v>29</v>
      </c>
      <c r="I5797" s="4">
        <v>225330</v>
      </c>
      <c r="J5797" s="4">
        <v>96135</v>
      </c>
    </row>
    <row r="5798" spans="2:10" x14ac:dyDescent="0.3">
      <c r="B5798" s="7">
        <v>44531</v>
      </c>
      <c r="C5798" s="3">
        <f t="shared" si="180"/>
        <v>2021</v>
      </c>
      <c r="D5798" s="3">
        <f t="shared" si="181"/>
        <v>202112</v>
      </c>
      <c r="E5798" s="5" t="s">
        <v>7</v>
      </c>
      <c r="F5798" s="5" t="s">
        <v>12</v>
      </c>
      <c r="G5798" s="5" t="s">
        <v>45</v>
      </c>
      <c r="H5798">
        <v>35</v>
      </c>
      <c r="I5798" s="4">
        <v>273420</v>
      </c>
      <c r="J5798" s="4">
        <v>116025</v>
      </c>
    </row>
    <row r="5799" spans="2:10" x14ac:dyDescent="0.3">
      <c r="B5799" s="7">
        <v>44562</v>
      </c>
      <c r="C5799" s="3">
        <f t="shared" si="180"/>
        <v>2022</v>
      </c>
      <c r="D5799" s="3">
        <f t="shared" si="181"/>
        <v>202201</v>
      </c>
      <c r="E5799" s="5" t="s">
        <v>7</v>
      </c>
      <c r="F5799" s="5" t="s">
        <v>12</v>
      </c>
      <c r="G5799" s="5" t="s">
        <v>45</v>
      </c>
      <c r="H5799">
        <v>51</v>
      </c>
      <c r="I5799" s="4">
        <v>395709</v>
      </c>
      <c r="J5799" s="4">
        <v>169065</v>
      </c>
    </row>
    <row r="5800" spans="2:10" x14ac:dyDescent="0.3">
      <c r="B5800" s="7">
        <v>44593</v>
      </c>
      <c r="C5800" s="3">
        <f t="shared" si="180"/>
        <v>2022</v>
      </c>
      <c r="D5800" s="3">
        <f t="shared" si="181"/>
        <v>202202</v>
      </c>
      <c r="E5800" s="5" t="s">
        <v>7</v>
      </c>
      <c r="F5800" s="5" t="s">
        <v>12</v>
      </c>
      <c r="G5800" s="5" t="s">
        <v>45</v>
      </c>
      <c r="H5800">
        <v>32</v>
      </c>
      <c r="I5800" s="4">
        <v>253504</v>
      </c>
      <c r="J5800" s="4">
        <v>106080</v>
      </c>
    </row>
    <row r="5801" spans="2:10" x14ac:dyDescent="0.3">
      <c r="B5801" s="7">
        <v>44621</v>
      </c>
      <c r="C5801" s="3">
        <f t="shared" si="180"/>
        <v>2022</v>
      </c>
      <c r="D5801" s="3">
        <f t="shared" si="181"/>
        <v>202203</v>
      </c>
      <c r="E5801" s="5" t="s">
        <v>7</v>
      </c>
      <c r="F5801" s="5" t="s">
        <v>12</v>
      </c>
      <c r="G5801" s="5" t="s">
        <v>45</v>
      </c>
      <c r="H5801">
        <v>26</v>
      </c>
      <c r="I5801" s="4">
        <v>194272</v>
      </c>
      <c r="J5801" s="4">
        <v>86190</v>
      </c>
    </row>
    <row r="5802" spans="2:10" x14ac:dyDescent="0.3">
      <c r="B5802" s="7">
        <v>44652</v>
      </c>
      <c r="C5802" s="3">
        <f t="shared" si="180"/>
        <v>2022</v>
      </c>
      <c r="D5802" s="3">
        <f t="shared" si="181"/>
        <v>202204</v>
      </c>
      <c r="E5802" s="5" t="s">
        <v>7</v>
      </c>
      <c r="F5802" s="5" t="s">
        <v>12</v>
      </c>
      <c r="G5802" s="5" t="s">
        <v>45</v>
      </c>
      <c r="H5802">
        <v>48</v>
      </c>
      <c r="I5802" s="4">
        <v>404400</v>
      </c>
      <c r="J5802" s="4">
        <v>159120</v>
      </c>
    </row>
    <row r="5803" spans="2:10" x14ac:dyDescent="0.3">
      <c r="B5803" s="7">
        <v>44682</v>
      </c>
      <c r="C5803" s="3">
        <f t="shared" si="180"/>
        <v>2022</v>
      </c>
      <c r="D5803" s="3">
        <f t="shared" si="181"/>
        <v>202205</v>
      </c>
      <c r="E5803" s="5" t="s">
        <v>7</v>
      </c>
      <c r="F5803" s="5" t="s">
        <v>12</v>
      </c>
      <c r="G5803" s="5" t="s">
        <v>45</v>
      </c>
      <c r="H5803">
        <v>60</v>
      </c>
      <c r="I5803" s="4">
        <v>531240</v>
      </c>
      <c r="J5803" s="4">
        <v>198900</v>
      </c>
    </row>
    <row r="5804" spans="2:10" x14ac:dyDescent="0.3">
      <c r="B5804" s="7">
        <v>44713</v>
      </c>
      <c r="C5804" s="3">
        <f t="shared" si="180"/>
        <v>2022</v>
      </c>
      <c r="D5804" s="3">
        <f t="shared" si="181"/>
        <v>202206</v>
      </c>
      <c r="E5804" s="5" t="s">
        <v>7</v>
      </c>
      <c r="F5804" s="5" t="s">
        <v>12</v>
      </c>
      <c r="G5804" s="5" t="s">
        <v>45</v>
      </c>
      <c r="H5804">
        <v>57</v>
      </c>
      <c r="I5804" s="4">
        <v>422655</v>
      </c>
      <c r="J5804" s="4">
        <v>188955</v>
      </c>
    </row>
    <row r="5805" spans="2:10" x14ac:dyDescent="0.3">
      <c r="B5805" s="7">
        <v>44743</v>
      </c>
      <c r="C5805" s="3">
        <f t="shared" si="180"/>
        <v>2022</v>
      </c>
      <c r="D5805" s="3">
        <f t="shared" si="181"/>
        <v>202207</v>
      </c>
      <c r="E5805" s="5" t="s">
        <v>7</v>
      </c>
      <c r="F5805" s="5" t="s">
        <v>12</v>
      </c>
      <c r="G5805" s="5" t="s">
        <v>45</v>
      </c>
      <c r="H5805">
        <v>60</v>
      </c>
      <c r="I5805" s="4">
        <v>399720</v>
      </c>
      <c r="J5805" s="4">
        <v>198900</v>
      </c>
    </row>
    <row r="5806" spans="2:10" x14ac:dyDescent="0.3">
      <c r="B5806" s="7">
        <v>44774</v>
      </c>
      <c r="C5806" s="3">
        <f t="shared" si="180"/>
        <v>2022</v>
      </c>
      <c r="D5806" s="3">
        <f t="shared" si="181"/>
        <v>202208</v>
      </c>
      <c r="E5806" s="5" t="s">
        <v>7</v>
      </c>
      <c r="F5806" s="5" t="s">
        <v>12</v>
      </c>
      <c r="G5806" s="5" t="s">
        <v>45</v>
      </c>
      <c r="H5806">
        <v>51</v>
      </c>
      <c r="I5806" s="4">
        <v>384795</v>
      </c>
      <c r="J5806" s="4">
        <v>169065</v>
      </c>
    </row>
    <row r="5807" spans="2:10" x14ac:dyDescent="0.3">
      <c r="B5807" s="7">
        <v>44805</v>
      </c>
      <c r="C5807" s="3">
        <f t="shared" si="180"/>
        <v>2022</v>
      </c>
      <c r="D5807" s="3">
        <f t="shared" si="181"/>
        <v>202209</v>
      </c>
      <c r="E5807" s="5" t="s">
        <v>7</v>
      </c>
      <c r="F5807" s="5" t="s">
        <v>12</v>
      </c>
      <c r="G5807" s="5" t="s">
        <v>45</v>
      </c>
      <c r="H5807">
        <v>54</v>
      </c>
      <c r="I5807" s="4">
        <v>419148</v>
      </c>
      <c r="J5807" s="4">
        <v>179010</v>
      </c>
    </row>
    <row r="5808" spans="2:10" x14ac:dyDescent="0.3">
      <c r="B5808" s="7">
        <v>44835</v>
      </c>
      <c r="C5808" s="3">
        <f t="shared" si="180"/>
        <v>2022</v>
      </c>
      <c r="D5808" s="3">
        <f t="shared" si="181"/>
        <v>202210</v>
      </c>
      <c r="E5808" s="5" t="s">
        <v>7</v>
      </c>
      <c r="F5808" s="5" t="s">
        <v>12</v>
      </c>
      <c r="G5808" s="5" t="s">
        <v>45</v>
      </c>
      <c r="H5808">
        <v>44</v>
      </c>
      <c r="I5808" s="4">
        <v>352088</v>
      </c>
      <c r="J5808" s="4">
        <v>145860</v>
      </c>
    </row>
    <row r="5809" spans="2:10" x14ac:dyDescent="0.3">
      <c r="B5809" s="7">
        <v>44866</v>
      </c>
      <c r="C5809" s="3">
        <f t="shared" si="180"/>
        <v>2022</v>
      </c>
      <c r="D5809" s="3">
        <f t="shared" si="181"/>
        <v>202211</v>
      </c>
      <c r="E5809" s="5" t="s">
        <v>7</v>
      </c>
      <c r="F5809" s="5" t="s">
        <v>12</v>
      </c>
      <c r="G5809" s="5" t="s">
        <v>45</v>
      </c>
      <c r="H5809">
        <v>32</v>
      </c>
      <c r="I5809" s="4">
        <v>239232</v>
      </c>
      <c r="J5809" s="4">
        <v>106080</v>
      </c>
    </row>
    <row r="5810" spans="2:10" x14ac:dyDescent="0.3">
      <c r="B5810" s="7">
        <v>44896</v>
      </c>
      <c r="C5810" s="3">
        <f t="shared" si="180"/>
        <v>2022</v>
      </c>
      <c r="D5810" s="3">
        <f t="shared" si="181"/>
        <v>202212</v>
      </c>
      <c r="E5810" s="5" t="s">
        <v>7</v>
      </c>
      <c r="F5810" s="5" t="s">
        <v>12</v>
      </c>
      <c r="G5810" s="5" t="s">
        <v>45</v>
      </c>
      <c r="H5810">
        <v>38</v>
      </c>
      <c r="I5810" s="4">
        <v>256234</v>
      </c>
      <c r="J5810" s="4">
        <v>125970</v>
      </c>
    </row>
    <row r="5811" spans="2:10" x14ac:dyDescent="0.3">
      <c r="B5811" s="7">
        <v>44197</v>
      </c>
      <c r="C5811" s="3">
        <f t="shared" si="180"/>
        <v>2021</v>
      </c>
      <c r="D5811" s="3">
        <f t="shared" si="181"/>
        <v>202101</v>
      </c>
      <c r="E5811" s="5" t="s">
        <v>7</v>
      </c>
      <c r="F5811" s="5" t="s">
        <v>12</v>
      </c>
      <c r="G5811" s="5" t="s">
        <v>46</v>
      </c>
      <c r="H5811">
        <v>51</v>
      </c>
      <c r="I5811" s="4">
        <v>574311</v>
      </c>
      <c r="J5811" s="4">
        <v>239700</v>
      </c>
    </row>
    <row r="5812" spans="2:10" x14ac:dyDescent="0.3">
      <c r="B5812" s="7">
        <v>44228</v>
      </c>
      <c r="C5812" s="3">
        <f t="shared" si="180"/>
        <v>2021</v>
      </c>
      <c r="D5812" s="3">
        <f t="shared" si="181"/>
        <v>202102</v>
      </c>
      <c r="E5812" s="5" t="s">
        <v>7</v>
      </c>
      <c r="F5812" s="5" t="s">
        <v>12</v>
      </c>
      <c r="G5812" s="5" t="s">
        <v>46</v>
      </c>
      <c r="H5812">
        <v>32</v>
      </c>
      <c r="I5812" s="4">
        <v>370144</v>
      </c>
      <c r="J5812" s="4">
        <v>150400</v>
      </c>
    </row>
    <row r="5813" spans="2:10" x14ac:dyDescent="0.3">
      <c r="B5813" s="7">
        <v>44256</v>
      </c>
      <c r="C5813" s="3">
        <f t="shared" si="180"/>
        <v>2021</v>
      </c>
      <c r="D5813" s="3">
        <f t="shared" si="181"/>
        <v>202103</v>
      </c>
      <c r="E5813" s="5" t="s">
        <v>7</v>
      </c>
      <c r="F5813" s="5" t="s">
        <v>12</v>
      </c>
      <c r="G5813" s="5" t="s">
        <v>46</v>
      </c>
      <c r="H5813">
        <v>26</v>
      </c>
      <c r="I5813" s="4">
        <v>290550</v>
      </c>
      <c r="J5813" s="4">
        <v>122200</v>
      </c>
    </row>
    <row r="5814" spans="2:10" x14ac:dyDescent="0.3">
      <c r="B5814" s="7">
        <v>44287</v>
      </c>
      <c r="C5814" s="3">
        <f t="shared" si="180"/>
        <v>2021</v>
      </c>
      <c r="D5814" s="3">
        <f t="shared" si="181"/>
        <v>202104</v>
      </c>
      <c r="E5814" s="5" t="s">
        <v>7</v>
      </c>
      <c r="F5814" s="5" t="s">
        <v>12</v>
      </c>
      <c r="G5814" s="5" t="s">
        <v>46</v>
      </c>
      <c r="H5814">
        <v>48</v>
      </c>
      <c r="I5814" s="4">
        <v>577056</v>
      </c>
      <c r="J5814" s="4">
        <v>225600</v>
      </c>
    </row>
    <row r="5815" spans="2:10" x14ac:dyDescent="0.3">
      <c r="B5815" s="7">
        <v>44317</v>
      </c>
      <c r="C5815" s="3">
        <f t="shared" si="180"/>
        <v>2021</v>
      </c>
      <c r="D5815" s="3">
        <f t="shared" si="181"/>
        <v>202105</v>
      </c>
      <c r="E5815" s="5" t="s">
        <v>7</v>
      </c>
      <c r="F5815" s="5" t="s">
        <v>12</v>
      </c>
      <c r="G5815" s="5" t="s">
        <v>46</v>
      </c>
      <c r="H5815">
        <v>60</v>
      </c>
      <c r="I5815" s="4">
        <v>730380</v>
      </c>
      <c r="J5815" s="4">
        <v>282000</v>
      </c>
    </row>
    <row r="5816" spans="2:10" x14ac:dyDescent="0.3">
      <c r="B5816" s="7">
        <v>44348</v>
      </c>
      <c r="C5816" s="3">
        <f t="shared" si="180"/>
        <v>2021</v>
      </c>
      <c r="D5816" s="3">
        <f t="shared" si="181"/>
        <v>202106</v>
      </c>
      <c r="E5816" s="5" t="s">
        <v>7</v>
      </c>
      <c r="F5816" s="5" t="s">
        <v>12</v>
      </c>
      <c r="G5816" s="5" t="s">
        <v>46</v>
      </c>
      <c r="H5816">
        <v>57</v>
      </c>
      <c r="I5816" s="4">
        <v>661029</v>
      </c>
      <c r="J5816" s="4">
        <v>267900</v>
      </c>
    </row>
    <row r="5817" spans="2:10" x14ac:dyDescent="0.3">
      <c r="B5817" s="7">
        <v>44378</v>
      </c>
      <c r="C5817" s="3">
        <f t="shared" si="180"/>
        <v>2021</v>
      </c>
      <c r="D5817" s="3">
        <f t="shared" si="181"/>
        <v>202107</v>
      </c>
      <c r="E5817" s="5" t="s">
        <v>7</v>
      </c>
      <c r="F5817" s="5" t="s">
        <v>12</v>
      </c>
      <c r="G5817" s="5" t="s">
        <v>46</v>
      </c>
      <c r="H5817">
        <v>60</v>
      </c>
      <c r="I5817" s="4">
        <v>613680</v>
      </c>
      <c r="J5817" s="4">
        <v>282000</v>
      </c>
    </row>
    <row r="5818" spans="2:10" x14ac:dyDescent="0.3">
      <c r="B5818" s="7">
        <v>44409</v>
      </c>
      <c r="C5818" s="3">
        <f t="shared" si="180"/>
        <v>2021</v>
      </c>
      <c r="D5818" s="3">
        <f t="shared" si="181"/>
        <v>202108</v>
      </c>
      <c r="E5818" s="5" t="s">
        <v>7</v>
      </c>
      <c r="F5818" s="5" t="s">
        <v>12</v>
      </c>
      <c r="G5818" s="5" t="s">
        <v>46</v>
      </c>
      <c r="H5818">
        <v>51</v>
      </c>
      <c r="I5818" s="4">
        <v>564774</v>
      </c>
      <c r="J5818" s="4">
        <v>239700</v>
      </c>
    </row>
    <row r="5819" spans="2:10" x14ac:dyDescent="0.3">
      <c r="B5819" s="7">
        <v>44440</v>
      </c>
      <c r="C5819" s="3">
        <f t="shared" si="180"/>
        <v>2021</v>
      </c>
      <c r="D5819" s="3">
        <f t="shared" si="181"/>
        <v>202109</v>
      </c>
      <c r="E5819" s="5" t="s">
        <v>7</v>
      </c>
      <c r="F5819" s="5" t="s">
        <v>12</v>
      </c>
      <c r="G5819" s="5" t="s">
        <v>46</v>
      </c>
      <c r="H5819">
        <v>54</v>
      </c>
      <c r="I5819" s="4">
        <v>559710</v>
      </c>
      <c r="J5819" s="4">
        <v>253800</v>
      </c>
    </row>
    <row r="5820" spans="2:10" x14ac:dyDescent="0.3">
      <c r="B5820" s="7">
        <v>44470</v>
      </c>
      <c r="C5820" s="3">
        <f t="shared" si="180"/>
        <v>2021</v>
      </c>
      <c r="D5820" s="3">
        <f t="shared" si="181"/>
        <v>202110</v>
      </c>
      <c r="E5820" s="5" t="s">
        <v>7</v>
      </c>
      <c r="F5820" s="5" t="s">
        <v>12</v>
      </c>
      <c r="G5820" s="5" t="s">
        <v>46</v>
      </c>
      <c r="H5820">
        <v>44</v>
      </c>
      <c r="I5820" s="4">
        <v>507848</v>
      </c>
      <c r="J5820" s="4">
        <v>206800</v>
      </c>
    </row>
    <row r="5821" spans="2:10" x14ac:dyDescent="0.3">
      <c r="B5821" s="7">
        <v>44501</v>
      </c>
      <c r="C5821" s="3">
        <f t="shared" si="180"/>
        <v>2021</v>
      </c>
      <c r="D5821" s="3">
        <f t="shared" si="181"/>
        <v>202111</v>
      </c>
      <c r="E5821" s="5" t="s">
        <v>7</v>
      </c>
      <c r="F5821" s="5" t="s">
        <v>12</v>
      </c>
      <c r="G5821" s="5" t="s">
        <v>46</v>
      </c>
      <c r="H5821">
        <v>32</v>
      </c>
      <c r="I5821" s="4">
        <v>366752</v>
      </c>
      <c r="J5821" s="4">
        <v>150400</v>
      </c>
    </row>
    <row r="5822" spans="2:10" x14ac:dyDescent="0.3">
      <c r="B5822" s="7">
        <v>44531</v>
      </c>
      <c r="C5822" s="3">
        <f t="shared" si="180"/>
        <v>2021</v>
      </c>
      <c r="D5822" s="3">
        <f t="shared" si="181"/>
        <v>202112</v>
      </c>
      <c r="E5822" s="5" t="s">
        <v>7</v>
      </c>
      <c r="F5822" s="5" t="s">
        <v>12</v>
      </c>
      <c r="G5822" s="5" t="s">
        <v>46</v>
      </c>
      <c r="H5822">
        <v>38</v>
      </c>
      <c r="I5822" s="4">
        <v>428336</v>
      </c>
      <c r="J5822" s="4">
        <v>178600</v>
      </c>
    </row>
    <row r="5823" spans="2:10" x14ac:dyDescent="0.3">
      <c r="B5823" s="7">
        <v>44562</v>
      </c>
      <c r="C5823" s="3">
        <f t="shared" si="180"/>
        <v>2022</v>
      </c>
      <c r="D5823" s="3">
        <f t="shared" si="181"/>
        <v>202201</v>
      </c>
      <c r="E5823" s="5" t="s">
        <v>7</v>
      </c>
      <c r="F5823" s="5" t="s">
        <v>12</v>
      </c>
      <c r="G5823" s="5" t="s">
        <v>46</v>
      </c>
      <c r="H5823">
        <v>56</v>
      </c>
      <c r="I5823" s="4">
        <v>633080</v>
      </c>
      <c r="J5823" s="4">
        <v>263200</v>
      </c>
    </row>
    <row r="5824" spans="2:10" x14ac:dyDescent="0.3">
      <c r="B5824" s="7">
        <v>44593</v>
      </c>
      <c r="C5824" s="3">
        <f t="shared" si="180"/>
        <v>2022</v>
      </c>
      <c r="D5824" s="3">
        <f t="shared" si="181"/>
        <v>202202</v>
      </c>
      <c r="E5824" s="5" t="s">
        <v>7</v>
      </c>
      <c r="F5824" s="5" t="s">
        <v>12</v>
      </c>
      <c r="G5824" s="5" t="s">
        <v>46</v>
      </c>
      <c r="H5824">
        <v>35</v>
      </c>
      <c r="I5824" s="4">
        <v>413245</v>
      </c>
      <c r="J5824" s="4">
        <v>164500</v>
      </c>
    </row>
    <row r="5825" spans="2:10" x14ac:dyDescent="0.3">
      <c r="B5825" s="7">
        <v>44621</v>
      </c>
      <c r="C5825" s="3">
        <f t="shared" si="180"/>
        <v>2022</v>
      </c>
      <c r="D5825" s="3">
        <f t="shared" si="181"/>
        <v>202203</v>
      </c>
      <c r="E5825" s="5" t="s">
        <v>7</v>
      </c>
      <c r="F5825" s="5" t="s">
        <v>12</v>
      </c>
      <c r="G5825" s="5" t="s">
        <v>46</v>
      </c>
      <c r="H5825">
        <v>28</v>
      </c>
      <c r="I5825" s="4">
        <v>292516</v>
      </c>
      <c r="J5825" s="4">
        <v>131600</v>
      </c>
    </row>
    <row r="5826" spans="2:10" x14ac:dyDescent="0.3">
      <c r="B5826" s="7">
        <v>44652</v>
      </c>
      <c r="C5826" s="3">
        <f t="shared" si="180"/>
        <v>2022</v>
      </c>
      <c r="D5826" s="3">
        <f t="shared" si="181"/>
        <v>202204</v>
      </c>
      <c r="E5826" s="5" t="s">
        <v>7</v>
      </c>
      <c r="F5826" s="5" t="s">
        <v>12</v>
      </c>
      <c r="G5826" s="5" t="s">
        <v>46</v>
      </c>
      <c r="H5826">
        <v>52</v>
      </c>
      <c r="I5826" s="4">
        <v>622128</v>
      </c>
      <c r="J5826" s="4">
        <v>244400</v>
      </c>
    </row>
    <row r="5827" spans="2:10" x14ac:dyDescent="0.3">
      <c r="B5827" s="7">
        <v>44682</v>
      </c>
      <c r="C5827" s="3">
        <f t="shared" ref="C5827:C5890" si="182">YEAR(B5827)</f>
        <v>2022</v>
      </c>
      <c r="D5827" s="3">
        <f t="shared" ref="D5827:D5890" si="183">VALUE(TEXT(B5827,"ГГГГММ"))</f>
        <v>202205</v>
      </c>
      <c r="E5827" s="5" t="s">
        <v>7</v>
      </c>
      <c r="F5827" s="5" t="s">
        <v>12</v>
      </c>
      <c r="G5827" s="5" t="s">
        <v>46</v>
      </c>
      <c r="H5827">
        <v>66</v>
      </c>
      <c r="I5827" s="4">
        <v>796488</v>
      </c>
      <c r="J5827" s="4">
        <v>310200</v>
      </c>
    </row>
    <row r="5828" spans="2:10" x14ac:dyDescent="0.3">
      <c r="B5828" s="7">
        <v>44713</v>
      </c>
      <c r="C5828" s="3">
        <f t="shared" si="182"/>
        <v>2022</v>
      </c>
      <c r="D5828" s="3">
        <f t="shared" si="183"/>
        <v>202206</v>
      </c>
      <c r="E5828" s="5" t="s">
        <v>7</v>
      </c>
      <c r="F5828" s="5" t="s">
        <v>12</v>
      </c>
      <c r="G5828" s="5" t="s">
        <v>46</v>
      </c>
      <c r="H5828">
        <v>63</v>
      </c>
      <c r="I5828" s="4">
        <v>697347</v>
      </c>
      <c r="J5828" s="4">
        <v>296100</v>
      </c>
    </row>
    <row r="5829" spans="2:10" x14ac:dyDescent="0.3">
      <c r="B5829" s="7">
        <v>44743</v>
      </c>
      <c r="C5829" s="3">
        <f t="shared" si="182"/>
        <v>2022</v>
      </c>
      <c r="D5829" s="3">
        <f t="shared" si="183"/>
        <v>202207</v>
      </c>
      <c r="E5829" s="5" t="s">
        <v>7</v>
      </c>
      <c r="F5829" s="5" t="s">
        <v>12</v>
      </c>
      <c r="G5829" s="5" t="s">
        <v>46</v>
      </c>
      <c r="H5829">
        <v>66</v>
      </c>
      <c r="I5829" s="4">
        <v>644820</v>
      </c>
      <c r="J5829" s="4">
        <v>310200</v>
      </c>
    </row>
    <row r="5830" spans="2:10" x14ac:dyDescent="0.3">
      <c r="B5830" s="7">
        <v>44774</v>
      </c>
      <c r="C5830" s="3">
        <f t="shared" si="182"/>
        <v>2022</v>
      </c>
      <c r="D5830" s="3">
        <f t="shared" si="183"/>
        <v>202208</v>
      </c>
      <c r="E5830" s="5" t="s">
        <v>7</v>
      </c>
      <c r="F5830" s="5" t="s">
        <v>12</v>
      </c>
      <c r="G5830" s="5" t="s">
        <v>46</v>
      </c>
      <c r="H5830">
        <v>56</v>
      </c>
      <c r="I5830" s="4">
        <v>625968</v>
      </c>
      <c r="J5830" s="4">
        <v>263200</v>
      </c>
    </row>
    <row r="5831" spans="2:10" x14ac:dyDescent="0.3">
      <c r="B5831" s="7">
        <v>44805</v>
      </c>
      <c r="C5831" s="3">
        <f t="shared" si="182"/>
        <v>2022</v>
      </c>
      <c r="D5831" s="3">
        <f t="shared" si="183"/>
        <v>202209</v>
      </c>
      <c r="E5831" s="5" t="s">
        <v>7</v>
      </c>
      <c r="F5831" s="5" t="s">
        <v>12</v>
      </c>
      <c r="G5831" s="5" t="s">
        <v>46</v>
      </c>
      <c r="H5831">
        <v>59</v>
      </c>
      <c r="I5831" s="4">
        <v>613364</v>
      </c>
      <c r="J5831" s="4">
        <v>277300</v>
      </c>
    </row>
    <row r="5832" spans="2:10" x14ac:dyDescent="0.3">
      <c r="B5832" s="7">
        <v>44835</v>
      </c>
      <c r="C5832" s="3">
        <f t="shared" si="182"/>
        <v>2022</v>
      </c>
      <c r="D5832" s="3">
        <f t="shared" si="183"/>
        <v>202210</v>
      </c>
      <c r="E5832" s="5" t="s">
        <v>7</v>
      </c>
      <c r="F5832" s="5" t="s">
        <v>12</v>
      </c>
      <c r="G5832" s="5" t="s">
        <v>46</v>
      </c>
      <c r="H5832">
        <v>49</v>
      </c>
      <c r="I5832" s="4">
        <v>562765</v>
      </c>
      <c r="J5832" s="4">
        <v>230300</v>
      </c>
    </row>
    <row r="5833" spans="2:10" x14ac:dyDescent="0.3">
      <c r="B5833" s="7">
        <v>44866</v>
      </c>
      <c r="C5833" s="3">
        <f t="shared" si="182"/>
        <v>2022</v>
      </c>
      <c r="D5833" s="3">
        <f t="shared" si="183"/>
        <v>202211</v>
      </c>
      <c r="E5833" s="5" t="s">
        <v>7</v>
      </c>
      <c r="F5833" s="5" t="s">
        <v>12</v>
      </c>
      <c r="G5833" s="5" t="s">
        <v>46</v>
      </c>
      <c r="H5833">
        <v>35</v>
      </c>
      <c r="I5833" s="4">
        <v>406980</v>
      </c>
      <c r="J5833" s="4">
        <v>164500</v>
      </c>
    </row>
    <row r="5834" spans="2:10" x14ac:dyDescent="0.3">
      <c r="B5834" s="7">
        <v>44896</v>
      </c>
      <c r="C5834" s="3">
        <f t="shared" si="182"/>
        <v>2022</v>
      </c>
      <c r="D5834" s="3">
        <f t="shared" si="183"/>
        <v>202212</v>
      </c>
      <c r="E5834" s="5" t="s">
        <v>7</v>
      </c>
      <c r="F5834" s="5" t="s">
        <v>12</v>
      </c>
      <c r="G5834" s="5" t="s">
        <v>46</v>
      </c>
      <c r="H5834">
        <v>42</v>
      </c>
      <c r="I5834" s="4">
        <v>429198</v>
      </c>
      <c r="J5834" s="4">
        <v>197400</v>
      </c>
    </row>
    <row r="5835" spans="2:10" x14ac:dyDescent="0.3">
      <c r="B5835" s="7">
        <v>44197</v>
      </c>
      <c r="C5835" s="3">
        <f t="shared" si="182"/>
        <v>2021</v>
      </c>
      <c r="D5835" s="3">
        <f t="shared" si="183"/>
        <v>202101</v>
      </c>
      <c r="E5835" s="5" t="s">
        <v>7</v>
      </c>
      <c r="F5835" s="5" t="s">
        <v>12</v>
      </c>
      <c r="G5835" s="5" t="s">
        <v>47</v>
      </c>
      <c r="H5835">
        <v>53</v>
      </c>
      <c r="I5835" s="4">
        <v>537049</v>
      </c>
      <c r="J5835" s="4">
        <v>284557</v>
      </c>
    </row>
    <row r="5836" spans="2:10" x14ac:dyDescent="0.3">
      <c r="B5836" s="7">
        <v>44228</v>
      </c>
      <c r="C5836" s="3">
        <f t="shared" si="182"/>
        <v>2021</v>
      </c>
      <c r="D5836" s="3">
        <f t="shared" si="183"/>
        <v>202102</v>
      </c>
      <c r="E5836" s="5" t="s">
        <v>7</v>
      </c>
      <c r="F5836" s="5" t="s">
        <v>12</v>
      </c>
      <c r="G5836" s="5" t="s">
        <v>47</v>
      </c>
      <c r="H5836">
        <v>34</v>
      </c>
      <c r="I5836" s="4">
        <v>376788</v>
      </c>
      <c r="J5836" s="4">
        <v>182546</v>
      </c>
    </row>
    <row r="5837" spans="2:10" x14ac:dyDescent="0.3">
      <c r="B5837" s="7">
        <v>44256</v>
      </c>
      <c r="C5837" s="3">
        <f t="shared" si="182"/>
        <v>2021</v>
      </c>
      <c r="D5837" s="3">
        <f t="shared" si="183"/>
        <v>202103</v>
      </c>
      <c r="E5837" s="5" t="s">
        <v>7</v>
      </c>
      <c r="F5837" s="5" t="s">
        <v>12</v>
      </c>
      <c r="G5837" s="5" t="s">
        <v>47</v>
      </c>
      <c r="H5837">
        <v>27</v>
      </c>
      <c r="I5837" s="4">
        <v>278262</v>
      </c>
      <c r="J5837" s="4">
        <v>144963</v>
      </c>
    </row>
    <row r="5838" spans="2:10" x14ac:dyDescent="0.3">
      <c r="B5838" s="7">
        <v>44287</v>
      </c>
      <c r="C5838" s="3">
        <f t="shared" si="182"/>
        <v>2021</v>
      </c>
      <c r="D5838" s="3">
        <f t="shared" si="183"/>
        <v>202104</v>
      </c>
      <c r="E5838" s="5" t="s">
        <v>7</v>
      </c>
      <c r="F5838" s="5" t="s">
        <v>12</v>
      </c>
      <c r="G5838" s="5" t="s">
        <v>47</v>
      </c>
      <c r="H5838">
        <v>50</v>
      </c>
      <c r="I5838" s="4">
        <v>542750</v>
      </c>
      <c r="J5838" s="4">
        <v>268450</v>
      </c>
    </row>
    <row r="5839" spans="2:10" x14ac:dyDescent="0.3">
      <c r="B5839" s="7">
        <v>44317</v>
      </c>
      <c r="C5839" s="3">
        <f t="shared" si="182"/>
        <v>2021</v>
      </c>
      <c r="D5839" s="3">
        <f t="shared" si="183"/>
        <v>202105</v>
      </c>
      <c r="E5839" s="5" t="s">
        <v>7</v>
      </c>
      <c r="F5839" s="5" t="s">
        <v>12</v>
      </c>
      <c r="G5839" s="5" t="s">
        <v>47</v>
      </c>
      <c r="H5839">
        <v>63</v>
      </c>
      <c r="I5839" s="4">
        <v>711774</v>
      </c>
      <c r="J5839" s="4">
        <v>338247</v>
      </c>
    </row>
    <row r="5840" spans="2:10" x14ac:dyDescent="0.3">
      <c r="B5840" s="7">
        <v>44348</v>
      </c>
      <c r="C5840" s="3">
        <f t="shared" si="182"/>
        <v>2021</v>
      </c>
      <c r="D5840" s="3">
        <f t="shared" si="183"/>
        <v>202106</v>
      </c>
      <c r="E5840" s="5" t="s">
        <v>7</v>
      </c>
      <c r="F5840" s="5" t="s">
        <v>12</v>
      </c>
      <c r="G5840" s="5" t="s">
        <v>47</v>
      </c>
      <c r="H5840">
        <v>60</v>
      </c>
      <c r="I5840" s="4">
        <v>623940</v>
      </c>
      <c r="J5840" s="4">
        <v>322140</v>
      </c>
    </row>
    <row r="5841" spans="2:10" x14ac:dyDescent="0.3">
      <c r="B5841" s="7">
        <v>44378</v>
      </c>
      <c r="C5841" s="3">
        <f t="shared" si="182"/>
        <v>2021</v>
      </c>
      <c r="D5841" s="3">
        <f t="shared" si="183"/>
        <v>202107</v>
      </c>
      <c r="E5841" s="5" t="s">
        <v>7</v>
      </c>
      <c r="F5841" s="5" t="s">
        <v>12</v>
      </c>
      <c r="G5841" s="5" t="s">
        <v>47</v>
      </c>
      <c r="H5841">
        <v>63</v>
      </c>
      <c r="I5841" s="4">
        <v>559881</v>
      </c>
      <c r="J5841" s="4">
        <v>338247</v>
      </c>
    </row>
    <row r="5842" spans="2:10" x14ac:dyDescent="0.3">
      <c r="B5842" s="7">
        <v>44409</v>
      </c>
      <c r="C5842" s="3">
        <f t="shared" si="182"/>
        <v>2021</v>
      </c>
      <c r="D5842" s="3">
        <f t="shared" si="183"/>
        <v>202108</v>
      </c>
      <c r="E5842" s="5" t="s">
        <v>7</v>
      </c>
      <c r="F5842" s="5" t="s">
        <v>12</v>
      </c>
      <c r="G5842" s="5" t="s">
        <v>47</v>
      </c>
      <c r="H5842">
        <v>53</v>
      </c>
      <c r="I5842" s="4">
        <v>550140</v>
      </c>
      <c r="J5842" s="4">
        <v>284557</v>
      </c>
    </row>
    <row r="5843" spans="2:10" x14ac:dyDescent="0.3">
      <c r="B5843" s="7">
        <v>44440</v>
      </c>
      <c r="C5843" s="3">
        <f t="shared" si="182"/>
        <v>2021</v>
      </c>
      <c r="D5843" s="3">
        <f t="shared" si="183"/>
        <v>202109</v>
      </c>
      <c r="E5843" s="5" t="s">
        <v>7</v>
      </c>
      <c r="F5843" s="5" t="s">
        <v>12</v>
      </c>
      <c r="G5843" s="5" t="s">
        <v>47</v>
      </c>
      <c r="H5843">
        <v>57</v>
      </c>
      <c r="I5843" s="4">
        <v>584421</v>
      </c>
      <c r="J5843" s="4">
        <v>306033</v>
      </c>
    </row>
    <row r="5844" spans="2:10" x14ac:dyDescent="0.3">
      <c r="B5844" s="7">
        <v>44470</v>
      </c>
      <c r="C5844" s="3">
        <f t="shared" si="182"/>
        <v>2021</v>
      </c>
      <c r="D5844" s="3">
        <f t="shared" si="183"/>
        <v>202110</v>
      </c>
      <c r="E5844" s="5" t="s">
        <v>7</v>
      </c>
      <c r="F5844" s="5" t="s">
        <v>12</v>
      </c>
      <c r="G5844" s="5" t="s">
        <v>47</v>
      </c>
      <c r="H5844">
        <v>47</v>
      </c>
      <c r="I5844" s="4">
        <v>511501</v>
      </c>
      <c r="J5844" s="4">
        <v>252343</v>
      </c>
    </row>
    <row r="5845" spans="2:10" x14ac:dyDescent="0.3">
      <c r="B5845" s="7">
        <v>44501</v>
      </c>
      <c r="C5845" s="3">
        <f t="shared" si="182"/>
        <v>2021</v>
      </c>
      <c r="D5845" s="3">
        <f t="shared" si="183"/>
        <v>202111</v>
      </c>
      <c r="E5845" s="5" t="s">
        <v>7</v>
      </c>
      <c r="F5845" s="5" t="s">
        <v>12</v>
      </c>
      <c r="G5845" s="5" t="s">
        <v>47</v>
      </c>
      <c r="H5845">
        <v>34</v>
      </c>
      <c r="I5845" s="4">
        <v>344012</v>
      </c>
      <c r="J5845" s="4">
        <v>182546</v>
      </c>
    </row>
    <row r="5846" spans="2:10" x14ac:dyDescent="0.3">
      <c r="B5846" s="7">
        <v>44531</v>
      </c>
      <c r="C5846" s="3">
        <f t="shared" si="182"/>
        <v>2021</v>
      </c>
      <c r="D5846" s="3">
        <f t="shared" si="183"/>
        <v>202112</v>
      </c>
      <c r="E5846" s="5" t="s">
        <v>7</v>
      </c>
      <c r="F5846" s="5" t="s">
        <v>12</v>
      </c>
      <c r="G5846" s="5" t="s">
        <v>47</v>
      </c>
      <c r="H5846">
        <v>40</v>
      </c>
      <c r="I5846" s="4">
        <v>379480</v>
      </c>
      <c r="J5846" s="4">
        <v>214760</v>
      </c>
    </row>
    <row r="5847" spans="2:10" x14ac:dyDescent="0.3">
      <c r="B5847" s="7">
        <v>44562</v>
      </c>
      <c r="C5847" s="3">
        <f t="shared" si="182"/>
        <v>2022</v>
      </c>
      <c r="D5847" s="3">
        <f t="shared" si="183"/>
        <v>202201</v>
      </c>
      <c r="E5847" s="5" t="s">
        <v>7</v>
      </c>
      <c r="F5847" s="5" t="s">
        <v>12</v>
      </c>
      <c r="G5847" s="5" t="s">
        <v>47</v>
      </c>
      <c r="H5847">
        <v>59</v>
      </c>
      <c r="I5847" s="4">
        <v>627406</v>
      </c>
      <c r="J5847" s="4">
        <v>316771</v>
      </c>
    </row>
    <row r="5848" spans="2:10" x14ac:dyDescent="0.3">
      <c r="B5848" s="7">
        <v>44593</v>
      </c>
      <c r="C5848" s="3">
        <f t="shared" si="182"/>
        <v>2022</v>
      </c>
      <c r="D5848" s="3">
        <f t="shared" si="183"/>
        <v>202202</v>
      </c>
      <c r="E5848" s="5" t="s">
        <v>7</v>
      </c>
      <c r="F5848" s="5" t="s">
        <v>12</v>
      </c>
      <c r="G5848" s="5" t="s">
        <v>47</v>
      </c>
      <c r="H5848">
        <v>37</v>
      </c>
      <c r="I5848" s="4">
        <v>378769</v>
      </c>
      <c r="J5848" s="4">
        <v>198653</v>
      </c>
    </row>
    <row r="5849" spans="2:10" x14ac:dyDescent="0.3">
      <c r="B5849" s="7">
        <v>44621</v>
      </c>
      <c r="C5849" s="3">
        <f t="shared" si="182"/>
        <v>2022</v>
      </c>
      <c r="D5849" s="3">
        <f t="shared" si="183"/>
        <v>202203</v>
      </c>
      <c r="E5849" s="5" t="s">
        <v>7</v>
      </c>
      <c r="F5849" s="5" t="s">
        <v>12</v>
      </c>
      <c r="G5849" s="5" t="s">
        <v>47</v>
      </c>
      <c r="H5849">
        <v>30</v>
      </c>
      <c r="I5849" s="4">
        <v>306720</v>
      </c>
      <c r="J5849" s="4">
        <v>161070</v>
      </c>
    </row>
    <row r="5850" spans="2:10" x14ac:dyDescent="0.3">
      <c r="B5850" s="7">
        <v>44652</v>
      </c>
      <c r="C5850" s="3">
        <f t="shared" si="182"/>
        <v>2022</v>
      </c>
      <c r="D5850" s="3">
        <f t="shared" si="183"/>
        <v>202204</v>
      </c>
      <c r="E5850" s="5" t="s">
        <v>7</v>
      </c>
      <c r="F5850" s="5" t="s">
        <v>12</v>
      </c>
      <c r="G5850" s="5" t="s">
        <v>47</v>
      </c>
      <c r="H5850">
        <v>55</v>
      </c>
      <c r="I5850" s="4">
        <v>576840</v>
      </c>
      <c r="J5850" s="4">
        <v>295295</v>
      </c>
    </row>
    <row r="5851" spans="2:10" x14ac:dyDescent="0.3">
      <c r="B5851" s="7">
        <v>44682</v>
      </c>
      <c r="C5851" s="3">
        <f t="shared" si="182"/>
        <v>2022</v>
      </c>
      <c r="D5851" s="3">
        <f t="shared" si="183"/>
        <v>202205</v>
      </c>
      <c r="E5851" s="5" t="s">
        <v>7</v>
      </c>
      <c r="F5851" s="5" t="s">
        <v>12</v>
      </c>
      <c r="G5851" s="5" t="s">
        <v>47</v>
      </c>
      <c r="H5851">
        <v>70</v>
      </c>
      <c r="I5851" s="4">
        <v>780640</v>
      </c>
      <c r="J5851" s="4">
        <v>375830</v>
      </c>
    </row>
    <row r="5852" spans="2:10" x14ac:dyDescent="0.3">
      <c r="B5852" s="7">
        <v>44713</v>
      </c>
      <c r="C5852" s="3">
        <f t="shared" si="182"/>
        <v>2022</v>
      </c>
      <c r="D5852" s="3">
        <f t="shared" si="183"/>
        <v>202206</v>
      </c>
      <c r="E5852" s="5" t="s">
        <v>7</v>
      </c>
      <c r="F5852" s="5" t="s">
        <v>12</v>
      </c>
      <c r="G5852" s="5" t="s">
        <v>47</v>
      </c>
      <c r="H5852">
        <v>66</v>
      </c>
      <c r="I5852" s="4">
        <v>714648</v>
      </c>
      <c r="J5852" s="4">
        <v>354354</v>
      </c>
    </row>
    <row r="5853" spans="2:10" x14ac:dyDescent="0.3">
      <c r="B5853" s="7">
        <v>44743</v>
      </c>
      <c r="C5853" s="3">
        <f t="shared" si="182"/>
        <v>2022</v>
      </c>
      <c r="D5853" s="3">
        <f t="shared" si="183"/>
        <v>202207</v>
      </c>
      <c r="E5853" s="5" t="s">
        <v>7</v>
      </c>
      <c r="F5853" s="5" t="s">
        <v>12</v>
      </c>
      <c r="G5853" s="5" t="s">
        <v>47</v>
      </c>
      <c r="H5853">
        <v>70</v>
      </c>
      <c r="I5853" s="4">
        <v>632590</v>
      </c>
      <c r="J5853" s="4">
        <v>375830</v>
      </c>
    </row>
    <row r="5854" spans="2:10" x14ac:dyDescent="0.3">
      <c r="B5854" s="7">
        <v>44774</v>
      </c>
      <c r="C5854" s="3">
        <f t="shared" si="182"/>
        <v>2022</v>
      </c>
      <c r="D5854" s="3">
        <f t="shared" si="183"/>
        <v>202208</v>
      </c>
      <c r="E5854" s="5" t="s">
        <v>7</v>
      </c>
      <c r="F5854" s="5" t="s">
        <v>12</v>
      </c>
      <c r="G5854" s="5" t="s">
        <v>47</v>
      </c>
      <c r="H5854">
        <v>59</v>
      </c>
      <c r="I5854" s="4">
        <v>608231</v>
      </c>
      <c r="J5854" s="4">
        <v>316771</v>
      </c>
    </row>
    <row r="5855" spans="2:10" x14ac:dyDescent="0.3">
      <c r="B5855" s="7">
        <v>44805</v>
      </c>
      <c r="C5855" s="3">
        <f t="shared" si="182"/>
        <v>2022</v>
      </c>
      <c r="D5855" s="3">
        <f t="shared" si="183"/>
        <v>202209</v>
      </c>
      <c r="E5855" s="5" t="s">
        <v>7</v>
      </c>
      <c r="F5855" s="5" t="s">
        <v>12</v>
      </c>
      <c r="G5855" s="5" t="s">
        <v>47</v>
      </c>
      <c r="H5855">
        <v>62</v>
      </c>
      <c r="I5855" s="4">
        <v>595076</v>
      </c>
      <c r="J5855" s="4">
        <v>332878</v>
      </c>
    </row>
    <row r="5856" spans="2:10" x14ac:dyDescent="0.3">
      <c r="B5856" s="7">
        <v>44835</v>
      </c>
      <c r="C5856" s="3">
        <f t="shared" si="182"/>
        <v>2022</v>
      </c>
      <c r="D5856" s="3">
        <f t="shared" si="183"/>
        <v>202210</v>
      </c>
      <c r="E5856" s="5" t="s">
        <v>7</v>
      </c>
      <c r="F5856" s="5" t="s">
        <v>12</v>
      </c>
      <c r="G5856" s="5" t="s">
        <v>47</v>
      </c>
      <c r="H5856">
        <v>51</v>
      </c>
      <c r="I5856" s="4">
        <v>542691</v>
      </c>
      <c r="J5856" s="4">
        <v>273819</v>
      </c>
    </row>
    <row r="5857" spans="2:10" x14ac:dyDescent="0.3">
      <c r="B5857" s="7">
        <v>44866</v>
      </c>
      <c r="C5857" s="3">
        <f t="shared" si="182"/>
        <v>2022</v>
      </c>
      <c r="D5857" s="3">
        <f t="shared" si="183"/>
        <v>202211</v>
      </c>
      <c r="E5857" s="5" t="s">
        <v>7</v>
      </c>
      <c r="F5857" s="5" t="s">
        <v>12</v>
      </c>
      <c r="G5857" s="5" t="s">
        <v>47</v>
      </c>
      <c r="H5857">
        <v>37</v>
      </c>
      <c r="I5857" s="4">
        <v>373478</v>
      </c>
      <c r="J5857" s="4">
        <v>198653</v>
      </c>
    </row>
    <row r="5858" spans="2:10" x14ac:dyDescent="0.3">
      <c r="B5858" s="7">
        <v>44896</v>
      </c>
      <c r="C5858" s="3">
        <f t="shared" si="182"/>
        <v>2022</v>
      </c>
      <c r="D5858" s="3">
        <f t="shared" si="183"/>
        <v>202212</v>
      </c>
      <c r="E5858" s="5" t="s">
        <v>7</v>
      </c>
      <c r="F5858" s="5" t="s">
        <v>12</v>
      </c>
      <c r="G5858" s="5" t="s">
        <v>47</v>
      </c>
      <c r="H5858">
        <v>44</v>
      </c>
      <c r="I5858" s="4">
        <v>441760</v>
      </c>
      <c r="J5858" s="4">
        <v>236236</v>
      </c>
    </row>
    <row r="5859" spans="2:10" x14ac:dyDescent="0.3">
      <c r="B5859" s="7">
        <v>44197</v>
      </c>
      <c r="C5859" s="3">
        <f t="shared" si="182"/>
        <v>2021</v>
      </c>
      <c r="D5859" s="3">
        <f t="shared" si="183"/>
        <v>202101</v>
      </c>
      <c r="E5859" s="5" t="s">
        <v>7</v>
      </c>
      <c r="F5859" s="5" t="s">
        <v>12</v>
      </c>
      <c r="G5859" s="5" t="s">
        <v>48</v>
      </c>
      <c r="H5859">
        <v>38</v>
      </c>
      <c r="I5859" s="4">
        <v>484234</v>
      </c>
      <c r="J5859" s="4">
        <v>209000</v>
      </c>
    </row>
    <row r="5860" spans="2:10" x14ac:dyDescent="0.3">
      <c r="B5860" s="7">
        <v>44228</v>
      </c>
      <c r="C5860" s="3">
        <f t="shared" si="182"/>
        <v>2021</v>
      </c>
      <c r="D5860" s="3">
        <f t="shared" si="183"/>
        <v>202102</v>
      </c>
      <c r="E5860" s="5" t="s">
        <v>7</v>
      </c>
      <c r="F5860" s="5" t="s">
        <v>12</v>
      </c>
      <c r="G5860" s="5" t="s">
        <v>48</v>
      </c>
      <c r="H5860">
        <v>24</v>
      </c>
      <c r="I5860" s="4">
        <v>303552</v>
      </c>
      <c r="J5860" s="4">
        <v>132000</v>
      </c>
    </row>
    <row r="5861" spans="2:10" x14ac:dyDescent="0.3">
      <c r="B5861" s="7">
        <v>44256</v>
      </c>
      <c r="C5861" s="3">
        <f t="shared" si="182"/>
        <v>2021</v>
      </c>
      <c r="D5861" s="3">
        <f t="shared" si="183"/>
        <v>202103</v>
      </c>
      <c r="E5861" s="5" t="s">
        <v>7</v>
      </c>
      <c r="F5861" s="5" t="s">
        <v>12</v>
      </c>
      <c r="G5861" s="5" t="s">
        <v>48</v>
      </c>
      <c r="H5861">
        <v>19</v>
      </c>
      <c r="I5861" s="4">
        <v>222984</v>
      </c>
      <c r="J5861" s="4">
        <v>104500</v>
      </c>
    </row>
    <row r="5862" spans="2:10" x14ac:dyDescent="0.3">
      <c r="B5862" s="7">
        <v>44287</v>
      </c>
      <c r="C5862" s="3">
        <f t="shared" si="182"/>
        <v>2021</v>
      </c>
      <c r="D5862" s="3">
        <f t="shared" si="183"/>
        <v>202104</v>
      </c>
      <c r="E5862" s="5" t="s">
        <v>7</v>
      </c>
      <c r="F5862" s="5" t="s">
        <v>12</v>
      </c>
      <c r="G5862" s="5" t="s">
        <v>48</v>
      </c>
      <c r="H5862">
        <v>36</v>
      </c>
      <c r="I5862" s="4">
        <v>468252</v>
      </c>
      <c r="J5862" s="4">
        <v>198000</v>
      </c>
    </row>
    <row r="5863" spans="2:10" x14ac:dyDescent="0.3">
      <c r="B5863" s="7">
        <v>44317</v>
      </c>
      <c r="C5863" s="3">
        <f t="shared" si="182"/>
        <v>2021</v>
      </c>
      <c r="D5863" s="3">
        <f t="shared" si="183"/>
        <v>202105</v>
      </c>
      <c r="E5863" s="5" t="s">
        <v>7</v>
      </c>
      <c r="F5863" s="5" t="s">
        <v>12</v>
      </c>
      <c r="G5863" s="5" t="s">
        <v>48</v>
      </c>
      <c r="H5863">
        <v>45</v>
      </c>
      <c r="I5863" s="4">
        <v>575820</v>
      </c>
      <c r="J5863" s="4">
        <v>247500</v>
      </c>
    </row>
    <row r="5864" spans="2:10" x14ac:dyDescent="0.3">
      <c r="B5864" s="7">
        <v>44348</v>
      </c>
      <c r="C5864" s="3">
        <f t="shared" si="182"/>
        <v>2021</v>
      </c>
      <c r="D5864" s="3">
        <f t="shared" si="183"/>
        <v>202106</v>
      </c>
      <c r="E5864" s="5" t="s">
        <v>7</v>
      </c>
      <c r="F5864" s="5" t="s">
        <v>12</v>
      </c>
      <c r="G5864" s="5" t="s">
        <v>48</v>
      </c>
      <c r="H5864">
        <v>43</v>
      </c>
      <c r="I5864" s="4">
        <v>523009</v>
      </c>
      <c r="J5864" s="4">
        <v>236500</v>
      </c>
    </row>
    <row r="5865" spans="2:10" x14ac:dyDescent="0.3">
      <c r="B5865" s="7">
        <v>44378</v>
      </c>
      <c r="C5865" s="3">
        <f t="shared" si="182"/>
        <v>2021</v>
      </c>
      <c r="D5865" s="3">
        <f t="shared" si="183"/>
        <v>202107</v>
      </c>
      <c r="E5865" s="5" t="s">
        <v>7</v>
      </c>
      <c r="F5865" s="5" t="s">
        <v>12</v>
      </c>
      <c r="G5865" s="5" t="s">
        <v>48</v>
      </c>
      <c r="H5865">
        <v>45</v>
      </c>
      <c r="I5865" s="4">
        <v>495990</v>
      </c>
      <c r="J5865" s="4">
        <v>247500</v>
      </c>
    </row>
    <row r="5866" spans="2:10" x14ac:dyDescent="0.3">
      <c r="B5866" s="7">
        <v>44409</v>
      </c>
      <c r="C5866" s="3">
        <f t="shared" si="182"/>
        <v>2021</v>
      </c>
      <c r="D5866" s="3">
        <f t="shared" si="183"/>
        <v>202108</v>
      </c>
      <c r="E5866" s="5" t="s">
        <v>7</v>
      </c>
      <c r="F5866" s="5" t="s">
        <v>12</v>
      </c>
      <c r="G5866" s="5" t="s">
        <v>48</v>
      </c>
      <c r="H5866">
        <v>38</v>
      </c>
      <c r="I5866" s="4">
        <v>444030</v>
      </c>
      <c r="J5866" s="4">
        <v>209000</v>
      </c>
    </row>
    <row r="5867" spans="2:10" x14ac:dyDescent="0.3">
      <c r="B5867" s="7">
        <v>44440</v>
      </c>
      <c r="C5867" s="3">
        <f t="shared" si="182"/>
        <v>2021</v>
      </c>
      <c r="D5867" s="3">
        <f t="shared" si="183"/>
        <v>202109</v>
      </c>
      <c r="E5867" s="5" t="s">
        <v>7</v>
      </c>
      <c r="F5867" s="5" t="s">
        <v>12</v>
      </c>
      <c r="G5867" s="5" t="s">
        <v>48</v>
      </c>
      <c r="H5867">
        <v>40</v>
      </c>
      <c r="I5867" s="4">
        <v>481960</v>
      </c>
      <c r="J5867" s="4">
        <v>220000</v>
      </c>
    </row>
    <row r="5868" spans="2:10" x14ac:dyDescent="0.3">
      <c r="B5868" s="7">
        <v>44470</v>
      </c>
      <c r="C5868" s="3">
        <f t="shared" si="182"/>
        <v>2021</v>
      </c>
      <c r="D5868" s="3">
        <f t="shared" si="183"/>
        <v>202110</v>
      </c>
      <c r="E5868" s="5" t="s">
        <v>7</v>
      </c>
      <c r="F5868" s="5" t="s">
        <v>12</v>
      </c>
      <c r="G5868" s="5" t="s">
        <v>48</v>
      </c>
      <c r="H5868">
        <v>33</v>
      </c>
      <c r="I5868" s="4">
        <v>406758</v>
      </c>
      <c r="J5868" s="4">
        <v>181500</v>
      </c>
    </row>
    <row r="5869" spans="2:10" x14ac:dyDescent="0.3">
      <c r="B5869" s="7">
        <v>44501</v>
      </c>
      <c r="C5869" s="3">
        <f t="shared" si="182"/>
        <v>2021</v>
      </c>
      <c r="D5869" s="3">
        <f t="shared" si="183"/>
        <v>202111</v>
      </c>
      <c r="E5869" s="5" t="s">
        <v>7</v>
      </c>
      <c r="F5869" s="5" t="s">
        <v>12</v>
      </c>
      <c r="G5869" s="5" t="s">
        <v>48</v>
      </c>
      <c r="H5869">
        <v>24</v>
      </c>
      <c r="I5869" s="4">
        <v>293808</v>
      </c>
      <c r="J5869" s="4">
        <v>132000</v>
      </c>
    </row>
    <row r="5870" spans="2:10" x14ac:dyDescent="0.3">
      <c r="B5870" s="7">
        <v>44531</v>
      </c>
      <c r="C5870" s="3">
        <f t="shared" si="182"/>
        <v>2021</v>
      </c>
      <c r="D5870" s="3">
        <f t="shared" si="183"/>
        <v>202112</v>
      </c>
      <c r="E5870" s="5" t="s">
        <v>7</v>
      </c>
      <c r="F5870" s="5" t="s">
        <v>12</v>
      </c>
      <c r="G5870" s="5" t="s">
        <v>48</v>
      </c>
      <c r="H5870">
        <v>29</v>
      </c>
      <c r="I5870" s="4">
        <v>325264</v>
      </c>
      <c r="J5870" s="4">
        <v>159500</v>
      </c>
    </row>
    <row r="5871" spans="2:10" x14ac:dyDescent="0.3">
      <c r="B5871" s="7">
        <v>44562</v>
      </c>
      <c r="C5871" s="3">
        <f t="shared" si="182"/>
        <v>2022</v>
      </c>
      <c r="D5871" s="3">
        <f t="shared" si="183"/>
        <v>202201</v>
      </c>
      <c r="E5871" s="5" t="s">
        <v>7</v>
      </c>
      <c r="F5871" s="5" t="s">
        <v>12</v>
      </c>
      <c r="G5871" s="5" t="s">
        <v>48</v>
      </c>
      <c r="H5871">
        <v>42</v>
      </c>
      <c r="I5871" s="4">
        <v>519624</v>
      </c>
      <c r="J5871" s="4">
        <v>231000</v>
      </c>
    </row>
    <row r="5872" spans="2:10" x14ac:dyDescent="0.3">
      <c r="B5872" s="7">
        <v>44593</v>
      </c>
      <c r="C5872" s="3">
        <f t="shared" si="182"/>
        <v>2022</v>
      </c>
      <c r="D5872" s="3">
        <f t="shared" si="183"/>
        <v>202202</v>
      </c>
      <c r="E5872" s="5" t="s">
        <v>7</v>
      </c>
      <c r="F5872" s="5" t="s">
        <v>12</v>
      </c>
      <c r="G5872" s="5" t="s">
        <v>48</v>
      </c>
      <c r="H5872">
        <v>26</v>
      </c>
      <c r="I5872" s="4">
        <v>332410</v>
      </c>
      <c r="J5872" s="4">
        <v>143000</v>
      </c>
    </row>
    <row r="5873" spans="2:10" x14ac:dyDescent="0.3">
      <c r="B5873" s="7">
        <v>44621</v>
      </c>
      <c r="C5873" s="3">
        <f t="shared" si="182"/>
        <v>2022</v>
      </c>
      <c r="D5873" s="3">
        <f t="shared" si="183"/>
        <v>202203</v>
      </c>
      <c r="E5873" s="5" t="s">
        <v>7</v>
      </c>
      <c r="F5873" s="5" t="s">
        <v>12</v>
      </c>
      <c r="G5873" s="5" t="s">
        <v>48</v>
      </c>
      <c r="H5873">
        <v>21</v>
      </c>
      <c r="I5873" s="4">
        <v>243117</v>
      </c>
      <c r="J5873" s="4">
        <v>115500</v>
      </c>
    </row>
    <row r="5874" spans="2:10" x14ac:dyDescent="0.3">
      <c r="B5874" s="7">
        <v>44652</v>
      </c>
      <c r="C5874" s="3">
        <f t="shared" si="182"/>
        <v>2022</v>
      </c>
      <c r="D5874" s="3">
        <f t="shared" si="183"/>
        <v>202204</v>
      </c>
      <c r="E5874" s="5" t="s">
        <v>7</v>
      </c>
      <c r="F5874" s="5" t="s">
        <v>12</v>
      </c>
      <c r="G5874" s="5" t="s">
        <v>48</v>
      </c>
      <c r="H5874">
        <v>39</v>
      </c>
      <c r="I5874" s="4">
        <v>481494</v>
      </c>
      <c r="J5874" s="4">
        <v>214500</v>
      </c>
    </row>
    <row r="5875" spans="2:10" x14ac:dyDescent="0.3">
      <c r="B5875" s="7">
        <v>44682</v>
      </c>
      <c r="C5875" s="3">
        <f t="shared" si="182"/>
        <v>2022</v>
      </c>
      <c r="D5875" s="3">
        <f t="shared" si="183"/>
        <v>202205</v>
      </c>
      <c r="E5875" s="5" t="s">
        <v>7</v>
      </c>
      <c r="F5875" s="5" t="s">
        <v>12</v>
      </c>
      <c r="G5875" s="5" t="s">
        <v>48</v>
      </c>
      <c r="H5875">
        <v>50</v>
      </c>
      <c r="I5875" s="4">
        <v>628650</v>
      </c>
      <c r="J5875" s="4">
        <v>275000</v>
      </c>
    </row>
    <row r="5876" spans="2:10" x14ac:dyDescent="0.3">
      <c r="B5876" s="7">
        <v>44713</v>
      </c>
      <c r="C5876" s="3">
        <f t="shared" si="182"/>
        <v>2022</v>
      </c>
      <c r="D5876" s="3">
        <f t="shared" si="183"/>
        <v>202206</v>
      </c>
      <c r="E5876" s="5" t="s">
        <v>7</v>
      </c>
      <c r="F5876" s="5" t="s">
        <v>12</v>
      </c>
      <c r="G5876" s="5" t="s">
        <v>48</v>
      </c>
      <c r="H5876">
        <v>47</v>
      </c>
      <c r="I5876" s="4">
        <v>596994</v>
      </c>
      <c r="J5876" s="4">
        <v>258500</v>
      </c>
    </row>
    <row r="5877" spans="2:10" x14ac:dyDescent="0.3">
      <c r="B5877" s="7">
        <v>44743</v>
      </c>
      <c r="C5877" s="3">
        <f t="shared" si="182"/>
        <v>2022</v>
      </c>
      <c r="D5877" s="3">
        <f t="shared" si="183"/>
        <v>202207</v>
      </c>
      <c r="E5877" s="5" t="s">
        <v>7</v>
      </c>
      <c r="F5877" s="5" t="s">
        <v>12</v>
      </c>
      <c r="G5877" s="5" t="s">
        <v>48</v>
      </c>
      <c r="H5877">
        <v>50</v>
      </c>
      <c r="I5877" s="4">
        <v>526950</v>
      </c>
      <c r="J5877" s="4">
        <v>275000</v>
      </c>
    </row>
    <row r="5878" spans="2:10" x14ac:dyDescent="0.3">
      <c r="B5878" s="7">
        <v>44774</v>
      </c>
      <c r="C5878" s="3">
        <f t="shared" si="182"/>
        <v>2022</v>
      </c>
      <c r="D5878" s="3">
        <f t="shared" si="183"/>
        <v>202208</v>
      </c>
      <c r="E5878" s="5" t="s">
        <v>7</v>
      </c>
      <c r="F5878" s="5" t="s">
        <v>12</v>
      </c>
      <c r="G5878" s="5" t="s">
        <v>48</v>
      </c>
      <c r="H5878">
        <v>42</v>
      </c>
      <c r="I5878" s="4">
        <v>479010</v>
      </c>
      <c r="J5878" s="4">
        <v>231000</v>
      </c>
    </row>
    <row r="5879" spans="2:10" x14ac:dyDescent="0.3">
      <c r="B5879" s="7">
        <v>44805</v>
      </c>
      <c r="C5879" s="3">
        <f t="shared" si="182"/>
        <v>2022</v>
      </c>
      <c r="D5879" s="3">
        <f t="shared" si="183"/>
        <v>202209</v>
      </c>
      <c r="E5879" s="5" t="s">
        <v>7</v>
      </c>
      <c r="F5879" s="5" t="s">
        <v>12</v>
      </c>
      <c r="G5879" s="5" t="s">
        <v>48</v>
      </c>
      <c r="H5879">
        <v>44</v>
      </c>
      <c r="I5879" s="4">
        <v>498344</v>
      </c>
      <c r="J5879" s="4">
        <v>242000</v>
      </c>
    </row>
    <row r="5880" spans="2:10" x14ac:dyDescent="0.3">
      <c r="B5880" s="7">
        <v>44835</v>
      </c>
      <c r="C5880" s="3">
        <f t="shared" si="182"/>
        <v>2022</v>
      </c>
      <c r="D5880" s="3">
        <f t="shared" si="183"/>
        <v>202210</v>
      </c>
      <c r="E5880" s="5" t="s">
        <v>7</v>
      </c>
      <c r="F5880" s="5" t="s">
        <v>12</v>
      </c>
      <c r="G5880" s="5" t="s">
        <v>48</v>
      </c>
      <c r="H5880">
        <v>37</v>
      </c>
      <c r="I5880" s="4">
        <v>470381</v>
      </c>
      <c r="J5880" s="4">
        <v>203500</v>
      </c>
    </row>
    <row r="5881" spans="2:10" x14ac:dyDescent="0.3">
      <c r="B5881" s="7">
        <v>44866</v>
      </c>
      <c r="C5881" s="3">
        <f t="shared" si="182"/>
        <v>2022</v>
      </c>
      <c r="D5881" s="3">
        <f t="shared" si="183"/>
        <v>202211</v>
      </c>
      <c r="E5881" s="5" t="s">
        <v>7</v>
      </c>
      <c r="F5881" s="5" t="s">
        <v>12</v>
      </c>
      <c r="G5881" s="5" t="s">
        <v>48</v>
      </c>
      <c r="H5881">
        <v>26</v>
      </c>
      <c r="I5881" s="4">
        <v>317798</v>
      </c>
      <c r="J5881" s="4">
        <v>143000</v>
      </c>
    </row>
    <row r="5882" spans="2:10" x14ac:dyDescent="0.3">
      <c r="B5882" s="7">
        <v>44896</v>
      </c>
      <c r="C5882" s="3">
        <f t="shared" si="182"/>
        <v>2022</v>
      </c>
      <c r="D5882" s="3">
        <f t="shared" si="183"/>
        <v>202212</v>
      </c>
      <c r="E5882" s="5" t="s">
        <v>7</v>
      </c>
      <c r="F5882" s="5" t="s">
        <v>12</v>
      </c>
      <c r="G5882" s="5" t="s">
        <v>48</v>
      </c>
      <c r="H5882">
        <v>32</v>
      </c>
      <c r="I5882" s="4">
        <v>373824</v>
      </c>
      <c r="J5882" s="4">
        <v>176000</v>
      </c>
    </row>
    <row r="5883" spans="2:10" x14ac:dyDescent="0.3">
      <c r="B5883" s="7">
        <v>44197</v>
      </c>
      <c r="C5883" s="3">
        <f t="shared" si="182"/>
        <v>2021</v>
      </c>
      <c r="D5883" s="3">
        <f t="shared" si="183"/>
        <v>202101</v>
      </c>
      <c r="E5883" s="5" t="s">
        <v>7</v>
      </c>
      <c r="F5883" s="5" t="s">
        <v>13</v>
      </c>
      <c r="G5883" s="5" t="s">
        <v>49</v>
      </c>
      <c r="H5883">
        <v>12</v>
      </c>
      <c r="I5883" s="4">
        <v>54984</v>
      </c>
      <c r="J5883" s="4">
        <v>18144</v>
      </c>
    </row>
    <row r="5884" spans="2:10" x14ac:dyDescent="0.3">
      <c r="B5884" s="7">
        <v>44228</v>
      </c>
      <c r="C5884" s="3">
        <f t="shared" si="182"/>
        <v>2021</v>
      </c>
      <c r="D5884" s="3">
        <f t="shared" si="183"/>
        <v>202102</v>
      </c>
      <c r="E5884" s="5" t="s">
        <v>7</v>
      </c>
      <c r="F5884" s="5" t="s">
        <v>13</v>
      </c>
      <c r="G5884" s="5" t="s">
        <v>49</v>
      </c>
      <c r="H5884">
        <v>8</v>
      </c>
      <c r="I5884" s="4">
        <v>38656</v>
      </c>
      <c r="J5884" s="4">
        <v>12096</v>
      </c>
    </row>
    <row r="5885" spans="2:10" x14ac:dyDescent="0.3">
      <c r="B5885" s="7">
        <v>44256</v>
      </c>
      <c r="C5885" s="3">
        <f t="shared" si="182"/>
        <v>2021</v>
      </c>
      <c r="D5885" s="3">
        <f t="shared" si="183"/>
        <v>202103</v>
      </c>
      <c r="E5885" s="5" t="s">
        <v>7</v>
      </c>
      <c r="F5885" s="5" t="s">
        <v>13</v>
      </c>
      <c r="G5885" s="5" t="s">
        <v>49</v>
      </c>
      <c r="H5885">
        <v>6</v>
      </c>
      <c r="I5885" s="4">
        <v>21012</v>
      </c>
      <c r="J5885" s="4">
        <v>9072</v>
      </c>
    </row>
    <row r="5886" spans="2:10" x14ac:dyDescent="0.3">
      <c r="B5886" s="7">
        <v>44287</v>
      </c>
      <c r="C5886" s="3">
        <f t="shared" si="182"/>
        <v>2021</v>
      </c>
      <c r="D5886" s="3">
        <f t="shared" si="183"/>
        <v>202104</v>
      </c>
      <c r="E5886" s="5" t="s">
        <v>7</v>
      </c>
      <c r="F5886" s="5" t="s">
        <v>13</v>
      </c>
      <c r="G5886" s="5" t="s">
        <v>49</v>
      </c>
      <c r="H5886">
        <v>11</v>
      </c>
      <c r="I5886" s="4">
        <v>44770</v>
      </c>
      <c r="J5886" s="4">
        <v>16632</v>
      </c>
    </row>
    <row r="5887" spans="2:10" x14ac:dyDescent="0.3">
      <c r="B5887" s="7">
        <v>44317</v>
      </c>
      <c r="C5887" s="3">
        <f t="shared" si="182"/>
        <v>2021</v>
      </c>
      <c r="D5887" s="3">
        <f t="shared" si="183"/>
        <v>202105</v>
      </c>
      <c r="E5887" s="5" t="s">
        <v>7</v>
      </c>
      <c r="F5887" s="5" t="s">
        <v>13</v>
      </c>
      <c r="G5887" s="5" t="s">
        <v>49</v>
      </c>
      <c r="H5887">
        <v>14</v>
      </c>
      <c r="I5887" s="4">
        <v>70910</v>
      </c>
      <c r="J5887" s="4">
        <v>21168</v>
      </c>
    </row>
    <row r="5888" spans="2:10" x14ac:dyDescent="0.3">
      <c r="B5888" s="7">
        <v>44348</v>
      </c>
      <c r="C5888" s="3">
        <f t="shared" si="182"/>
        <v>2021</v>
      </c>
      <c r="D5888" s="3">
        <f t="shared" si="183"/>
        <v>202106</v>
      </c>
      <c r="E5888" s="5" t="s">
        <v>7</v>
      </c>
      <c r="F5888" s="5" t="s">
        <v>13</v>
      </c>
      <c r="G5888" s="5" t="s">
        <v>49</v>
      </c>
      <c r="H5888">
        <v>13</v>
      </c>
      <c r="I5888" s="4">
        <v>62335</v>
      </c>
      <c r="J5888" s="4">
        <v>19656</v>
      </c>
    </row>
    <row r="5889" spans="2:10" x14ac:dyDescent="0.3">
      <c r="B5889" s="7">
        <v>44378</v>
      </c>
      <c r="C5889" s="3">
        <f t="shared" si="182"/>
        <v>2021</v>
      </c>
      <c r="D5889" s="3">
        <f t="shared" si="183"/>
        <v>202107</v>
      </c>
      <c r="E5889" s="5" t="s">
        <v>7</v>
      </c>
      <c r="F5889" s="5" t="s">
        <v>13</v>
      </c>
      <c r="G5889" s="5" t="s">
        <v>49</v>
      </c>
      <c r="H5889">
        <v>14</v>
      </c>
      <c r="I5889" s="4">
        <v>35490</v>
      </c>
      <c r="J5889" s="4">
        <v>21168</v>
      </c>
    </row>
    <row r="5890" spans="2:10" x14ac:dyDescent="0.3">
      <c r="B5890" s="7">
        <v>44409</v>
      </c>
      <c r="C5890" s="3">
        <f t="shared" si="182"/>
        <v>2021</v>
      </c>
      <c r="D5890" s="3">
        <f t="shared" si="183"/>
        <v>202108</v>
      </c>
      <c r="E5890" s="5" t="s">
        <v>7</v>
      </c>
      <c r="F5890" s="5" t="s">
        <v>13</v>
      </c>
      <c r="G5890" s="5" t="s">
        <v>49</v>
      </c>
      <c r="H5890">
        <v>12</v>
      </c>
      <c r="I5890" s="4">
        <v>41400</v>
      </c>
      <c r="J5890" s="4">
        <v>18144</v>
      </c>
    </row>
    <row r="5891" spans="2:10" x14ac:dyDescent="0.3">
      <c r="B5891" s="7">
        <v>44440</v>
      </c>
      <c r="C5891" s="3">
        <f t="shared" ref="C5891:C5954" si="184">YEAR(B5891)</f>
        <v>2021</v>
      </c>
      <c r="D5891" s="3">
        <f t="shared" ref="D5891:D5954" si="185">VALUE(TEXT(B5891,"ГГГГММ"))</f>
        <v>202109</v>
      </c>
      <c r="E5891" s="5" t="s">
        <v>7</v>
      </c>
      <c r="F5891" s="5" t="s">
        <v>13</v>
      </c>
      <c r="G5891" s="5" t="s">
        <v>49</v>
      </c>
      <c r="H5891">
        <v>13</v>
      </c>
      <c r="I5891" s="4">
        <v>50245</v>
      </c>
      <c r="J5891" s="4">
        <v>19656</v>
      </c>
    </row>
    <row r="5892" spans="2:10" x14ac:dyDescent="0.3">
      <c r="B5892" s="7">
        <v>44470</v>
      </c>
      <c r="C5892" s="3">
        <f t="shared" si="184"/>
        <v>2021</v>
      </c>
      <c r="D5892" s="3">
        <f t="shared" si="185"/>
        <v>202110</v>
      </c>
      <c r="E5892" s="5" t="s">
        <v>7</v>
      </c>
      <c r="F5892" s="5" t="s">
        <v>13</v>
      </c>
      <c r="G5892" s="5" t="s">
        <v>49</v>
      </c>
      <c r="H5892">
        <v>11</v>
      </c>
      <c r="I5892" s="4">
        <v>41514</v>
      </c>
      <c r="J5892" s="4">
        <v>16632</v>
      </c>
    </row>
    <row r="5893" spans="2:10" x14ac:dyDescent="0.3">
      <c r="B5893" s="7">
        <v>44501</v>
      </c>
      <c r="C5893" s="3">
        <f t="shared" si="184"/>
        <v>2021</v>
      </c>
      <c r="D5893" s="3">
        <f t="shared" si="185"/>
        <v>202111</v>
      </c>
      <c r="E5893" s="5" t="s">
        <v>7</v>
      </c>
      <c r="F5893" s="5" t="s">
        <v>13</v>
      </c>
      <c r="G5893" s="5" t="s">
        <v>49</v>
      </c>
      <c r="H5893">
        <v>8</v>
      </c>
      <c r="I5893" s="4">
        <v>32904</v>
      </c>
      <c r="J5893" s="4">
        <v>12096</v>
      </c>
    </row>
    <row r="5894" spans="2:10" x14ac:dyDescent="0.3">
      <c r="B5894" s="7">
        <v>44531</v>
      </c>
      <c r="C5894" s="3">
        <f t="shared" si="184"/>
        <v>2021</v>
      </c>
      <c r="D5894" s="3">
        <f t="shared" si="185"/>
        <v>202112</v>
      </c>
      <c r="E5894" s="5" t="s">
        <v>7</v>
      </c>
      <c r="F5894" s="5" t="s">
        <v>13</v>
      </c>
      <c r="G5894" s="5" t="s">
        <v>49</v>
      </c>
      <c r="H5894">
        <v>9</v>
      </c>
      <c r="I5894" s="4">
        <v>35217</v>
      </c>
      <c r="J5894" s="4">
        <v>13608</v>
      </c>
    </row>
    <row r="5895" spans="2:10" x14ac:dyDescent="0.3">
      <c r="B5895" s="7">
        <v>44562</v>
      </c>
      <c r="C5895" s="3">
        <f t="shared" si="184"/>
        <v>2022</v>
      </c>
      <c r="D5895" s="3">
        <f t="shared" si="185"/>
        <v>202201</v>
      </c>
      <c r="E5895" s="5" t="s">
        <v>7</v>
      </c>
      <c r="F5895" s="5" t="s">
        <v>13</v>
      </c>
      <c r="G5895" s="5" t="s">
        <v>49</v>
      </c>
      <c r="H5895">
        <v>13</v>
      </c>
      <c r="I5895" s="4">
        <v>58500</v>
      </c>
      <c r="J5895" s="4">
        <v>19656</v>
      </c>
    </row>
    <row r="5896" spans="2:10" x14ac:dyDescent="0.3">
      <c r="B5896" s="7">
        <v>44593</v>
      </c>
      <c r="C5896" s="3">
        <f t="shared" si="184"/>
        <v>2022</v>
      </c>
      <c r="D5896" s="3">
        <f t="shared" si="185"/>
        <v>202202</v>
      </c>
      <c r="E5896" s="5" t="s">
        <v>7</v>
      </c>
      <c r="F5896" s="5" t="s">
        <v>13</v>
      </c>
      <c r="G5896" s="5" t="s">
        <v>49</v>
      </c>
      <c r="H5896">
        <v>8</v>
      </c>
      <c r="I5896" s="4">
        <v>31368</v>
      </c>
      <c r="J5896" s="4">
        <v>12096</v>
      </c>
    </row>
    <row r="5897" spans="2:10" x14ac:dyDescent="0.3">
      <c r="B5897" s="7">
        <v>44621</v>
      </c>
      <c r="C5897" s="3">
        <f t="shared" si="184"/>
        <v>2022</v>
      </c>
      <c r="D5897" s="3">
        <f t="shared" si="185"/>
        <v>202203</v>
      </c>
      <c r="E5897" s="5" t="s">
        <v>7</v>
      </c>
      <c r="F5897" s="5" t="s">
        <v>13</v>
      </c>
      <c r="G5897" s="5" t="s">
        <v>49</v>
      </c>
      <c r="H5897">
        <v>7</v>
      </c>
      <c r="I5897" s="4">
        <v>24157</v>
      </c>
      <c r="J5897" s="4">
        <v>10584</v>
      </c>
    </row>
    <row r="5898" spans="2:10" x14ac:dyDescent="0.3">
      <c r="B5898" s="7">
        <v>44652</v>
      </c>
      <c r="C5898" s="3">
        <f t="shared" si="184"/>
        <v>2022</v>
      </c>
      <c r="D5898" s="3">
        <f t="shared" si="185"/>
        <v>202204</v>
      </c>
      <c r="E5898" s="5" t="s">
        <v>7</v>
      </c>
      <c r="F5898" s="5" t="s">
        <v>13</v>
      </c>
      <c r="G5898" s="5" t="s">
        <v>49</v>
      </c>
      <c r="H5898">
        <v>12</v>
      </c>
      <c r="I5898" s="4">
        <v>50004</v>
      </c>
      <c r="J5898" s="4">
        <v>18144</v>
      </c>
    </row>
    <row r="5899" spans="2:10" x14ac:dyDescent="0.3">
      <c r="B5899" s="7">
        <v>44682</v>
      </c>
      <c r="C5899" s="3">
        <f t="shared" si="184"/>
        <v>2022</v>
      </c>
      <c r="D5899" s="3">
        <f t="shared" si="185"/>
        <v>202205</v>
      </c>
      <c r="E5899" s="5" t="s">
        <v>7</v>
      </c>
      <c r="F5899" s="5" t="s">
        <v>13</v>
      </c>
      <c r="G5899" s="5" t="s">
        <v>49</v>
      </c>
      <c r="H5899">
        <v>16</v>
      </c>
      <c r="I5899" s="4">
        <v>72352</v>
      </c>
      <c r="J5899" s="4">
        <v>24192</v>
      </c>
    </row>
    <row r="5900" spans="2:10" x14ac:dyDescent="0.3">
      <c r="B5900" s="7">
        <v>44713</v>
      </c>
      <c r="C5900" s="3">
        <f t="shared" si="184"/>
        <v>2022</v>
      </c>
      <c r="D5900" s="3">
        <f t="shared" si="185"/>
        <v>202206</v>
      </c>
      <c r="E5900" s="5" t="s">
        <v>7</v>
      </c>
      <c r="F5900" s="5" t="s">
        <v>13</v>
      </c>
      <c r="G5900" s="5" t="s">
        <v>49</v>
      </c>
      <c r="H5900">
        <v>15</v>
      </c>
      <c r="I5900" s="4">
        <v>70740</v>
      </c>
      <c r="J5900" s="4">
        <v>22680</v>
      </c>
    </row>
    <row r="5901" spans="2:10" x14ac:dyDescent="0.3">
      <c r="B5901" s="7">
        <v>44743</v>
      </c>
      <c r="C5901" s="3">
        <f t="shared" si="184"/>
        <v>2022</v>
      </c>
      <c r="D5901" s="3">
        <f t="shared" si="185"/>
        <v>202207</v>
      </c>
      <c r="E5901" s="5" t="s">
        <v>7</v>
      </c>
      <c r="F5901" s="5" t="s">
        <v>13</v>
      </c>
      <c r="G5901" s="5" t="s">
        <v>49</v>
      </c>
      <c r="H5901">
        <v>16</v>
      </c>
      <c r="I5901" s="4">
        <v>39664</v>
      </c>
      <c r="J5901" s="4">
        <v>24192</v>
      </c>
    </row>
    <row r="5902" spans="2:10" x14ac:dyDescent="0.3">
      <c r="B5902" s="7">
        <v>44774</v>
      </c>
      <c r="C5902" s="3">
        <f t="shared" si="184"/>
        <v>2022</v>
      </c>
      <c r="D5902" s="3">
        <f t="shared" si="185"/>
        <v>202208</v>
      </c>
      <c r="E5902" s="5" t="s">
        <v>7</v>
      </c>
      <c r="F5902" s="5" t="s">
        <v>13</v>
      </c>
      <c r="G5902" s="5" t="s">
        <v>49</v>
      </c>
      <c r="H5902">
        <v>13</v>
      </c>
      <c r="I5902" s="4">
        <v>45227</v>
      </c>
      <c r="J5902" s="4">
        <v>19656</v>
      </c>
    </row>
    <row r="5903" spans="2:10" x14ac:dyDescent="0.3">
      <c r="B5903" s="7">
        <v>44805</v>
      </c>
      <c r="C5903" s="3">
        <f t="shared" si="184"/>
        <v>2022</v>
      </c>
      <c r="D5903" s="3">
        <f t="shared" si="185"/>
        <v>202209</v>
      </c>
      <c r="E5903" s="5" t="s">
        <v>7</v>
      </c>
      <c r="F5903" s="5" t="s">
        <v>13</v>
      </c>
      <c r="G5903" s="5" t="s">
        <v>49</v>
      </c>
      <c r="H5903">
        <v>14</v>
      </c>
      <c r="I5903" s="4">
        <v>58408</v>
      </c>
      <c r="J5903" s="4">
        <v>21168</v>
      </c>
    </row>
    <row r="5904" spans="2:10" x14ac:dyDescent="0.3">
      <c r="B5904" s="7">
        <v>44835</v>
      </c>
      <c r="C5904" s="3">
        <f t="shared" si="184"/>
        <v>2022</v>
      </c>
      <c r="D5904" s="3">
        <f t="shared" si="185"/>
        <v>202210</v>
      </c>
      <c r="E5904" s="5" t="s">
        <v>7</v>
      </c>
      <c r="F5904" s="5" t="s">
        <v>13</v>
      </c>
      <c r="G5904" s="5" t="s">
        <v>49</v>
      </c>
      <c r="H5904">
        <v>12</v>
      </c>
      <c r="I5904" s="4">
        <v>54720</v>
      </c>
      <c r="J5904" s="4">
        <v>18144</v>
      </c>
    </row>
    <row r="5905" spans="2:10" x14ac:dyDescent="0.3">
      <c r="B5905" s="7">
        <v>44866</v>
      </c>
      <c r="C5905" s="3">
        <f t="shared" si="184"/>
        <v>2022</v>
      </c>
      <c r="D5905" s="3">
        <f t="shared" si="185"/>
        <v>202211</v>
      </c>
      <c r="E5905" s="5" t="s">
        <v>7</v>
      </c>
      <c r="F5905" s="5" t="s">
        <v>13</v>
      </c>
      <c r="G5905" s="5" t="s">
        <v>49</v>
      </c>
      <c r="H5905">
        <v>8</v>
      </c>
      <c r="I5905" s="4">
        <v>34584</v>
      </c>
      <c r="J5905" s="4">
        <v>12096</v>
      </c>
    </row>
    <row r="5906" spans="2:10" x14ac:dyDescent="0.3">
      <c r="B5906" s="7">
        <v>44896</v>
      </c>
      <c r="C5906" s="3">
        <f t="shared" si="184"/>
        <v>2022</v>
      </c>
      <c r="D5906" s="3">
        <f t="shared" si="185"/>
        <v>202212</v>
      </c>
      <c r="E5906" s="5" t="s">
        <v>7</v>
      </c>
      <c r="F5906" s="5" t="s">
        <v>13</v>
      </c>
      <c r="G5906" s="5" t="s">
        <v>49</v>
      </c>
      <c r="H5906">
        <v>10</v>
      </c>
      <c r="I5906" s="4">
        <v>34390</v>
      </c>
      <c r="J5906" s="4">
        <v>15120</v>
      </c>
    </row>
    <row r="5907" spans="2:10" x14ac:dyDescent="0.3">
      <c r="B5907" s="7">
        <v>44197</v>
      </c>
      <c r="C5907" s="3">
        <f t="shared" si="184"/>
        <v>2021</v>
      </c>
      <c r="D5907" s="3">
        <f t="shared" si="185"/>
        <v>202101</v>
      </c>
      <c r="E5907" s="5" t="s">
        <v>7</v>
      </c>
      <c r="F5907" s="5" t="s">
        <v>13</v>
      </c>
      <c r="G5907" s="5" t="s">
        <v>50</v>
      </c>
      <c r="H5907">
        <v>15</v>
      </c>
      <c r="I5907" s="4">
        <v>44265</v>
      </c>
      <c r="J5907" s="4">
        <v>11730</v>
      </c>
    </row>
    <row r="5908" spans="2:10" x14ac:dyDescent="0.3">
      <c r="B5908" s="7">
        <v>44228</v>
      </c>
      <c r="C5908" s="3">
        <f t="shared" si="184"/>
        <v>2021</v>
      </c>
      <c r="D5908" s="3">
        <f t="shared" si="185"/>
        <v>202102</v>
      </c>
      <c r="E5908" s="5" t="s">
        <v>7</v>
      </c>
      <c r="F5908" s="5" t="s">
        <v>13</v>
      </c>
      <c r="G5908" s="5" t="s">
        <v>50</v>
      </c>
      <c r="H5908">
        <v>9</v>
      </c>
      <c r="I5908" s="4">
        <v>27180</v>
      </c>
      <c r="J5908" s="4">
        <v>7038</v>
      </c>
    </row>
    <row r="5909" spans="2:10" x14ac:dyDescent="0.3">
      <c r="B5909" s="7">
        <v>44256</v>
      </c>
      <c r="C5909" s="3">
        <f t="shared" si="184"/>
        <v>2021</v>
      </c>
      <c r="D5909" s="3">
        <f t="shared" si="185"/>
        <v>202103</v>
      </c>
      <c r="E5909" s="5" t="s">
        <v>7</v>
      </c>
      <c r="F5909" s="5" t="s">
        <v>13</v>
      </c>
      <c r="G5909" s="5" t="s">
        <v>50</v>
      </c>
      <c r="H5909">
        <v>8</v>
      </c>
      <c r="I5909" s="4">
        <v>21840</v>
      </c>
      <c r="J5909" s="4">
        <v>6256</v>
      </c>
    </row>
    <row r="5910" spans="2:10" x14ac:dyDescent="0.3">
      <c r="B5910" s="7">
        <v>44287</v>
      </c>
      <c r="C5910" s="3">
        <f t="shared" si="184"/>
        <v>2021</v>
      </c>
      <c r="D5910" s="3">
        <f t="shared" si="185"/>
        <v>202104</v>
      </c>
      <c r="E5910" s="5" t="s">
        <v>7</v>
      </c>
      <c r="F5910" s="5" t="s">
        <v>13</v>
      </c>
      <c r="G5910" s="5" t="s">
        <v>50</v>
      </c>
      <c r="H5910">
        <v>14</v>
      </c>
      <c r="I5910" s="4">
        <v>55300</v>
      </c>
      <c r="J5910" s="4">
        <v>10948</v>
      </c>
    </row>
    <row r="5911" spans="2:10" x14ac:dyDescent="0.3">
      <c r="B5911" s="7">
        <v>44317</v>
      </c>
      <c r="C5911" s="3">
        <f t="shared" si="184"/>
        <v>2021</v>
      </c>
      <c r="D5911" s="3">
        <f t="shared" si="185"/>
        <v>202105</v>
      </c>
      <c r="E5911" s="5" t="s">
        <v>7</v>
      </c>
      <c r="F5911" s="5" t="s">
        <v>13</v>
      </c>
      <c r="G5911" s="5" t="s">
        <v>50</v>
      </c>
      <c r="H5911">
        <v>17</v>
      </c>
      <c r="I5911" s="4">
        <v>66079</v>
      </c>
      <c r="J5911" s="4">
        <v>13294</v>
      </c>
    </row>
    <row r="5912" spans="2:10" x14ac:dyDescent="0.3">
      <c r="B5912" s="7">
        <v>44348</v>
      </c>
      <c r="C5912" s="3">
        <f t="shared" si="184"/>
        <v>2021</v>
      </c>
      <c r="D5912" s="3">
        <f t="shared" si="185"/>
        <v>202106</v>
      </c>
      <c r="E5912" s="5" t="s">
        <v>7</v>
      </c>
      <c r="F5912" s="5" t="s">
        <v>13</v>
      </c>
      <c r="G5912" s="5" t="s">
        <v>50</v>
      </c>
      <c r="H5912">
        <v>16</v>
      </c>
      <c r="I5912" s="4">
        <v>47008</v>
      </c>
      <c r="J5912" s="4">
        <v>12512</v>
      </c>
    </row>
    <row r="5913" spans="2:10" x14ac:dyDescent="0.3">
      <c r="B5913" s="7">
        <v>44378</v>
      </c>
      <c r="C5913" s="3">
        <f t="shared" si="184"/>
        <v>2021</v>
      </c>
      <c r="D5913" s="3">
        <f t="shared" si="185"/>
        <v>202107</v>
      </c>
      <c r="E5913" s="5" t="s">
        <v>7</v>
      </c>
      <c r="F5913" s="5" t="s">
        <v>13</v>
      </c>
      <c r="G5913" s="5" t="s">
        <v>50</v>
      </c>
      <c r="H5913">
        <v>17</v>
      </c>
      <c r="I5913" s="4">
        <v>20366</v>
      </c>
      <c r="J5913" s="4">
        <v>13294</v>
      </c>
    </row>
    <row r="5914" spans="2:10" x14ac:dyDescent="0.3">
      <c r="B5914" s="7">
        <v>44409</v>
      </c>
      <c r="C5914" s="3">
        <f t="shared" si="184"/>
        <v>2021</v>
      </c>
      <c r="D5914" s="3">
        <f t="shared" si="185"/>
        <v>202108</v>
      </c>
      <c r="E5914" s="5" t="s">
        <v>7</v>
      </c>
      <c r="F5914" s="5" t="s">
        <v>13</v>
      </c>
      <c r="G5914" s="5" t="s">
        <v>50</v>
      </c>
      <c r="H5914">
        <v>15</v>
      </c>
      <c r="I5914" s="4">
        <v>47445</v>
      </c>
      <c r="J5914" s="4">
        <v>11730</v>
      </c>
    </row>
    <row r="5915" spans="2:10" x14ac:dyDescent="0.3">
      <c r="B5915" s="7">
        <v>44440</v>
      </c>
      <c r="C5915" s="3">
        <f t="shared" si="184"/>
        <v>2021</v>
      </c>
      <c r="D5915" s="3">
        <f t="shared" si="185"/>
        <v>202109</v>
      </c>
      <c r="E5915" s="5" t="s">
        <v>7</v>
      </c>
      <c r="F5915" s="5" t="s">
        <v>13</v>
      </c>
      <c r="G5915" s="5" t="s">
        <v>50</v>
      </c>
      <c r="H5915">
        <v>16</v>
      </c>
      <c r="I5915" s="4">
        <v>36832</v>
      </c>
      <c r="J5915" s="4">
        <v>12512</v>
      </c>
    </row>
    <row r="5916" spans="2:10" x14ac:dyDescent="0.3">
      <c r="B5916" s="7">
        <v>44470</v>
      </c>
      <c r="C5916" s="3">
        <f t="shared" si="184"/>
        <v>2021</v>
      </c>
      <c r="D5916" s="3">
        <f t="shared" si="185"/>
        <v>202110</v>
      </c>
      <c r="E5916" s="5" t="s">
        <v>7</v>
      </c>
      <c r="F5916" s="5" t="s">
        <v>13</v>
      </c>
      <c r="G5916" s="5" t="s">
        <v>50</v>
      </c>
      <c r="H5916">
        <v>13</v>
      </c>
      <c r="I5916" s="4">
        <v>35282</v>
      </c>
      <c r="J5916" s="4">
        <v>10166</v>
      </c>
    </row>
    <row r="5917" spans="2:10" x14ac:dyDescent="0.3">
      <c r="B5917" s="7">
        <v>44501</v>
      </c>
      <c r="C5917" s="3">
        <f t="shared" si="184"/>
        <v>2021</v>
      </c>
      <c r="D5917" s="3">
        <f t="shared" si="185"/>
        <v>202111</v>
      </c>
      <c r="E5917" s="5" t="s">
        <v>7</v>
      </c>
      <c r="F5917" s="5" t="s">
        <v>13</v>
      </c>
      <c r="G5917" s="5" t="s">
        <v>50</v>
      </c>
      <c r="H5917">
        <v>9</v>
      </c>
      <c r="I5917" s="4">
        <v>28197</v>
      </c>
      <c r="J5917" s="4">
        <v>7038</v>
      </c>
    </row>
    <row r="5918" spans="2:10" x14ac:dyDescent="0.3">
      <c r="B5918" s="7">
        <v>44531</v>
      </c>
      <c r="C5918" s="3">
        <f t="shared" si="184"/>
        <v>2021</v>
      </c>
      <c r="D5918" s="3">
        <f t="shared" si="185"/>
        <v>202112</v>
      </c>
      <c r="E5918" s="5" t="s">
        <v>7</v>
      </c>
      <c r="F5918" s="5" t="s">
        <v>13</v>
      </c>
      <c r="G5918" s="5" t="s">
        <v>50</v>
      </c>
      <c r="H5918">
        <v>11</v>
      </c>
      <c r="I5918" s="4">
        <v>24420</v>
      </c>
      <c r="J5918" s="4">
        <v>8602</v>
      </c>
    </row>
    <row r="5919" spans="2:10" x14ac:dyDescent="0.3">
      <c r="B5919" s="7">
        <v>44562</v>
      </c>
      <c r="C5919" s="3">
        <f t="shared" si="184"/>
        <v>2022</v>
      </c>
      <c r="D5919" s="3">
        <f t="shared" si="185"/>
        <v>202201</v>
      </c>
      <c r="E5919" s="5" t="s">
        <v>7</v>
      </c>
      <c r="F5919" s="5" t="s">
        <v>13</v>
      </c>
      <c r="G5919" s="5" t="s">
        <v>50</v>
      </c>
      <c r="H5919">
        <v>16</v>
      </c>
      <c r="I5919" s="4">
        <v>45744</v>
      </c>
      <c r="J5919" s="4">
        <v>12512</v>
      </c>
    </row>
    <row r="5920" spans="2:10" x14ac:dyDescent="0.3">
      <c r="B5920" s="7">
        <v>44593</v>
      </c>
      <c r="C5920" s="3">
        <f t="shared" si="184"/>
        <v>2022</v>
      </c>
      <c r="D5920" s="3">
        <f t="shared" si="185"/>
        <v>202202</v>
      </c>
      <c r="E5920" s="5" t="s">
        <v>7</v>
      </c>
      <c r="F5920" s="5" t="s">
        <v>13</v>
      </c>
      <c r="G5920" s="5" t="s">
        <v>50</v>
      </c>
      <c r="H5920">
        <v>10</v>
      </c>
      <c r="I5920" s="4">
        <v>26020</v>
      </c>
      <c r="J5920" s="4">
        <v>7820</v>
      </c>
    </row>
    <row r="5921" spans="2:10" x14ac:dyDescent="0.3">
      <c r="B5921" s="7">
        <v>44621</v>
      </c>
      <c r="C5921" s="3">
        <f t="shared" si="184"/>
        <v>2022</v>
      </c>
      <c r="D5921" s="3">
        <f t="shared" si="185"/>
        <v>202203</v>
      </c>
      <c r="E5921" s="5" t="s">
        <v>7</v>
      </c>
      <c r="F5921" s="5" t="s">
        <v>13</v>
      </c>
      <c r="G5921" s="5" t="s">
        <v>50</v>
      </c>
      <c r="H5921">
        <v>8</v>
      </c>
      <c r="I5921" s="4">
        <v>22336</v>
      </c>
      <c r="J5921" s="4">
        <v>6256</v>
      </c>
    </row>
    <row r="5922" spans="2:10" x14ac:dyDescent="0.3">
      <c r="B5922" s="7">
        <v>44652</v>
      </c>
      <c r="C5922" s="3">
        <f t="shared" si="184"/>
        <v>2022</v>
      </c>
      <c r="D5922" s="3">
        <f t="shared" si="185"/>
        <v>202204</v>
      </c>
      <c r="E5922" s="5" t="s">
        <v>7</v>
      </c>
      <c r="F5922" s="5" t="s">
        <v>13</v>
      </c>
      <c r="G5922" s="5" t="s">
        <v>50</v>
      </c>
      <c r="H5922">
        <v>15</v>
      </c>
      <c r="I5922" s="4">
        <v>52965</v>
      </c>
      <c r="J5922" s="4">
        <v>11730</v>
      </c>
    </row>
    <row r="5923" spans="2:10" x14ac:dyDescent="0.3">
      <c r="B5923" s="7">
        <v>44682</v>
      </c>
      <c r="C5923" s="3">
        <f t="shared" si="184"/>
        <v>2022</v>
      </c>
      <c r="D5923" s="3">
        <f t="shared" si="185"/>
        <v>202205</v>
      </c>
      <c r="E5923" s="5" t="s">
        <v>7</v>
      </c>
      <c r="F5923" s="5" t="s">
        <v>13</v>
      </c>
      <c r="G5923" s="5" t="s">
        <v>50</v>
      </c>
      <c r="H5923">
        <v>19</v>
      </c>
      <c r="I5923" s="4">
        <v>67963</v>
      </c>
      <c r="J5923" s="4">
        <v>14858</v>
      </c>
    </row>
    <row r="5924" spans="2:10" x14ac:dyDescent="0.3">
      <c r="B5924" s="7">
        <v>44713</v>
      </c>
      <c r="C5924" s="3">
        <f t="shared" si="184"/>
        <v>2022</v>
      </c>
      <c r="D5924" s="3">
        <f t="shared" si="185"/>
        <v>202206</v>
      </c>
      <c r="E5924" s="5" t="s">
        <v>7</v>
      </c>
      <c r="F5924" s="5" t="s">
        <v>13</v>
      </c>
      <c r="G5924" s="5" t="s">
        <v>50</v>
      </c>
      <c r="H5924">
        <v>18</v>
      </c>
      <c r="I5924" s="4">
        <v>47052</v>
      </c>
      <c r="J5924" s="4">
        <v>14076</v>
      </c>
    </row>
    <row r="5925" spans="2:10" x14ac:dyDescent="0.3">
      <c r="B5925" s="7">
        <v>44743</v>
      </c>
      <c r="C5925" s="3">
        <f t="shared" si="184"/>
        <v>2022</v>
      </c>
      <c r="D5925" s="3">
        <f t="shared" si="185"/>
        <v>202207</v>
      </c>
      <c r="E5925" s="5" t="s">
        <v>7</v>
      </c>
      <c r="F5925" s="5" t="s">
        <v>13</v>
      </c>
      <c r="G5925" s="5" t="s">
        <v>50</v>
      </c>
      <c r="H5925">
        <v>19</v>
      </c>
      <c r="I5925" s="4">
        <v>24092</v>
      </c>
      <c r="J5925" s="4">
        <v>14858</v>
      </c>
    </row>
    <row r="5926" spans="2:10" x14ac:dyDescent="0.3">
      <c r="B5926" s="7">
        <v>44774</v>
      </c>
      <c r="C5926" s="3">
        <f t="shared" si="184"/>
        <v>2022</v>
      </c>
      <c r="D5926" s="3">
        <f t="shared" si="185"/>
        <v>202208</v>
      </c>
      <c r="E5926" s="5" t="s">
        <v>7</v>
      </c>
      <c r="F5926" s="5" t="s">
        <v>13</v>
      </c>
      <c r="G5926" s="5" t="s">
        <v>50</v>
      </c>
      <c r="H5926">
        <v>16</v>
      </c>
      <c r="I5926" s="4">
        <v>40896</v>
      </c>
      <c r="J5926" s="4">
        <v>12512</v>
      </c>
    </row>
    <row r="5927" spans="2:10" x14ac:dyDescent="0.3">
      <c r="B5927" s="7">
        <v>44805</v>
      </c>
      <c r="C5927" s="3">
        <f t="shared" si="184"/>
        <v>2022</v>
      </c>
      <c r="D5927" s="3">
        <f t="shared" si="185"/>
        <v>202209</v>
      </c>
      <c r="E5927" s="5" t="s">
        <v>7</v>
      </c>
      <c r="F5927" s="5" t="s">
        <v>13</v>
      </c>
      <c r="G5927" s="5" t="s">
        <v>50</v>
      </c>
      <c r="H5927">
        <v>17</v>
      </c>
      <c r="I5927" s="4">
        <v>47175</v>
      </c>
      <c r="J5927" s="4">
        <v>13294</v>
      </c>
    </row>
    <row r="5928" spans="2:10" x14ac:dyDescent="0.3">
      <c r="B5928" s="7">
        <v>44835</v>
      </c>
      <c r="C5928" s="3">
        <f t="shared" si="184"/>
        <v>2022</v>
      </c>
      <c r="D5928" s="3">
        <f t="shared" si="185"/>
        <v>202210</v>
      </c>
      <c r="E5928" s="5" t="s">
        <v>7</v>
      </c>
      <c r="F5928" s="5" t="s">
        <v>13</v>
      </c>
      <c r="G5928" s="5" t="s">
        <v>50</v>
      </c>
      <c r="H5928">
        <v>14</v>
      </c>
      <c r="I5928" s="4">
        <v>47978</v>
      </c>
      <c r="J5928" s="4">
        <v>10948</v>
      </c>
    </row>
    <row r="5929" spans="2:10" x14ac:dyDescent="0.3">
      <c r="B5929" s="7">
        <v>44866</v>
      </c>
      <c r="C5929" s="3">
        <f t="shared" si="184"/>
        <v>2022</v>
      </c>
      <c r="D5929" s="3">
        <f t="shared" si="185"/>
        <v>202211</v>
      </c>
      <c r="E5929" s="5" t="s">
        <v>7</v>
      </c>
      <c r="F5929" s="5" t="s">
        <v>13</v>
      </c>
      <c r="G5929" s="5" t="s">
        <v>50</v>
      </c>
      <c r="H5929">
        <v>10</v>
      </c>
      <c r="I5929" s="4">
        <v>25030</v>
      </c>
      <c r="J5929" s="4">
        <v>7820</v>
      </c>
    </row>
    <row r="5930" spans="2:10" x14ac:dyDescent="0.3">
      <c r="B5930" s="7">
        <v>44896</v>
      </c>
      <c r="C5930" s="3">
        <f t="shared" si="184"/>
        <v>2022</v>
      </c>
      <c r="D5930" s="3">
        <f t="shared" si="185"/>
        <v>202212</v>
      </c>
      <c r="E5930" s="5" t="s">
        <v>7</v>
      </c>
      <c r="F5930" s="5" t="s">
        <v>13</v>
      </c>
      <c r="G5930" s="5" t="s">
        <v>50</v>
      </c>
      <c r="H5930">
        <v>12</v>
      </c>
      <c r="I5930" s="4">
        <v>25932</v>
      </c>
      <c r="J5930" s="4">
        <v>9384</v>
      </c>
    </row>
    <row r="5931" spans="2:10" x14ac:dyDescent="0.3">
      <c r="B5931" s="7">
        <v>44197</v>
      </c>
      <c r="C5931" s="3">
        <f t="shared" si="184"/>
        <v>2021</v>
      </c>
      <c r="D5931" s="3">
        <f t="shared" si="185"/>
        <v>202101</v>
      </c>
      <c r="E5931" s="5" t="s">
        <v>7</v>
      </c>
      <c r="F5931" s="5" t="s">
        <v>13</v>
      </c>
      <c r="G5931" s="5" t="s">
        <v>51</v>
      </c>
      <c r="H5931">
        <v>13</v>
      </c>
      <c r="I5931" s="4">
        <v>61906</v>
      </c>
      <c r="J5931" s="4">
        <v>22750</v>
      </c>
    </row>
    <row r="5932" spans="2:10" x14ac:dyDescent="0.3">
      <c r="B5932" s="7">
        <v>44228</v>
      </c>
      <c r="C5932" s="3">
        <f t="shared" si="184"/>
        <v>2021</v>
      </c>
      <c r="D5932" s="3">
        <f t="shared" si="185"/>
        <v>202102</v>
      </c>
      <c r="E5932" s="5" t="s">
        <v>7</v>
      </c>
      <c r="F5932" s="5" t="s">
        <v>13</v>
      </c>
      <c r="G5932" s="5" t="s">
        <v>51</v>
      </c>
      <c r="H5932">
        <v>8</v>
      </c>
      <c r="I5932" s="4">
        <v>42552</v>
      </c>
      <c r="J5932" s="4">
        <v>14000</v>
      </c>
    </row>
    <row r="5933" spans="2:10" x14ac:dyDescent="0.3">
      <c r="B5933" s="7">
        <v>44256</v>
      </c>
      <c r="C5933" s="3">
        <f t="shared" si="184"/>
        <v>2021</v>
      </c>
      <c r="D5933" s="3">
        <f t="shared" si="185"/>
        <v>202103</v>
      </c>
      <c r="E5933" s="5" t="s">
        <v>7</v>
      </c>
      <c r="F5933" s="5" t="s">
        <v>13</v>
      </c>
      <c r="G5933" s="5" t="s">
        <v>51</v>
      </c>
      <c r="H5933">
        <v>7</v>
      </c>
      <c r="I5933" s="4">
        <v>24759</v>
      </c>
      <c r="J5933" s="4">
        <v>12250</v>
      </c>
    </row>
    <row r="5934" spans="2:10" x14ac:dyDescent="0.3">
      <c r="B5934" s="7">
        <v>44287</v>
      </c>
      <c r="C5934" s="3">
        <f t="shared" si="184"/>
        <v>2021</v>
      </c>
      <c r="D5934" s="3">
        <f t="shared" si="185"/>
        <v>202104</v>
      </c>
      <c r="E5934" s="5" t="s">
        <v>7</v>
      </c>
      <c r="F5934" s="5" t="s">
        <v>13</v>
      </c>
      <c r="G5934" s="5" t="s">
        <v>51</v>
      </c>
      <c r="H5934">
        <v>12</v>
      </c>
      <c r="I5934" s="4">
        <v>59820</v>
      </c>
      <c r="J5934" s="4">
        <v>21000</v>
      </c>
    </row>
    <row r="5935" spans="2:10" x14ac:dyDescent="0.3">
      <c r="B5935" s="7">
        <v>44317</v>
      </c>
      <c r="C5935" s="3">
        <f t="shared" si="184"/>
        <v>2021</v>
      </c>
      <c r="D5935" s="3">
        <f t="shared" si="185"/>
        <v>202105</v>
      </c>
      <c r="E5935" s="5" t="s">
        <v>7</v>
      </c>
      <c r="F5935" s="5" t="s">
        <v>13</v>
      </c>
      <c r="G5935" s="5" t="s">
        <v>51</v>
      </c>
      <c r="H5935">
        <v>16</v>
      </c>
      <c r="I5935" s="4">
        <v>78304</v>
      </c>
      <c r="J5935" s="4">
        <v>28000</v>
      </c>
    </row>
    <row r="5936" spans="2:10" x14ac:dyDescent="0.3">
      <c r="B5936" s="7">
        <v>44348</v>
      </c>
      <c r="C5936" s="3">
        <f t="shared" si="184"/>
        <v>2021</v>
      </c>
      <c r="D5936" s="3">
        <f t="shared" si="185"/>
        <v>202106</v>
      </c>
      <c r="E5936" s="5" t="s">
        <v>7</v>
      </c>
      <c r="F5936" s="5" t="s">
        <v>13</v>
      </c>
      <c r="G5936" s="5" t="s">
        <v>51</v>
      </c>
      <c r="H5936">
        <v>15</v>
      </c>
      <c r="I5936" s="4">
        <v>79440</v>
      </c>
      <c r="J5936" s="4">
        <v>26250</v>
      </c>
    </row>
    <row r="5937" spans="2:10" x14ac:dyDescent="0.3">
      <c r="B5937" s="7">
        <v>44378</v>
      </c>
      <c r="C5937" s="3">
        <f t="shared" si="184"/>
        <v>2021</v>
      </c>
      <c r="D5937" s="3">
        <f t="shared" si="185"/>
        <v>202107</v>
      </c>
      <c r="E5937" s="5" t="s">
        <v>7</v>
      </c>
      <c r="F5937" s="5" t="s">
        <v>13</v>
      </c>
      <c r="G5937" s="5" t="s">
        <v>51</v>
      </c>
      <c r="H5937">
        <v>16</v>
      </c>
      <c r="I5937" s="4">
        <v>57360</v>
      </c>
      <c r="J5937" s="4">
        <v>28000</v>
      </c>
    </row>
    <row r="5938" spans="2:10" x14ac:dyDescent="0.3">
      <c r="B5938" s="7">
        <v>44409</v>
      </c>
      <c r="C5938" s="3">
        <f t="shared" si="184"/>
        <v>2021</v>
      </c>
      <c r="D5938" s="3">
        <f t="shared" si="185"/>
        <v>202108</v>
      </c>
      <c r="E5938" s="5" t="s">
        <v>7</v>
      </c>
      <c r="F5938" s="5" t="s">
        <v>13</v>
      </c>
      <c r="G5938" s="5" t="s">
        <v>51</v>
      </c>
      <c r="H5938">
        <v>13</v>
      </c>
      <c r="I5938" s="4">
        <v>48438</v>
      </c>
      <c r="J5938" s="4">
        <v>22750</v>
      </c>
    </row>
    <row r="5939" spans="2:10" x14ac:dyDescent="0.3">
      <c r="B5939" s="7">
        <v>44440</v>
      </c>
      <c r="C5939" s="3">
        <f t="shared" si="184"/>
        <v>2021</v>
      </c>
      <c r="D5939" s="3">
        <f t="shared" si="185"/>
        <v>202109</v>
      </c>
      <c r="E5939" s="5" t="s">
        <v>7</v>
      </c>
      <c r="F5939" s="5" t="s">
        <v>13</v>
      </c>
      <c r="G5939" s="5" t="s">
        <v>51</v>
      </c>
      <c r="H5939">
        <v>14</v>
      </c>
      <c r="I5939" s="4">
        <v>61894</v>
      </c>
      <c r="J5939" s="4">
        <v>24500</v>
      </c>
    </row>
    <row r="5940" spans="2:10" x14ac:dyDescent="0.3">
      <c r="B5940" s="7">
        <v>44470</v>
      </c>
      <c r="C5940" s="3">
        <f t="shared" si="184"/>
        <v>2021</v>
      </c>
      <c r="D5940" s="3">
        <f t="shared" si="185"/>
        <v>202110</v>
      </c>
      <c r="E5940" s="5" t="s">
        <v>7</v>
      </c>
      <c r="F5940" s="5" t="s">
        <v>13</v>
      </c>
      <c r="G5940" s="5" t="s">
        <v>51</v>
      </c>
      <c r="H5940">
        <v>12</v>
      </c>
      <c r="I5940" s="4">
        <v>63672</v>
      </c>
      <c r="J5940" s="4">
        <v>21000</v>
      </c>
    </row>
    <row r="5941" spans="2:10" x14ac:dyDescent="0.3">
      <c r="B5941" s="7">
        <v>44501</v>
      </c>
      <c r="C5941" s="3">
        <f t="shared" si="184"/>
        <v>2021</v>
      </c>
      <c r="D5941" s="3">
        <f t="shared" si="185"/>
        <v>202111</v>
      </c>
      <c r="E5941" s="5" t="s">
        <v>7</v>
      </c>
      <c r="F5941" s="5" t="s">
        <v>13</v>
      </c>
      <c r="G5941" s="5" t="s">
        <v>51</v>
      </c>
      <c r="H5941">
        <v>8</v>
      </c>
      <c r="I5941" s="4">
        <v>34840</v>
      </c>
      <c r="J5941" s="4">
        <v>14000</v>
      </c>
    </row>
    <row r="5942" spans="2:10" x14ac:dyDescent="0.3">
      <c r="B5942" s="7">
        <v>44531</v>
      </c>
      <c r="C5942" s="3">
        <f t="shared" si="184"/>
        <v>2021</v>
      </c>
      <c r="D5942" s="3">
        <f t="shared" si="185"/>
        <v>202112</v>
      </c>
      <c r="E5942" s="5" t="s">
        <v>7</v>
      </c>
      <c r="F5942" s="5" t="s">
        <v>13</v>
      </c>
      <c r="G5942" s="5" t="s">
        <v>51</v>
      </c>
      <c r="H5942">
        <v>10</v>
      </c>
      <c r="I5942" s="4">
        <v>41100</v>
      </c>
      <c r="J5942" s="4">
        <v>17500</v>
      </c>
    </row>
    <row r="5943" spans="2:10" x14ac:dyDescent="0.3">
      <c r="B5943" s="7">
        <v>44562</v>
      </c>
      <c r="C5943" s="3">
        <f t="shared" si="184"/>
        <v>2022</v>
      </c>
      <c r="D5943" s="3">
        <f t="shared" si="185"/>
        <v>202201</v>
      </c>
      <c r="E5943" s="5" t="s">
        <v>7</v>
      </c>
      <c r="F5943" s="5" t="s">
        <v>13</v>
      </c>
      <c r="G5943" s="5" t="s">
        <v>51</v>
      </c>
      <c r="H5943">
        <v>15</v>
      </c>
      <c r="I5943" s="4">
        <v>68985</v>
      </c>
      <c r="J5943" s="4">
        <v>26250</v>
      </c>
    </row>
    <row r="5944" spans="2:10" x14ac:dyDescent="0.3">
      <c r="B5944" s="7">
        <v>44593</v>
      </c>
      <c r="C5944" s="3">
        <f t="shared" si="184"/>
        <v>2022</v>
      </c>
      <c r="D5944" s="3">
        <f t="shared" si="185"/>
        <v>202202</v>
      </c>
      <c r="E5944" s="5" t="s">
        <v>7</v>
      </c>
      <c r="F5944" s="5" t="s">
        <v>13</v>
      </c>
      <c r="G5944" s="5" t="s">
        <v>51</v>
      </c>
      <c r="H5944">
        <v>9</v>
      </c>
      <c r="I5944" s="4">
        <v>42534</v>
      </c>
      <c r="J5944" s="4">
        <v>15750</v>
      </c>
    </row>
    <row r="5945" spans="2:10" x14ac:dyDescent="0.3">
      <c r="B5945" s="7">
        <v>44621</v>
      </c>
      <c r="C5945" s="3">
        <f t="shared" si="184"/>
        <v>2022</v>
      </c>
      <c r="D5945" s="3">
        <f t="shared" si="185"/>
        <v>202203</v>
      </c>
      <c r="E5945" s="5" t="s">
        <v>7</v>
      </c>
      <c r="F5945" s="5" t="s">
        <v>13</v>
      </c>
      <c r="G5945" s="5" t="s">
        <v>51</v>
      </c>
      <c r="H5945">
        <v>8</v>
      </c>
      <c r="I5945" s="4">
        <v>32336</v>
      </c>
      <c r="J5945" s="4">
        <v>14000</v>
      </c>
    </row>
    <row r="5946" spans="2:10" x14ac:dyDescent="0.3">
      <c r="B5946" s="7">
        <v>44652</v>
      </c>
      <c r="C5946" s="3">
        <f t="shared" si="184"/>
        <v>2022</v>
      </c>
      <c r="D5946" s="3">
        <f t="shared" si="185"/>
        <v>202204</v>
      </c>
      <c r="E5946" s="5" t="s">
        <v>7</v>
      </c>
      <c r="F5946" s="5" t="s">
        <v>13</v>
      </c>
      <c r="G5946" s="5" t="s">
        <v>51</v>
      </c>
      <c r="H5946">
        <v>14</v>
      </c>
      <c r="I5946" s="4">
        <v>65324</v>
      </c>
      <c r="J5946" s="4">
        <v>24500</v>
      </c>
    </row>
    <row r="5947" spans="2:10" x14ac:dyDescent="0.3">
      <c r="B5947" s="7">
        <v>44682</v>
      </c>
      <c r="C5947" s="3">
        <f t="shared" si="184"/>
        <v>2022</v>
      </c>
      <c r="D5947" s="3">
        <f t="shared" si="185"/>
        <v>202205</v>
      </c>
      <c r="E5947" s="5" t="s">
        <v>7</v>
      </c>
      <c r="F5947" s="5" t="s">
        <v>13</v>
      </c>
      <c r="G5947" s="5" t="s">
        <v>51</v>
      </c>
      <c r="H5947">
        <v>17</v>
      </c>
      <c r="I5947" s="4">
        <v>83470</v>
      </c>
      <c r="J5947" s="4">
        <v>29750</v>
      </c>
    </row>
    <row r="5948" spans="2:10" x14ac:dyDescent="0.3">
      <c r="B5948" s="7">
        <v>44713</v>
      </c>
      <c r="C5948" s="3">
        <f t="shared" si="184"/>
        <v>2022</v>
      </c>
      <c r="D5948" s="3">
        <f t="shared" si="185"/>
        <v>202206</v>
      </c>
      <c r="E5948" s="5" t="s">
        <v>7</v>
      </c>
      <c r="F5948" s="5" t="s">
        <v>13</v>
      </c>
      <c r="G5948" s="5" t="s">
        <v>51</v>
      </c>
      <c r="H5948">
        <v>16</v>
      </c>
      <c r="I5948" s="4">
        <v>78304</v>
      </c>
      <c r="J5948" s="4">
        <v>28000</v>
      </c>
    </row>
    <row r="5949" spans="2:10" x14ac:dyDescent="0.3">
      <c r="B5949" s="7">
        <v>44743</v>
      </c>
      <c r="C5949" s="3">
        <f t="shared" si="184"/>
        <v>2022</v>
      </c>
      <c r="D5949" s="3">
        <f t="shared" si="185"/>
        <v>202207</v>
      </c>
      <c r="E5949" s="5" t="s">
        <v>7</v>
      </c>
      <c r="F5949" s="5" t="s">
        <v>13</v>
      </c>
      <c r="G5949" s="5" t="s">
        <v>51</v>
      </c>
      <c r="H5949">
        <v>17</v>
      </c>
      <c r="I5949" s="4">
        <v>60061</v>
      </c>
      <c r="J5949" s="4">
        <v>29750</v>
      </c>
    </row>
    <row r="5950" spans="2:10" x14ac:dyDescent="0.3">
      <c r="B5950" s="7">
        <v>44774</v>
      </c>
      <c r="C5950" s="3">
        <f t="shared" si="184"/>
        <v>2022</v>
      </c>
      <c r="D5950" s="3">
        <f t="shared" si="185"/>
        <v>202208</v>
      </c>
      <c r="E5950" s="5" t="s">
        <v>7</v>
      </c>
      <c r="F5950" s="5" t="s">
        <v>13</v>
      </c>
      <c r="G5950" s="5" t="s">
        <v>51</v>
      </c>
      <c r="H5950">
        <v>15</v>
      </c>
      <c r="I5950" s="4">
        <v>71775</v>
      </c>
      <c r="J5950" s="4">
        <v>26250</v>
      </c>
    </row>
    <row r="5951" spans="2:10" x14ac:dyDescent="0.3">
      <c r="B5951" s="7">
        <v>44805</v>
      </c>
      <c r="C5951" s="3">
        <f t="shared" si="184"/>
        <v>2022</v>
      </c>
      <c r="D5951" s="3">
        <f t="shared" si="185"/>
        <v>202209</v>
      </c>
      <c r="E5951" s="5" t="s">
        <v>7</v>
      </c>
      <c r="F5951" s="5" t="s">
        <v>13</v>
      </c>
      <c r="G5951" s="5" t="s">
        <v>51</v>
      </c>
      <c r="H5951">
        <v>15</v>
      </c>
      <c r="I5951" s="4">
        <v>61845</v>
      </c>
      <c r="J5951" s="4">
        <v>26250</v>
      </c>
    </row>
    <row r="5952" spans="2:10" x14ac:dyDescent="0.3">
      <c r="B5952" s="7">
        <v>44835</v>
      </c>
      <c r="C5952" s="3">
        <f t="shared" si="184"/>
        <v>2022</v>
      </c>
      <c r="D5952" s="3">
        <f t="shared" si="185"/>
        <v>202210</v>
      </c>
      <c r="E5952" s="5" t="s">
        <v>7</v>
      </c>
      <c r="F5952" s="5" t="s">
        <v>13</v>
      </c>
      <c r="G5952" s="5" t="s">
        <v>51</v>
      </c>
      <c r="H5952">
        <v>13</v>
      </c>
      <c r="I5952" s="4">
        <v>57707</v>
      </c>
      <c r="J5952" s="4">
        <v>22750</v>
      </c>
    </row>
    <row r="5953" spans="2:10" x14ac:dyDescent="0.3">
      <c r="B5953" s="7">
        <v>44866</v>
      </c>
      <c r="C5953" s="3">
        <f t="shared" si="184"/>
        <v>2022</v>
      </c>
      <c r="D5953" s="3">
        <f t="shared" si="185"/>
        <v>202211</v>
      </c>
      <c r="E5953" s="5" t="s">
        <v>7</v>
      </c>
      <c r="F5953" s="5" t="s">
        <v>13</v>
      </c>
      <c r="G5953" s="5" t="s">
        <v>51</v>
      </c>
      <c r="H5953">
        <v>9</v>
      </c>
      <c r="I5953" s="4">
        <v>45972</v>
      </c>
      <c r="J5953" s="4">
        <v>15750</v>
      </c>
    </row>
    <row r="5954" spans="2:10" x14ac:dyDescent="0.3">
      <c r="B5954" s="7">
        <v>44896</v>
      </c>
      <c r="C5954" s="3">
        <f t="shared" si="184"/>
        <v>2022</v>
      </c>
      <c r="D5954" s="3">
        <f t="shared" si="185"/>
        <v>202212</v>
      </c>
      <c r="E5954" s="5" t="s">
        <v>7</v>
      </c>
      <c r="F5954" s="5" t="s">
        <v>13</v>
      </c>
      <c r="G5954" s="5" t="s">
        <v>51</v>
      </c>
      <c r="H5954">
        <v>11</v>
      </c>
      <c r="I5954" s="4">
        <v>44847</v>
      </c>
      <c r="J5954" s="4">
        <v>19250</v>
      </c>
    </row>
    <row r="5955" spans="2:10" x14ac:dyDescent="0.3">
      <c r="B5955" s="7">
        <v>44197</v>
      </c>
      <c r="C5955" s="3">
        <f t="shared" ref="C5955:C6018" si="186">YEAR(B5955)</f>
        <v>2021</v>
      </c>
      <c r="D5955" s="3">
        <f t="shared" ref="D5955:D6018" si="187">VALUE(TEXT(B5955,"ГГГГММ"))</f>
        <v>202101</v>
      </c>
      <c r="E5955" s="5" t="s">
        <v>7</v>
      </c>
      <c r="F5955" s="5" t="s">
        <v>13</v>
      </c>
      <c r="G5955" s="5" t="s">
        <v>52</v>
      </c>
      <c r="H5955">
        <v>12</v>
      </c>
      <c r="I5955" s="4">
        <v>66492</v>
      </c>
      <c r="J5955" s="4">
        <v>30240</v>
      </c>
    </row>
    <row r="5956" spans="2:10" x14ac:dyDescent="0.3">
      <c r="B5956" s="7">
        <v>44228</v>
      </c>
      <c r="C5956" s="3">
        <f t="shared" si="186"/>
        <v>2021</v>
      </c>
      <c r="D5956" s="3">
        <f t="shared" si="187"/>
        <v>202102</v>
      </c>
      <c r="E5956" s="5" t="s">
        <v>7</v>
      </c>
      <c r="F5956" s="5" t="s">
        <v>13</v>
      </c>
      <c r="G5956" s="5" t="s">
        <v>52</v>
      </c>
      <c r="H5956">
        <v>8</v>
      </c>
      <c r="I5956" s="4">
        <v>46704</v>
      </c>
      <c r="J5956" s="4">
        <v>20160</v>
      </c>
    </row>
    <row r="5957" spans="2:10" x14ac:dyDescent="0.3">
      <c r="B5957" s="7">
        <v>44256</v>
      </c>
      <c r="C5957" s="3">
        <f t="shared" si="186"/>
        <v>2021</v>
      </c>
      <c r="D5957" s="3">
        <f t="shared" si="187"/>
        <v>202103</v>
      </c>
      <c r="E5957" s="5" t="s">
        <v>7</v>
      </c>
      <c r="F5957" s="5" t="s">
        <v>13</v>
      </c>
      <c r="G5957" s="5" t="s">
        <v>52</v>
      </c>
      <c r="H5957">
        <v>6</v>
      </c>
      <c r="I5957" s="4">
        <v>28638</v>
      </c>
      <c r="J5957" s="4">
        <v>15120</v>
      </c>
    </row>
    <row r="5958" spans="2:10" x14ac:dyDescent="0.3">
      <c r="B5958" s="7">
        <v>44287</v>
      </c>
      <c r="C5958" s="3">
        <f t="shared" si="186"/>
        <v>2021</v>
      </c>
      <c r="D5958" s="3">
        <f t="shared" si="187"/>
        <v>202104</v>
      </c>
      <c r="E5958" s="5" t="s">
        <v>7</v>
      </c>
      <c r="F5958" s="5" t="s">
        <v>13</v>
      </c>
      <c r="G5958" s="5" t="s">
        <v>52</v>
      </c>
      <c r="H5958">
        <v>11</v>
      </c>
      <c r="I5958" s="4">
        <v>61215</v>
      </c>
      <c r="J5958" s="4">
        <v>27720</v>
      </c>
    </row>
    <row r="5959" spans="2:10" x14ac:dyDescent="0.3">
      <c r="B5959" s="7">
        <v>44317</v>
      </c>
      <c r="C5959" s="3">
        <f t="shared" si="186"/>
        <v>2021</v>
      </c>
      <c r="D5959" s="3">
        <f t="shared" si="187"/>
        <v>202105</v>
      </c>
      <c r="E5959" s="5" t="s">
        <v>7</v>
      </c>
      <c r="F5959" s="5" t="s">
        <v>13</v>
      </c>
      <c r="G5959" s="5" t="s">
        <v>52</v>
      </c>
      <c r="H5959">
        <v>14</v>
      </c>
      <c r="I5959" s="4">
        <v>89404</v>
      </c>
      <c r="J5959" s="4">
        <v>35280</v>
      </c>
    </row>
    <row r="5960" spans="2:10" x14ac:dyDescent="0.3">
      <c r="B5960" s="7">
        <v>44348</v>
      </c>
      <c r="C5960" s="3">
        <f t="shared" si="186"/>
        <v>2021</v>
      </c>
      <c r="D5960" s="3">
        <f t="shared" si="187"/>
        <v>202106</v>
      </c>
      <c r="E5960" s="5" t="s">
        <v>7</v>
      </c>
      <c r="F5960" s="5" t="s">
        <v>13</v>
      </c>
      <c r="G5960" s="5" t="s">
        <v>52</v>
      </c>
      <c r="H5960">
        <v>13</v>
      </c>
      <c r="I5960" s="4">
        <v>74906</v>
      </c>
      <c r="J5960" s="4">
        <v>32760</v>
      </c>
    </row>
    <row r="5961" spans="2:10" x14ac:dyDescent="0.3">
      <c r="B5961" s="7">
        <v>44378</v>
      </c>
      <c r="C5961" s="3">
        <f t="shared" si="186"/>
        <v>2021</v>
      </c>
      <c r="D5961" s="3">
        <f t="shared" si="187"/>
        <v>202107</v>
      </c>
      <c r="E5961" s="5" t="s">
        <v>7</v>
      </c>
      <c r="F5961" s="5" t="s">
        <v>13</v>
      </c>
      <c r="G5961" s="5" t="s">
        <v>52</v>
      </c>
      <c r="H5961">
        <v>14</v>
      </c>
      <c r="I5961" s="4">
        <v>57498</v>
      </c>
      <c r="J5961" s="4">
        <v>35280</v>
      </c>
    </row>
    <row r="5962" spans="2:10" x14ac:dyDescent="0.3">
      <c r="B5962" s="7">
        <v>44409</v>
      </c>
      <c r="C5962" s="3">
        <f t="shared" si="186"/>
        <v>2021</v>
      </c>
      <c r="D5962" s="3">
        <f t="shared" si="187"/>
        <v>202108</v>
      </c>
      <c r="E5962" s="5" t="s">
        <v>7</v>
      </c>
      <c r="F5962" s="5" t="s">
        <v>13</v>
      </c>
      <c r="G5962" s="5" t="s">
        <v>52</v>
      </c>
      <c r="H5962">
        <v>12</v>
      </c>
      <c r="I5962" s="4">
        <v>65064</v>
      </c>
      <c r="J5962" s="4">
        <v>30240</v>
      </c>
    </row>
    <row r="5963" spans="2:10" x14ac:dyDescent="0.3">
      <c r="B5963" s="7">
        <v>44440</v>
      </c>
      <c r="C5963" s="3">
        <f t="shared" si="186"/>
        <v>2021</v>
      </c>
      <c r="D5963" s="3">
        <f t="shared" si="187"/>
        <v>202109</v>
      </c>
      <c r="E5963" s="5" t="s">
        <v>7</v>
      </c>
      <c r="F5963" s="5" t="s">
        <v>13</v>
      </c>
      <c r="G5963" s="5" t="s">
        <v>52</v>
      </c>
      <c r="H5963">
        <v>13</v>
      </c>
      <c r="I5963" s="4">
        <v>64155</v>
      </c>
      <c r="J5963" s="4">
        <v>32760</v>
      </c>
    </row>
    <row r="5964" spans="2:10" x14ac:dyDescent="0.3">
      <c r="B5964" s="7">
        <v>44470</v>
      </c>
      <c r="C5964" s="3">
        <f t="shared" si="186"/>
        <v>2021</v>
      </c>
      <c r="D5964" s="3">
        <f t="shared" si="187"/>
        <v>202110</v>
      </c>
      <c r="E5964" s="5" t="s">
        <v>7</v>
      </c>
      <c r="F5964" s="5" t="s">
        <v>13</v>
      </c>
      <c r="G5964" s="5" t="s">
        <v>52</v>
      </c>
      <c r="H5964">
        <v>11</v>
      </c>
      <c r="I5964" s="4">
        <v>63459</v>
      </c>
      <c r="J5964" s="4">
        <v>27720</v>
      </c>
    </row>
    <row r="5965" spans="2:10" x14ac:dyDescent="0.3">
      <c r="B5965" s="7">
        <v>44501</v>
      </c>
      <c r="C5965" s="3">
        <f t="shared" si="186"/>
        <v>2021</v>
      </c>
      <c r="D5965" s="3">
        <f t="shared" si="187"/>
        <v>202111</v>
      </c>
      <c r="E5965" s="5" t="s">
        <v>7</v>
      </c>
      <c r="F5965" s="5" t="s">
        <v>13</v>
      </c>
      <c r="G5965" s="5" t="s">
        <v>52</v>
      </c>
      <c r="H5965">
        <v>8</v>
      </c>
      <c r="I5965" s="4">
        <v>47432</v>
      </c>
      <c r="J5965" s="4">
        <v>20160</v>
      </c>
    </row>
    <row r="5966" spans="2:10" x14ac:dyDescent="0.3">
      <c r="B5966" s="7">
        <v>44531</v>
      </c>
      <c r="C5966" s="3">
        <f t="shared" si="186"/>
        <v>2021</v>
      </c>
      <c r="D5966" s="3">
        <f t="shared" si="187"/>
        <v>202112</v>
      </c>
      <c r="E5966" s="5" t="s">
        <v>7</v>
      </c>
      <c r="F5966" s="5" t="s">
        <v>13</v>
      </c>
      <c r="G5966" s="5" t="s">
        <v>52</v>
      </c>
      <c r="H5966">
        <v>9</v>
      </c>
      <c r="I5966" s="4">
        <v>45153</v>
      </c>
      <c r="J5966" s="4">
        <v>22680</v>
      </c>
    </row>
    <row r="5967" spans="2:10" x14ac:dyDescent="0.3">
      <c r="B5967" s="7">
        <v>44562</v>
      </c>
      <c r="C5967" s="3">
        <f t="shared" si="186"/>
        <v>2022</v>
      </c>
      <c r="D5967" s="3">
        <f t="shared" si="187"/>
        <v>202201</v>
      </c>
      <c r="E5967" s="5" t="s">
        <v>7</v>
      </c>
      <c r="F5967" s="5" t="s">
        <v>13</v>
      </c>
      <c r="G5967" s="5" t="s">
        <v>52</v>
      </c>
      <c r="H5967">
        <v>13</v>
      </c>
      <c r="I5967" s="4">
        <v>65858</v>
      </c>
      <c r="J5967" s="4">
        <v>32760</v>
      </c>
    </row>
    <row r="5968" spans="2:10" x14ac:dyDescent="0.3">
      <c r="B5968" s="7">
        <v>44593</v>
      </c>
      <c r="C5968" s="3">
        <f t="shared" si="186"/>
        <v>2022</v>
      </c>
      <c r="D5968" s="3">
        <f t="shared" si="187"/>
        <v>202202</v>
      </c>
      <c r="E5968" s="5" t="s">
        <v>7</v>
      </c>
      <c r="F5968" s="5" t="s">
        <v>13</v>
      </c>
      <c r="G5968" s="5" t="s">
        <v>52</v>
      </c>
      <c r="H5968">
        <v>8</v>
      </c>
      <c r="I5968" s="4">
        <v>44448</v>
      </c>
      <c r="J5968" s="4">
        <v>20160</v>
      </c>
    </row>
    <row r="5969" spans="2:10" x14ac:dyDescent="0.3">
      <c r="B5969" s="7">
        <v>44621</v>
      </c>
      <c r="C5969" s="3">
        <f t="shared" si="186"/>
        <v>2022</v>
      </c>
      <c r="D5969" s="3">
        <f t="shared" si="187"/>
        <v>202203</v>
      </c>
      <c r="E5969" s="5" t="s">
        <v>7</v>
      </c>
      <c r="F5969" s="5" t="s">
        <v>13</v>
      </c>
      <c r="G5969" s="5" t="s">
        <v>52</v>
      </c>
      <c r="H5969">
        <v>7</v>
      </c>
      <c r="I5969" s="4">
        <v>36302</v>
      </c>
      <c r="J5969" s="4">
        <v>17640</v>
      </c>
    </row>
    <row r="5970" spans="2:10" x14ac:dyDescent="0.3">
      <c r="B5970" s="7">
        <v>44652</v>
      </c>
      <c r="C5970" s="3">
        <f t="shared" si="186"/>
        <v>2022</v>
      </c>
      <c r="D5970" s="3">
        <f t="shared" si="187"/>
        <v>202204</v>
      </c>
      <c r="E5970" s="5" t="s">
        <v>7</v>
      </c>
      <c r="F5970" s="5" t="s">
        <v>13</v>
      </c>
      <c r="G5970" s="5" t="s">
        <v>52</v>
      </c>
      <c r="H5970">
        <v>12</v>
      </c>
      <c r="I5970" s="4">
        <v>76392</v>
      </c>
      <c r="J5970" s="4">
        <v>30240</v>
      </c>
    </row>
    <row r="5971" spans="2:10" x14ac:dyDescent="0.3">
      <c r="B5971" s="7">
        <v>44682</v>
      </c>
      <c r="C5971" s="3">
        <f t="shared" si="186"/>
        <v>2022</v>
      </c>
      <c r="D5971" s="3">
        <f t="shared" si="187"/>
        <v>202205</v>
      </c>
      <c r="E5971" s="5" t="s">
        <v>7</v>
      </c>
      <c r="F5971" s="5" t="s">
        <v>13</v>
      </c>
      <c r="G5971" s="5" t="s">
        <v>52</v>
      </c>
      <c r="H5971">
        <v>16</v>
      </c>
      <c r="I5971" s="4">
        <v>100256</v>
      </c>
      <c r="J5971" s="4">
        <v>40320</v>
      </c>
    </row>
    <row r="5972" spans="2:10" x14ac:dyDescent="0.3">
      <c r="B5972" s="7">
        <v>44713</v>
      </c>
      <c r="C5972" s="3">
        <f t="shared" si="186"/>
        <v>2022</v>
      </c>
      <c r="D5972" s="3">
        <f t="shared" si="187"/>
        <v>202206</v>
      </c>
      <c r="E5972" s="5" t="s">
        <v>7</v>
      </c>
      <c r="F5972" s="5" t="s">
        <v>13</v>
      </c>
      <c r="G5972" s="5" t="s">
        <v>52</v>
      </c>
      <c r="H5972">
        <v>15</v>
      </c>
      <c r="I5972" s="4">
        <v>89415</v>
      </c>
      <c r="J5972" s="4">
        <v>37800</v>
      </c>
    </row>
    <row r="5973" spans="2:10" x14ac:dyDescent="0.3">
      <c r="B5973" s="7">
        <v>44743</v>
      </c>
      <c r="C5973" s="3">
        <f t="shared" si="186"/>
        <v>2022</v>
      </c>
      <c r="D5973" s="3">
        <f t="shared" si="187"/>
        <v>202207</v>
      </c>
      <c r="E5973" s="5" t="s">
        <v>7</v>
      </c>
      <c r="F5973" s="5" t="s">
        <v>13</v>
      </c>
      <c r="G5973" s="5" t="s">
        <v>52</v>
      </c>
      <c r="H5973">
        <v>16</v>
      </c>
      <c r="I5973" s="4">
        <v>58576</v>
      </c>
      <c r="J5973" s="4">
        <v>40320</v>
      </c>
    </row>
    <row r="5974" spans="2:10" x14ac:dyDescent="0.3">
      <c r="B5974" s="7">
        <v>44774</v>
      </c>
      <c r="C5974" s="3">
        <f t="shared" si="186"/>
        <v>2022</v>
      </c>
      <c r="D5974" s="3">
        <f t="shared" si="187"/>
        <v>202208</v>
      </c>
      <c r="E5974" s="5" t="s">
        <v>7</v>
      </c>
      <c r="F5974" s="5" t="s">
        <v>13</v>
      </c>
      <c r="G5974" s="5" t="s">
        <v>52</v>
      </c>
      <c r="H5974">
        <v>13</v>
      </c>
      <c r="I5974" s="4">
        <v>62634</v>
      </c>
      <c r="J5974" s="4">
        <v>32760</v>
      </c>
    </row>
    <row r="5975" spans="2:10" x14ac:dyDescent="0.3">
      <c r="B5975" s="7">
        <v>44805</v>
      </c>
      <c r="C5975" s="3">
        <f t="shared" si="186"/>
        <v>2022</v>
      </c>
      <c r="D5975" s="3">
        <f t="shared" si="187"/>
        <v>202209</v>
      </c>
      <c r="E5975" s="5" t="s">
        <v>7</v>
      </c>
      <c r="F5975" s="5" t="s">
        <v>13</v>
      </c>
      <c r="G5975" s="5" t="s">
        <v>52</v>
      </c>
      <c r="H5975">
        <v>14</v>
      </c>
      <c r="I5975" s="4">
        <v>66906</v>
      </c>
      <c r="J5975" s="4">
        <v>35280</v>
      </c>
    </row>
    <row r="5976" spans="2:10" x14ac:dyDescent="0.3">
      <c r="B5976" s="7">
        <v>44835</v>
      </c>
      <c r="C5976" s="3">
        <f t="shared" si="186"/>
        <v>2022</v>
      </c>
      <c r="D5976" s="3">
        <f t="shared" si="187"/>
        <v>202210</v>
      </c>
      <c r="E5976" s="5" t="s">
        <v>7</v>
      </c>
      <c r="F5976" s="5" t="s">
        <v>13</v>
      </c>
      <c r="G5976" s="5" t="s">
        <v>52</v>
      </c>
      <c r="H5976">
        <v>12</v>
      </c>
      <c r="I5976" s="4">
        <v>64512</v>
      </c>
      <c r="J5976" s="4">
        <v>30240</v>
      </c>
    </row>
    <row r="5977" spans="2:10" x14ac:dyDescent="0.3">
      <c r="B5977" s="7">
        <v>44866</v>
      </c>
      <c r="C5977" s="3">
        <f t="shared" si="186"/>
        <v>2022</v>
      </c>
      <c r="D5977" s="3">
        <f t="shared" si="187"/>
        <v>202211</v>
      </c>
      <c r="E5977" s="5" t="s">
        <v>7</v>
      </c>
      <c r="F5977" s="5" t="s">
        <v>13</v>
      </c>
      <c r="G5977" s="5" t="s">
        <v>52</v>
      </c>
      <c r="H5977">
        <v>8</v>
      </c>
      <c r="I5977" s="4">
        <v>47792</v>
      </c>
      <c r="J5977" s="4">
        <v>20160</v>
      </c>
    </row>
    <row r="5978" spans="2:10" x14ac:dyDescent="0.3">
      <c r="B5978" s="7">
        <v>44896</v>
      </c>
      <c r="C5978" s="3">
        <f t="shared" si="186"/>
        <v>2022</v>
      </c>
      <c r="D5978" s="3">
        <f t="shared" si="187"/>
        <v>202212</v>
      </c>
      <c r="E5978" s="5" t="s">
        <v>7</v>
      </c>
      <c r="F5978" s="5" t="s">
        <v>13</v>
      </c>
      <c r="G5978" s="5" t="s">
        <v>52</v>
      </c>
      <c r="H5978">
        <v>10</v>
      </c>
      <c r="I5978" s="4">
        <v>56720</v>
      </c>
      <c r="J5978" s="4">
        <v>25200</v>
      </c>
    </row>
    <row r="5979" spans="2:10" x14ac:dyDescent="0.3">
      <c r="B5979" s="7">
        <v>44197</v>
      </c>
      <c r="C5979" s="3">
        <f t="shared" si="186"/>
        <v>2021</v>
      </c>
      <c r="D5979" s="3">
        <f t="shared" si="187"/>
        <v>202101</v>
      </c>
      <c r="E5979" s="5" t="s">
        <v>7</v>
      </c>
      <c r="F5979" s="5" t="s">
        <v>13</v>
      </c>
      <c r="G5979" s="5" t="s">
        <v>53</v>
      </c>
      <c r="H5979">
        <v>15</v>
      </c>
      <c r="I5979" s="4">
        <v>50640</v>
      </c>
      <c r="J5979" s="4">
        <v>13860</v>
      </c>
    </row>
    <row r="5980" spans="2:10" x14ac:dyDescent="0.3">
      <c r="B5980" s="7">
        <v>44228</v>
      </c>
      <c r="C5980" s="3">
        <f t="shared" si="186"/>
        <v>2021</v>
      </c>
      <c r="D5980" s="3">
        <f t="shared" si="187"/>
        <v>202102</v>
      </c>
      <c r="E5980" s="5" t="s">
        <v>7</v>
      </c>
      <c r="F5980" s="5" t="s">
        <v>13</v>
      </c>
      <c r="G5980" s="5" t="s">
        <v>53</v>
      </c>
      <c r="H5980">
        <v>10</v>
      </c>
      <c r="I5980" s="4">
        <v>38810</v>
      </c>
      <c r="J5980" s="4">
        <v>9240</v>
      </c>
    </row>
    <row r="5981" spans="2:10" x14ac:dyDescent="0.3">
      <c r="B5981" s="7">
        <v>44256</v>
      </c>
      <c r="C5981" s="3">
        <f t="shared" si="186"/>
        <v>2021</v>
      </c>
      <c r="D5981" s="3">
        <f t="shared" si="187"/>
        <v>202103</v>
      </c>
      <c r="E5981" s="5" t="s">
        <v>7</v>
      </c>
      <c r="F5981" s="5" t="s">
        <v>13</v>
      </c>
      <c r="G5981" s="5" t="s">
        <v>53</v>
      </c>
      <c r="H5981">
        <v>8</v>
      </c>
      <c r="I5981" s="4">
        <v>24784</v>
      </c>
      <c r="J5981" s="4">
        <v>7392</v>
      </c>
    </row>
    <row r="5982" spans="2:10" x14ac:dyDescent="0.3">
      <c r="B5982" s="7">
        <v>44287</v>
      </c>
      <c r="C5982" s="3">
        <f t="shared" si="186"/>
        <v>2021</v>
      </c>
      <c r="D5982" s="3">
        <f t="shared" si="187"/>
        <v>202104</v>
      </c>
      <c r="E5982" s="5" t="s">
        <v>7</v>
      </c>
      <c r="F5982" s="5" t="s">
        <v>13</v>
      </c>
      <c r="G5982" s="5" t="s">
        <v>53</v>
      </c>
      <c r="H5982">
        <v>14</v>
      </c>
      <c r="I5982" s="4">
        <v>57876</v>
      </c>
      <c r="J5982" s="4">
        <v>12936</v>
      </c>
    </row>
    <row r="5983" spans="2:10" x14ac:dyDescent="0.3">
      <c r="B5983" s="7">
        <v>44317</v>
      </c>
      <c r="C5983" s="3">
        <f t="shared" si="186"/>
        <v>2021</v>
      </c>
      <c r="D5983" s="3">
        <f t="shared" si="187"/>
        <v>202105</v>
      </c>
      <c r="E5983" s="5" t="s">
        <v>7</v>
      </c>
      <c r="F5983" s="5" t="s">
        <v>13</v>
      </c>
      <c r="G5983" s="5" t="s">
        <v>53</v>
      </c>
      <c r="H5983">
        <v>18</v>
      </c>
      <c r="I5983" s="4">
        <v>75438</v>
      </c>
      <c r="J5983" s="4">
        <v>16632</v>
      </c>
    </row>
    <row r="5984" spans="2:10" x14ac:dyDescent="0.3">
      <c r="B5984" s="7">
        <v>44348</v>
      </c>
      <c r="C5984" s="3">
        <f t="shared" si="186"/>
        <v>2021</v>
      </c>
      <c r="D5984" s="3">
        <f t="shared" si="187"/>
        <v>202106</v>
      </c>
      <c r="E5984" s="5" t="s">
        <v>7</v>
      </c>
      <c r="F5984" s="5" t="s">
        <v>13</v>
      </c>
      <c r="G5984" s="5" t="s">
        <v>53</v>
      </c>
      <c r="H5984">
        <v>17</v>
      </c>
      <c r="I5984" s="4">
        <v>56593</v>
      </c>
      <c r="J5984" s="4">
        <v>15708</v>
      </c>
    </row>
    <row r="5985" spans="2:10" x14ac:dyDescent="0.3">
      <c r="B5985" s="7">
        <v>44378</v>
      </c>
      <c r="C5985" s="3">
        <f t="shared" si="186"/>
        <v>2021</v>
      </c>
      <c r="D5985" s="3">
        <f t="shared" si="187"/>
        <v>202107</v>
      </c>
      <c r="E5985" s="5" t="s">
        <v>7</v>
      </c>
      <c r="F5985" s="5" t="s">
        <v>13</v>
      </c>
      <c r="G5985" s="5" t="s">
        <v>53</v>
      </c>
      <c r="H5985">
        <v>18</v>
      </c>
      <c r="I5985" s="4">
        <v>31302</v>
      </c>
      <c r="J5985" s="4">
        <v>16632</v>
      </c>
    </row>
    <row r="5986" spans="2:10" x14ac:dyDescent="0.3">
      <c r="B5986" s="7">
        <v>44409</v>
      </c>
      <c r="C5986" s="3">
        <f t="shared" si="186"/>
        <v>2021</v>
      </c>
      <c r="D5986" s="3">
        <f t="shared" si="187"/>
        <v>202108</v>
      </c>
      <c r="E5986" s="5" t="s">
        <v>7</v>
      </c>
      <c r="F5986" s="5" t="s">
        <v>13</v>
      </c>
      <c r="G5986" s="5" t="s">
        <v>53</v>
      </c>
      <c r="H5986">
        <v>15</v>
      </c>
      <c r="I5986" s="4">
        <v>48465</v>
      </c>
      <c r="J5986" s="4">
        <v>13860</v>
      </c>
    </row>
    <row r="5987" spans="2:10" x14ac:dyDescent="0.3">
      <c r="B5987" s="7">
        <v>44440</v>
      </c>
      <c r="C5987" s="3">
        <f t="shared" si="186"/>
        <v>2021</v>
      </c>
      <c r="D5987" s="3">
        <f t="shared" si="187"/>
        <v>202109</v>
      </c>
      <c r="E5987" s="5" t="s">
        <v>7</v>
      </c>
      <c r="F5987" s="5" t="s">
        <v>13</v>
      </c>
      <c r="G5987" s="5" t="s">
        <v>53</v>
      </c>
      <c r="H5987">
        <v>16</v>
      </c>
      <c r="I5987" s="4">
        <v>42944</v>
      </c>
      <c r="J5987" s="4">
        <v>14784</v>
      </c>
    </row>
    <row r="5988" spans="2:10" x14ac:dyDescent="0.3">
      <c r="B5988" s="7">
        <v>44470</v>
      </c>
      <c r="C5988" s="3">
        <f t="shared" si="186"/>
        <v>2021</v>
      </c>
      <c r="D5988" s="3">
        <f t="shared" si="187"/>
        <v>202110</v>
      </c>
      <c r="E5988" s="5" t="s">
        <v>7</v>
      </c>
      <c r="F5988" s="5" t="s">
        <v>13</v>
      </c>
      <c r="G5988" s="5" t="s">
        <v>53</v>
      </c>
      <c r="H5988">
        <v>13</v>
      </c>
      <c r="I5988" s="4">
        <v>52663</v>
      </c>
      <c r="J5988" s="4">
        <v>12012</v>
      </c>
    </row>
    <row r="5989" spans="2:10" x14ac:dyDescent="0.3">
      <c r="B5989" s="7">
        <v>44501</v>
      </c>
      <c r="C5989" s="3">
        <f t="shared" si="186"/>
        <v>2021</v>
      </c>
      <c r="D5989" s="3">
        <f t="shared" si="187"/>
        <v>202111</v>
      </c>
      <c r="E5989" s="5" t="s">
        <v>7</v>
      </c>
      <c r="F5989" s="5" t="s">
        <v>13</v>
      </c>
      <c r="G5989" s="5" t="s">
        <v>53</v>
      </c>
      <c r="H5989">
        <v>10</v>
      </c>
      <c r="I5989" s="4">
        <v>33040</v>
      </c>
      <c r="J5989" s="4">
        <v>9240</v>
      </c>
    </row>
    <row r="5990" spans="2:10" x14ac:dyDescent="0.3">
      <c r="B5990" s="7">
        <v>44531</v>
      </c>
      <c r="C5990" s="3">
        <f t="shared" si="186"/>
        <v>2021</v>
      </c>
      <c r="D5990" s="3">
        <f t="shared" si="187"/>
        <v>202112</v>
      </c>
      <c r="E5990" s="5" t="s">
        <v>7</v>
      </c>
      <c r="F5990" s="5" t="s">
        <v>13</v>
      </c>
      <c r="G5990" s="5" t="s">
        <v>53</v>
      </c>
      <c r="H5990">
        <v>12</v>
      </c>
      <c r="I5990" s="4">
        <v>42108</v>
      </c>
      <c r="J5990" s="4">
        <v>11088</v>
      </c>
    </row>
    <row r="5991" spans="2:10" x14ac:dyDescent="0.3">
      <c r="B5991" s="7">
        <v>44562</v>
      </c>
      <c r="C5991" s="3">
        <f t="shared" si="186"/>
        <v>2022</v>
      </c>
      <c r="D5991" s="3">
        <f t="shared" si="187"/>
        <v>202201</v>
      </c>
      <c r="E5991" s="5" t="s">
        <v>7</v>
      </c>
      <c r="F5991" s="5" t="s">
        <v>13</v>
      </c>
      <c r="G5991" s="5" t="s">
        <v>53</v>
      </c>
      <c r="H5991">
        <v>17</v>
      </c>
      <c r="I5991" s="4">
        <v>56015</v>
      </c>
      <c r="J5991" s="4">
        <v>15708</v>
      </c>
    </row>
    <row r="5992" spans="2:10" x14ac:dyDescent="0.3">
      <c r="B5992" s="7">
        <v>44593</v>
      </c>
      <c r="C5992" s="3">
        <f t="shared" si="186"/>
        <v>2022</v>
      </c>
      <c r="D5992" s="3">
        <f t="shared" si="187"/>
        <v>202202</v>
      </c>
      <c r="E5992" s="5" t="s">
        <v>7</v>
      </c>
      <c r="F5992" s="5" t="s">
        <v>13</v>
      </c>
      <c r="G5992" s="5" t="s">
        <v>53</v>
      </c>
      <c r="H5992">
        <v>11</v>
      </c>
      <c r="I5992" s="4">
        <v>40392</v>
      </c>
      <c r="J5992" s="4">
        <v>10164</v>
      </c>
    </row>
    <row r="5993" spans="2:10" x14ac:dyDescent="0.3">
      <c r="B5993" s="7">
        <v>44621</v>
      </c>
      <c r="C5993" s="3">
        <f t="shared" si="186"/>
        <v>2022</v>
      </c>
      <c r="D5993" s="3">
        <f t="shared" si="187"/>
        <v>202203</v>
      </c>
      <c r="E5993" s="5" t="s">
        <v>7</v>
      </c>
      <c r="F5993" s="5" t="s">
        <v>13</v>
      </c>
      <c r="G5993" s="5" t="s">
        <v>53</v>
      </c>
      <c r="H5993">
        <v>9</v>
      </c>
      <c r="I5993" s="4">
        <v>26964</v>
      </c>
      <c r="J5993" s="4">
        <v>8316</v>
      </c>
    </row>
    <row r="5994" spans="2:10" x14ac:dyDescent="0.3">
      <c r="B5994" s="7">
        <v>44652</v>
      </c>
      <c r="C5994" s="3">
        <f t="shared" si="186"/>
        <v>2022</v>
      </c>
      <c r="D5994" s="3">
        <f t="shared" si="187"/>
        <v>202204</v>
      </c>
      <c r="E5994" s="5" t="s">
        <v>7</v>
      </c>
      <c r="F5994" s="5" t="s">
        <v>13</v>
      </c>
      <c r="G5994" s="5" t="s">
        <v>53</v>
      </c>
      <c r="H5994">
        <v>16</v>
      </c>
      <c r="I5994" s="4">
        <v>54432</v>
      </c>
      <c r="J5994" s="4">
        <v>14784</v>
      </c>
    </row>
    <row r="5995" spans="2:10" x14ac:dyDescent="0.3">
      <c r="B5995" s="7">
        <v>44682</v>
      </c>
      <c r="C5995" s="3">
        <f t="shared" si="186"/>
        <v>2022</v>
      </c>
      <c r="D5995" s="3">
        <f t="shared" si="187"/>
        <v>202205</v>
      </c>
      <c r="E5995" s="5" t="s">
        <v>7</v>
      </c>
      <c r="F5995" s="5" t="s">
        <v>13</v>
      </c>
      <c r="G5995" s="5" t="s">
        <v>53</v>
      </c>
      <c r="H5995">
        <v>20</v>
      </c>
      <c r="I5995" s="4">
        <v>78800</v>
      </c>
      <c r="J5995" s="4">
        <v>18480</v>
      </c>
    </row>
    <row r="5996" spans="2:10" x14ac:dyDescent="0.3">
      <c r="B5996" s="7">
        <v>44713</v>
      </c>
      <c r="C5996" s="3">
        <f t="shared" si="186"/>
        <v>2022</v>
      </c>
      <c r="D5996" s="3">
        <f t="shared" si="187"/>
        <v>202206</v>
      </c>
      <c r="E5996" s="5" t="s">
        <v>7</v>
      </c>
      <c r="F5996" s="5" t="s">
        <v>13</v>
      </c>
      <c r="G5996" s="5" t="s">
        <v>53</v>
      </c>
      <c r="H5996">
        <v>19</v>
      </c>
      <c r="I5996" s="4">
        <v>72637</v>
      </c>
      <c r="J5996" s="4">
        <v>17556</v>
      </c>
    </row>
    <row r="5997" spans="2:10" x14ac:dyDescent="0.3">
      <c r="B5997" s="7">
        <v>44743</v>
      </c>
      <c r="C5997" s="3">
        <f t="shared" si="186"/>
        <v>2022</v>
      </c>
      <c r="D5997" s="3">
        <f t="shared" si="187"/>
        <v>202207</v>
      </c>
      <c r="E5997" s="5" t="s">
        <v>7</v>
      </c>
      <c r="F5997" s="5" t="s">
        <v>13</v>
      </c>
      <c r="G5997" s="5" t="s">
        <v>53</v>
      </c>
      <c r="H5997">
        <v>20</v>
      </c>
      <c r="I5997" s="4">
        <v>31360</v>
      </c>
      <c r="J5997" s="4">
        <v>18480</v>
      </c>
    </row>
    <row r="5998" spans="2:10" x14ac:dyDescent="0.3">
      <c r="B5998" s="7">
        <v>44774</v>
      </c>
      <c r="C5998" s="3">
        <f t="shared" si="186"/>
        <v>2022</v>
      </c>
      <c r="D5998" s="3">
        <f t="shared" si="187"/>
        <v>202208</v>
      </c>
      <c r="E5998" s="5" t="s">
        <v>7</v>
      </c>
      <c r="F5998" s="5" t="s">
        <v>13</v>
      </c>
      <c r="G5998" s="5" t="s">
        <v>53</v>
      </c>
      <c r="H5998">
        <v>17</v>
      </c>
      <c r="I5998" s="4">
        <v>48144</v>
      </c>
      <c r="J5998" s="4">
        <v>15708</v>
      </c>
    </row>
    <row r="5999" spans="2:10" x14ac:dyDescent="0.3">
      <c r="B5999" s="7">
        <v>44805</v>
      </c>
      <c r="C5999" s="3">
        <f t="shared" si="186"/>
        <v>2022</v>
      </c>
      <c r="D5999" s="3">
        <f t="shared" si="187"/>
        <v>202209</v>
      </c>
      <c r="E5999" s="5" t="s">
        <v>7</v>
      </c>
      <c r="F5999" s="5" t="s">
        <v>13</v>
      </c>
      <c r="G5999" s="5" t="s">
        <v>53</v>
      </c>
      <c r="H5999">
        <v>18</v>
      </c>
      <c r="I5999" s="4">
        <v>54378</v>
      </c>
      <c r="J5999" s="4">
        <v>16632</v>
      </c>
    </row>
    <row r="6000" spans="2:10" x14ac:dyDescent="0.3">
      <c r="B6000" s="7">
        <v>44835</v>
      </c>
      <c r="C6000" s="3">
        <f t="shared" si="186"/>
        <v>2022</v>
      </c>
      <c r="D6000" s="3">
        <f t="shared" si="187"/>
        <v>202210</v>
      </c>
      <c r="E6000" s="5" t="s">
        <v>7</v>
      </c>
      <c r="F6000" s="5" t="s">
        <v>13</v>
      </c>
      <c r="G6000" s="5" t="s">
        <v>53</v>
      </c>
      <c r="H6000">
        <v>15</v>
      </c>
      <c r="I6000" s="4">
        <v>51900</v>
      </c>
      <c r="J6000" s="4">
        <v>13860</v>
      </c>
    </row>
    <row r="6001" spans="2:10" x14ac:dyDescent="0.3">
      <c r="B6001" s="7">
        <v>44866</v>
      </c>
      <c r="C6001" s="3">
        <f t="shared" si="186"/>
        <v>2022</v>
      </c>
      <c r="D6001" s="3">
        <f t="shared" si="187"/>
        <v>202211</v>
      </c>
      <c r="E6001" s="5" t="s">
        <v>7</v>
      </c>
      <c r="F6001" s="5" t="s">
        <v>13</v>
      </c>
      <c r="G6001" s="5" t="s">
        <v>53</v>
      </c>
      <c r="H6001">
        <v>11</v>
      </c>
      <c r="I6001" s="4">
        <v>38434</v>
      </c>
      <c r="J6001" s="4">
        <v>10164</v>
      </c>
    </row>
    <row r="6002" spans="2:10" x14ac:dyDescent="0.3">
      <c r="B6002" s="7">
        <v>44896</v>
      </c>
      <c r="C6002" s="3">
        <f t="shared" si="186"/>
        <v>2022</v>
      </c>
      <c r="D6002" s="3">
        <f t="shared" si="187"/>
        <v>202212</v>
      </c>
      <c r="E6002" s="5" t="s">
        <v>7</v>
      </c>
      <c r="F6002" s="5" t="s">
        <v>13</v>
      </c>
      <c r="G6002" s="5" t="s">
        <v>53</v>
      </c>
      <c r="H6002">
        <v>13</v>
      </c>
      <c r="I6002" s="4">
        <v>30186</v>
      </c>
      <c r="J6002" s="4">
        <v>12012</v>
      </c>
    </row>
    <row r="6003" spans="2:10" x14ac:dyDescent="0.3">
      <c r="B6003" s="7">
        <v>44197</v>
      </c>
      <c r="C6003" s="3">
        <f t="shared" si="186"/>
        <v>2021</v>
      </c>
      <c r="D6003" s="3">
        <f t="shared" si="187"/>
        <v>202101</v>
      </c>
      <c r="E6003" s="5" t="s">
        <v>7</v>
      </c>
      <c r="F6003" s="5" t="s">
        <v>13</v>
      </c>
      <c r="G6003" s="5" t="s">
        <v>54</v>
      </c>
      <c r="H6003">
        <v>12</v>
      </c>
      <c r="I6003" s="4">
        <v>43956</v>
      </c>
      <c r="J6003" s="4">
        <v>13104</v>
      </c>
    </row>
    <row r="6004" spans="2:10" x14ac:dyDescent="0.3">
      <c r="B6004" s="7">
        <v>44228</v>
      </c>
      <c r="C6004" s="3">
        <f t="shared" si="186"/>
        <v>2021</v>
      </c>
      <c r="D6004" s="3">
        <f t="shared" si="187"/>
        <v>202102</v>
      </c>
      <c r="E6004" s="5" t="s">
        <v>7</v>
      </c>
      <c r="F6004" s="5" t="s">
        <v>13</v>
      </c>
      <c r="G6004" s="5" t="s">
        <v>54</v>
      </c>
      <c r="H6004">
        <v>8</v>
      </c>
      <c r="I6004" s="4">
        <v>30784</v>
      </c>
      <c r="J6004" s="4">
        <v>8736</v>
      </c>
    </row>
    <row r="6005" spans="2:10" x14ac:dyDescent="0.3">
      <c r="B6005" s="7">
        <v>44256</v>
      </c>
      <c r="C6005" s="3">
        <f t="shared" si="186"/>
        <v>2021</v>
      </c>
      <c r="D6005" s="3">
        <f t="shared" si="187"/>
        <v>202103</v>
      </c>
      <c r="E6005" s="5" t="s">
        <v>7</v>
      </c>
      <c r="F6005" s="5" t="s">
        <v>13</v>
      </c>
      <c r="G6005" s="5" t="s">
        <v>54</v>
      </c>
      <c r="H6005">
        <v>6</v>
      </c>
      <c r="I6005" s="4">
        <v>17610</v>
      </c>
      <c r="J6005" s="4">
        <v>6552</v>
      </c>
    </row>
    <row r="6006" spans="2:10" x14ac:dyDescent="0.3">
      <c r="B6006" s="7">
        <v>44287</v>
      </c>
      <c r="C6006" s="3">
        <f t="shared" si="186"/>
        <v>2021</v>
      </c>
      <c r="D6006" s="3">
        <f t="shared" si="187"/>
        <v>202104</v>
      </c>
      <c r="E6006" s="5" t="s">
        <v>7</v>
      </c>
      <c r="F6006" s="5" t="s">
        <v>13</v>
      </c>
      <c r="G6006" s="5" t="s">
        <v>54</v>
      </c>
      <c r="H6006">
        <v>12</v>
      </c>
      <c r="I6006" s="4">
        <v>52536</v>
      </c>
      <c r="J6006" s="4">
        <v>13104</v>
      </c>
    </row>
    <row r="6007" spans="2:10" x14ac:dyDescent="0.3">
      <c r="B6007" s="7">
        <v>44317</v>
      </c>
      <c r="C6007" s="3">
        <f t="shared" si="186"/>
        <v>2021</v>
      </c>
      <c r="D6007" s="3">
        <f t="shared" si="187"/>
        <v>202105</v>
      </c>
      <c r="E6007" s="5" t="s">
        <v>7</v>
      </c>
      <c r="F6007" s="5" t="s">
        <v>13</v>
      </c>
      <c r="G6007" s="5" t="s">
        <v>54</v>
      </c>
      <c r="H6007">
        <v>14</v>
      </c>
      <c r="I6007" s="4">
        <v>60158</v>
      </c>
      <c r="J6007" s="4">
        <v>15288</v>
      </c>
    </row>
    <row r="6008" spans="2:10" x14ac:dyDescent="0.3">
      <c r="B6008" s="7">
        <v>44348</v>
      </c>
      <c r="C6008" s="3">
        <f t="shared" si="186"/>
        <v>2021</v>
      </c>
      <c r="D6008" s="3">
        <f t="shared" si="187"/>
        <v>202106</v>
      </c>
      <c r="E6008" s="5" t="s">
        <v>7</v>
      </c>
      <c r="F6008" s="5" t="s">
        <v>13</v>
      </c>
      <c r="G6008" s="5" t="s">
        <v>54</v>
      </c>
      <c r="H6008">
        <v>14</v>
      </c>
      <c r="I6008" s="4">
        <v>55118</v>
      </c>
      <c r="J6008" s="4">
        <v>15288</v>
      </c>
    </row>
    <row r="6009" spans="2:10" x14ac:dyDescent="0.3">
      <c r="B6009" s="7">
        <v>44378</v>
      </c>
      <c r="C6009" s="3">
        <f t="shared" si="186"/>
        <v>2021</v>
      </c>
      <c r="D6009" s="3">
        <f t="shared" si="187"/>
        <v>202107</v>
      </c>
      <c r="E6009" s="5" t="s">
        <v>7</v>
      </c>
      <c r="F6009" s="5" t="s">
        <v>13</v>
      </c>
      <c r="G6009" s="5" t="s">
        <v>54</v>
      </c>
      <c r="H6009">
        <v>14</v>
      </c>
      <c r="I6009" s="4">
        <v>34622</v>
      </c>
      <c r="J6009" s="4">
        <v>15288</v>
      </c>
    </row>
    <row r="6010" spans="2:10" x14ac:dyDescent="0.3">
      <c r="B6010" s="7">
        <v>44409</v>
      </c>
      <c r="C6010" s="3">
        <f t="shared" si="186"/>
        <v>2021</v>
      </c>
      <c r="D6010" s="3">
        <f t="shared" si="187"/>
        <v>202108</v>
      </c>
      <c r="E6010" s="5" t="s">
        <v>7</v>
      </c>
      <c r="F6010" s="5" t="s">
        <v>13</v>
      </c>
      <c r="G6010" s="5" t="s">
        <v>54</v>
      </c>
      <c r="H6010">
        <v>12</v>
      </c>
      <c r="I6010" s="4">
        <v>37812</v>
      </c>
      <c r="J6010" s="4">
        <v>13104</v>
      </c>
    </row>
    <row r="6011" spans="2:10" x14ac:dyDescent="0.3">
      <c r="B6011" s="7">
        <v>44440</v>
      </c>
      <c r="C6011" s="3">
        <f t="shared" si="186"/>
        <v>2021</v>
      </c>
      <c r="D6011" s="3">
        <f t="shared" si="187"/>
        <v>202109</v>
      </c>
      <c r="E6011" s="5" t="s">
        <v>7</v>
      </c>
      <c r="F6011" s="5" t="s">
        <v>13</v>
      </c>
      <c r="G6011" s="5" t="s">
        <v>54</v>
      </c>
      <c r="H6011">
        <v>13</v>
      </c>
      <c r="I6011" s="4">
        <v>44148</v>
      </c>
      <c r="J6011" s="4">
        <v>14196</v>
      </c>
    </row>
    <row r="6012" spans="2:10" x14ac:dyDescent="0.3">
      <c r="B6012" s="7">
        <v>44470</v>
      </c>
      <c r="C6012" s="3">
        <f t="shared" si="186"/>
        <v>2021</v>
      </c>
      <c r="D6012" s="3">
        <f t="shared" si="187"/>
        <v>202110</v>
      </c>
      <c r="E6012" s="5" t="s">
        <v>7</v>
      </c>
      <c r="F6012" s="5" t="s">
        <v>13</v>
      </c>
      <c r="G6012" s="5" t="s">
        <v>54</v>
      </c>
      <c r="H6012">
        <v>11</v>
      </c>
      <c r="I6012" s="4">
        <v>42526</v>
      </c>
      <c r="J6012" s="4">
        <v>12012</v>
      </c>
    </row>
    <row r="6013" spans="2:10" x14ac:dyDescent="0.3">
      <c r="B6013" s="7">
        <v>44501</v>
      </c>
      <c r="C6013" s="3">
        <f t="shared" si="186"/>
        <v>2021</v>
      </c>
      <c r="D6013" s="3">
        <f t="shared" si="187"/>
        <v>202111</v>
      </c>
      <c r="E6013" s="5" t="s">
        <v>7</v>
      </c>
      <c r="F6013" s="5" t="s">
        <v>13</v>
      </c>
      <c r="G6013" s="5" t="s">
        <v>54</v>
      </c>
      <c r="H6013">
        <v>8</v>
      </c>
      <c r="I6013" s="4">
        <v>33232</v>
      </c>
      <c r="J6013" s="4">
        <v>8736</v>
      </c>
    </row>
    <row r="6014" spans="2:10" x14ac:dyDescent="0.3">
      <c r="B6014" s="7">
        <v>44531</v>
      </c>
      <c r="C6014" s="3">
        <f t="shared" si="186"/>
        <v>2021</v>
      </c>
      <c r="D6014" s="3">
        <f t="shared" si="187"/>
        <v>202112</v>
      </c>
      <c r="E6014" s="5" t="s">
        <v>7</v>
      </c>
      <c r="F6014" s="5" t="s">
        <v>13</v>
      </c>
      <c r="G6014" s="5" t="s">
        <v>54</v>
      </c>
      <c r="H6014">
        <v>9</v>
      </c>
      <c r="I6014" s="4">
        <v>28800</v>
      </c>
      <c r="J6014" s="4">
        <v>9828</v>
      </c>
    </row>
    <row r="6015" spans="2:10" x14ac:dyDescent="0.3">
      <c r="B6015" s="7">
        <v>44562</v>
      </c>
      <c r="C6015" s="3">
        <f t="shared" si="186"/>
        <v>2022</v>
      </c>
      <c r="D6015" s="3">
        <f t="shared" si="187"/>
        <v>202201</v>
      </c>
      <c r="E6015" s="5" t="s">
        <v>7</v>
      </c>
      <c r="F6015" s="5" t="s">
        <v>13</v>
      </c>
      <c r="G6015" s="5" t="s">
        <v>54</v>
      </c>
      <c r="H6015">
        <v>13</v>
      </c>
      <c r="I6015" s="4">
        <v>41717</v>
      </c>
      <c r="J6015" s="4">
        <v>14196</v>
      </c>
    </row>
    <row r="6016" spans="2:10" x14ac:dyDescent="0.3">
      <c r="B6016" s="7">
        <v>44593</v>
      </c>
      <c r="C6016" s="3">
        <f t="shared" si="186"/>
        <v>2022</v>
      </c>
      <c r="D6016" s="3">
        <f t="shared" si="187"/>
        <v>202202</v>
      </c>
      <c r="E6016" s="5" t="s">
        <v>7</v>
      </c>
      <c r="F6016" s="5" t="s">
        <v>13</v>
      </c>
      <c r="G6016" s="5" t="s">
        <v>54</v>
      </c>
      <c r="H6016">
        <v>9</v>
      </c>
      <c r="I6016" s="4">
        <v>37701</v>
      </c>
      <c r="J6016" s="4">
        <v>9828</v>
      </c>
    </row>
    <row r="6017" spans="2:10" x14ac:dyDescent="0.3">
      <c r="B6017" s="7">
        <v>44621</v>
      </c>
      <c r="C6017" s="3">
        <f t="shared" si="186"/>
        <v>2022</v>
      </c>
      <c r="D6017" s="3">
        <f t="shared" si="187"/>
        <v>202203</v>
      </c>
      <c r="E6017" s="5" t="s">
        <v>7</v>
      </c>
      <c r="F6017" s="5" t="s">
        <v>13</v>
      </c>
      <c r="G6017" s="5" t="s">
        <v>54</v>
      </c>
      <c r="H6017">
        <v>7</v>
      </c>
      <c r="I6017" s="4">
        <v>27692</v>
      </c>
      <c r="J6017" s="4">
        <v>7644</v>
      </c>
    </row>
    <row r="6018" spans="2:10" x14ac:dyDescent="0.3">
      <c r="B6018" s="7">
        <v>44652</v>
      </c>
      <c r="C6018" s="3">
        <f t="shared" si="186"/>
        <v>2022</v>
      </c>
      <c r="D6018" s="3">
        <f t="shared" si="187"/>
        <v>202204</v>
      </c>
      <c r="E6018" s="5" t="s">
        <v>7</v>
      </c>
      <c r="F6018" s="5" t="s">
        <v>13</v>
      </c>
      <c r="G6018" s="5" t="s">
        <v>54</v>
      </c>
      <c r="H6018">
        <v>13</v>
      </c>
      <c r="I6018" s="4">
        <v>61256</v>
      </c>
      <c r="J6018" s="4">
        <v>14196</v>
      </c>
    </row>
    <row r="6019" spans="2:10" x14ac:dyDescent="0.3">
      <c r="B6019" s="7">
        <v>44682</v>
      </c>
      <c r="C6019" s="3">
        <f t="shared" ref="C6019:C6082" si="188">YEAR(B6019)</f>
        <v>2022</v>
      </c>
      <c r="D6019" s="3">
        <f t="shared" ref="D6019:D6082" si="189">VALUE(TEXT(B6019,"ГГГГММ"))</f>
        <v>202205</v>
      </c>
      <c r="E6019" s="5" t="s">
        <v>7</v>
      </c>
      <c r="F6019" s="5" t="s">
        <v>13</v>
      </c>
      <c r="G6019" s="5" t="s">
        <v>54</v>
      </c>
      <c r="H6019">
        <v>16</v>
      </c>
      <c r="I6019" s="4">
        <v>79024</v>
      </c>
      <c r="J6019" s="4">
        <v>17472</v>
      </c>
    </row>
    <row r="6020" spans="2:10" x14ac:dyDescent="0.3">
      <c r="B6020" s="7">
        <v>44713</v>
      </c>
      <c r="C6020" s="3">
        <f t="shared" si="188"/>
        <v>2022</v>
      </c>
      <c r="D6020" s="3">
        <f t="shared" si="189"/>
        <v>202206</v>
      </c>
      <c r="E6020" s="5" t="s">
        <v>7</v>
      </c>
      <c r="F6020" s="5" t="s">
        <v>13</v>
      </c>
      <c r="G6020" s="5" t="s">
        <v>54</v>
      </c>
      <c r="H6020">
        <v>15</v>
      </c>
      <c r="I6020" s="4">
        <v>57345</v>
      </c>
      <c r="J6020" s="4">
        <v>16380</v>
      </c>
    </row>
    <row r="6021" spans="2:10" x14ac:dyDescent="0.3">
      <c r="B6021" s="7">
        <v>44743</v>
      </c>
      <c r="C6021" s="3">
        <f t="shared" si="188"/>
        <v>2022</v>
      </c>
      <c r="D6021" s="3">
        <f t="shared" si="189"/>
        <v>202207</v>
      </c>
      <c r="E6021" s="5" t="s">
        <v>7</v>
      </c>
      <c r="F6021" s="5" t="s">
        <v>13</v>
      </c>
      <c r="G6021" s="5" t="s">
        <v>54</v>
      </c>
      <c r="H6021">
        <v>16</v>
      </c>
      <c r="I6021" s="4">
        <v>30336</v>
      </c>
      <c r="J6021" s="4">
        <v>17472</v>
      </c>
    </row>
    <row r="6022" spans="2:10" x14ac:dyDescent="0.3">
      <c r="B6022" s="7">
        <v>44774</v>
      </c>
      <c r="C6022" s="3">
        <f t="shared" si="188"/>
        <v>2022</v>
      </c>
      <c r="D6022" s="3">
        <f t="shared" si="189"/>
        <v>202208</v>
      </c>
      <c r="E6022" s="5" t="s">
        <v>7</v>
      </c>
      <c r="F6022" s="5" t="s">
        <v>13</v>
      </c>
      <c r="G6022" s="5" t="s">
        <v>54</v>
      </c>
      <c r="H6022">
        <v>13</v>
      </c>
      <c r="I6022" s="4">
        <v>38233</v>
      </c>
      <c r="J6022" s="4">
        <v>14196</v>
      </c>
    </row>
    <row r="6023" spans="2:10" x14ac:dyDescent="0.3">
      <c r="B6023" s="7">
        <v>44805</v>
      </c>
      <c r="C6023" s="3">
        <f t="shared" si="188"/>
        <v>2022</v>
      </c>
      <c r="D6023" s="3">
        <f t="shared" si="189"/>
        <v>202209</v>
      </c>
      <c r="E6023" s="5" t="s">
        <v>7</v>
      </c>
      <c r="F6023" s="5" t="s">
        <v>13</v>
      </c>
      <c r="G6023" s="5" t="s">
        <v>54</v>
      </c>
      <c r="H6023">
        <v>14</v>
      </c>
      <c r="I6023" s="4">
        <v>43876</v>
      </c>
      <c r="J6023" s="4">
        <v>15288</v>
      </c>
    </row>
    <row r="6024" spans="2:10" x14ac:dyDescent="0.3">
      <c r="B6024" s="7">
        <v>44835</v>
      </c>
      <c r="C6024" s="3">
        <f t="shared" si="188"/>
        <v>2022</v>
      </c>
      <c r="D6024" s="3">
        <f t="shared" si="189"/>
        <v>202210</v>
      </c>
      <c r="E6024" s="5" t="s">
        <v>7</v>
      </c>
      <c r="F6024" s="5" t="s">
        <v>13</v>
      </c>
      <c r="G6024" s="5" t="s">
        <v>54</v>
      </c>
      <c r="H6024">
        <v>12</v>
      </c>
      <c r="I6024" s="4">
        <v>43104</v>
      </c>
      <c r="J6024" s="4">
        <v>13104</v>
      </c>
    </row>
    <row r="6025" spans="2:10" x14ac:dyDescent="0.3">
      <c r="B6025" s="7">
        <v>44866</v>
      </c>
      <c r="C6025" s="3">
        <f t="shared" si="188"/>
        <v>2022</v>
      </c>
      <c r="D6025" s="3">
        <f t="shared" si="189"/>
        <v>202211</v>
      </c>
      <c r="E6025" s="5" t="s">
        <v>7</v>
      </c>
      <c r="F6025" s="5" t="s">
        <v>13</v>
      </c>
      <c r="G6025" s="5" t="s">
        <v>54</v>
      </c>
      <c r="H6025">
        <v>9</v>
      </c>
      <c r="I6025" s="4">
        <v>37107</v>
      </c>
      <c r="J6025" s="4">
        <v>9828</v>
      </c>
    </row>
    <row r="6026" spans="2:10" x14ac:dyDescent="0.3">
      <c r="B6026" s="7">
        <v>44896</v>
      </c>
      <c r="C6026" s="3">
        <f t="shared" si="188"/>
        <v>2022</v>
      </c>
      <c r="D6026" s="3">
        <f t="shared" si="189"/>
        <v>202212</v>
      </c>
      <c r="E6026" s="5" t="s">
        <v>7</v>
      </c>
      <c r="F6026" s="5" t="s">
        <v>13</v>
      </c>
      <c r="G6026" s="5" t="s">
        <v>54</v>
      </c>
      <c r="H6026">
        <v>10</v>
      </c>
      <c r="I6026" s="4">
        <v>33030</v>
      </c>
      <c r="J6026" s="4">
        <v>10920</v>
      </c>
    </row>
    <row r="6027" spans="2:10" x14ac:dyDescent="0.3">
      <c r="B6027" s="7">
        <v>44197</v>
      </c>
      <c r="C6027" s="3">
        <f t="shared" si="188"/>
        <v>2021</v>
      </c>
      <c r="D6027" s="3">
        <f t="shared" si="189"/>
        <v>202101</v>
      </c>
      <c r="E6027" s="5" t="s">
        <v>7</v>
      </c>
      <c r="F6027" s="5" t="s">
        <v>13</v>
      </c>
      <c r="G6027" s="5" t="s">
        <v>55</v>
      </c>
      <c r="H6027">
        <v>16</v>
      </c>
      <c r="I6027" s="4">
        <v>54496</v>
      </c>
      <c r="J6027" s="4">
        <v>13984</v>
      </c>
    </row>
    <row r="6028" spans="2:10" x14ac:dyDescent="0.3">
      <c r="B6028" s="7">
        <v>44228</v>
      </c>
      <c r="C6028" s="3">
        <f t="shared" si="188"/>
        <v>2021</v>
      </c>
      <c r="D6028" s="3">
        <f t="shared" si="189"/>
        <v>202102</v>
      </c>
      <c r="E6028" s="5" t="s">
        <v>7</v>
      </c>
      <c r="F6028" s="5" t="s">
        <v>13</v>
      </c>
      <c r="G6028" s="5" t="s">
        <v>55</v>
      </c>
      <c r="H6028">
        <v>10</v>
      </c>
      <c r="I6028" s="4">
        <v>28020</v>
      </c>
      <c r="J6028" s="4">
        <v>8740</v>
      </c>
    </row>
    <row r="6029" spans="2:10" x14ac:dyDescent="0.3">
      <c r="B6029" s="7">
        <v>44256</v>
      </c>
      <c r="C6029" s="3">
        <f t="shared" si="188"/>
        <v>2021</v>
      </c>
      <c r="D6029" s="3">
        <f t="shared" si="189"/>
        <v>202103</v>
      </c>
      <c r="E6029" s="5" t="s">
        <v>7</v>
      </c>
      <c r="F6029" s="5" t="s">
        <v>13</v>
      </c>
      <c r="G6029" s="5" t="s">
        <v>55</v>
      </c>
      <c r="H6029">
        <v>8</v>
      </c>
      <c r="I6029" s="4">
        <v>24056</v>
      </c>
      <c r="J6029" s="4">
        <v>6992</v>
      </c>
    </row>
    <row r="6030" spans="2:10" x14ac:dyDescent="0.3">
      <c r="B6030" s="7">
        <v>44287</v>
      </c>
      <c r="C6030" s="3">
        <f t="shared" si="188"/>
        <v>2021</v>
      </c>
      <c r="D6030" s="3">
        <f t="shared" si="189"/>
        <v>202104</v>
      </c>
      <c r="E6030" s="5" t="s">
        <v>7</v>
      </c>
      <c r="F6030" s="5" t="s">
        <v>13</v>
      </c>
      <c r="G6030" s="5" t="s">
        <v>55</v>
      </c>
      <c r="H6030">
        <v>15</v>
      </c>
      <c r="I6030" s="4">
        <v>53160</v>
      </c>
      <c r="J6030" s="4">
        <v>13110</v>
      </c>
    </row>
    <row r="6031" spans="2:10" x14ac:dyDescent="0.3">
      <c r="B6031" s="7">
        <v>44317</v>
      </c>
      <c r="C6031" s="3">
        <f t="shared" si="188"/>
        <v>2021</v>
      </c>
      <c r="D6031" s="3">
        <f t="shared" si="189"/>
        <v>202105</v>
      </c>
      <c r="E6031" s="5" t="s">
        <v>7</v>
      </c>
      <c r="F6031" s="5" t="s">
        <v>13</v>
      </c>
      <c r="G6031" s="5" t="s">
        <v>55</v>
      </c>
      <c r="H6031">
        <v>18</v>
      </c>
      <c r="I6031" s="4">
        <v>76032</v>
      </c>
      <c r="J6031" s="4">
        <v>15732</v>
      </c>
    </row>
    <row r="6032" spans="2:10" x14ac:dyDescent="0.3">
      <c r="B6032" s="7">
        <v>44348</v>
      </c>
      <c r="C6032" s="3">
        <f t="shared" si="188"/>
        <v>2021</v>
      </c>
      <c r="D6032" s="3">
        <f t="shared" si="189"/>
        <v>202106</v>
      </c>
      <c r="E6032" s="5" t="s">
        <v>7</v>
      </c>
      <c r="F6032" s="5" t="s">
        <v>13</v>
      </c>
      <c r="G6032" s="5" t="s">
        <v>55</v>
      </c>
      <c r="H6032">
        <v>17</v>
      </c>
      <c r="I6032" s="4">
        <v>51068</v>
      </c>
      <c r="J6032" s="4">
        <v>14858</v>
      </c>
    </row>
    <row r="6033" spans="2:10" x14ac:dyDescent="0.3">
      <c r="B6033" s="7">
        <v>44378</v>
      </c>
      <c r="C6033" s="3">
        <f t="shared" si="188"/>
        <v>2021</v>
      </c>
      <c r="D6033" s="3">
        <f t="shared" si="189"/>
        <v>202107</v>
      </c>
      <c r="E6033" s="5" t="s">
        <v>7</v>
      </c>
      <c r="F6033" s="5" t="s">
        <v>13</v>
      </c>
      <c r="G6033" s="5" t="s">
        <v>55</v>
      </c>
      <c r="H6033">
        <v>18</v>
      </c>
      <c r="I6033" s="4">
        <v>30546</v>
      </c>
      <c r="J6033" s="4">
        <v>15732</v>
      </c>
    </row>
    <row r="6034" spans="2:10" x14ac:dyDescent="0.3">
      <c r="B6034" s="7">
        <v>44409</v>
      </c>
      <c r="C6034" s="3">
        <f t="shared" si="188"/>
        <v>2021</v>
      </c>
      <c r="D6034" s="3">
        <f t="shared" si="189"/>
        <v>202108</v>
      </c>
      <c r="E6034" s="5" t="s">
        <v>7</v>
      </c>
      <c r="F6034" s="5" t="s">
        <v>13</v>
      </c>
      <c r="G6034" s="5" t="s">
        <v>55</v>
      </c>
      <c r="H6034">
        <v>16</v>
      </c>
      <c r="I6034" s="4">
        <v>30928</v>
      </c>
      <c r="J6034" s="4">
        <v>13984</v>
      </c>
    </row>
    <row r="6035" spans="2:10" x14ac:dyDescent="0.3">
      <c r="B6035" s="7">
        <v>44440</v>
      </c>
      <c r="C6035" s="3">
        <f t="shared" si="188"/>
        <v>2021</v>
      </c>
      <c r="D6035" s="3">
        <f t="shared" si="189"/>
        <v>202109</v>
      </c>
      <c r="E6035" s="5" t="s">
        <v>7</v>
      </c>
      <c r="F6035" s="5" t="s">
        <v>13</v>
      </c>
      <c r="G6035" s="5" t="s">
        <v>55</v>
      </c>
      <c r="H6035">
        <v>17</v>
      </c>
      <c r="I6035" s="4">
        <v>48433</v>
      </c>
      <c r="J6035" s="4">
        <v>14858</v>
      </c>
    </row>
    <row r="6036" spans="2:10" x14ac:dyDescent="0.3">
      <c r="B6036" s="7">
        <v>44470</v>
      </c>
      <c r="C6036" s="3">
        <f t="shared" si="188"/>
        <v>2021</v>
      </c>
      <c r="D6036" s="3">
        <f t="shared" si="189"/>
        <v>202110</v>
      </c>
      <c r="E6036" s="5" t="s">
        <v>7</v>
      </c>
      <c r="F6036" s="5" t="s">
        <v>13</v>
      </c>
      <c r="G6036" s="5" t="s">
        <v>55</v>
      </c>
      <c r="H6036">
        <v>14</v>
      </c>
      <c r="I6036" s="4">
        <v>54264</v>
      </c>
      <c r="J6036" s="4">
        <v>12236</v>
      </c>
    </row>
    <row r="6037" spans="2:10" x14ac:dyDescent="0.3">
      <c r="B6037" s="7">
        <v>44501</v>
      </c>
      <c r="C6037" s="3">
        <f t="shared" si="188"/>
        <v>2021</v>
      </c>
      <c r="D6037" s="3">
        <f t="shared" si="189"/>
        <v>202111</v>
      </c>
      <c r="E6037" s="5" t="s">
        <v>7</v>
      </c>
      <c r="F6037" s="5" t="s">
        <v>13</v>
      </c>
      <c r="G6037" s="5" t="s">
        <v>55</v>
      </c>
      <c r="H6037">
        <v>10</v>
      </c>
      <c r="I6037" s="4">
        <v>28670</v>
      </c>
      <c r="J6037" s="4">
        <v>8740</v>
      </c>
    </row>
    <row r="6038" spans="2:10" x14ac:dyDescent="0.3">
      <c r="B6038" s="7">
        <v>44531</v>
      </c>
      <c r="C6038" s="3">
        <f t="shared" si="188"/>
        <v>2021</v>
      </c>
      <c r="D6038" s="3">
        <f t="shared" si="189"/>
        <v>202112</v>
      </c>
      <c r="E6038" s="5" t="s">
        <v>7</v>
      </c>
      <c r="F6038" s="5" t="s">
        <v>13</v>
      </c>
      <c r="G6038" s="5" t="s">
        <v>55</v>
      </c>
      <c r="H6038">
        <v>12</v>
      </c>
      <c r="I6038" s="4">
        <v>34080</v>
      </c>
      <c r="J6038" s="4">
        <v>10488</v>
      </c>
    </row>
    <row r="6039" spans="2:10" x14ac:dyDescent="0.3">
      <c r="B6039" s="7">
        <v>44562</v>
      </c>
      <c r="C6039" s="3">
        <f t="shared" si="188"/>
        <v>2022</v>
      </c>
      <c r="D6039" s="3">
        <f t="shared" si="189"/>
        <v>202201</v>
      </c>
      <c r="E6039" s="5" t="s">
        <v>7</v>
      </c>
      <c r="F6039" s="5" t="s">
        <v>13</v>
      </c>
      <c r="G6039" s="5" t="s">
        <v>55</v>
      </c>
      <c r="H6039">
        <v>17</v>
      </c>
      <c r="I6039" s="4">
        <v>45917</v>
      </c>
      <c r="J6039" s="4">
        <v>14858</v>
      </c>
    </row>
    <row r="6040" spans="2:10" x14ac:dyDescent="0.3">
      <c r="B6040" s="7">
        <v>44593</v>
      </c>
      <c r="C6040" s="3">
        <f t="shared" si="188"/>
        <v>2022</v>
      </c>
      <c r="D6040" s="3">
        <f t="shared" si="189"/>
        <v>202202</v>
      </c>
      <c r="E6040" s="5" t="s">
        <v>7</v>
      </c>
      <c r="F6040" s="5" t="s">
        <v>13</v>
      </c>
      <c r="G6040" s="5" t="s">
        <v>55</v>
      </c>
      <c r="H6040">
        <v>11</v>
      </c>
      <c r="I6040" s="4">
        <v>35783</v>
      </c>
      <c r="J6040" s="4">
        <v>9614</v>
      </c>
    </row>
    <row r="6041" spans="2:10" x14ac:dyDescent="0.3">
      <c r="B6041" s="7">
        <v>44621</v>
      </c>
      <c r="C6041" s="3">
        <f t="shared" si="188"/>
        <v>2022</v>
      </c>
      <c r="D6041" s="3">
        <f t="shared" si="189"/>
        <v>202203</v>
      </c>
      <c r="E6041" s="5" t="s">
        <v>7</v>
      </c>
      <c r="F6041" s="5" t="s">
        <v>13</v>
      </c>
      <c r="G6041" s="5" t="s">
        <v>55</v>
      </c>
      <c r="H6041">
        <v>9</v>
      </c>
      <c r="I6041" s="4">
        <v>23229</v>
      </c>
      <c r="J6041" s="4">
        <v>7866</v>
      </c>
    </row>
    <row r="6042" spans="2:10" x14ac:dyDescent="0.3">
      <c r="B6042" s="7">
        <v>44652</v>
      </c>
      <c r="C6042" s="3">
        <f t="shared" si="188"/>
        <v>2022</v>
      </c>
      <c r="D6042" s="3">
        <f t="shared" si="189"/>
        <v>202204</v>
      </c>
      <c r="E6042" s="5" t="s">
        <v>7</v>
      </c>
      <c r="F6042" s="5" t="s">
        <v>13</v>
      </c>
      <c r="G6042" s="5" t="s">
        <v>55</v>
      </c>
      <c r="H6042">
        <v>16</v>
      </c>
      <c r="I6042" s="4">
        <v>51696</v>
      </c>
      <c r="J6042" s="4">
        <v>13984</v>
      </c>
    </row>
    <row r="6043" spans="2:10" x14ac:dyDescent="0.3">
      <c r="B6043" s="7">
        <v>44682</v>
      </c>
      <c r="C6043" s="3">
        <f t="shared" si="188"/>
        <v>2022</v>
      </c>
      <c r="D6043" s="3">
        <f t="shared" si="189"/>
        <v>202205</v>
      </c>
      <c r="E6043" s="5" t="s">
        <v>7</v>
      </c>
      <c r="F6043" s="5" t="s">
        <v>13</v>
      </c>
      <c r="G6043" s="5" t="s">
        <v>55</v>
      </c>
      <c r="H6043">
        <v>20</v>
      </c>
      <c r="I6043" s="4">
        <v>71780</v>
      </c>
      <c r="J6043" s="4">
        <v>17480</v>
      </c>
    </row>
    <row r="6044" spans="2:10" x14ac:dyDescent="0.3">
      <c r="B6044" s="7">
        <v>44713</v>
      </c>
      <c r="C6044" s="3">
        <f t="shared" si="188"/>
        <v>2022</v>
      </c>
      <c r="D6044" s="3">
        <f t="shared" si="189"/>
        <v>202206</v>
      </c>
      <c r="E6044" s="5" t="s">
        <v>7</v>
      </c>
      <c r="F6044" s="5" t="s">
        <v>13</v>
      </c>
      <c r="G6044" s="5" t="s">
        <v>55</v>
      </c>
      <c r="H6044">
        <v>19</v>
      </c>
      <c r="I6044" s="4">
        <v>62320</v>
      </c>
      <c r="J6044" s="4">
        <v>16606</v>
      </c>
    </row>
    <row r="6045" spans="2:10" x14ac:dyDescent="0.3">
      <c r="B6045" s="7">
        <v>44743</v>
      </c>
      <c r="C6045" s="3">
        <f t="shared" si="188"/>
        <v>2022</v>
      </c>
      <c r="D6045" s="3">
        <f t="shared" si="189"/>
        <v>202207</v>
      </c>
      <c r="E6045" s="5" t="s">
        <v>7</v>
      </c>
      <c r="F6045" s="5" t="s">
        <v>13</v>
      </c>
      <c r="G6045" s="5" t="s">
        <v>55</v>
      </c>
      <c r="H6045">
        <v>20</v>
      </c>
      <c r="I6045" s="4">
        <v>30600</v>
      </c>
      <c r="J6045" s="4">
        <v>17480</v>
      </c>
    </row>
    <row r="6046" spans="2:10" x14ac:dyDescent="0.3">
      <c r="B6046" s="7">
        <v>44774</v>
      </c>
      <c r="C6046" s="3">
        <f t="shared" si="188"/>
        <v>2022</v>
      </c>
      <c r="D6046" s="3">
        <f t="shared" si="189"/>
        <v>202208</v>
      </c>
      <c r="E6046" s="5" t="s">
        <v>7</v>
      </c>
      <c r="F6046" s="5" t="s">
        <v>13</v>
      </c>
      <c r="G6046" s="5" t="s">
        <v>55</v>
      </c>
      <c r="H6046">
        <v>17</v>
      </c>
      <c r="I6046" s="4">
        <v>39559</v>
      </c>
      <c r="J6046" s="4">
        <v>14858</v>
      </c>
    </row>
    <row r="6047" spans="2:10" x14ac:dyDescent="0.3">
      <c r="B6047" s="7">
        <v>44805</v>
      </c>
      <c r="C6047" s="3">
        <f t="shared" si="188"/>
        <v>2022</v>
      </c>
      <c r="D6047" s="3">
        <f t="shared" si="189"/>
        <v>202209</v>
      </c>
      <c r="E6047" s="5" t="s">
        <v>7</v>
      </c>
      <c r="F6047" s="5" t="s">
        <v>13</v>
      </c>
      <c r="G6047" s="5" t="s">
        <v>55</v>
      </c>
      <c r="H6047">
        <v>18</v>
      </c>
      <c r="I6047" s="4">
        <v>49464</v>
      </c>
      <c r="J6047" s="4">
        <v>15732</v>
      </c>
    </row>
    <row r="6048" spans="2:10" x14ac:dyDescent="0.3">
      <c r="B6048" s="7">
        <v>44835</v>
      </c>
      <c r="C6048" s="3">
        <f t="shared" si="188"/>
        <v>2022</v>
      </c>
      <c r="D6048" s="3">
        <f t="shared" si="189"/>
        <v>202210</v>
      </c>
      <c r="E6048" s="5" t="s">
        <v>7</v>
      </c>
      <c r="F6048" s="5" t="s">
        <v>13</v>
      </c>
      <c r="G6048" s="5" t="s">
        <v>55</v>
      </c>
      <c r="H6048">
        <v>15</v>
      </c>
      <c r="I6048" s="4">
        <v>45420</v>
      </c>
      <c r="J6048" s="4">
        <v>13110</v>
      </c>
    </row>
    <row r="6049" spans="2:10" x14ac:dyDescent="0.3">
      <c r="B6049" s="7">
        <v>44866</v>
      </c>
      <c r="C6049" s="3">
        <f t="shared" si="188"/>
        <v>2022</v>
      </c>
      <c r="D6049" s="3">
        <f t="shared" si="189"/>
        <v>202211</v>
      </c>
      <c r="E6049" s="5" t="s">
        <v>7</v>
      </c>
      <c r="F6049" s="5" t="s">
        <v>13</v>
      </c>
      <c r="G6049" s="5" t="s">
        <v>55</v>
      </c>
      <c r="H6049">
        <v>11</v>
      </c>
      <c r="I6049" s="4">
        <v>30910</v>
      </c>
      <c r="J6049" s="4">
        <v>9614</v>
      </c>
    </row>
    <row r="6050" spans="2:10" x14ac:dyDescent="0.3">
      <c r="B6050" s="7">
        <v>44896</v>
      </c>
      <c r="C6050" s="3">
        <f t="shared" si="188"/>
        <v>2022</v>
      </c>
      <c r="D6050" s="3">
        <f t="shared" si="189"/>
        <v>202212</v>
      </c>
      <c r="E6050" s="5" t="s">
        <v>7</v>
      </c>
      <c r="F6050" s="5" t="s">
        <v>13</v>
      </c>
      <c r="G6050" s="5" t="s">
        <v>55</v>
      </c>
      <c r="H6050">
        <v>13</v>
      </c>
      <c r="I6050" s="4">
        <v>37414</v>
      </c>
      <c r="J6050" s="4">
        <v>11362</v>
      </c>
    </row>
    <row r="6051" spans="2:10" x14ac:dyDescent="0.3">
      <c r="B6051" s="7">
        <v>44197</v>
      </c>
      <c r="C6051" s="3">
        <f t="shared" si="188"/>
        <v>2021</v>
      </c>
      <c r="D6051" s="3">
        <f t="shared" si="189"/>
        <v>202101</v>
      </c>
      <c r="E6051" s="5" t="s">
        <v>8</v>
      </c>
      <c r="F6051" s="5" t="s">
        <v>56</v>
      </c>
      <c r="G6051" s="5" t="s">
        <v>14</v>
      </c>
      <c r="H6051">
        <v>90</v>
      </c>
      <c r="I6051" s="4">
        <v>1006740</v>
      </c>
      <c r="J6051" s="4">
        <v>540000</v>
      </c>
    </row>
    <row r="6052" spans="2:10" x14ac:dyDescent="0.3">
      <c r="B6052" s="7">
        <v>44228</v>
      </c>
      <c r="C6052" s="3">
        <f t="shared" si="188"/>
        <v>2021</v>
      </c>
      <c r="D6052" s="3">
        <f t="shared" si="189"/>
        <v>202102</v>
      </c>
      <c r="E6052" s="5" t="s">
        <v>8</v>
      </c>
      <c r="F6052" s="5" t="s">
        <v>56</v>
      </c>
      <c r="G6052" s="5" t="s">
        <v>14</v>
      </c>
      <c r="H6052">
        <v>57</v>
      </c>
      <c r="I6052" s="4">
        <v>619932</v>
      </c>
      <c r="J6052" s="4">
        <v>342000</v>
      </c>
    </row>
    <row r="6053" spans="2:10" x14ac:dyDescent="0.3">
      <c r="B6053" s="7">
        <v>44256</v>
      </c>
      <c r="C6053" s="3">
        <f t="shared" si="188"/>
        <v>2021</v>
      </c>
      <c r="D6053" s="3">
        <f t="shared" si="189"/>
        <v>202103</v>
      </c>
      <c r="E6053" s="5" t="s">
        <v>8</v>
      </c>
      <c r="F6053" s="5" t="s">
        <v>56</v>
      </c>
      <c r="G6053" s="5" t="s">
        <v>14</v>
      </c>
      <c r="H6053">
        <v>45</v>
      </c>
      <c r="I6053" s="4">
        <v>465705</v>
      </c>
      <c r="J6053" s="4">
        <v>270000</v>
      </c>
    </row>
    <row r="6054" spans="2:10" x14ac:dyDescent="0.3">
      <c r="B6054" s="7">
        <v>44287</v>
      </c>
      <c r="C6054" s="3">
        <f t="shared" si="188"/>
        <v>2021</v>
      </c>
      <c r="D6054" s="3">
        <f t="shared" si="189"/>
        <v>202104</v>
      </c>
      <c r="E6054" s="5" t="s">
        <v>8</v>
      </c>
      <c r="F6054" s="5" t="s">
        <v>56</v>
      </c>
      <c r="G6054" s="5" t="s">
        <v>14</v>
      </c>
      <c r="H6054">
        <v>85</v>
      </c>
      <c r="I6054" s="4">
        <v>1004190</v>
      </c>
      <c r="J6054" s="4">
        <v>510000</v>
      </c>
    </row>
    <row r="6055" spans="2:10" x14ac:dyDescent="0.3">
      <c r="B6055" s="7">
        <v>44317</v>
      </c>
      <c r="C6055" s="3">
        <f t="shared" si="188"/>
        <v>2021</v>
      </c>
      <c r="D6055" s="3">
        <f t="shared" si="189"/>
        <v>202105</v>
      </c>
      <c r="E6055" s="5" t="s">
        <v>8</v>
      </c>
      <c r="F6055" s="5" t="s">
        <v>56</v>
      </c>
      <c r="G6055" s="5" t="s">
        <v>14</v>
      </c>
      <c r="H6055">
        <v>107</v>
      </c>
      <c r="I6055" s="4">
        <v>1263242</v>
      </c>
      <c r="J6055" s="4">
        <v>642000</v>
      </c>
    </row>
    <row r="6056" spans="2:10" x14ac:dyDescent="0.3">
      <c r="B6056" s="7">
        <v>44348</v>
      </c>
      <c r="C6056" s="3">
        <f t="shared" si="188"/>
        <v>2021</v>
      </c>
      <c r="D6056" s="3">
        <f t="shared" si="189"/>
        <v>202106</v>
      </c>
      <c r="E6056" s="5" t="s">
        <v>8</v>
      </c>
      <c r="F6056" s="5" t="s">
        <v>56</v>
      </c>
      <c r="G6056" s="5" t="s">
        <v>14</v>
      </c>
      <c r="H6056">
        <v>101</v>
      </c>
      <c r="I6056" s="4">
        <v>1081811</v>
      </c>
      <c r="J6056" s="4">
        <v>606000</v>
      </c>
    </row>
    <row r="6057" spans="2:10" x14ac:dyDescent="0.3">
      <c r="B6057" s="7">
        <v>44378</v>
      </c>
      <c r="C6057" s="3">
        <f t="shared" si="188"/>
        <v>2021</v>
      </c>
      <c r="D6057" s="3">
        <f t="shared" si="189"/>
        <v>202107</v>
      </c>
      <c r="E6057" s="5" t="s">
        <v>8</v>
      </c>
      <c r="F6057" s="5" t="s">
        <v>56</v>
      </c>
      <c r="G6057" s="5" t="s">
        <v>14</v>
      </c>
      <c r="H6057">
        <v>107</v>
      </c>
      <c r="I6057" s="4">
        <v>999594</v>
      </c>
      <c r="J6057" s="4">
        <v>642000</v>
      </c>
    </row>
    <row r="6058" spans="2:10" x14ac:dyDescent="0.3">
      <c r="B6058" s="7">
        <v>44409</v>
      </c>
      <c r="C6058" s="3">
        <f t="shared" si="188"/>
        <v>2021</v>
      </c>
      <c r="D6058" s="3">
        <f t="shared" si="189"/>
        <v>202108</v>
      </c>
      <c r="E6058" s="5" t="s">
        <v>8</v>
      </c>
      <c r="F6058" s="5" t="s">
        <v>56</v>
      </c>
      <c r="G6058" s="5" t="s">
        <v>14</v>
      </c>
      <c r="H6058">
        <v>90</v>
      </c>
      <c r="I6058" s="4">
        <v>947970</v>
      </c>
      <c r="J6058" s="4">
        <v>540000</v>
      </c>
    </row>
    <row r="6059" spans="2:10" x14ac:dyDescent="0.3">
      <c r="B6059" s="7">
        <v>44440</v>
      </c>
      <c r="C6059" s="3">
        <f t="shared" si="188"/>
        <v>2021</v>
      </c>
      <c r="D6059" s="3">
        <f t="shared" si="189"/>
        <v>202109</v>
      </c>
      <c r="E6059" s="5" t="s">
        <v>8</v>
      </c>
      <c r="F6059" s="5" t="s">
        <v>56</v>
      </c>
      <c r="G6059" s="5" t="s">
        <v>14</v>
      </c>
      <c r="H6059">
        <v>96</v>
      </c>
      <c r="I6059" s="4">
        <v>995520</v>
      </c>
      <c r="J6059" s="4">
        <v>576000</v>
      </c>
    </row>
    <row r="6060" spans="2:10" x14ac:dyDescent="0.3">
      <c r="B6060" s="7">
        <v>44470</v>
      </c>
      <c r="C6060" s="3">
        <f t="shared" si="188"/>
        <v>2021</v>
      </c>
      <c r="D6060" s="3">
        <f t="shared" si="189"/>
        <v>202110</v>
      </c>
      <c r="E6060" s="5" t="s">
        <v>8</v>
      </c>
      <c r="F6060" s="5" t="s">
        <v>56</v>
      </c>
      <c r="G6060" s="5" t="s">
        <v>14</v>
      </c>
      <c r="H6060">
        <v>79</v>
      </c>
      <c r="I6060" s="4">
        <v>911344</v>
      </c>
      <c r="J6060" s="4">
        <v>474000</v>
      </c>
    </row>
    <row r="6061" spans="2:10" x14ac:dyDescent="0.3">
      <c r="B6061" s="7">
        <v>44501</v>
      </c>
      <c r="C6061" s="3">
        <f t="shared" si="188"/>
        <v>2021</v>
      </c>
      <c r="D6061" s="3">
        <f t="shared" si="189"/>
        <v>202111</v>
      </c>
      <c r="E6061" s="5" t="s">
        <v>8</v>
      </c>
      <c r="F6061" s="5" t="s">
        <v>56</v>
      </c>
      <c r="G6061" s="5" t="s">
        <v>14</v>
      </c>
      <c r="H6061">
        <v>57</v>
      </c>
      <c r="I6061" s="4">
        <v>675621</v>
      </c>
      <c r="J6061" s="4">
        <v>342000</v>
      </c>
    </row>
    <row r="6062" spans="2:10" x14ac:dyDescent="0.3">
      <c r="B6062" s="7">
        <v>44531</v>
      </c>
      <c r="C6062" s="3">
        <f t="shared" si="188"/>
        <v>2021</v>
      </c>
      <c r="D6062" s="3">
        <f t="shared" si="189"/>
        <v>202112</v>
      </c>
      <c r="E6062" s="5" t="s">
        <v>8</v>
      </c>
      <c r="F6062" s="5" t="s">
        <v>56</v>
      </c>
      <c r="G6062" s="5" t="s">
        <v>14</v>
      </c>
      <c r="H6062">
        <v>68</v>
      </c>
      <c r="I6062" s="4">
        <v>752896</v>
      </c>
      <c r="J6062" s="4">
        <v>408000</v>
      </c>
    </row>
    <row r="6063" spans="2:10" x14ac:dyDescent="0.3">
      <c r="B6063" s="7">
        <v>44562</v>
      </c>
      <c r="C6063" s="3">
        <f t="shared" si="188"/>
        <v>2022</v>
      </c>
      <c r="D6063" s="3">
        <f t="shared" si="189"/>
        <v>202201</v>
      </c>
      <c r="E6063" s="5" t="s">
        <v>8</v>
      </c>
      <c r="F6063" s="5" t="s">
        <v>56</v>
      </c>
      <c r="G6063" s="5" t="s">
        <v>14</v>
      </c>
      <c r="H6063">
        <v>99</v>
      </c>
      <c r="I6063" s="4">
        <v>1117512</v>
      </c>
      <c r="J6063" s="4">
        <v>594000</v>
      </c>
    </row>
    <row r="6064" spans="2:10" x14ac:dyDescent="0.3">
      <c r="B6064" s="7">
        <v>44593</v>
      </c>
      <c r="C6064" s="3">
        <f t="shared" si="188"/>
        <v>2022</v>
      </c>
      <c r="D6064" s="3">
        <f t="shared" si="189"/>
        <v>202202</v>
      </c>
      <c r="E6064" s="5" t="s">
        <v>8</v>
      </c>
      <c r="F6064" s="5" t="s">
        <v>56</v>
      </c>
      <c r="G6064" s="5" t="s">
        <v>14</v>
      </c>
      <c r="H6064">
        <v>62</v>
      </c>
      <c r="I6064" s="4">
        <v>690246</v>
      </c>
      <c r="J6064" s="4">
        <v>372000</v>
      </c>
    </row>
    <row r="6065" spans="2:10" x14ac:dyDescent="0.3">
      <c r="B6065" s="7">
        <v>44621</v>
      </c>
      <c r="C6065" s="3">
        <f t="shared" si="188"/>
        <v>2022</v>
      </c>
      <c r="D6065" s="3">
        <f t="shared" si="189"/>
        <v>202203</v>
      </c>
      <c r="E6065" s="5" t="s">
        <v>8</v>
      </c>
      <c r="F6065" s="5" t="s">
        <v>56</v>
      </c>
      <c r="G6065" s="5" t="s">
        <v>14</v>
      </c>
      <c r="H6065">
        <v>50</v>
      </c>
      <c r="I6065" s="4">
        <v>542000</v>
      </c>
      <c r="J6065" s="4">
        <v>300000</v>
      </c>
    </row>
    <row r="6066" spans="2:10" x14ac:dyDescent="0.3">
      <c r="B6066" s="7">
        <v>44652</v>
      </c>
      <c r="C6066" s="3">
        <f t="shared" si="188"/>
        <v>2022</v>
      </c>
      <c r="D6066" s="3">
        <f t="shared" si="189"/>
        <v>202204</v>
      </c>
      <c r="E6066" s="5" t="s">
        <v>8</v>
      </c>
      <c r="F6066" s="5" t="s">
        <v>56</v>
      </c>
      <c r="G6066" s="5" t="s">
        <v>14</v>
      </c>
      <c r="H6066">
        <v>93</v>
      </c>
      <c r="I6066" s="4">
        <v>1102143</v>
      </c>
      <c r="J6066" s="4">
        <v>558000</v>
      </c>
    </row>
    <row r="6067" spans="2:10" x14ac:dyDescent="0.3">
      <c r="B6067" s="7">
        <v>44682</v>
      </c>
      <c r="C6067" s="3">
        <f t="shared" si="188"/>
        <v>2022</v>
      </c>
      <c r="D6067" s="3">
        <f t="shared" si="189"/>
        <v>202205</v>
      </c>
      <c r="E6067" s="5" t="s">
        <v>8</v>
      </c>
      <c r="F6067" s="5" t="s">
        <v>56</v>
      </c>
      <c r="G6067" s="5" t="s">
        <v>14</v>
      </c>
      <c r="H6067">
        <v>118</v>
      </c>
      <c r="I6067" s="4">
        <v>1391456</v>
      </c>
      <c r="J6067" s="4">
        <v>708000</v>
      </c>
    </row>
    <row r="6068" spans="2:10" x14ac:dyDescent="0.3">
      <c r="B6068" s="7">
        <v>44713</v>
      </c>
      <c r="C6068" s="3">
        <f t="shared" si="188"/>
        <v>2022</v>
      </c>
      <c r="D6068" s="3">
        <f t="shared" si="189"/>
        <v>202206</v>
      </c>
      <c r="E6068" s="5" t="s">
        <v>8</v>
      </c>
      <c r="F6068" s="5" t="s">
        <v>56</v>
      </c>
      <c r="G6068" s="5" t="s">
        <v>14</v>
      </c>
      <c r="H6068">
        <v>111</v>
      </c>
      <c r="I6068" s="4">
        <v>1262403</v>
      </c>
      <c r="J6068" s="4">
        <v>666000</v>
      </c>
    </row>
    <row r="6069" spans="2:10" x14ac:dyDescent="0.3">
      <c r="B6069" s="7">
        <v>44743</v>
      </c>
      <c r="C6069" s="3">
        <f t="shared" si="188"/>
        <v>2022</v>
      </c>
      <c r="D6069" s="3">
        <f t="shared" si="189"/>
        <v>202207</v>
      </c>
      <c r="E6069" s="5" t="s">
        <v>8</v>
      </c>
      <c r="F6069" s="5" t="s">
        <v>56</v>
      </c>
      <c r="G6069" s="5" t="s">
        <v>14</v>
      </c>
      <c r="H6069">
        <v>118</v>
      </c>
      <c r="I6069" s="4">
        <v>1154276</v>
      </c>
      <c r="J6069" s="4">
        <v>708000</v>
      </c>
    </row>
    <row r="6070" spans="2:10" x14ac:dyDescent="0.3">
      <c r="B6070" s="7">
        <v>44774</v>
      </c>
      <c r="C6070" s="3">
        <f t="shared" si="188"/>
        <v>2022</v>
      </c>
      <c r="D6070" s="3">
        <f t="shared" si="189"/>
        <v>202208</v>
      </c>
      <c r="E6070" s="5" t="s">
        <v>8</v>
      </c>
      <c r="F6070" s="5" t="s">
        <v>56</v>
      </c>
      <c r="G6070" s="5" t="s">
        <v>14</v>
      </c>
      <c r="H6070">
        <v>99</v>
      </c>
      <c r="I6070" s="4">
        <v>1035342</v>
      </c>
      <c r="J6070" s="4">
        <v>594000</v>
      </c>
    </row>
    <row r="6071" spans="2:10" x14ac:dyDescent="0.3">
      <c r="B6071" s="7">
        <v>44805</v>
      </c>
      <c r="C6071" s="3">
        <f t="shared" si="188"/>
        <v>2022</v>
      </c>
      <c r="D6071" s="3">
        <f t="shared" si="189"/>
        <v>202209</v>
      </c>
      <c r="E6071" s="5" t="s">
        <v>8</v>
      </c>
      <c r="F6071" s="5" t="s">
        <v>56</v>
      </c>
      <c r="G6071" s="5" t="s">
        <v>14</v>
      </c>
      <c r="H6071">
        <v>105</v>
      </c>
      <c r="I6071" s="4">
        <v>1138830</v>
      </c>
      <c r="J6071" s="4">
        <v>630000</v>
      </c>
    </row>
    <row r="6072" spans="2:10" x14ac:dyDescent="0.3">
      <c r="B6072" s="7">
        <v>44835</v>
      </c>
      <c r="C6072" s="3">
        <f t="shared" si="188"/>
        <v>2022</v>
      </c>
      <c r="D6072" s="3">
        <f t="shared" si="189"/>
        <v>202210</v>
      </c>
      <c r="E6072" s="5" t="s">
        <v>8</v>
      </c>
      <c r="F6072" s="5" t="s">
        <v>56</v>
      </c>
      <c r="G6072" s="5" t="s">
        <v>14</v>
      </c>
      <c r="H6072">
        <v>87</v>
      </c>
      <c r="I6072" s="4">
        <v>960306</v>
      </c>
      <c r="J6072" s="4">
        <v>522000</v>
      </c>
    </row>
    <row r="6073" spans="2:10" x14ac:dyDescent="0.3">
      <c r="B6073" s="7">
        <v>44866</v>
      </c>
      <c r="C6073" s="3">
        <f t="shared" si="188"/>
        <v>2022</v>
      </c>
      <c r="D6073" s="3">
        <f t="shared" si="189"/>
        <v>202211</v>
      </c>
      <c r="E6073" s="5" t="s">
        <v>8</v>
      </c>
      <c r="F6073" s="5" t="s">
        <v>56</v>
      </c>
      <c r="G6073" s="5" t="s">
        <v>14</v>
      </c>
      <c r="H6073">
        <v>62</v>
      </c>
      <c r="I6073" s="4">
        <v>683054</v>
      </c>
      <c r="J6073" s="4">
        <v>372000</v>
      </c>
    </row>
    <row r="6074" spans="2:10" x14ac:dyDescent="0.3">
      <c r="B6074" s="7">
        <v>44896</v>
      </c>
      <c r="C6074" s="3">
        <f t="shared" si="188"/>
        <v>2022</v>
      </c>
      <c r="D6074" s="3">
        <f t="shared" si="189"/>
        <v>202212</v>
      </c>
      <c r="E6074" s="5" t="s">
        <v>8</v>
      </c>
      <c r="F6074" s="5" t="s">
        <v>56</v>
      </c>
      <c r="G6074" s="5" t="s">
        <v>14</v>
      </c>
      <c r="H6074">
        <v>74</v>
      </c>
      <c r="I6074" s="4">
        <v>804528</v>
      </c>
      <c r="J6074" s="4">
        <v>444000</v>
      </c>
    </row>
    <row r="6075" spans="2:10" x14ac:dyDescent="0.3">
      <c r="B6075" s="7">
        <v>44197</v>
      </c>
      <c r="C6075" s="3">
        <f t="shared" si="188"/>
        <v>2021</v>
      </c>
      <c r="D6075" s="3">
        <f t="shared" si="189"/>
        <v>202101</v>
      </c>
      <c r="E6075" s="5" t="s">
        <v>8</v>
      </c>
      <c r="F6075" s="5" t="s">
        <v>56</v>
      </c>
      <c r="G6075" s="5" t="s">
        <v>15</v>
      </c>
      <c r="H6075">
        <v>83</v>
      </c>
      <c r="I6075" s="4">
        <v>1058748</v>
      </c>
      <c r="J6075" s="4">
        <v>587640</v>
      </c>
    </row>
    <row r="6076" spans="2:10" x14ac:dyDescent="0.3">
      <c r="B6076" s="7">
        <v>44228</v>
      </c>
      <c r="C6076" s="3">
        <f t="shared" si="188"/>
        <v>2021</v>
      </c>
      <c r="D6076" s="3">
        <f t="shared" si="189"/>
        <v>202102</v>
      </c>
      <c r="E6076" s="5" t="s">
        <v>8</v>
      </c>
      <c r="F6076" s="5" t="s">
        <v>56</v>
      </c>
      <c r="G6076" s="5" t="s">
        <v>15</v>
      </c>
      <c r="H6076">
        <v>52</v>
      </c>
      <c r="I6076" s="4">
        <v>699556</v>
      </c>
      <c r="J6076" s="4">
        <v>368160</v>
      </c>
    </row>
    <row r="6077" spans="2:10" x14ac:dyDescent="0.3">
      <c r="B6077" s="7">
        <v>44256</v>
      </c>
      <c r="C6077" s="3">
        <f t="shared" si="188"/>
        <v>2021</v>
      </c>
      <c r="D6077" s="3">
        <f t="shared" si="189"/>
        <v>202103</v>
      </c>
      <c r="E6077" s="5" t="s">
        <v>8</v>
      </c>
      <c r="F6077" s="5" t="s">
        <v>56</v>
      </c>
      <c r="G6077" s="5" t="s">
        <v>15</v>
      </c>
      <c r="H6077">
        <v>42</v>
      </c>
      <c r="I6077" s="4">
        <v>547974</v>
      </c>
      <c r="J6077" s="4">
        <v>297360</v>
      </c>
    </row>
    <row r="6078" spans="2:10" x14ac:dyDescent="0.3">
      <c r="B6078" s="7">
        <v>44287</v>
      </c>
      <c r="C6078" s="3">
        <f t="shared" si="188"/>
        <v>2021</v>
      </c>
      <c r="D6078" s="3">
        <f t="shared" si="189"/>
        <v>202104</v>
      </c>
      <c r="E6078" s="5" t="s">
        <v>8</v>
      </c>
      <c r="F6078" s="5" t="s">
        <v>56</v>
      </c>
      <c r="G6078" s="5" t="s">
        <v>15</v>
      </c>
      <c r="H6078">
        <v>77</v>
      </c>
      <c r="I6078" s="4">
        <v>1110109</v>
      </c>
      <c r="J6078" s="4">
        <v>545160</v>
      </c>
    </row>
    <row r="6079" spans="2:10" x14ac:dyDescent="0.3">
      <c r="B6079" s="7">
        <v>44317</v>
      </c>
      <c r="C6079" s="3">
        <f t="shared" si="188"/>
        <v>2021</v>
      </c>
      <c r="D6079" s="3">
        <f t="shared" si="189"/>
        <v>202105</v>
      </c>
      <c r="E6079" s="5" t="s">
        <v>8</v>
      </c>
      <c r="F6079" s="5" t="s">
        <v>56</v>
      </c>
      <c r="G6079" s="5" t="s">
        <v>15</v>
      </c>
      <c r="H6079">
        <v>98</v>
      </c>
      <c r="I6079" s="4">
        <v>1376214</v>
      </c>
      <c r="J6079" s="4">
        <v>693840</v>
      </c>
    </row>
    <row r="6080" spans="2:10" x14ac:dyDescent="0.3">
      <c r="B6080" s="7">
        <v>44348</v>
      </c>
      <c r="C6080" s="3">
        <f t="shared" si="188"/>
        <v>2021</v>
      </c>
      <c r="D6080" s="3">
        <f t="shared" si="189"/>
        <v>202106</v>
      </c>
      <c r="E6080" s="5" t="s">
        <v>8</v>
      </c>
      <c r="F6080" s="5" t="s">
        <v>56</v>
      </c>
      <c r="G6080" s="5" t="s">
        <v>15</v>
      </c>
      <c r="H6080">
        <v>93</v>
      </c>
      <c r="I6080" s="4">
        <v>1261173</v>
      </c>
      <c r="J6080" s="4">
        <v>658440</v>
      </c>
    </row>
    <row r="6081" spans="2:10" x14ac:dyDescent="0.3">
      <c r="B6081" s="7">
        <v>44378</v>
      </c>
      <c r="C6081" s="3">
        <f t="shared" si="188"/>
        <v>2021</v>
      </c>
      <c r="D6081" s="3">
        <f t="shared" si="189"/>
        <v>202107</v>
      </c>
      <c r="E6081" s="5" t="s">
        <v>8</v>
      </c>
      <c r="F6081" s="5" t="s">
        <v>56</v>
      </c>
      <c r="G6081" s="5" t="s">
        <v>15</v>
      </c>
      <c r="H6081">
        <v>98</v>
      </c>
      <c r="I6081" s="4">
        <v>1183448</v>
      </c>
      <c r="J6081" s="4">
        <v>693840</v>
      </c>
    </row>
    <row r="6082" spans="2:10" x14ac:dyDescent="0.3">
      <c r="B6082" s="7">
        <v>44409</v>
      </c>
      <c r="C6082" s="3">
        <f t="shared" si="188"/>
        <v>2021</v>
      </c>
      <c r="D6082" s="3">
        <f t="shared" si="189"/>
        <v>202108</v>
      </c>
      <c r="E6082" s="5" t="s">
        <v>8</v>
      </c>
      <c r="F6082" s="5" t="s">
        <v>56</v>
      </c>
      <c r="G6082" s="5" t="s">
        <v>15</v>
      </c>
      <c r="H6082">
        <v>83</v>
      </c>
      <c r="I6082" s="4">
        <v>1037583</v>
      </c>
      <c r="J6082" s="4">
        <v>587640</v>
      </c>
    </row>
    <row r="6083" spans="2:10" x14ac:dyDescent="0.3">
      <c r="B6083" s="7">
        <v>44440</v>
      </c>
      <c r="C6083" s="3">
        <f t="shared" ref="C6083:C6146" si="190">YEAR(B6083)</f>
        <v>2021</v>
      </c>
      <c r="D6083" s="3">
        <f t="shared" ref="D6083:D6146" si="191">VALUE(TEXT(B6083,"ГГГГММ"))</f>
        <v>202109</v>
      </c>
      <c r="E6083" s="5" t="s">
        <v>8</v>
      </c>
      <c r="F6083" s="5" t="s">
        <v>56</v>
      </c>
      <c r="G6083" s="5" t="s">
        <v>15</v>
      </c>
      <c r="H6083">
        <v>88</v>
      </c>
      <c r="I6083" s="4">
        <v>1110208</v>
      </c>
      <c r="J6083" s="4">
        <v>623040</v>
      </c>
    </row>
    <row r="6084" spans="2:10" x14ac:dyDescent="0.3">
      <c r="B6084" s="7">
        <v>44470</v>
      </c>
      <c r="C6084" s="3">
        <f t="shared" si="190"/>
        <v>2021</v>
      </c>
      <c r="D6084" s="3">
        <f t="shared" si="191"/>
        <v>202110</v>
      </c>
      <c r="E6084" s="5" t="s">
        <v>8</v>
      </c>
      <c r="F6084" s="5" t="s">
        <v>56</v>
      </c>
      <c r="G6084" s="5" t="s">
        <v>15</v>
      </c>
      <c r="H6084">
        <v>72</v>
      </c>
      <c r="I6084" s="4">
        <v>957096</v>
      </c>
      <c r="J6084" s="4">
        <v>509760</v>
      </c>
    </row>
    <row r="6085" spans="2:10" x14ac:dyDescent="0.3">
      <c r="B6085" s="7">
        <v>44501</v>
      </c>
      <c r="C6085" s="3">
        <f t="shared" si="190"/>
        <v>2021</v>
      </c>
      <c r="D6085" s="3">
        <f t="shared" si="191"/>
        <v>202111</v>
      </c>
      <c r="E6085" s="5" t="s">
        <v>8</v>
      </c>
      <c r="F6085" s="5" t="s">
        <v>56</v>
      </c>
      <c r="G6085" s="5" t="s">
        <v>15</v>
      </c>
      <c r="H6085">
        <v>52</v>
      </c>
      <c r="I6085" s="4">
        <v>658632</v>
      </c>
      <c r="J6085" s="4">
        <v>368160</v>
      </c>
    </row>
    <row r="6086" spans="2:10" x14ac:dyDescent="0.3">
      <c r="B6086" s="7">
        <v>44531</v>
      </c>
      <c r="C6086" s="3">
        <f t="shared" si="190"/>
        <v>2021</v>
      </c>
      <c r="D6086" s="3">
        <f t="shared" si="191"/>
        <v>202112</v>
      </c>
      <c r="E6086" s="5" t="s">
        <v>8</v>
      </c>
      <c r="F6086" s="5" t="s">
        <v>56</v>
      </c>
      <c r="G6086" s="5" t="s">
        <v>15</v>
      </c>
      <c r="H6086">
        <v>62</v>
      </c>
      <c r="I6086" s="4">
        <v>769358</v>
      </c>
      <c r="J6086" s="4">
        <v>438960</v>
      </c>
    </row>
    <row r="6087" spans="2:10" x14ac:dyDescent="0.3">
      <c r="B6087" s="7">
        <v>44562</v>
      </c>
      <c r="C6087" s="3">
        <f t="shared" si="190"/>
        <v>2022</v>
      </c>
      <c r="D6087" s="3">
        <f t="shared" si="191"/>
        <v>202201</v>
      </c>
      <c r="E6087" s="5" t="s">
        <v>8</v>
      </c>
      <c r="F6087" s="5" t="s">
        <v>56</v>
      </c>
      <c r="G6087" s="5" t="s">
        <v>15</v>
      </c>
      <c r="H6087">
        <v>91</v>
      </c>
      <c r="I6087" s="4">
        <v>1182272</v>
      </c>
      <c r="J6087" s="4">
        <v>644280</v>
      </c>
    </row>
    <row r="6088" spans="2:10" x14ac:dyDescent="0.3">
      <c r="B6088" s="7">
        <v>44593</v>
      </c>
      <c r="C6088" s="3">
        <f t="shared" si="190"/>
        <v>2022</v>
      </c>
      <c r="D6088" s="3">
        <f t="shared" si="191"/>
        <v>202202</v>
      </c>
      <c r="E6088" s="5" t="s">
        <v>8</v>
      </c>
      <c r="F6088" s="5" t="s">
        <v>56</v>
      </c>
      <c r="G6088" s="5" t="s">
        <v>15</v>
      </c>
      <c r="H6088">
        <v>57</v>
      </c>
      <c r="I6088" s="4">
        <v>783009</v>
      </c>
      <c r="J6088" s="4">
        <v>403560</v>
      </c>
    </row>
    <row r="6089" spans="2:10" x14ac:dyDescent="0.3">
      <c r="B6089" s="7">
        <v>44621</v>
      </c>
      <c r="C6089" s="3">
        <f t="shared" si="190"/>
        <v>2022</v>
      </c>
      <c r="D6089" s="3">
        <f t="shared" si="191"/>
        <v>202203</v>
      </c>
      <c r="E6089" s="5" t="s">
        <v>8</v>
      </c>
      <c r="F6089" s="5" t="s">
        <v>56</v>
      </c>
      <c r="G6089" s="5" t="s">
        <v>15</v>
      </c>
      <c r="H6089">
        <v>46</v>
      </c>
      <c r="I6089" s="4">
        <v>580658</v>
      </c>
      <c r="J6089" s="4">
        <v>325680</v>
      </c>
    </row>
    <row r="6090" spans="2:10" x14ac:dyDescent="0.3">
      <c r="B6090" s="7">
        <v>44652</v>
      </c>
      <c r="C6090" s="3">
        <f t="shared" si="190"/>
        <v>2022</v>
      </c>
      <c r="D6090" s="3">
        <f t="shared" si="191"/>
        <v>202204</v>
      </c>
      <c r="E6090" s="5" t="s">
        <v>8</v>
      </c>
      <c r="F6090" s="5" t="s">
        <v>56</v>
      </c>
      <c r="G6090" s="5" t="s">
        <v>15</v>
      </c>
      <c r="H6090">
        <v>85</v>
      </c>
      <c r="I6090" s="4">
        <v>1209040</v>
      </c>
      <c r="J6090" s="4">
        <v>601800</v>
      </c>
    </row>
    <row r="6091" spans="2:10" x14ac:dyDescent="0.3">
      <c r="B6091" s="7">
        <v>44682</v>
      </c>
      <c r="C6091" s="3">
        <f t="shared" si="190"/>
        <v>2022</v>
      </c>
      <c r="D6091" s="3">
        <f t="shared" si="191"/>
        <v>202205</v>
      </c>
      <c r="E6091" s="5" t="s">
        <v>8</v>
      </c>
      <c r="F6091" s="5" t="s">
        <v>56</v>
      </c>
      <c r="G6091" s="5" t="s">
        <v>15</v>
      </c>
      <c r="H6091">
        <v>108</v>
      </c>
      <c r="I6091" s="4">
        <v>1521504</v>
      </c>
      <c r="J6091" s="4">
        <v>764640</v>
      </c>
    </row>
    <row r="6092" spans="2:10" x14ac:dyDescent="0.3">
      <c r="B6092" s="7">
        <v>44713</v>
      </c>
      <c r="C6092" s="3">
        <f t="shared" si="190"/>
        <v>2022</v>
      </c>
      <c r="D6092" s="3">
        <f t="shared" si="191"/>
        <v>202206</v>
      </c>
      <c r="E6092" s="5" t="s">
        <v>8</v>
      </c>
      <c r="F6092" s="5" t="s">
        <v>56</v>
      </c>
      <c r="G6092" s="5" t="s">
        <v>15</v>
      </c>
      <c r="H6092">
        <v>102</v>
      </c>
      <c r="I6092" s="4">
        <v>1370880</v>
      </c>
      <c r="J6092" s="4">
        <v>722160</v>
      </c>
    </row>
    <row r="6093" spans="2:10" x14ac:dyDescent="0.3">
      <c r="B6093" s="7">
        <v>44743</v>
      </c>
      <c r="C6093" s="3">
        <f t="shared" si="190"/>
        <v>2022</v>
      </c>
      <c r="D6093" s="3">
        <f t="shared" si="191"/>
        <v>202207</v>
      </c>
      <c r="E6093" s="5" t="s">
        <v>8</v>
      </c>
      <c r="F6093" s="5" t="s">
        <v>56</v>
      </c>
      <c r="G6093" s="5" t="s">
        <v>15</v>
      </c>
      <c r="H6093">
        <v>108</v>
      </c>
      <c r="I6093" s="4">
        <v>1247508</v>
      </c>
      <c r="J6093" s="4">
        <v>764640</v>
      </c>
    </row>
    <row r="6094" spans="2:10" x14ac:dyDescent="0.3">
      <c r="B6094" s="7">
        <v>44774</v>
      </c>
      <c r="C6094" s="3">
        <f t="shared" si="190"/>
        <v>2022</v>
      </c>
      <c r="D6094" s="3">
        <f t="shared" si="191"/>
        <v>202208</v>
      </c>
      <c r="E6094" s="5" t="s">
        <v>8</v>
      </c>
      <c r="F6094" s="5" t="s">
        <v>56</v>
      </c>
      <c r="G6094" s="5" t="s">
        <v>15</v>
      </c>
      <c r="H6094">
        <v>91</v>
      </c>
      <c r="I6094" s="4">
        <v>1179269</v>
      </c>
      <c r="J6094" s="4">
        <v>644280</v>
      </c>
    </row>
    <row r="6095" spans="2:10" x14ac:dyDescent="0.3">
      <c r="B6095" s="7">
        <v>44805</v>
      </c>
      <c r="C6095" s="3">
        <f t="shared" si="190"/>
        <v>2022</v>
      </c>
      <c r="D6095" s="3">
        <f t="shared" si="191"/>
        <v>202209</v>
      </c>
      <c r="E6095" s="5" t="s">
        <v>8</v>
      </c>
      <c r="F6095" s="5" t="s">
        <v>56</v>
      </c>
      <c r="G6095" s="5" t="s">
        <v>15</v>
      </c>
      <c r="H6095">
        <v>96</v>
      </c>
      <c r="I6095" s="4">
        <v>1272288</v>
      </c>
      <c r="J6095" s="4">
        <v>679680</v>
      </c>
    </row>
    <row r="6096" spans="2:10" x14ac:dyDescent="0.3">
      <c r="B6096" s="7">
        <v>44835</v>
      </c>
      <c r="C6096" s="3">
        <f t="shared" si="190"/>
        <v>2022</v>
      </c>
      <c r="D6096" s="3">
        <f t="shared" si="191"/>
        <v>202210</v>
      </c>
      <c r="E6096" s="5" t="s">
        <v>8</v>
      </c>
      <c r="F6096" s="5" t="s">
        <v>56</v>
      </c>
      <c r="G6096" s="5" t="s">
        <v>15</v>
      </c>
      <c r="H6096">
        <v>80</v>
      </c>
      <c r="I6096" s="4">
        <v>1108160</v>
      </c>
      <c r="J6096" s="4">
        <v>566400</v>
      </c>
    </row>
    <row r="6097" spans="2:10" x14ac:dyDescent="0.3">
      <c r="B6097" s="7">
        <v>44866</v>
      </c>
      <c r="C6097" s="3">
        <f t="shared" si="190"/>
        <v>2022</v>
      </c>
      <c r="D6097" s="3">
        <f t="shared" si="191"/>
        <v>202211</v>
      </c>
      <c r="E6097" s="5" t="s">
        <v>8</v>
      </c>
      <c r="F6097" s="5" t="s">
        <v>56</v>
      </c>
      <c r="G6097" s="5" t="s">
        <v>15</v>
      </c>
      <c r="H6097">
        <v>57</v>
      </c>
      <c r="I6097" s="4">
        <v>754452</v>
      </c>
      <c r="J6097" s="4">
        <v>403560</v>
      </c>
    </row>
    <row r="6098" spans="2:10" x14ac:dyDescent="0.3">
      <c r="B6098" s="7">
        <v>44896</v>
      </c>
      <c r="C6098" s="3">
        <f t="shared" si="190"/>
        <v>2022</v>
      </c>
      <c r="D6098" s="3">
        <f t="shared" si="191"/>
        <v>202212</v>
      </c>
      <c r="E6098" s="5" t="s">
        <v>8</v>
      </c>
      <c r="F6098" s="5" t="s">
        <v>56</v>
      </c>
      <c r="G6098" s="5" t="s">
        <v>15</v>
      </c>
      <c r="H6098">
        <v>68</v>
      </c>
      <c r="I6098" s="4">
        <v>889848</v>
      </c>
      <c r="J6098" s="4">
        <v>481440</v>
      </c>
    </row>
    <row r="6099" spans="2:10" x14ac:dyDescent="0.3">
      <c r="B6099" s="7">
        <v>44197</v>
      </c>
      <c r="C6099" s="3">
        <f t="shared" si="190"/>
        <v>2021</v>
      </c>
      <c r="D6099" s="3">
        <f t="shared" si="191"/>
        <v>202101</v>
      </c>
      <c r="E6099" s="5" t="s">
        <v>8</v>
      </c>
      <c r="F6099" s="5" t="s">
        <v>56</v>
      </c>
      <c r="G6099" s="5" t="s">
        <v>16</v>
      </c>
      <c r="H6099">
        <v>83</v>
      </c>
      <c r="I6099" s="4">
        <v>2156921</v>
      </c>
      <c r="J6099" s="4">
        <v>871500</v>
      </c>
    </row>
    <row r="6100" spans="2:10" x14ac:dyDescent="0.3">
      <c r="B6100" s="7">
        <v>44228</v>
      </c>
      <c r="C6100" s="3">
        <f t="shared" si="190"/>
        <v>2021</v>
      </c>
      <c r="D6100" s="3">
        <f t="shared" si="191"/>
        <v>202102</v>
      </c>
      <c r="E6100" s="5" t="s">
        <v>8</v>
      </c>
      <c r="F6100" s="5" t="s">
        <v>56</v>
      </c>
      <c r="G6100" s="5" t="s">
        <v>16</v>
      </c>
      <c r="H6100">
        <v>52</v>
      </c>
      <c r="I6100" s="4">
        <v>1360372</v>
      </c>
      <c r="J6100" s="4">
        <v>546000</v>
      </c>
    </row>
    <row r="6101" spans="2:10" x14ac:dyDescent="0.3">
      <c r="B6101" s="7">
        <v>44256</v>
      </c>
      <c r="C6101" s="3">
        <f t="shared" si="190"/>
        <v>2021</v>
      </c>
      <c r="D6101" s="3">
        <f t="shared" si="191"/>
        <v>202103</v>
      </c>
      <c r="E6101" s="5" t="s">
        <v>8</v>
      </c>
      <c r="F6101" s="5" t="s">
        <v>56</v>
      </c>
      <c r="G6101" s="5" t="s">
        <v>16</v>
      </c>
      <c r="H6101">
        <v>42</v>
      </c>
      <c r="I6101" s="4">
        <v>1058358</v>
      </c>
      <c r="J6101" s="4">
        <v>441000</v>
      </c>
    </row>
    <row r="6102" spans="2:10" x14ac:dyDescent="0.3">
      <c r="B6102" s="7">
        <v>44287</v>
      </c>
      <c r="C6102" s="3">
        <f t="shared" si="190"/>
        <v>2021</v>
      </c>
      <c r="D6102" s="3">
        <f t="shared" si="191"/>
        <v>202104</v>
      </c>
      <c r="E6102" s="5" t="s">
        <v>8</v>
      </c>
      <c r="F6102" s="5" t="s">
        <v>56</v>
      </c>
      <c r="G6102" s="5" t="s">
        <v>16</v>
      </c>
      <c r="H6102">
        <v>77</v>
      </c>
      <c r="I6102" s="4">
        <v>2112341</v>
      </c>
      <c r="J6102" s="4">
        <v>808500</v>
      </c>
    </row>
    <row r="6103" spans="2:10" x14ac:dyDescent="0.3">
      <c r="B6103" s="7">
        <v>44317</v>
      </c>
      <c r="C6103" s="3">
        <f t="shared" si="190"/>
        <v>2021</v>
      </c>
      <c r="D6103" s="3">
        <f t="shared" si="191"/>
        <v>202105</v>
      </c>
      <c r="E6103" s="5" t="s">
        <v>8</v>
      </c>
      <c r="F6103" s="5" t="s">
        <v>56</v>
      </c>
      <c r="G6103" s="5" t="s">
        <v>16</v>
      </c>
      <c r="H6103">
        <v>98</v>
      </c>
      <c r="I6103" s="4">
        <v>2667560</v>
      </c>
      <c r="J6103" s="4">
        <v>1029000</v>
      </c>
    </row>
    <row r="6104" spans="2:10" x14ac:dyDescent="0.3">
      <c r="B6104" s="7">
        <v>44348</v>
      </c>
      <c r="C6104" s="3">
        <f t="shared" si="190"/>
        <v>2021</v>
      </c>
      <c r="D6104" s="3">
        <f t="shared" si="191"/>
        <v>202106</v>
      </c>
      <c r="E6104" s="5" t="s">
        <v>8</v>
      </c>
      <c r="F6104" s="5" t="s">
        <v>56</v>
      </c>
      <c r="G6104" s="5" t="s">
        <v>16</v>
      </c>
      <c r="H6104">
        <v>93</v>
      </c>
      <c r="I6104" s="4">
        <v>2458827</v>
      </c>
      <c r="J6104" s="4">
        <v>976500</v>
      </c>
    </row>
    <row r="6105" spans="2:10" x14ac:dyDescent="0.3">
      <c r="B6105" s="7">
        <v>44378</v>
      </c>
      <c r="C6105" s="3">
        <f t="shared" si="190"/>
        <v>2021</v>
      </c>
      <c r="D6105" s="3">
        <f t="shared" si="191"/>
        <v>202107</v>
      </c>
      <c r="E6105" s="5" t="s">
        <v>8</v>
      </c>
      <c r="F6105" s="5" t="s">
        <v>56</v>
      </c>
      <c r="G6105" s="5" t="s">
        <v>16</v>
      </c>
      <c r="H6105">
        <v>98</v>
      </c>
      <c r="I6105" s="4">
        <v>2488710</v>
      </c>
      <c r="J6105" s="4">
        <v>1029000</v>
      </c>
    </row>
    <row r="6106" spans="2:10" x14ac:dyDescent="0.3">
      <c r="B6106" s="7">
        <v>44409</v>
      </c>
      <c r="C6106" s="3">
        <f t="shared" si="190"/>
        <v>2021</v>
      </c>
      <c r="D6106" s="3">
        <f t="shared" si="191"/>
        <v>202108</v>
      </c>
      <c r="E6106" s="5" t="s">
        <v>8</v>
      </c>
      <c r="F6106" s="5" t="s">
        <v>56</v>
      </c>
      <c r="G6106" s="5" t="s">
        <v>16</v>
      </c>
      <c r="H6106">
        <v>83</v>
      </c>
      <c r="I6106" s="4">
        <v>2080561</v>
      </c>
      <c r="J6106" s="4">
        <v>871500</v>
      </c>
    </row>
    <row r="6107" spans="2:10" x14ac:dyDescent="0.3">
      <c r="B6107" s="7">
        <v>44440</v>
      </c>
      <c r="C6107" s="3">
        <f t="shared" si="190"/>
        <v>2021</v>
      </c>
      <c r="D6107" s="3">
        <f t="shared" si="191"/>
        <v>202109</v>
      </c>
      <c r="E6107" s="5" t="s">
        <v>8</v>
      </c>
      <c r="F6107" s="5" t="s">
        <v>56</v>
      </c>
      <c r="G6107" s="5" t="s">
        <v>16</v>
      </c>
      <c r="H6107">
        <v>88</v>
      </c>
      <c r="I6107" s="4">
        <v>2315456</v>
      </c>
      <c r="J6107" s="4">
        <v>924000</v>
      </c>
    </row>
    <row r="6108" spans="2:10" x14ac:dyDescent="0.3">
      <c r="B6108" s="7">
        <v>44470</v>
      </c>
      <c r="C6108" s="3">
        <f t="shared" si="190"/>
        <v>2021</v>
      </c>
      <c r="D6108" s="3">
        <f t="shared" si="191"/>
        <v>202110</v>
      </c>
      <c r="E6108" s="5" t="s">
        <v>8</v>
      </c>
      <c r="F6108" s="5" t="s">
        <v>56</v>
      </c>
      <c r="G6108" s="5" t="s">
        <v>16</v>
      </c>
      <c r="H6108">
        <v>72</v>
      </c>
      <c r="I6108" s="4">
        <v>1917144</v>
      </c>
      <c r="J6108" s="4">
        <v>756000</v>
      </c>
    </row>
    <row r="6109" spans="2:10" x14ac:dyDescent="0.3">
      <c r="B6109" s="7">
        <v>44501</v>
      </c>
      <c r="C6109" s="3">
        <f t="shared" si="190"/>
        <v>2021</v>
      </c>
      <c r="D6109" s="3">
        <f t="shared" si="191"/>
        <v>202111</v>
      </c>
      <c r="E6109" s="5" t="s">
        <v>8</v>
      </c>
      <c r="F6109" s="5" t="s">
        <v>56</v>
      </c>
      <c r="G6109" s="5" t="s">
        <v>16</v>
      </c>
      <c r="H6109">
        <v>52</v>
      </c>
      <c r="I6109" s="4">
        <v>1374048</v>
      </c>
      <c r="J6109" s="4">
        <v>546000</v>
      </c>
    </row>
    <row r="6110" spans="2:10" x14ac:dyDescent="0.3">
      <c r="B6110" s="7">
        <v>44531</v>
      </c>
      <c r="C6110" s="3">
        <f t="shared" si="190"/>
        <v>2021</v>
      </c>
      <c r="D6110" s="3">
        <f t="shared" si="191"/>
        <v>202112</v>
      </c>
      <c r="E6110" s="5" t="s">
        <v>8</v>
      </c>
      <c r="F6110" s="5" t="s">
        <v>56</v>
      </c>
      <c r="G6110" s="5" t="s">
        <v>16</v>
      </c>
      <c r="H6110">
        <v>62</v>
      </c>
      <c r="I6110" s="4">
        <v>1580814</v>
      </c>
      <c r="J6110" s="4">
        <v>651000</v>
      </c>
    </row>
    <row r="6111" spans="2:10" x14ac:dyDescent="0.3">
      <c r="B6111" s="7">
        <v>44562</v>
      </c>
      <c r="C6111" s="3">
        <f t="shared" si="190"/>
        <v>2022</v>
      </c>
      <c r="D6111" s="3">
        <f t="shared" si="191"/>
        <v>202201</v>
      </c>
      <c r="E6111" s="5" t="s">
        <v>8</v>
      </c>
      <c r="F6111" s="5" t="s">
        <v>56</v>
      </c>
      <c r="G6111" s="5" t="s">
        <v>16</v>
      </c>
      <c r="H6111">
        <v>91</v>
      </c>
      <c r="I6111" s="4">
        <v>2404129</v>
      </c>
      <c r="J6111" s="4">
        <v>955500</v>
      </c>
    </row>
    <row r="6112" spans="2:10" x14ac:dyDescent="0.3">
      <c r="B6112" s="7">
        <v>44593</v>
      </c>
      <c r="C6112" s="3">
        <f t="shared" si="190"/>
        <v>2022</v>
      </c>
      <c r="D6112" s="3">
        <f t="shared" si="191"/>
        <v>202202</v>
      </c>
      <c r="E6112" s="5" t="s">
        <v>8</v>
      </c>
      <c r="F6112" s="5" t="s">
        <v>56</v>
      </c>
      <c r="G6112" s="5" t="s">
        <v>16</v>
      </c>
      <c r="H6112">
        <v>57</v>
      </c>
      <c r="I6112" s="4">
        <v>1499898</v>
      </c>
      <c r="J6112" s="4">
        <v>598500</v>
      </c>
    </row>
    <row r="6113" spans="2:10" x14ac:dyDescent="0.3">
      <c r="B6113" s="7">
        <v>44621</v>
      </c>
      <c r="C6113" s="3">
        <f t="shared" si="190"/>
        <v>2022</v>
      </c>
      <c r="D6113" s="3">
        <f t="shared" si="191"/>
        <v>202203</v>
      </c>
      <c r="E6113" s="5" t="s">
        <v>8</v>
      </c>
      <c r="F6113" s="5" t="s">
        <v>56</v>
      </c>
      <c r="G6113" s="5" t="s">
        <v>16</v>
      </c>
      <c r="H6113">
        <v>46</v>
      </c>
      <c r="I6113" s="4">
        <v>1175024</v>
      </c>
      <c r="J6113" s="4">
        <v>483000</v>
      </c>
    </row>
    <row r="6114" spans="2:10" x14ac:dyDescent="0.3">
      <c r="B6114" s="7">
        <v>44652</v>
      </c>
      <c r="C6114" s="3">
        <f t="shared" si="190"/>
        <v>2022</v>
      </c>
      <c r="D6114" s="3">
        <f t="shared" si="191"/>
        <v>202204</v>
      </c>
      <c r="E6114" s="5" t="s">
        <v>8</v>
      </c>
      <c r="F6114" s="5" t="s">
        <v>56</v>
      </c>
      <c r="G6114" s="5" t="s">
        <v>16</v>
      </c>
      <c r="H6114">
        <v>85</v>
      </c>
      <c r="I6114" s="4">
        <v>2277490</v>
      </c>
      <c r="J6114" s="4">
        <v>892500</v>
      </c>
    </row>
    <row r="6115" spans="2:10" x14ac:dyDescent="0.3">
      <c r="B6115" s="7">
        <v>44682</v>
      </c>
      <c r="C6115" s="3">
        <f t="shared" si="190"/>
        <v>2022</v>
      </c>
      <c r="D6115" s="3">
        <f t="shared" si="191"/>
        <v>202205</v>
      </c>
      <c r="E6115" s="5" t="s">
        <v>8</v>
      </c>
      <c r="F6115" s="5" t="s">
        <v>56</v>
      </c>
      <c r="G6115" s="5" t="s">
        <v>16</v>
      </c>
      <c r="H6115">
        <v>108</v>
      </c>
      <c r="I6115" s="4">
        <v>2908440</v>
      </c>
      <c r="J6115" s="4">
        <v>1134000</v>
      </c>
    </row>
    <row r="6116" spans="2:10" x14ac:dyDescent="0.3">
      <c r="B6116" s="7">
        <v>44713</v>
      </c>
      <c r="C6116" s="3">
        <f t="shared" si="190"/>
        <v>2022</v>
      </c>
      <c r="D6116" s="3">
        <f t="shared" si="191"/>
        <v>202206</v>
      </c>
      <c r="E6116" s="5" t="s">
        <v>8</v>
      </c>
      <c r="F6116" s="5" t="s">
        <v>56</v>
      </c>
      <c r="G6116" s="5" t="s">
        <v>16</v>
      </c>
      <c r="H6116">
        <v>102</v>
      </c>
      <c r="I6116" s="4">
        <v>2666484</v>
      </c>
      <c r="J6116" s="4">
        <v>1071000</v>
      </c>
    </row>
    <row r="6117" spans="2:10" x14ac:dyDescent="0.3">
      <c r="B6117" s="7">
        <v>44743</v>
      </c>
      <c r="C6117" s="3">
        <f t="shared" si="190"/>
        <v>2022</v>
      </c>
      <c r="D6117" s="3">
        <f t="shared" si="191"/>
        <v>202207</v>
      </c>
      <c r="E6117" s="5" t="s">
        <v>8</v>
      </c>
      <c r="F6117" s="5" t="s">
        <v>56</v>
      </c>
      <c r="G6117" s="5" t="s">
        <v>16</v>
      </c>
      <c r="H6117">
        <v>108</v>
      </c>
      <c r="I6117" s="4">
        <v>2614248</v>
      </c>
      <c r="J6117" s="4">
        <v>1134000</v>
      </c>
    </row>
    <row r="6118" spans="2:10" x14ac:dyDescent="0.3">
      <c r="B6118" s="7">
        <v>44774</v>
      </c>
      <c r="C6118" s="3">
        <f t="shared" si="190"/>
        <v>2022</v>
      </c>
      <c r="D6118" s="3">
        <f t="shared" si="191"/>
        <v>202208</v>
      </c>
      <c r="E6118" s="5" t="s">
        <v>8</v>
      </c>
      <c r="F6118" s="5" t="s">
        <v>56</v>
      </c>
      <c r="G6118" s="5" t="s">
        <v>16</v>
      </c>
      <c r="H6118">
        <v>91</v>
      </c>
      <c r="I6118" s="4">
        <v>2337517</v>
      </c>
      <c r="J6118" s="4">
        <v>955500</v>
      </c>
    </row>
    <row r="6119" spans="2:10" x14ac:dyDescent="0.3">
      <c r="B6119" s="7">
        <v>44805</v>
      </c>
      <c r="C6119" s="3">
        <f t="shared" si="190"/>
        <v>2022</v>
      </c>
      <c r="D6119" s="3">
        <f t="shared" si="191"/>
        <v>202209</v>
      </c>
      <c r="E6119" s="5" t="s">
        <v>8</v>
      </c>
      <c r="F6119" s="5" t="s">
        <v>56</v>
      </c>
      <c r="G6119" s="5" t="s">
        <v>16</v>
      </c>
      <c r="H6119">
        <v>96</v>
      </c>
      <c r="I6119" s="4">
        <v>2498400</v>
      </c>
      <c r="J6119" s="4">
        <v>1008000</v>
      </c>
    </row>
    <row r="6120" spans="2:10" x14ac:dyDescent="0.3">
      <c r="B6120" s="7">
        <v>44835</v>
      </c>
      <c r="C6120" s="3">
        <f t="shared" si="190"/>
        <v>2022</v>
      </c>
      <c r="D6120" s="3">
        <f t="shared" si="191"/>
        <v>202210</v>
      </c>
      <c r="E6120" s="5" t="s">
        <v>8</v>
      </c>
      <c r="F6120" s="5" t="s">
        <v>56</v>
      </c>
      <c r="G6120" s="5" t="s">
        <v>16</v>
      </c>
      <c r="H6120">
        <v>80</v>
      </c>
      <c r="I6120" s="4">
        <v>2115840</v>
      </c>
      <c r="J6120" s="4">
        <v>840000</v>
      </c>
    </row>
    <row r="6121" spans="2:10" x14ac:dyDescent="0.3">
      <c r="B6121" s="7">
        <v>44866</v>
      </c>
      <c r="C6121" s="3">
        <f t="shared" si="190"/>
        <v>2022</v>
      </c>
      <c r="D6121" s="3">
        <f t="shared" si="191"/>
        <v>202211</v>
      </c>
      <c r="E6121" s="5" t="s">
        <v>8</v>
      </c>
      <c r="F6121" s="5" t="s">
        <v>56</v>
      </c>
      <c r="G6121" s="5" t="s">
        <v>16</v>
      </c>
      <c r="H6121">
        <v>57</v>
      </c>
      <c r="I6121" s="4">
        <v>1493172</v>
      </c>
      <c r="J6121" s="4">
        <v>598500</v>
      </c>
    </row>
    <row r="6122" spans="2:10" x14ac:dyDescent="0.3">
      <c r="B6122" s="7">
        <v>44896</v>
      </c>
      <c r="C6122" s="3">
        <f t="shared" si="190"/>
        <v>2022</v>
      </c>
      <c r="D6122" s="3">
        <f t="shared" si="191"/>
        <v>202212</v>
      </c>
      <c r="E6122" s="5" t="s">
        <v>8</v>
      </c>
      <c r="F6122" s="5" t="s">
        <v>56</v>
      </c>
      <c r="G6122" s="5" t="s">
        <v>16</v>
      </c>
      <c r="H6122">
        <v>68</v>
      </c>
      <c r="I6122" s="4">
        <v>1754468</v>
      </c>
      <c r="J6122" s="4">
        <v>714000</v>
      </c>
    </row>
    <row r="6123" spans="2:10" x14ac:dyDescent="0.3">
      <c r="B6123" s="7">
        <v>44197</v>
      </c>
      <c r="C6123" s="3">
        <f t="shared" si="190"/>
        <v>2021</v>
      </c>
      <c r="D6123" s="3">
        <f t="shared" si="191"/>
        <v>202101</v>
      </c>
      <c r="E6123" s="5" t="s">
        <v>8</v>
      </c>
      <c r="F6123" s="5" t="s">
        <v>56</v>
      </c>
      <c r="G6123" s="5" t="s">
        <v>17</v>
      </c>
      <c r="H6123">
        <v>89</v>
      </c>
      <c r="I6123" s="4">
        <v>1645432</v>
      </c>
      <c r="J6123" s="4">
        <v>665720</v>
      </c>
    </row>
    <row r="6124" spans="2:10" x14ac:dyDescent="0.3">
      <c r="B6124" s="7">
        <v>44228</v>
      </c>
      <c r="C6124" s="3">
        <f t="shared" si="190"/>
        <v>2021</v>
      </c>
      <c r="D6124" s="3">
        <f t="shared" si="191"/>
        <v>202102</v>
      </c>
      <c r="E6124" s="5" t="s">
        <v>8</v>
      </c>
      <c r="F6124" s="5" t="s">
        <v>56</v>
      </c>
      <c r="G6124" s="5" t="s">
        <v>17</v>
      </c>
      <c r="H6124">
        <v>56</v>
      </c>
      <c r="I6124" s="4">
        <v>1062880</v>
      </c>
      <c r="J6124" s="4">
        <v>418880</v>
      </c>
    </row>
    <row r="6125" spans="2:10" x14ac:dyDescent="0.3">
      <c r="B6125" s="7">
        <v>44256</v>
      </c>
      <c r="C6125" s="3">
        <f t="shared" si="190"/>
        <v>2021</v>
      </c>
      <c r="D6125" s="3">
        <f t="shared" si="191"/>
        <v>202103</v>
      </c>
      <c r="E6125" s="5" t="s">
        <v>8</v>
      </c>
      <c r="F6125" s="5" t="s">
        <v>56</v>
      </c>
      <c r="G6125" s="5" t="s">
        <v>17</v>
      </c>
      <c r="H6125">
        <v>45</v>
      </c>
      <c r="I6125" s="4">
        <v>773595</v>
      </c>
      <c r="J6125" s="4">
        <v>336600</v>
      </c>
    </row>
    <row r="6126" spans="2:10" x14ac:dyDescent="0.3">
      <c r="B6126" s="7">
        <v>44287</v>
      </c>
      <c r="C6126" s="3">
        <f t="shared" si="190"/>
        <v>2021</v>
      </c>
      <c r="D6126" s="3">
        <f t="shared" si="191"/>
        <v>202104</v>
      </c>
      <c r="E6126" s="5" t="s">
        <v>8</v>
      </c>
      <c r="F6126" s="5" t="s">
        <v>56</v>
      </c>
      <c r="G6126" s="5" t="s">
        <v>17</v>
      </c>
      <c r="H6126">
        <v>84</v>
      </c>
      <c r="I6126" s="4">
        <v>1567608</v>
      </c>
      <c r="J6126" s="4">
        <v>628320</v>
      </c>
    </row>
    <row r="6127" spans="2:10" x14ac:dyDescent="0.3">
      <c r="B6127" s="7">
        <v>44317</v>
      </c>
      <c r="C6127" s="3">
        <f t="shared" si="190"/>
        <v>2021</v>
      </c>
      <c r="D6127" s="3">
        <f t="shared" si="191"/>
        <v>202105</v>
      </c>
      <c r="E6127" s="5" t="s">
        <v>8</v>
      </c>
      <c r="F6127" s="5" t="s">
        <v>56</v>
      </c>
      <c r="G6127" s="5" t="s">
        <v>17</v>
      </c>
      <c r="H6127">
        <v>106</v>
      </c>
      <c r="I6127" s="4">
        <v>1997676</v>
      </c>
      <c r="J6127" s="4">
        <v>792880</v>
      </c>
    </row>
    <row r="6128" spans="2:10" x14ac:dyDescent="0.3">
      <c r="B6128" s="7">
        <v>44348</v>
      </c>
      <c r="C6128" s="3">
        <f t="shared" si="190"/>
        <v>2021</v>
      </c>
      <c r="D6128" s="3">
        <f t="shared" si="191"/>
        <v>202106</v>
      </c>
      <c r="E6128" s="5" t="s">
        <v>8</v>
      </c>
      <c r="F6128" s="5" t="s">
        <v>56</v>
      </c>
      <c r="G6128" s="5" t="s">
        <v>17</v>
      </c>
      <c r="H6128">
        <v>101</v>
      </c>
      <c r="I6128" s="4">
        <v>1842644</v>
      </c>
      <c r="J6128" s="4">
        <v>755480</v>
      </c>
    </row>
    <row r="6129" spans="2:10" x14ac:dyDescent="0.3">
      <c r="B6129" s="7">
        <v>44378</v>
      </c>
      <c r="C6129" s="3">
        <f t="shared" si="190"/>
        <v>2021</v>
      </c>
      <c r="D6129" s="3">
        <f t="shared" si="191"/>
        <v>202107</v>
      </c>
      <c r="E6129" s="5" t="s">
        <v>8</v>
      </c>
      <c r="F6129" s="5" t="s">
        <v>56</v>
      </c>
      <c r="G6129" s="5" t="s">
        <v>17</v>
      </c>
      <c r="H6129">
        <v>106</v>
      </c>
      <c r="I6129" s="4">
        <v>1771684</v>
      </c>
      <c r="J6129" s="4">
        <v>792880</v>
      </c>
    </row>
    <row r="6130" spans="2:10" x14ac:dyDescent="0.3">
      <c r="B6130" s="7">
        <v>44409</v>
      </c>
      <c r="C6130" s="3">
        <f t="shared" si="190"/>
        <v>2021</v>
      </c>
      <c r="D6130" s="3">
        <f t="shared" si="191"/>
        <v>202108</v>
      </c>
      <c r="E6130" s="5" t="s">
        <v>8</v>
      </c>
      <c r="F6130" s="5" t="s">
        <v>56</v>
      </c>
      <c r="G6130" s="5" t="s">
        <v>17</v>
      </c>
      <c r="H6130">
        <v>89</v>
      </c>
      <c r="I6130" s="4">
        <v>1618109</v>
      </c>
      <c r="J6130" s="4">
        <v>665720</v>
      </c>
    </row>
    <row r="6131" spans="2:10" x14ac:dyDescent="0.3">
      <c r="B6131" s="7">
        <v>44440</v>
      </c>
      <c r="C6131" s="3">
        <f t="shared" si="190"/>
        <v>2021</v>
      </c>
      <c r="D6131" s="3">
        <f t="shared" si="191"/>
        <v>202109</v>
      </c>
      <c r="E6131" s="5" t="s">
        <v>8</v>
      </c>
      <c r="F6131" s="5" t="s">
        <v>56</v>
      </c>
      <c r="G6131" s="5" t="s">
        <v>17</v>
      </c>
      <c r="H6131">
        <v>95</v>
      </c>
      <c r="I6131" s="4">
        <v>1714370</v>
      </c>
      <c r="J6131" s="4">
        <v>710600</v>
      </c>
    </row>
    <row r="6132" spans="2:10" x14ac:dyDescent="0.3">
      <c r="B6132" s="7">
        <v>44470</v>
      </c>
      <c r="C6132" s="3">
        <f t="shared" si="190"/>
        <v>2021</v>
      </c>
      <c r="D6132" s="3">
        <f t="shared" si="191"/>
        <v>202110</v>
      </c>
      <c r="E6132" s="5" t="s">
        <v>8</v>
      </c>
      <c r="F6132" s="5" t="s">
        <v>56</v>
      </c>
      <c r="G6132" s="5" t="s">
        <v>17</v>
      </c>
      <c r="H6132">
        <v>78</v>
      </c>
      <c r="I6132" s="4">
        <v>1467804</v>
      </c>
      <c r="J6132" s="4">
        <v>583440</v>
      </c>
    </row>
    <row r="6133" spans="2:10" x14ac:dyDescent="0.3">
      <c r="B6133" s="7">
        <v>44501</v>
      </c>
      <c r="C6133" s="3">
        <f t="shared" si="190"/>
        <v>2021</v>
      </c>
      <c r="D6133" s="3">
        <f t="shared" si="191"/>
        <v>202111</v>
      </c>
      <c r="E6133" s="5" t="s">
        <v>8</v>
      </c>
      <c r="F6133" s="5" t="s">
        <v>56</v>
      </c>
      <c r="G6133" s="5" t="s">
        <v>17</v>
      </c>
      <c r="H6133">
        <v>56</v>
      </c>
      <c r="I6133" s="4">
        <v>1019536</v>
      </c>
      <c r="J6133" s="4">
        <v>418880</v>
      </c>
    </row>
    <row r="6134" spans="2:10" x14ac:dyDescent="0.3">
      <c r="B6134" s="7">
        <v>44531</v>
      </c>
      <c r="C6134" s="3">
        <f t="shared" si="190"/>
        <v>2021</v>
      </c>
      <c r="D6134" s="3">
        <f t="shared" si="191"/>
        <v>202112</v>
      </c>
      <c r="E6134" s="5" t="s">
        <v>8</v>
      </c>
      <c r="F6134" s="5" t="s">
        <v>56</v>
      </c>
      <c r="G6134" s="5" t="s">
        <v>17</v>
      </c>
      <c r="H6134">
        <v>67</v>
      </c>
      <c r="I6134" s="4">
        <v>1199099</v>
      </c>
      <c r="J6134" s="4">
        <v>501160</v>
      </c>
    </row>
    <row r="6135" spans="2:10" x14ac:dyDescent="0.3">
      <c r="B6135" s="7">
        <v>44562</v>
      </c>
      <c r="C6135" s="3">
        <f t="shared" si="190"/>
        <v>2022</v>
      </c>
      <c r="D6135" s="3">
        <f t="shared" si="191"/>
        <v>202201</v>
      </c>
      <c r="E6135" s="5" t="s">
        <v>8</v>
      </c>
      <c r="F6135" s="5" t="s">
        <v>56</v>
      </c>
      <c r="G6135" s="5" t="s">
        <v>17</v>
      </c>
      <c r="H6135">
        <v>98</v>
      </c>
      <c r="I6135" s="4">
        <v>1750574</v>
      </c>
      <c r="J6135" s="4">
        <v>733040</v>
      </c>
    </row>
    <row r="6136" spans="2:10" x14ac:dyDescent="0.3">
      <c r="B6136" s="7">
        <v>44593</v>
      </c>
      <c r="C6136" s="3">
        <f t="shared" si="190"/>
        <v>2022</v>
      </c>
      <c r="D6136" s="3">
        <f t="shared" si="191"/>
        <v>202202</v>
      </c>
      <c r="E6136" s="5" t="s">
        <v>8</v>
      </c>
      <c r="F6136" s="5" t="s">
        <v>56</v>
      </c>
      <c r="G6136" s="5" t="s">
        <v>17</v>
      </c>
      <c r="H6136">
        <v>62</v>
      </c>
      <c r="I6136" s="4">
        <v>1117302</v>
      </c>
      <c r="J6136" s="4">
        <v>463760</v>
      </c>
    </row>
    <row r="6137" spans="2:10" x14ac:dyDescent="0.3">
      <c r="B6137" s="7">
        <v>44621</v>
      </c>
      <c r="C6137" s="3">
        <f t="shared" si="190"/>
        <v>2022</v>
      </c>
      <c r="D6137" s="3">
        <f t="shared" si="191"/>
        <v>202203</v>
      </c>
      <c r="E6137" s="5" t="s">
        <v>8</v>
      </c>
      <c r="F6137" s="5" t="s">
        <v>56</v>
      </c>
      <c r="G6137" s="5" t="s">
        <v>17</v>
      </c>
      <c r="H6137">
        <v>49</v>
      </c>
      <c r="I6137" s="4">
        <v>886900</v>
      </c>
      <c r="J6137" s="4">
        <v>366520</v>
      </c>
    </row>
    <row r="6138" spans="2:10" x14ac:dyDescent="0.3">
      <c r="B6138" s="7">
        <v>44652</v>
      </c>
      <c r="C6138" s="3">
        <f t="shared" si="190"/>
        <v>2022</v>
      </c>
      <c r="D6138" s="3">
        <f t="shared" si="191"/>
        <v>202204</v>
      </c>
      <c r="E6138" s="5" t="s">
        <v>8</v>
      </c>
      <c r="F6138" s="5" t="s">
        <v>56</v>
      </c>
      <c r="G6138" s="5" t="s">
        <v>17</v>
      </c>
      <c r="H6138">
        <v>92</v>
      </c>
      <c r="I6138" s="4">
        <v>1683232</v>
      </c>
      <c r="J6138" s="4">
        <v>688160</v>
      </c>
    </row>
    <row r="6139" spans="2:10" x14ac:dyDescent="0.3">
      <c r="B6139" s="7">
        <v>44682</v>
      </c>
      <c r="C6139" s="3">
        <f t="shared" si="190"/>
        <v>2022</v>
      </c>
      <c r="D6139" s="3">
        <f t="shared" si="191"/>
        <v>202205</v>
      </c>
      <c r="E6139" s="5" t="s">
        <v>8</v>
      </c>
      <c r="F6139" s="5" t="s">
        <v>56</v>
      </c>
      <c r="G6139" s="5" t="s">
        <v>17</v>
      </c>
      <c r="H6139">
        <v>117</v>
      </c>
      <c r="I6139" s="4">
        <v>2207790</v>
      </c>
      <c r="J6139" s="4">
        <v>875160</v>
      </c>
    </row>
    <row r="6140" spans="2:10" x14ac:dyDescent="0.3">
      <c r="B6140" s="7">
        <v>44713</v>
      </c>
      <c r="C6140" s="3">
        <f t="shared" si="190"/>
        <v>2022</v>
      </c>
      <c r="D6140" s="3">
        <f t="shared" si="191"/>
        <v>202206</v>
      </c>
      <c r="E6140" s="5" t="s">
        <v>8</v>
      </c>
      <c r="F6140" s="5" t="s">
        <v>56</v>
      </c>
      <c r="G6140" s="5" t="s">
        <v>17</v>
      </c>
      <c r="H6140">
        <v>111</v>
      </c>
      <c r="I6140" s="4">
        <v>2075922</v>
      </c>
      <c r="J6140" s="4">
        <v>830280</v>
      </c>
    </row>
    <row r="6141" spans="2:10" x14ac:dyDescent="0.3">
      <c r="B6141" s="7">
        <v>44743</v>
      </c>
      <c r="C6141" s="3">
        <f t="shared" si="190"/>
        <v>2022</v>
      </c>
      <c r="D6141" s="3">
        <f t="shared" si="191"/>
        <v>202207</v>
      </c>
      <c r="E6141" s="5" t="s">
        <v>8</v>
      </c>
      <c r="F6141" s="5" t="s">
        <v>56</v>
      </c>
      <c r="G6141" s="5" t="s">
        <v>17</v>
      </c>
      <c r="H6141">
        <v>117</v>
      </c>
      <c r="I6141" s="4">
        <v>1968642</v>
      </c>
      <c r="J6141" s="4">
        <v>875160</v>
      </c>
    </row>
    <row r="6142" spans="2:10" x14ac:dyDescent="0.3">
      <c r="B6142" s="7">
        <v>44774</v>
      </c>
      <c r="C6142" s="3">
        <f t="shared" si="190"/>
        <v>2022</v>
      </c>
      <c r="D6142" s="3">
        <f t="shared" si="191"/>
        <v>202208</v>
      </c>
      <c r="E6142" s="5" t="s">
        <v>8</v>
      </c>
      <c r="F6142" s="5" t="s">
        <v>56</v>
      </c>
      <c r="G6142" s="5" t="s">
        <v>17</v>
      </c>
      <c r="H6142">
        <v>98</v>
      </c>
      <c r="I6142" s="4">
        <v>1666686</v>
      </c>
      <c r="J6142" s="4">
        <v>733040</v>
      </c>
    </row>
    <row r="6143" spans="2:10" x14ac:dyDescent="0.3">
      <c r="B6143" s="7">
        <v>44805</v>
      </c>
      <c r="C6143" s="3">
        <f t="shared" si="190"/>
        <v>2022</v>
      </c>
      <c r="D6143" s="3">
        <f t="shared" si="191"/>
        <v>202209</v>
      </c>
      <c r="E6143" s="5" t="s">
        <v>8</v>
      </c>
      <c r="F6143" s="5" t="s">
        <v>56</v>
      </c>
      <c r="G6143" s="5" t="s">
        <v>17</v>
      </c>
      <c r="H6143">
        <v>104</v>
      </c>
      <c r="I6143" s="4">
        <v>1898312</v>
      </c>
      <c r="J6143" s="4">
        <v>777920</v>
      </c>
    </row>
    <row r="6144" spans="2:10" x14ac:dyDescent="0.3">
      <c r="B6144" s="7">
        <v>44835</v>
      </c>
      <c r="C6144" s="3">
        <f t="shared" si="190"/>
        <v>2022</v>
      </c>
      <c r="D6144" s="3">
        <f t="shared" si="191"/>
        <v>202210</v>
      </c>
      <c r="E6144" s="5" t="s">
        <v>8</v>
      </c>
      <c r="F6144" s="5" t="s">
        <v>56</v>
      </c>
      <c r="G6144" s="5" t="s">
        <v>17</v>
      </c>
      <c r="H6144">
        <v>86</v>
      </c>
      <c r="I6144" s="4">
        <v>1628668</v>
      </c>
      <c r="J6144" s="4">
        <v>643280</v>
      </c>
    </row>
    <row r="6145" spans="2:10" x14ac:dyDescent="0.3">
      <c r="B6145" s="7">
        <v>44866</v>
      </c>
      <c r="C6145" s="3">
        <f t="shared" si="190"/>
        <v>2022</v>
      </c>
      <c r="D6145" s="3">
        <f t="shared" si="191"/>
        <v>202211</v>
      </c>
      <c r="E6145" s="5" t="s">
        <v>8</v>
      </c>
      <c r="F6145" s="5" t="s">
        <v>56</v>
      </c>
      <c r="G6145" s="5" t="s">
        <v>17</v>
      </c>
      <c r="H6145">
        <v>62</v>
      </c>
      <c r="I6145" s="4">
        <v>1149666</v>
      </c>
      <c r="J6145" s="4">
        <v>463760</v>
      </c>
    </row>
    <row r="6146" spans="2:10" x14ac:dyDescent="0.3">
      <c r="B6146" s="7">
        <v>44896</v>
      </c>
      <c r="C6146" s="3">
        <f t="shared" si="190"/>
        <v>2022</v>
      </c>
      <c r="D6146" s="3">
        <f t="shared" si="191"/>
        <v>202212</v>
      </c>
      <c r="E6146" s="5" t="s">
        <v>8</v>
      </c>
      <c r="F6146" s="5" t="s">
        <v>56</v>
      </c>
      <c r="G6146" s="5" t="s">
        <v>17</v>
      </c>
      <c r="H6146">
        <v>74</v>
      </c>
      <c r="I6146" s="4">
        <v>1299588</v>
      </c>
      <c r="J6146" s="4">
        <v>553520</v>
      </c>
    </row>
    <row r="6147" spans="2:10" x14ac:dyDescent="0.3">
      <c r="B6147" s="7">
        <v>44197</v>
      </c>
      <c r="C6147" s="3">
        <f t="shared" ref="C6147:C6210" si="192">YEAR(B6147)</f>
        <v>2021</v>
      </c>
      <c r="D6147" s="3">
        <f t="shared" ref="D6147:D6210" si="193">VALUE(TEXT(B6147,"ГГГГММ"))</f>
        <v>202101</v>
      </c>
      <c r="E6147" s="5" t="s">
        <v>8</v>
      </c>
      <c r="F6147" s="5" t="s">
        <v>56</v>
      </c>
      <c r="G6147" s="5" t="s">
        <v>18</v>
      </c>
      <c r="H6147">
        <v>70</v>
      </c>
      <c r="I6147" s="4">
        <v>2166710</v>
      </c>
      <c r="J6147" s="4">
        <v>1176000</v>
      </c>
    </row>
    <row r="6148" spans="2:10" x14ac:dyDescent="0.3">
      <c r="B6148" s="7">
        <v>44228</v>
      </c>
      <c r="C6148" s="3">
        <f t="shared" si="192"/>
        <v>2021</v>
      </c>
      <c r="D6148" s="3">
        <f t="shared" si="193"/>
        <v>202102</v>
      </c>
      <c r="E6148" s="5" t="s">
        <v>8</v>
      </c>
      <c r="F6148" s="5" t="s">
        <v>56</v>
      </c>
      <c r="G6148" s="5" t="s">
        <v>18</v>
      </c>
      <c r="H6148">
        <v>44</v>
      </c>
      <c r="I6148" s="4">
        <v>1393084</v>
      </c>
      <c r="J6148" s="4">
        <v>739200</v>
      </c>
    </row>
    <row r="6149" spans="2:10" x14ac:dyDescent="0.3">
      <c r="B6149" s="7">
        <v>44256</v>
      </c>
      <c r="C6149" s="3">
        <f t="shared" si="192"/>
        <v>2021</v>
      </c>
      <c r="D6149" s="3">
        <f t="shared" si="193"/>
        <v>202103</v>
      </c>
      <c r="E6149" s="5" t="s">
        <v>8</v>
      </c>
      <c r="F6149" s="5" t="s">
        <v>56</v>
      </c>
      <c r="G6149" s="5" t="s">
        <v>18</v>
      </c>
      <c r="H6149">
        <v>35</v>
      </c>
      <c r="I6149" s="4">
        <v>1078980</v>
      </c>
      <c r="J6149" s="4">
        <v>588000</v>
      </c>
    </row>
    <row r="6150" spans="2:10" x14ac:dyDescent="0.3">
      <c r="B6150" s="7">
        <v>44287</v>
      </c>
      <c r="C6150" s="3">
        <f t="shared" si="192"/>
        <v>2021</v>
      </c>
      <c r="D6150" s="3">
        <f t="shared" si="193"/>
        <v>202104</v>
      </c>
      <c r="E6150" s="5" t="s">
        <v>8</v>
      </c>
      <c r="F6150" s="5" t="s">
        <v>56</v>
      </c>
      <c r="G6150" s="5" t="s">
        <v>18</v>
      </c>
      <c r="H6150">
        <v>65</v>
      </c>
      <c r="I6150" s="4">
        <v>2049775</v>
      </c>
      <c r="J6150" s="4">
        <v>1092000</v>
      </c>
    </row>
    <row r="6151" spans="2:10" x14ac:dyDescent="0.3">
      <c r="B6151" s="7">
        <v>44317</v>
      </c>
      <c r="C6151" s="3">
        <f t="shared" si="192"/>
        <v>2021</v>
      </c>
      <c r="D6151" s="3">
        <f t="shared" si="193"/>
        <v>202105</v>
      </c>
      <c r="E6151" s="5" t="s">
        <v>8</v>
      </c>
      <c r="F6151" s="5" t="s">
        <v>56</v>
      </c>
      <c r="G6151" s="5" t="s">
        <v>18</v>
      </c>
      <c r="H6151">
        <v>83</v>
      </c>
      <c r="I6151" s="4">
        <v>2643467</v>
      </c>
      <c r="J6151" s="4">
        <v>1394400</v>
      </c>
    </row>
    <row r="6152" spans="2:10" x14ac:dyDescent="0.3">
      <c r="B6152" s="7">
        <v>44348</v>
      </c>
      <c r="C6152" s="3">
        <f t="shared" si="192"/>
        <v>2021</v>
      </c>
      <c r="D6152" s="3">
        <f t="shared" si="193"/>
        <v>202106</v>
      </c>
      <c r="E6152" s="5" t="s">
        <v>8</v>
      </c>
      <c r="F6152" s="5" t="s">
        <v>56</v>
      </c>
      <c r="G6152" s="5" t="s">
        <v>18</v>
      </c>
      <c r="H6152">
        <v>78</v>
      </c>
      <c r="I6152" s="4">
        <v>2441634</v>
      </c>
      <c r="J6152" s="4">
        <v>1310400</v>
      </c>
    </row>
    <row r="6153" spans="2:10" x14ac:dyDescent="0.3">
      <c r="B6153" s="7">
        <v>44378</v>
      </c>
      <c r="C6153" s="3">
        <f t="shared" si="192"/>
        <v>2021</v>
      </c>
      <c r="D6153" s="3">
        <f t="shared" si="193"/>
        <v>202107</v>
      </c>
      <c r="E6153" s="5" t="s">
        <v>8</v>
      </c>
      <c r="F6153" s="5" t="s">
        <v>56</v>
      </c>
      <c r="G6153" s="5" t="s">
        <v>18</v>
      </c>
      <c r="H6153">
        <v>83</v>
      </c>
      <c r="I6153" s="4">
        <v>2436714</v>
      </c>
      <c r="J6153" s="4">
        <v>1394400</v>
      </c>
    </row>
    <row r="6154" spans="2:10" x14ac:dyDescent="0.3">
      <c r="B6154" s="7">
        <v>44409</v>
      </c>
      <c r="C6154" s="3">
        <f t="shared" si="192"/>
        <v>2021</v>
      </c>
      <c r="D6154" s="3">
        <f t="shared" si="193"/>
        <v>202108</v>
      </c>
      <c r="E6154" s="5" t="s">
        <v>8</v>
      </c>
      <c r="F6154" s="5" t="s">
        <v>56</v>
      </c>
      <c r="G6154" s="5" t="s">
        <v>18</v>
      </c>
      <c r="H6154">
        <v>70</v>
      </c>
      <c r="I6154" s="4">
        <v>2165800</v>
      </c>
      <c r="J6154" s="4">
        <v>1176000</v>
      </c>
    </row>
    <row r="6155" spans="2:10" x14ac:dyDescent="0.3">
      <c r="B6155" s="7">
        <v>44440</v>
      </c>
      <c r="C6155" s="3">
        <f t="shared" si="192"/>
        <v>2021</v>
      </c>
      <c r="D6155" s="3">
        <f t="shared" si="193"/>
        <v>202109</v>
      </c>
      <c r="E6155" s="5" t="s">
        <v>8</v>
      </c>
      <c r="F6155" s="5" t="s">
        <v>56</v>
      </c>
      <c r="G6155" s="5" t="s">
        <v>18</v>
      </c>
      <c r="H6155">
        <v>74</v>
      </c>
      <c r="I6155" s="4">
        <v>2308800</v>
      </c>
      <c r="J6155" s="4">
        <v>1243200</v>
      </c>
    </row>
    <row r="6156" spans="2:10" x14ac:dyDescent="0.3">
      <c r="B6156" s="7">
        <v>44470</v>
      </c>
      <c r="C6156" s="3">
        <f t="shared" si="192"/>
        <v>2021</v>
      </c>
      <c r="D6156" s="3">
        <f t="shared" si="193"/>
        <v>202110</v>
      </c>
      <c r="E6156" s="5" t="s">
        <v>8</v>
      </c>
      <c r="F6156" s="5" t="s">
        <v>56</v>
      </c>
      <c r="G6156" s="5" t="s">
        <v>18</v>
      </c>
      <c r="H6156">
        <v>61</v>
      </c>
      <c r="I6156" s="4">
        <v>1911008</v>
      </c>
      <c r="J6156" s="4">
        <v>1024800</v>
      </c>
    </row>
    <row r="6157" spans="2:10" x14ac:dyDescent="0.3">
      <c r="B6157" s="7">
        <v>44501</v>
      </c>
      <c r="C6157" s="3">
        <f t="shared" si="192"/>
        <v>2021</v>
      </c>
      <c r="D6157" s="3">
        <f t="shared" si="193"/>
        <v>202111</v>
      </c>
      <c r="E6157" s="5" t="s">
        <v>8</v>
      </c>
      <c r="F6157" s="5" t="s">
        <v>56</v>
      </c>
      <c r="G6157" s="5" t="s">
        <v>18</v>
      </c>
      <c r="H6157">
        <v>44</v>
      </c>
      <c r="I6157" s="4">
        <v>1361360</v>
      </c>
      <c r="J6157" s="4">
        <v>739200</v>
      </c>
    </row>
    <row r="6158" spans="2:10" x14ac:dyDescent="0.3">
      <c r="B6158" s="7">
        <v>44531</v>
      </c>
      <c r="C6158" s="3">
        <f t="shared" si="192"/>
        <v>2021</v>
      </c>
      <c r="D6158" s="3">
        <f t="shared" si="193"/>
        <v>202112</v>
      </c>
      <c r="E6158" s="5" t="s">
        <v>8</v>
      </c>
      <c r="F6158" s="5" t="s">
        <v>56</v>
      </c>
      <c r="G6158" s="5" t="s">
        <v>18</v>
      </c>
      <c r="H6158">
        <v>52</v>
      </c>
      <c r="I6158" s="4">
        <v>1581476</v>
      </c>
      <c r="J6158" s="4">
        <v>873600</v>
      </c>
    </row>
    <row r="6159" spans="2:10" x14ac:dyDescent="0.3">
      <c r="B6159" s="7">
        <v>44562</v>
      </c>
      <c r="C6159" s="3">
        <f t="shared" si="192"/>
        <v>2022</v>
      </c>
      <c r="D6159" s="3">
        <f t="shared" si="193"/>
        <v>202201</v>
      </c>
      <c r="E6159" s="5" t="s">
        <v>8</v>
      </c>
      <c r="F6159" s="5" t="s">
        <v>56</v>
      </c>
      <c r="G6159" s="5" t="s">
        <v>18</v>
      </c>
      <c r="H6159">
        <v>77</v>
      </c>
      <c r="I6159" s="4">
        <v>2413026</v>
      </c>
      <c r="J6159" s="4">
        <v>1293600</v>
      </c>
    </row>
    <row r="6160" spans="2:10" x14ac:dyDescent="0.3">
      <c r="B6160" s="7">
        <v>44593</v>
      </c>
      <c r="C6160" s="3">
        <f t="shared" si="192"/>
        <v>2022</v>
      </c>
      <c r="D6160" s="3">
        <f t="shared" si="193"/>
        <v>202202</v>
      </c>
      <c r="E6160" s="5" t="s">
        <v>8</v>
      </c>
      <c r="F6160" s="5" t="s">
        <v>56</v>
      </c>
      <c r="G6160" s="5" t="s">
        <v>18</v>
      </c>
      <c r="H6160">
        <v>48</v>
      </c>
      <c r="I6160" s="4">
        <v>1511568</v>
      </c>
      <c r="J6160" s="4">
        <v>806400</v>
      </c>
    </row>
    <row r="6161" spans="2:10" x14ac:dyDescent="0.3">
      <c r="B6161" s="7">
        <v>44621</v>
      </c>
      <c r="C6161" s="3">
        <f t="shared" si="192"/>
        <v>2022</v>
      </c>
      <c r="D6161" s="3">
        <f t="shared" si="193"/>
        <v>202203</v>
      </c>
      <c r="E6161" s="5" t="s">
        <v>8</v>
      </c>
      <c r="F6161" s="5" t="s">
        <v>56</v>
      </c>
      <c r="G6161" s="5" t="s">
        <v>18</v>
      </c>
      <c r="H6161">
        <v>39</v>
      </c>
      <c r="I6161" s="4">
        <v>1191489</v>
      </c>
      <c r="J6161" s="4">
        <v>655200</v>
      </c>
    </row>
    <row r="6162" spans="2:10" x14ac:dyDescent="0.3">
      <c r="B6162" s="7">
        <v>44652</v>
      </c>
      <c r="C6162" s="3">
        <f t="shared" si="192"/>
        <v>2022</v>
      </c>
      <c r="D6162" s="3">
        <f t="shared" si="193"/>
        <v>202204</v>
      </c>
      <c r="E6162" s="5" t="s">
        <v>8</v>
      </c>
      <c r="F6162" s="5" t="s">
        <v>56</v>
      </c>
      <c r="G6162" s="5" t="s">
        <v>18</v>
      </c>
      <c r="H6162">
        <v>72</v>
      </c>
      <c r="I6162" s="4">
        <v>2313432</v>
      </c>
      <c r="J6162" s="4">
        <v>1209600</v>
      </c>
    </row>
    <row r="6163" spans="2:10" x14ac:dyDescent="0.3">
      <c r="B6163" s="7">
        <v>44682</v>
      </c>
      <c r="C6163" s="3">
        <f t="shared" si="192"/>
        <v>2022</v>
      </c>
      <c r="D6163" s="3">
        <f t="shared" si="193"/>
        <v>202205</v>
      </c>
      <c r="E6163" s="5" t="s">
        <v>8</v>
      </c>
      <c r="F6163" s="5" t="s">
        <v>56</v>
      </c>
      <c r="G6163" s="5" t="s">
        <v>18</v>
      </c>
      <c r="H6163">
        <v>91</v>
      </c>
      <c r="I6163" s="4">
        <v>2924376</v>
      </c>
      <c r="J6163" s="4">
        <v>1528800</v>
      </c>
    </row>
    <row r="6164" spans="2:10" x14ac:dyDescent="0.3">
      <c r="B6164" s="7">
        <v>44713</v>
      </c>
      <c r="C6164" s="3">
        <f t="shared" si="192"/>
        <v>2022</v>
      </c>
      <c r="D6164" s="3">
        <f t="shared" si="193"/>
        <v>202206</v>
      </c>
      <c r="E6164" s="5" t="s">
        <v>8</v>
      </c>
      <c r="F6164" s="5" t="s">
        <v>56</v>
      </c>
      <c r="G6164" s="5" t="s">
        <v>18</v>
      </c>
      <c r="H6164">
        <v>86</v>
      </c>
      <c r="I6164" s="4">
        <v>2703668</v>
      </c>
      <c r="J6164" s="4">
        <v>1444800</v>
      </c>
    </row>
    <row r="6165" spans="2:10" x14ac:dyDescent="0.3">
      <c r="B6165" s="7">
        <v>44743</v>
      </c>
      <c r="C6165" s="3">
        <f t="shared" si="192"/>
        <v>2022</v>
      </c>
      <c r="D6165" s="3">
        <f t="shared" si="193"/>
        <v>202207</v>
      </c>
      <c r="E6165" s="5" t="s">
        <v>8</v>
      </c>
      <c r="F6165" s="5" t="s">
        <v>56</v>
      </c>
      <c r="G6165" s="5" t="s">
        <v>18</v>
      </c>
      <c r="H6165">
        <v>91</v>
      </c>
      <c r="I6165" s="4">
        <v>2768948</v>
      </c>
      <c r="J6165" s="4">
        <v>1528800</v>
      </c>
    </row>
    <row r="6166" spans="2:10" x14ac:dyDescent="0.3">
      <c r="B6166" s="7">
        <v>44774</v>
      </c>
      <c r="C6166" s="3">
        <f t="shared" si="192"/>
        <v>2022</v>
      </c>
      <c r="D6166" s="3">
        <f t="shared" si="193"/>
        <v>202208</v>
      </c>
      <c r="E6166" s="5" t="s">
        <v>8</v>
      </c>
      <c r="F6166" s="5" t="s">
        <v>56</v>
      </c>
      <c r="G6166" s="5" t="s">
        <v>18</v>
      </c>
      <c r="H6166">
        <v>77</v>
      </c>
      <c r="I6166" s="4">
        <v>2374064</v>
      </c>
      <c r="J6166" s="4">
        <v>1293600</v>
      </c>
    </row>
    <row r="6167" spans="2:10" x14ac:dyDescent="0.3">
      <c r="B6167" s="7">
        <v>44805</v>
      </c>
      <c r="C6167" s="3">
        <f t="shared" si="192"/>
        <v>2022</v>
      </c>
      <c r="D6167" s="3">
        <f t="shared" si="193"/>
        <v>202209</v>
      </c>
      <c r="E6167" s="5" t="s">
        <v>8</v>
      </c>
      <c r="F6167" s="5" t="s">
        <v>56</v>
      </c>
      <c r="G6167" s="5" t="s">
        <v>18</v>
      </c>
      <c r="H6167">
        <v>81</v>
      </c>
      <c r="I6167" s="4">
        <v>2481678</v>
      </c>
      <c r="J6167" s="4">
        <v>1360800</v>
      </c>
    </row>
    <row r="6168" spans="2:10" x14ac:dyDescent="0.3">
      <c r="B6168" s="7">
        <v>44835</v>
      </c>
      <c r="C6168" s="3">
        <f t="shared" si="192"/>
        <v>2022</v>
      </c>
      <c r="D6168" s="3">
        <f t="shared" si="193"/>
        <v>202210</v>
      </c>
      <c r="E6168" s="5" t="s">
        <v>8</v>
      </c>
      <c r="F6168" s="5" t="s">
        <v>56</v>
      </c>
      <c r="G6168" s="5" t="s">
        <v>18</v>
      </c>
      <c r="H6168">
        <v>67</v>
      </c>
      <c r="I6168" s="4">
        <v>2109227</v>
      </c>
      <c r="J6168" s="4">
        <v>1125600</v>
      </c>
    </row>
    <row r="6169" spans="2:10" x14ac:dyDescent="0.3">
      <c r="B6169" s="7">
        <v>44866</v>
      </c>
      <c r="C6169" s="3">
        <f t="shared" si="192"/>
        <v>2022</v>
      </c>
      <c r="D6169" s="3">
        <f t="shared" si="193"/>
        <v>202211</v>
      </c>
      <c r="E6169" s="5" t="s">
        <v>8</v>
      </c>
      <c r="F6169" s="5" t="s">
        <v>56</v>
      </c>
      <c r="G6169" s="5" t="s">
        <v>18</v>
      </c>
      <c r="H6169">
        <v>48</v>
      </c>
      <c r="I6169" s="4">
        <v>1518960</v>
      </c>
      <c r="J6169" s="4">
        <v>806400</v>
      </c>
    </row>
    <row r="6170" spans="2:10" x14ac:dyDescent="0.3">
      <c r="B6170" s="7">
        <v>44896</v>
      </c>
      <c r="C6170" s="3">
        <f t="shared" si="192"/>
        <v>2022</v>
      </c>
      <c r="D6170" s="3">
        <f t="shared" si="193"/>
        <v>202212</v>
      </c>
      <c r="E6170" s="5" t="s">
        <v>8</v>
      </c>
      <c r="F6170" s="5" t="s">
        <v>56</v>
      </c>
      <c r="G6170" s="5" t="s">
        <v>18</v>
      </c>
      <c r="H6170">
        <v>58</v>
      </c>
      <c r="I6170" s="4">
        <v>1810876</v>
      </c>
      <c r="J6170" s="4">
        <v>974400</v>
      </c>
    </row>
    <row r="6171" spans="2:10" x14ac:dyDescent="0.3">
      <c r="B6171" s="7">
        <v>44197</v>
      </c>
      <c r="C6171" s="3">
        <f t="shared" si="192"/>
        <v>2021</v>
      </c>
      <c r="D6171" s="3">
        <f t="shared" si="193"/>
        <v>202101</v>
      </c>
      <c r="E6171" s="5" t="s">
        <v>8</v>
      </c>
      <c r="F6171" s="5" t="s">
        <v>56</v>
      </c>
      <c r="G6171" s="5" t="s">
        <v>19</v>
      </c>
      <c r="H6171">
        <v>67</v>
      </c>
      <c r="I6171" s="4">
        <v>1102619</v>
      </c>
      <c r="J6171" s="4">
        <v>412050</v>
      </c>
    </row>
    <row r="6172" spans="2:10" x14ac:dyDescent="0.3">
      <c r="B6172" s="7">
        <v>44228</v>
      </c>
      <c r="C6172" s="3">
        <f t="shared" si="192"/>
        <v>2021</v>
      </c>
      <c r="D6172" s="3">
        <f t="shared" si="193"/>
        <v>202102</v>
      </c>
      <c r="E6172" s="5" t="s">
        <v>8</v>
      </c>
      <c r="F6172" s="5" t="s">
        <v>56</v>
      </c>
      <c r="G6172" s="5" t="s">
        <v>19</v>
      </c>
      <c r="H6172">
        <v>42</v>
      </c>
      <c r="I6172" s="4">
        <v>680400</v>
      </c>
      <c r="J6172" s="4">
        <v>258300</v>
      </c>
    </row>
    <row r="6173" spans="2:10" x14ac:dyDescent="0.3">
      <c r="B6173" s="7">
        <v>44256</v>
      </c>
      <c r="C6173" s="3">
        <f t="shared" si="192"/>
        <v>2021</v>
      </c>
      <c r="D6173" s="3">
        <f t="shared" si="193"/>
        <v>202103</v>
      </c>
      <c r="E6173" s="5" t="s">
        <v>8</v>
      </c>
      <c r="F6173" s="5" t="s">
        <v>56</v>
      </c>
      <c r="G6173" s="5" t="s">
        <v>19</v>
      </c>
      <c r="H6173">
        <v>34</v>
      </c>
      <c r="I6173" s="4">
        <v>528462</v>
      </c>
      <c r="J6173" s="4">
        <v>209100</v>
      </c>
    </row>
    <row r="6174" spans="2:10" x14ac:dyDescent="0.3">
      <c r="B6174" s="7">
        <v>44287</v>
      </c>
      <c r="C6174" s="3">
        <f t="shared" si="192"/>
        <v>2021</v>
      </c>
      <c r="D6174" s="3">
        <f t="shared" si="193"/>
        <v>202104</v>
      </c>
      <c r="E6174" s="5" t="s">
        <v>8</v>
      </c>
      <c r="F6174" s="5" t="s">
        <v>56</v>
      </c>
      <c r="G6174" s="5" t="s">
        <v>19</v>
      </c>
      <c r="H6174">
        <v>62</v>
      </c>
      <c r="I6174" s="4">
        <v>1024674</v>
      </c>
      <c r="J6174" s="4">
        <v>381300</v>
      </c>
    </row>
    <row r="6175" spans="2:10" x14ac:dyDescent="0.3">
      <c r="B6175" s="7">
        <v>44317</v>
      </c>
      <c r="C6175" s="3">
        <f t="shared" si="192"/>
        <v>2021</v>
      </c>
      <c r="D6175" s="3">
        <f t="shared" si="193"/>
        <v>202105</v>
      </c>
      <c r="E6175" s="5" t="s">
        <v>8</v>
      </c>
      <c r="F6175" s="5" t="s">
        <v>56</v>
      </c>
      <c r="G6175" s="5" t="s">
        <v>19</v>
      </c>
      <c r="H6175">
        <v>79</v>
      </c>
      <c r="I6175" s="4">
        <v>1350426</v>
      </c>
      <c r="J6175" s="4">
        <v>485850</v>
      </c>
    </row>
    <row r="6176" spans="2:10" x14ac:dyDescent="0.3">
      <c r="B6176" s="7">
        <v>44348</v>
      </c>
      <c r="C6176" s="3">
        <f t="shared" si="192"/>
        <v>2021</v>
      </c>
      <c r="D6176" s="3">
        <f t="shared" si="193"/>
        <v>202106</v>
      </c>
      <c r="E6176" s="5" t="s">
        <v>8</v>
      </c>
      <c r="F6176" s="5" t="s">
        <v>56</v>
      </c>
      <c r="G6176" s="5" t="s">
        <v>19</v>
      </c>
      <c r="H6176">
        <v>75</v>
      </c>
      <c r="I6176" s="4">
        <v>1187325</v>
      </c>
      <c r="J6176" s="4">
        <v>461250</v>
      </c>
    </row>
    <row r="6177" spans="2:10" x14ac:dyDescent="0.3">
      <c r="B6177" s="7">
        <v>44378</v>
      </c>
      <c r="C6177" s="3">
        <f t="shared" si="192"/>
        <v>2021</v>
      </c>
      <c r="D6177" s="3">
        <f t="shared" si="193"/>
        <v>202107</v>
      </c>
      <c r="E6177" s="5" t="s">
        <v>8</v>
      </c>
      <c r="F6177" s="5" t="s">
        <v>56</v>
      </c>
      <c r="G6177" s="5" t="s">
        <v>19</v>
      </c>
      <c r="H6177">
        <v>79</v>
      </c>
      <c r="I6177" s="4">
        <v>1215494</v>
      </c>
      <c r="J6177" s="4">
        <v>485850</v>
      </c>
    </row>
    <row r="6178" spans="2:10" x14ac:dyDescent="0.3">
      <c r="B6178" s="7">
        <v>44409</v>
      </c>
      <c r="C6178" s="3">
        <f t="shared" si="192"/>
        <v>2021</v>
      </c>
      <c r="D6178" s="3">
        <f t="shared" si="193"/>
        <v>202108</v>
      </c>
      <c r="E6178" s="5" t="s">
        <v>8</v>
      </c>
      <c r="F6178" s="5" t="s">
        <v>56</v>
      </c>
      <c r="G6178" s="5" t="s">
        <v>19</v>
      </c>
      <c r="H6178">
        <v>67</v>
      </c>
      <c r="I6178" s="4">
        <v>1042051</v>
      </c>
      <c r="J6178" s="4">
        <v>412050</v>
      </c>
    </row>
    <row r="6179" spans="2:10" x14ac:dyDescent="0.3">
      <c r="B6179" s="7">
        <v>44440</v>
      </c>
      <c r="C6179" s="3">
        <f t="shared" si="192"/>
        <v>2021</v>
      </c>
      <c r="D6179" s="3">
        <f t="shared" si="193"/>
        <v>202109</v>
      </c>
      <c r="E6179" s="5" t="s">
        <v>8</v>
      </c>
      <c r="F6179" s="5" t="s">
        <v>56</v>
      </c>
      <c r="G6179" s="5" t="s">
        <v>19</v>
      </c>
      <c r="H6179">
        <v>71</v>
      </c>
      <c r="I6179" s="4">
        <v>1096098</v>
      </c>
      <c r="J6179" s="4">
        <v>436650</v>
      </c>
    </row>
    <row r="6180" spans="2:10" x14ac:dyDescent="0.3">
      <c r="B6180" s="7">
        <v>44470</v>
      </c>
      <c r="C6180" s="3">
        <f t="shared" si="192"/>
        <v>2021</v>
      </c>
      <c r="D6180" s="3">
        <f t="shared" si="193"/>
        <v>202110</v>
      </c>
      <c r="E6180" s="5" t="s">
        <v>8</v>
      </c>
      <c r="F6180" s="5" t="s">
        <v>56</v>
      </c>
      <c r="G6180" s="5" t="s">
        <v>19</v>
      </c>
      <c r="H6180">
        <v>58</v>
      </c>
      <c r="I6180" s="4">
        <v>940180</v>
      </c>
      <c r="J6180" s="4">
        <v>356700</v>
      </c>
    </row>
    <row r="6181" spans="2:10" x14ac:dyDescent="0.3">
      <c r="B6181" s="7">
        <v>44501</v>
      </c>
      <c r="C6181" s="3">
        <f t="shared" si="192"/>
        <v>2021</v>
      </c>
      <c r="D6181" s="3">
        <f t="shared" si="193"/>
        <v>202111</v>
      </c>
      <c r="E6181" s="5" t="s">
        <v>8</v>
      </c>
      <c r="F6181" s="5" t="s">
        <v>56</v>
      </c>
      <c r="G6181" s="5" t="s">
        <v>19</v>
      </c>
      <c r="H6181">
        <v>42</v>
      </c>
      <c r="I6181" s="4">
        <v>701232</v>
      </c>
      <c r="J6181" s="4">
        <v>258300</v>
      </c>
    </row>
    <row r="6182" spans="2:10" x14ac:dyDescent="0.3">
      <c r="B6182" s="7">
        <v>44531</v>
      </c>
      <c r="C6182" s="3">
        <f t="shared" si="192"/>
        <v>2021</v>
      </c>
      <c r="D6182" s="3">
        <f t="shared" si="193"/>
        <v>202112</v>
      </c>
      <c r="E6182" s="5" t="s">
        <v>8</v>
      </c>
      <c r="F6182" s="5" t="s">
        <v>56</v>
      </c>
      <c r="G6182" s="5" t="s">
        <v>19</v>
      </c>
      <c r="H6182">
        <v>50</v>
      </c>
      <c r="I6182" s="4">
        <v>794000</v>
      </c>
      <c r="J6182" s="4">
        <v>307500</v>
      </c>
    </row>
    <row r="6183" spans="2:10" x14ac:dyDescent="0.3">
      <c r="B6183" s="7">
        <v>44562</v>
      </c>
      <c r="C6183" s="3">
        <f t="shared" si="192"/>
        <v>2022</v>
      </c>
      <c r="D6183" s="3">
        <f t="shared" si="193"/>
        <v>202201</v>
      </c>
      <c r="E6183" s="5" t="s">
        <v>8</v>
      </c>
      <c r="F6183" s="5" t="s">
        <v>56</v>
      </c>
      <c r="G6183" s="5" t="s">
        <v>19</v>
      </c>
      <c r="H6183">
        <v>73</v>
      </c>
      <c r="I6183" s="4">
        <v>1133325</v>
      </c>
      <c r="J6183" s="4">
        <v>448950</v>
      </c>
    </row>
    <row r="6184" spans="2:10" x14ac:dyDescent="0.3">
      <c r="B6184" s="7">
        <v>44593</v>
      </c>
      <c r="C6184" s="3">
        <f t="shared" si="192"/>
        <v>2022</v>
      </c>
      <c r="D6184" s="3">
        <f t="shared" si="193"/>
        <v>202202</v>
      </c>
      <c r="E6184" s="5" t="s">
        <v>8</v>
      </c>
      <c r="F6184" s="5" t="s">
        <v>56</v>
      </c>
      <c r="G6184" s="5" t="s">
        <v>19</v>
      </c>
      <c r="H6184">
        <v>46</v>
      </c>
      <c r="I6184" s="4">
        <v>728824</v>
      </c>
      <c r="J6184" s="4">
        <v>282900</v>
      </c>
    </row>
    <row r="6185" spans="2:10" x14ac:dyDescent="0.3">
      <c r="B6185" s="7">
        <v>44621</v>
      </c>
      <c r="C6185" s="3">
        <f t="shared" si="192"/>
        <v>2022</v>
      </c>
      <c r="D6185" s="3">
        <f t="shared" si="193"/>
        <v>202203</v>
      </c>
      <c r="E6185" s="5" t="s">
        <v>8</v>
      </c>
      <c r="F6185" s="5" t="s">
        <v>56</v>
      </c>
      <c r="G6185" s="5" t="s">
        <v>19</v>
      </c>
      <c r="H6185">
        <v>37</v>
      </c>
      <c r="I6185" s="4">
        <v>595737</v>
      </c>
      <c r="J6185" s="4">
        <v>227550</v>
      </c>
    </row>
    <row r="6186" spans="2:10" x14ac:dyDescent="0.3">
      <c r="B6186" s="7">
        <v>44652</v>
      </c>
      <c r="C6186" s="3">
        <f t="shared" si="192"/>
        <v>2022</v>
      </c>
      <c r="D6186" s="3">
        <f t="shared" si="193"/>
        <v>202204</v>
      </c>
      <c r="E6186" s="5" t="s">
        <v>8</v>
      </c>
      <c r="F6186" s="5" t="s">
        <v>56</v>
      </c>
      <c r="G6186" s="5" t="s">
        <v>19</v>
      </c>
      <c r="H6186">
        <v>69</v>
      </c>
      <c r="I6186" s="4">
        <v>1192320</v>
      </c>
      <c r="J6186" s="4">
        <v>424350</v>
      </c>
    </row>
    <row r="6187" spans="2:10" x14ac:dyDescent="0.3">
      <c r="B6187" s="7">
        <v>44682</v>
      </c>
      <c r="C6187" s="3">
        <f t="shared" si="192"/>
        <v>2022</v>
      </c>
      <c r="D6187" s="3">
        <f t="shared" si="193"/>
        <v>202205</v>
      </c>
      <c r="E6187" s="5" t="s">
        <v>8</v>
      </c>
      <c r="F6187" s="5" t="s">
        <v>56</v>
      </c>
      <c r="G6187" s="5" t="s">
        <v>19</v>
      </c>
      <c r="H6187">
        <v>87</v>
      </c>
      <c r="I6187" s="4">
        <v>1506405</v>
      </c>
      <c r="J6187" s="4">
        <v>535050</v>
      </c>
    </row>
    <row r="6188" spans="2:10" x14ac:dyDescent="0.3">
      <c r="B6188" s="7">
        <v>44713</v>
      </c>
      <c r="C6188" s="3">
        <f t="shared" si="192"/>
        <v>2022</v>
      </c>
      <c r="D6188" s="3">
        <f t="shared" si="193"/>
        <v>202206</v>
      </c>
      <c r="E6188" s="5" t="s">
        <v>8</v>
      </c>
      <c r="F6188" s="5" t="s">
        <v>56</v>
      </c>
      <c r="G6188" s="5" t="s">
        <v>19</v>
      </c>
      <c r="H6188">
        <v>82</v>
      </c>
      <c r="I6188" s="4">
        <v>1376698</v>
      </c>
      <c r="J6188" s="4">
        <v>504300</v>
      </c>
    </row>
    <row r="6189" spans="2:10" x14ac:dyDescent="0.3">
      <c r="B6189" s="7">
        <v>44743</v>
      </c>
      <c r="C6189" s="3">
        <f t="shared" si="192"/>
        <v>2022</v>
      </c>
      <c r="D6189" s="3">
        <f t="shared" si="193"/>
        <v>202207</v>
      </c>
      <c r="E6189" s="5" t="s">
        <v>8</v>
      </c>
      <c r="F6189" s="5" t="s">
        <v>56</v>
      </c>
      <c r="G6189" s="5" t="s">
        <v>19</v>
      </c>
      <c r="H6189">
        <v>87</v>
      </c>
      <c r="I6189" s="4">
        <v>1258455</v>
      </c>
      <c r="J6189" s="4">
        <v>535050</v>
      </c>
    </row>
    <row r="6190" spans="2:10" x14ac:dyDescent="0.3">
      <c r="B6190" s="7">
        <v>44774</v>
      </c>
      <c r="C6190" s="3">
        <f t="shared" si="192"/>
        <v>2022</v>
      </c>
      <c r="D6190" s="3">
        <f t="shared" si="193"/>
        <v>202208</v>
      </c>
      <c r="E6190" s="5" t="s">
        <v>8</v>
      </c>
      <c r="F6190" s="5" t="s">
        <v>56</v>
      </c>
      <c r="G6190" s="5" t="s">
        <v>19</v>
      </c>
      <c r="H6190">
        <v>73</v>
      </c>
      <c r="I6190" s="4">
        <v>1151648</v>
      </c>
      <c r="J6190" s="4">
        <v>448950</v>
      </c>
    </row>
    <row r="6191" spans="2:10" x14ac:dyDescent="0.3">
      <c r="B6191" s="7">
        <v>44805</v>
      </c>
      <c r="C6191" s="3">
        <f t="shared" si="192"/>
        <v>2022</v>
      </c>
      <c r="D6191" s="3">
        <f t="shared" si="193"/>
        <v>202209</v>
      </c>
      <c r="E6191" s="5" t="s">
        <v>8</v>
      </c>
      <c r="F6191" s="5" t="s">
        <v>56</v>
      </c>
      <c r="G6191" s="5" t="s">
        <v>19</v>
      </c>
      <c r="H6191">
        <v>78</v>
      </c>
      <c r="I6191" s="4">
        <v>1264926</v>
      </c>
      <c r="J6191" s="4">
        <v>479700</v>
      </c>
    </row>
    <row r="6192" spans="2:10" x14ac:dyDescent="0.3">
      <c r="B6192" s="7">
        <v>44835</v>
      </c>
      <c r="C6192" s="3">
        <f t="shared" si="192"/>
        <v>2022</v>
      </c>
      <c r="D6192" s="3">
        <f t="shared" si="193"/>
        <v>202210</v>
      </c>
      <c r="E6192" s="5" t="s">
        <v>8</v>
      </c>
      <c r="F6192" s="5" t="s">
        <v>56</v>
      </c>
      <c r="G6192" s="5" t="s">
        <v>19</v>
      </c>
      <c r="H6192">
        <v>64</v>
      </c>
      <c r="I6192" s="4">
        <v>1039488</v>
      </c>
      <c r="J6192" s="4">
        <v>393600</v>
      </c>
    </row>
    <row r="6193" spans="2:10" x14ac:dyDescent="0.3">
      <c r="B6193" s="7">
        <v>44866</v>
      </c>
      <c r="C6193" s="3">
        <f t="shared" si="192"/>
        <v>2022</v>
      </c>
      <c r="D6193" s="3">
        <f t="shared" si="193"/>
        <v>202211</v>
      </c>
      <c r="E6193" s="5" t="s">
        <v>8</v>
      </c>
      <c r="F6193" s="5" t="s">
        <v>56</v>
      </c>
      <c r="G6193" s="5" t="s">
        <v>19</v>
      </c>
      <c r="H6193">
        <v>46</v>
      </c>
      <c r="I6193" s="4">
        <v>742532</v>
      </c>
      <c r="J6193" s="4">
        <v>282900</v>
      </c>
    </row>
    <row r="6194" spans="2:10" x14ac:dyDescent="0.3">
      <c r="B6194" s="7">
        <v>44896</v>
      </c>
      <c r="C6194" s="3">
        <f t="shared" si="192"/>
        <v>2022</v>
      </c>
      <c r="D6194" s="3">
        <f t="shared" si="193"/>
        <v>202212</v>
      </c>
      <c r="E6194" s="5" t="s">
        <v>8</v>
      </c>
      <c r="F6194" s="5" t="s">
        <v>56</v>
      </c>
      <c r="G6194" s="5" t="s">
        <v>19</v>
      </c>
      <c r="H6194">
        <v>55</v>
      </c>
      <c r="I6194" s="4">
        <v>879230</v>
      </c>
      <c r="J6194" s="4">
        <v>338250</v>
      </c>
    </row>
    <row r="6195" spans="2:10" x14ac:dyDescent="0.3">
      <c r="B6195" s="7">
        <v>44197</v>
      </c>
      <c r="C6195" s="3">
        <f t="shared" si="192"/>
        <v>2021</v>
      </c>
      <c r="D6195" s="3">
        <f t="shared" si="193"/>
        <v>202101</v>
      </c>
      <c r="E6195" s="5" t="s">
        <v>8</v>
      </c>
      <c r="F6195" s="5" t="s">
        <v>56</v>
      </c>
      <c r="G6195" s="5" t="s">
        <v>20</v>
      </c>
      <c r="H6195">
        <v>87</v>
      </c>
      <c r="I6195" s="4">
        <v>1078626</v>
      </c>
      <c r="J6195" s="4">
        <v>382800</v>
      </c>
    </row>
    <row r="6196" spans="2:10" x14ac:dyDescent="0.3">
      <c r="B6196" s="7">
        <v>44228</v>
      </c>
      <c r="C6196" s="3">
        <f t="shared" si="192"/>
        <v>2021</v>
      </c>
      <c r="D6196" s="3">
        <f t="shared" si="193"/>
        <v>202102</v>
      </c>
      <c r="E6196" s="5" t="s">
        <v>8</v>
      </c>
      <c r="F6196" s="5" t="s">
        <v>56</v>
      </c>
      <c r="G6196" s="5" t="s">
        <v>20</v>
      </c>
      <c r="H6196">
        <v>55</v>
      </c>
      <c r="I6196" s="4">
        <v>716485</v>
      </c>
      <c r="J6196" s="4">
        <v>242000</v>
      </c>
    </row>
    <row r="6197" spans="2:10" x14ac:dyDescent="0.3">
      <c r="B6197" s="7">
        <v>44256</v>
      </c>
      <c r="C6197" s="3">
        <f t="shared" si="192"/>
        <v>2021</v>
      </c>
      <c r="D6197" s="3">
        <f t="shared" si="193"/>
        <v>202103</v>
      </c>
      <c r="E6197" s="5" t="s">
        <v>8</v>
      </c>
      <c r="F6197" s="5" t="s">
        <v>56</v>
      </c>
      <c r="G6197" s="5" t="s">
        <v>20</v>
      </c>
      <c r="H6197">
        <v>44</v>
      </c>
      <c r="I6197" s="4">
        <v>491040</v>
      </c>
      <c r="J6197" s="4">
        <v>193600</v>
      </c>
    </row>
    <row r="6198" spans="2:10" x14ac:dyDescent="0.3">
      <c r="B6198" s="7">
        <v>44287</v>
      </c>
      <c r="C6198" s="3">
        <f t="shared" si="192"/>
        <v>2021</v>
      </c>
      <c r="D6198" s="3">
        <f t="shared" si="193"/>
        <v>202104</v>
      </c>
      <c r="E6198" s="5" t="s">
        <v>8</v>
      </c>
      <c r="F6198" s="5" t="s">
        <v>56</v>
      </c>
      <c r="G6198" s="5" t="s">
        <v>20</v>
      </c>
      <c r="H6198">
        <v>82</v>
      </c>
      <c r="I6198" s="4">
        <v>1063540</v>
      </c>
      <c r="J6198" s="4">
        <v>360800</v>
      </c>
    </row>
    <row r="6199" spans="2:10" x14ac:dyDescent="0.3">
      <c r="B6199" s="7">
        <v>44317</v>
      </c>
      <c r="C6199" s="3">
        <f t="shared" si="192"/>
        <v>2021</v>
      </c>
      <c r="D6199" s="3">
        <f t="shared" si="193"/>
        <v>202105</v>
      </c>
      <c r="E6199" s="5" t="s">
        <v>8</v>
      </c>
      <c r="F6199" s="5" t="s">
        <v>56</v>
      </c>
      <c r="G6199" s="5" t="s">
        <v>20</v>
      </c>
      <c r="H6199">
        <v>103</v>
      </c>
      <c r="I6199" s="4">
        <v>1318194</v>
      </c>
      <c r="J6199" s="4">
        <v>453200</v>
      </c>
    </row>
    <row r="6200" spans="2:10" x14ac:dyDescent="0.3">
      <c r="B6200" s="7">
        <v>44348</v>
      </c>
      <c r="C6200" s="3">
        <f t="shared" si="192"/>
        <v>2021</v>
      </c>
      <c r="D6200" s="3">
        <f t="shared" si="193"/>
        <v>202106</v>
      </c>
      <c r="E6200" s="5" t="s">
        <v>8</v>
      </c>
      <c r="F6200" s="5" t="s">
        <v>56</v>
      </c>
      <c r="G6200" s="5" t="s">
        <v>20</v>
      </c>
      <c r="H6200">
        <v>98</v>
      </c>
      <c r="I6200" s="4">
        <v>1223922</v>
      </c>
      <c r="J6200" s="4">
        <v>431200</v>
      </c>
    </row>
    <row r="6201" spans="2:10" x14ac:dyDescent="0.3">
      <c r="B6201" s="7">
        <v>44378</v>
      </c>
      <c r="C6201" s="3">
        <f t="shared" si="192"/>
        <v>2021</v>
      </c>
      <c r="D6201" s="3">
        <f t="shared" si="193"/>
        <v>202107</v>
      </c>
      <c r="E6201" s="5" t="s">
        <v>8</v>
      </c>
      <c r="F6201" s="5" t="s">
        <v>56</v>
      </c>
      <c r="G6201" s="5" t="s">
        <v>20</v>
      </c>
      <c r="H6201">
        <v>103</v>
      </c>
      <c r="I6201" s="4">
        <v>1096229</v>
      </c>
      <c r="J6201" s="4">
        <v>453200</v>
      </c>
    </row>
    <row r="6202" spans="2:10" x14ac:dyDescent="0.3">
      <c r="B6202" s="7">
        <v>44409</v>
      </c>
      <c r="C6202" s="3">
        <f t="shared" si="192"/>
        <v>2021</v>
      </c>
      <c r="D6202" s="3">
        <f t="shared" si="193"/>
        <v>202108</v>
      </c>
      <c r="E6202" s="5" t="s">
        <v>8</v>
      </c>
      <c r="F6202" s="5" t="s">
        <v>56</v>
      </c>
      <c r="G6202" s="5" t="s">
        <v>20</v>
      </c>
      <c r="H6202">
        <v>87</v>
      </c>
      <c r="I6202" s="4">
        <v>1039737</v>
      </c>
      <c r="J6202" s="4">
        <v>382800</v>
      </c>
    </row>
    <row r="6203" spans="2:10" x14ac:dyDescent="0.3">
      <c r="B6203" s="7">
        <v>44440</v>
      </c>
      <c r="C6203" s="3">
        <f t="shared" si="192"/>
        <v>2021</v>
      </c>
      <c r="D6203" s="3">
        <f t="shared" si="193"/>
        <v>202109</v>
      </c>
      <c r="E6203" s="5" t="s">
        <v>8</v>
      </c>
      <c r="F6203" s="5" t="s">
        <v>56</v>
      </c>
      <c r="G6203" s="5" t="s">
        <v>20</v>
      </c>
      <c r="H6203">
        <v>93</v>
      </c>
      <c r="I6203" s="4">
        <v>1065129</v>
      </c>
      <c r="J6203" s="4">
        <v>409200</v>
      </c>
    </row>
    <row r="6204" spans="2:10" x14ac:dyDescent="0.3">
      <c r="B6204" s="7">
        <v>44470</v>
      </c>
      <c r="C6204" s="3">
        <f t="shared" si="192"/>
        <v>2021</v>
      </c>
      <c r="D6204" s="3">
        <f t="shared" si="193"/>
        <v>202110</v>
      </c>
      <c r="E6204" s="5" t="s">
        <v>8</v>
      </c>
      <c r="F6204" s="5" t="s">
        <v>56</v>
      </c>
      <c r="G6204" s="5" t="s">
        <v>20</v>
      </c>
      <c r="H6204">
        <v>76</v>
      </c>
      <c r="I6204" s="4">
        <v>903412</v>
      </c>
      <c r="J6204" s="4">
        <v>334400</v>
      </c>
    </row>
    <row r="6205" spans="2:10" x14ac:dyDescent="0.3">
      <c r="B6205" s="7">
        <v>44501</v>
      </c>
      <c r="C6205" s="3">
        <f t="shared" si="192"/>
        <v>2021</v>
      </c>
      <c r="D6205" s="3">
        <f t="shared" si="193"/>
        <v>202111</v>
      </c>
      <c r="E6205" s="5" t="s">
        <v>8</v>
      </c>
      <c r="F6205" s="5" t="s">
        <v>56</v>
      </c>
      <c r="G6205" s="5" t="s">
        <v>20</v>
      </c>
      <c r="H6205">
        <v>55</v>
      </c>
      <c r="I6205" s="4">
        <v>672265</v>
      </c>
      <c r="J6205" s="4">
        <v>242000</v>
      </c>
    </row>
    <row r="6206" spans="2:10" x14ac:dyDescent="0.3">
      <c r="B6206" s="7">
        <v>44531</v>
      </c>
      <c r="C6206" s="3">
        <f t="shared" si="192"/>
        <v>2021</v>
      </c>
      <c r="D6206" s="3">
        <f t="shared" si="193"/>
        <v>202112</v>
      </c>
      <c r="E6206" s="5" t="s">
        <v>8</v>
      </c>
      <c r="F6206" s="5" t="s">
        <v>56</v>
      </c>
      <c r="G6206" s="5" t="s">
        <v>20</v>
      </c>
      <c r="H6206">
        <v>65</v>
      </c>
      <c r="I6206" s="4">
        <v>789750</v>
      </c>
      <c r="J6206" s="4">
        <v>286000</v>
      </c>
    </row>
    <row r="6207" spans="2:10" x14ac:dyDescent="0.3">
      <c r="B6207" s="7">
        <v>44562</v>
      </c>
      <c r="C6207" s="3">
        <f t="shared" si="192"/>
        <v>2022</v>
      </c>
      <c r="D6207" s="3">
        <f t="shared" si="193"/>
        <v>202201</v>
      </c>
      <c r="E6207" s="5" t="s">
        <v>8</v>
      </c>
      <c r="F6207" s="5" t="s">
        <v>56</v>
      </c>
      <c r="G6207" s="5" t="s">
        <v>20</v>
      </c>
      <c r="H6207">
        <v>96</v>
      </c>
      <c r="I6207" s="4">
        <v>1223136</v>
      </c>
      <c r="J6207" s="4">
        <v>422400</v>
      </c>
    </row>
    <row r="6208" spans="2:10" x14ac:dyDescent="0.3">
      <c r="B6208" s="7">
        <v>44593</v>
      </c>
      <c r="C6208" s="3">
        <f t="shared" si="192"/>
        <v>2022</v>
      </c>
      <c r="D6208" s="3">
        <f t="shared" si="193"/>
        <v>202202</v>
      </c>
      <c r="E6208" s="5" t="s">
        <v>8</v>
      </c>
      <c r="F6208" s="5" t="s">
        <v>56</v>
      </c>
      <c r="G6208" s="5" t="s">
        <v>20</v>
      </c>
      <c r="H6208">
        <v>60</v>
      </c>
      <c r="I6208" s="4">
        <v>759540</v>
      </c>
      <c r="J6208" s="4">
        <v>264000</v>
      </c>
    </row>
    <row r="6209" spans="2:10" x14ac:dyDescent="0.3">
      <c r="B6209" s="7">
        <v>44621</v>
      </c>
      <c r="C6209" s="3">
        <f t="shared" si="192"/>
        <v>2022</v>
      </c>
      <c r="D6209" s="3">
        <f t="shared" si="193"/>
        <v>202203</v>
      </c>
      <c r="E6209" s="5" t="s">
        <v>8</v>
      </c>
      <c r="F6209" s="5" t="s">
        <v>56</v>
      </c>
      <c r="G6209" s="5" t="s">
        <v>20</v>
      </c>
      <c r="H6209">
        <v>48</v>
      </c>
      <c r="I6209" s="4">
        <v>561936</v>
      </c>
      <c r="J6209" s="4">
        <v>211200</v>
      </c>
    </row>
    <row r="6210" spans="2:10" x14ac:dyDescent="0.3">
      <c r="B6210" s="7">
        <v>44652</v>
      </c>
      <c r="C6210" s="3">
        <f t="shared" si="192"/>
        <v>2022</v>
      </c>
      <c r="D6210" s="3">
        <f t="shared" si="193"/>
        <v>202204</v>
      </c>
      <c r="E6210" s="5" t="s">
        <v>8</v>
      </c>
      <c r="F6210" s="5" t="s">
        <v>56</v>
      </c>
      <c r="G6210" s="5" t="s">
        <v>20</v>
      </c>
      <c r="H6210">
        <v>90</v>
      </c>
      <c r="I6210" s="4">
        <v>1163430</v>
      </c>
      <c r="J6210" s="4">
        <v>396000</v>
      </c>
    </row>
    <row r="6211" spans="2:10" x14ac:dyDescent="0.3">
      <c r="B6211" s="7">
        <v>44682</v>
      </c>
      <c r="C6211" s="3">
        <f t="shared" ref="C6211:C6274" si="194">YEAR(B6211)</f>
        <v>2022</v>
      </c>
      <c r="D6211" s="3">
        <f t="shared" ref="D6211:D6274" si="195">VALUE(TEXT(B6211,"ГГГГММ"))</f>
        <v>202205</v>
      </c>
      <c r="E6211" s="5" t="s">
        <v>8</v>
      </c>
      <c r="F6211" s="5" t="s">
        <v>56</v>
      </c>
      <c r="G6211" s="5" t="s">
        <v>20</v>
      </c>
      <c r="H6211">
        <v>114</v>
      </c>
      <c r="I6211" s="4">
        <v>1453842</v>
      </c>
      <c r="J6211" s="4">
        <v>501600</v>
      </c>
    </row>
    <row r="6212" spans="2:10" x14ac:dyDescent="0.3">
      <c r="B6212" s="7">
        <v>44713</v>
      </c>
      <c r="C6212" s="3">
        <f t="shared" si="194"/>
        <v>2022</v>
      </c>
      <c r="D6212" s="3">
        <f t="shared" si="195"/>
        <v>202206</v>
      </c>
      <c r="E6212" s="5" t="s">
        <v>8</v>
      </c>
      <c r="F6212" s="5" t="s">
        <v>56</v>
      </c>
      <c r="G6212" s="5" t="s">
        <v>20</v>
      </c>
      <c r="H6212">
        <v>108</v>
      </c>
      <c r="I6212" s="4">
        <v>1261548</v>
      </c>
      <c r="J6212" s="4">
        <v>475200</v>
      </c>
    </row>
    <row r="6213" spans="2:10" x14ac:dyDescent="0.3">
      <c r="B6213" s="7">
        <v>44743</v>
      </c>
      <c r="C6213" s="3">
        <f t="shared" si="194"/>
        <v>2022</v>
      </c>
      <c r="D6213" s="3">
        <f t="shared" si="195"/>
        <v>202207</v>
      </c>
      <c r="E6213" s="5" t="s">
        <v>8</v>
      </c>
      <c r="F6213" s="5" t="s">
        <v>56</v>
      </c>
      <c r="G6213" s="5" t="s">
        <v>20</v>
      </c>
      <c r="H6213">
        <v>114</v>
      </c>
      <c r="I6213" s="4">
        <v>1173516</v>
      </c>
      <c r="J6213" s="4">
        <v>501600</v>
      </c>
    </row>
    <row r="6214" spans="2:10" x14ac:dyDescent="0.3">
      <c r="B6214" s="7">
        <v>44774</v>
      </c>
      <c r="C6214" s="3">
        <f t="shared" si="194"/>
        <v>2022</v>
      </c>
      <c r="D6214" s="3">
        <f t="shared" si="195"/>
        <v>202208</v>
      </c>
      <c r="E6214" s="5" t="s">
        <v>8</v>
      </c>
      <c r="F6214" s="5" t="s">
        <v>56</v>
      </c>
      <c r="G6214" s="5" t="s">
        <v>20</v>
      </c>
      <c r="H6214">
        <v>96</v>
      </c>
      <c r="I6214" s="4">
        <v>1117824</v>
      </c>
      <c r="J6214" s="4">
        <v>422400</v>
      </c>
    </row>
    <row r="6215" spans="2:10" x14ac:dyDescent="0.3">
      <c r="B6215" s="7">
        <v>44805</v>
      </c>
      <c r="C6215" s="3">
        <f t="shared" si="194"/>
        <v>2022</v>
      </c>
      <c r="D6215" s="3">
        <f t="shared" si="195"/>
        <v>202209</v>
      </c>
      <c r="E6215" s="5" t="s">
        <v>8</v>
      </c>
      <c r="F6215" s="5" t="s">
        <v>56</v>
      </c>
      <c r="G6215" s="5" t="s">
        <v>20</v>
      </c>
      <c r="H6215">
        <v>102</v>
      </c>
      <c r="I6215" s="4">
        <v>1208598</v>
      </c>
      <c r="J6215" s="4">
        <v>448800</v>
      </c>
    </row>
    <row r="6216" spans="2:10" x14ac:dyDescent="0.3">
      <c r="B6216" s="7">
        <v>44835</v>
      </c>
      <c r="C6216" s="3">
        <f t="shared" si="194"/>
        <v>2022</v>
      </c>
      <c r="D6216" s="3">
        <f t="shared" si="195"/>
        <v>202210</v>
      </c>
      <c r="E6216" s="5" t="s">
        <v>8</v>
      </c>
      <c r="F6216" s="5" t="s">
        <v>56</v>
      </c>
      <c r="G6216" s="5" t="s">
        <v>20</v>
      </c>
      <c r="H6216">
        <v>84</v>
      </c>
      <c r="I6216" s="4">
        <v>1047144</v>
      </c>
      <c r="J6216" s="4">
        <v>369600</v>
      </c>
    </row>
    <row r="6217" spans="2:10" x14ac:dyDescent="0.3">
      <c r="B6217" s="7">
        <v>44866</v>
      </c>
      <c r="C6217" s="3">
        <f t="shared" si="194"/>
        <v>2022</v>
      </c>
      <c r="D6217" s="3">
        <f t="shared" si="195"/>
        <v>202211</v>
      </c>
      <c r="E6217" s="5" t="s">
        <v>8</v>
      </c>
      <c r="F6217" s="5" t="s">
        <v>56</v>
      </c>
      <c r="G6217" s="5" t="s">
        <v>20</v>
      </c>
      <c r="H6217">
        <v>60</v>
      </c>
      <c r="I6217" s="4">
        <v>711420</v>
      </c>
      <c r="J6217" s="4">
        <v>264000</v>
      </c>
    </row>
    <row r="6218" spans="2:10" x14ac:dyDescent="0.3">
      <c r="B6218" s="7">
        <v>44896</v>
      </c>
      <c r="C6218" s="3">
        <f t="shared" si="194"/>
        <v>2022</v>
      </c>
      <c r="D6218" s="3">
        <f t="shared" si="195"/>
        <v>202212</v>
      </c>
      <c r="E6218" s="5" t="s">
        <v>8</v>
      </c>
      <c r="F6218" s="5" t="s">
        <v>56</v>
      </c>
      <c r="G6218" s="5" t="s">
        <v>20</v>
      </c>
      <c r="H6218">
        <v>72</v>
      </c>
      <c r="I6218" s="4">
        <v>859680</v>
      </c>
      <c r="J6218" s="4">
        <v>316800</v>
      </c>
    </row>
    <row r="6219" spans="2:10" x14ac:dyDescent="0.3">
      <c r="B6219" s="7">
        <v>44197</v>
      </c>
      <c r="C6219" s="3">
        <f t="shared" si="194"/>
        <v>2021</v>
      </c>
      <c r="D6219" s="3">
        <f t="shared" si="195"/>
        <v>202101</v>
      </c>
      <c r="E6219" s="5" t="s">
        <v>8</v>
      </c>
      <c r="F6219" s="5" t="s">
        <v>9</v>
      </c>
      <c r="G6219" s="5" t="s">
        <v>21</v>
      </c>
      <c r="H6219">
        <v>44</v>
      </c>
      <c r="I6219" s="4">
        <v>190476</v>
      </c>
      <c r="J6219" s="4">
        <v>79772</v>
      </c>
    </row>
    <row r="6220" spans="2:10" x14ac:dyDescent="0.3">
      <c r="B6220" s="7">
        <v>44228</v>
      </c>
      <c r="C6220" s="3">
        <f t="shared" si="194"/>
        <v>2021</v>
      </c>
      <c r="D6220" s="3">
        <f t="shared" si="195"/>
        <v>202102</v>
      </c>
      <c r="E6220" s="5" t="s">
        <v>8</v>
      </c>
      <c r="F6220" s="5" t="s">
        <v>9</v>
      </c>
      <c r="G6220" s="5" t="s">
        <v>21</v>
      </c>
      <c r="H6220">
        <v>28</v>
      </c>
      <c r="I6220" s="4">
        <v>132048</v>
      </c>
      <c r="J6220" s="4">
        <v>50764</v>
      </c>
    </row>
    <row r="6221" spans="2:10" x14ac:dyDescent="0.3">
      <c r="B6221" s="7">
        <v>44256</v>
      </c>
      <c r="C6221" s="3">
        <f t="shared" si="194"/>
        <v>2021</v>
      </c>
      <c r="D6221" s="3">
        <f t="shared" si="195"/>
        <v>202103</v>
      </c>
      <c r="E6221" s="5" t="s">
        <v>8</v>
      </c>
      <c r="F6221" s="5" t="s">
        <v>9</v>
      </c>
      <c r="G6221" s="5" t="s">
        <v>21</v>
      </c>
      <c r="H6221">
        <v>22</v>
      </c>
      <c r="I6221" s="4">
        <v>95634</v>
      </c>
      <c r="J6221" s="4">
        <v>39886</v>
      </c>
    </row>
    <row r="6222" spans="2:10" x14ac:dyDescent="0.3">
      <c r="B6222" s="7">
        <v>44287</v>
      </c>
      <c r="C6222" s="3">
        <f t="shared" si="194"/>
        <v>2021</v>
      </c>
      <c r="D6222" s="3">
        <f t="shared" si="195"/>
        <v>202104</v>
      </c>
      <c r="E6222" s="5" t="s">
        <v>8</v>
      </c>
      <c r="F6222" s="5" t="s">
        <v>9</v>
      </c>
      <c r="G6222" s="5" t="s">
        <v>21</v>
      </c>
      <c r="H6222">
        <v>41</v>
      </c>
      <c r="I6222" s="4">
        <v>235012</v>
      </c>
      <c r="J6222" s="4">
        <v>74333</v>
      </c>
    </row>
    <row r="6223" spans="2:10" x14ac:dyDescent="0.3">
      <c r="B6223" s="7">
        <v>44317</v>
      </c>
      <c r="C6223" s="3">
        <f t="shared" si="194"/>
        <v>2021</v>
      </c>
      <c r="D6223" s="3">
        <f t="shared" si="195"/>
        <v>202105</v>
      </c>
      <c r="E6223" s="5" t="s">
        <v>8</v>
      </c>
      <c r="F6223" s="5" t="s">
        <v>9</v>
      </c>
      <c r="G6223" s="5" t="s">
        <v>21</v>
      </c>
      <c r="H6223">
        <v>52</v>
      </c>
      <c r="I6223" s="4">
        <v>290524</v>
      </c>
      <c r="J6223" s="4">
        <v>94276</v>
      </c>
    </row>
    <row r="6224" spans="2:10" x14ac:dyDescent="0.3">
      <c r="B6224" s="7">
        <v>44348</v>
      </c>
      <c r="C6224" s="3">
        <f t="shared" si="194"/>
        <v>2021</v>
      </c>
      <c r="D6224" s="3">
        <f t="shared" si="195"/>
        <v>202106</v>
      </c>
      <c r="E6224" s="5" t="s">
        <v>8</v>
      </c>
      <c r="F6224" s="5" t="s">
        <v>9</v>
      </c>
      <c r="G6224" s="5" t="s">
        <v>21</v>
      </c>
      <c r="H6224">
        <v>50</v>
      </c>
      <c r="I6224" s="4">
        <v>235350</v>
      </c>
      <c r="J6224" s="4">
        <v>90650</v>
      </c>
    </row>
    <row r="6225" spans="2:10" x14ac:dyDescent="0.3">
      <c r="B6225" s="7">
        <v>44378</v>
      </c>
      <c r="C6225" s="3">
        <f t="shared" si="194"/>
        <v>2021</v>
      </c>
      <c r="D6225" s="3">
        <f t="shared" si="195"/>
        <v>202107</v>
      </c>
      <c r="E6225" s="5" t="s">
        <v>8</v>
      </c>
      <c r="F6225" s="5" t="s">
        <v>9</v>
      </c>
      <c r="G6225" s="5" t="s">
        <v>21</v>
      </c>
      <c r="H6225">
        <v>52</v>
      </c>
      <c r="I6225" s="4">
        <v>153868</v>
      </c>
      <c r="J6225" s="4">
        <v>94276</v>
      </c>
    </row>
    <row r="6226" spans="2:10" x14ac:dyDescent="0.3">
      <c r="B6226" s="7">
        <v>44409</v>
      </c>
      <c r="C6226" s="3">
        <f t="shared" si="194"/>
        <v>2021</v>
      </c>
      <c r="D6226" s="3">
        <f t="shared" si="195"/>
        <v>202108</v>
      </c>
      <c r="E6226" s="5" t="s">
        <v>8</v>
      </c>
      <c r="F6226" s="5" t="s">
        <v>9</v>
      </c>
      <c r="G6226" s="5" t="s">
        <v>21</v>
      </c>
      <c r="H6226">
        <v>44</v>
      </c>
      <c r="I6226" s="4">
        <v>195668</v>
      </c>
      <c r="J6226" s="4">
        <v>79772</v>
      </c>
    </row>
    <row r="6227" spans="2:10" x14ac:dyDescent="0.3">
      <c r="B6227" s="7">
        <v>44440</v>
      </c>
      <c r="C6227" s="3">
        <f t="shared" si="194"/>
        <v>2021</v>
      </c>
      <c r="D6227" s="3">
        <f t="shared" si="195"/>
        <v>202109</v>
      </c>
      <c r="E6227" s="5" t="s">
        <v>8</v>
      </c>
      <c r="F6227" s="5" t="s">
        <v>9</v>
      </c>
      <c r="G6227" s="5" t="s">
        <v>21</v>
      </c>
      <c r="H6227">
        <v>47</v>
      </c>
      <c r="I6227" s="4">
        <v>195426</v>
      </c>
      <c r="J6227" s="4">
        <v>85211</v>
      </c>
    </row>
    <row r="6228" spans="2:10" x14ac:dyDescent="0.3">
      <c r="B6228" s="7">
        <v>44470</v>
      </c>
      <c r="C6228" s="3">
        <f t="shared" si="194"/>
        <v>2021</v>
      </c>
      <c r="D6228" s="3">
        <f t="shared" si="195"/>
        <v>202110</v>
      </c>
      <c r="E6228" s="5" t="s">
        <v>8</v>
      </c>
      <c r="F6228" s="5" t="s">
        <v>9</v>
      </c>
      <c r="G6228" s="5" t="s">
        <v>21</v>
      </c>
      <c r="H6228">
        <v>39</v>
      </c>
      <c r="I6228" s="4">
        <v>189657</v>
      </c>
      <c r="J6228" s="4">
        <v>70707</v>
      </c>
    </row>
    <row r="6229" spans="2:10" x14ac:dyDescent="0.3">
      <c r="B6229" s="7">
        <v>44501</v>
      </c>
      <c r="C6229" s="3">
        <f t="shared" si="194"/>
        <v>2021</v>
      </c>
      <c r="D6229" s="3">
        <f t="shared" si="195"/>
        <v>202111</v>
      </c>
      <c r="E6229" s="5" t="s">
        <v>8</v>
      </c>
      <c r="F6229" s="5" t="s">
        <v>9</v>
      </c>
      <c r="G6229" s="5" t="s">
        <v>21</v>
      </c>
      <c r="H6229">
        <v>28</v>
      </c>
      <c r="I6229" s="4">
        <v>139944</v>
      </c>
      <c r="J6229" s="4">
        <v>50764</v>
      </c>
    </row>
    <row r="6230" spans="2:10" x14ac:dyDescent="0.3">
      <c r="B6230" s="7">
        <v>44531</v>
      </c>
      <c r="C6230" s="3">
        <f t="shared" si="194"/>
        <v>2021</v>
      </c>
      <c r="D6230" s="3">
        <f t="shared" si="195"/>
        <v>202112</v>
      </c>
      <c r="E6230" s="5" t="s">
        <v>8</v>
      </c>
      <c r="F6230" s="5" t="s">
        <v>9</v>
      </c>
      <c r="G6230" s="5" t="s">
        <v>21</v>
      </c>
      <c r="H6230">
        <v>33</v>
      </c>
      <c r="I6230" s="4">
        <v>136158</v>
      </c>
      <c r="J6230" s="4">
        <v>59829</v>
      </c>
    </row>
    <row r="6231" spans="2:10" x14ac:dyDescent="0.3">
      <c r="B6231" s="7">
        <v>44562</v>
      </c>
      <c r="C6231" s="3">
        <f t="shared" si="194"/>
        <v>2022</v>
      </c>
      <c r="D6231" s="3">
        <f t="shared" si="195"/>
        <v>202201</v>
      </c>
      <c r="E6231" s="5" t="s">
        <v>8</v>
      </c>
      <c r="F6231" s="5" t="s">
        <v>9</v>
      </c>
      <c r="G6231" s="5" t="s">
        <v>21</v>
      </c>
      <c r="H6231">
        <v>49</v>
      </c>
      <c r="I6231" s="4">
        <v>245784</v>
      </c>
      <c r="J6231" s="4">
        <v>88837</v>
      </c>
    </row>
    <row r="6232" spans="2:10" x14ac:dyDescent="0.3">
      <c r="B6232" s="7">
        <v>44593</v>
      </c>
      <c r="C6232" s="3">
        <f t="shared" si="194"/>
        <v>2022</v>
      </c>
      <c r="D6232" s="3">
        <f t="shared" si="195"/>
        <v>202202</v>
      </c>
      <c r="E6232" s="5" t="s">
        <v>8</v>
      </c>
      <c r="F6232" s="5" t="s">
        <v>9</v>
      </c>
      <c r="G6232" s="5" t="s">
        <v>21</v>
      </c>
      <c r="H6232">
        <v>31</v>
      </c>
      <c r="I6232" s="4">
        <v>151342</v>
      </c>
      <c r="J6232" s="4">
        <v>56203</v>
      </c>
    </row>
    <row r="6233" spans="2:10" x14ac:dyDescent="0.3">
      <c r="B6233" s="7">
        <v>44621</v>
      </c>
      <c r="C6233" s="3">
        <f t="shared" si="194"/>
        <v>2022</v>
      </c>
      <c r="D6233" s="3">
        <f t="shared" si="195"/>
        <v>202203</v>
      </c>
      <c r="E6233" s="5" t="s">
        <v>8</v>
      </c>
      <c r="F6233" s="5" t="s">
        <v>9</v>
      </c>
      <c r="G6233" s="5" t="s">
        <v>21</v>
      </c>
      <c r="H6233">
        <v>25</v>
      </c>
      <c r="I6233" s="4">
        <v>120675</v>
      </c>
      <c r="J6233" s="4">
        <v>45325</v>
      </c>
    </row>
    <row r="6234" spans="2:10" x14ac:dyDescent="0.3">
      <c r="B6234" s="7">
        <v>44652</v>
      </c>
      <c r="C6234" s="3">
        <f t="shared" si="194"/>
        <v>2022</v>
      </c>
      <c r="D6234" s="3">
        <f t="shared" si="195"/>
        <v>202204</v>
      </c>
      <c r="E6234" s="5" t="s">
        <v>8</v>
      </c>
      <c r="F6234" s="5" t="s">
        <v>9</v>
      </c>
      <c r="G6234" s="5" t="s">
        <v>21</v>
      </c>
      <c r="H6234">
        <v>46</v>
      </c>
      <c r="I6234" s="4">
        <v>238004</v>
      </c>
      <c r="J6234" s="4">
        <v>83398</v>
      </c>
    </row>
    <row r="6235" spans="2:10" x14ac:dyDescent="0.3">
      <c r="B6235" s="7">
        <v>44682</v>
      </c>
      <c r="C6235" s="3">
        <f t="shared" si="194"/>
        <v>2022</v>
      </c>
      <c r="D6235" s="3">
        <f t="shared" si="195"/>
        <v>202205</v>
      </c>
      <c r="E6235" s="5" t="s">
        <v>8</v>
      </c>
      <c r="F6235" s="5" t="s">
        <v>9</v>
      </c>
      <c r="G6235" s="5" t="s">
        <v>21</v>
      </c>
      <c r="H6235">
        <v>58</v>
      </c>
      <c r="I6235" s="4">
        <v>318014</v>
      </c>
      <c r="J6235" s="4">
        <v>105154</v>
      </c>
    </row>
    <row r="6236" spans="2:10" x14ac:dyDescent="0.3">
      <c r="B6236" s="7">
        <v>44713</v>
      </c>
      <c r="C6236" s="3">
        <f t="shared" si="194"/>
        <v>2022</v>
      </c>
      <c r="D6236" s="3">
        <f t="shared" si="195"/>
        <v>202206</v>
      </c>
      <c r="E6236" s="5" t="s">
        <v>8</v>
      </c>
      <c r="F6236" s="5" t="s">
        <v>9</v>
      </c>
      <c r="G6236" s="5" t="s">
        <v>21</v>
      </c>
      <c r="H6236">
        <v>55</v>
      </c>
      <c r="I6236" s="4">
        <v>280445</v>
      </c>
      <c r="J6236" s="4">
        <v>99715</v>
      </c>
    </row>
    <row r="6237" spans="2:10" x14ac:dyDescent="0.3">
      <c r="B6237" s="7">
        <v>44743</v>
      </c>
      <c r="C6237" s="3">
        <f t="shared" si="194"/>
        <v>2022</v>
      </c>
      <c r="D6237" s="3">
        <f t="shared" si="195"/>
        <v>202207</v>
      </c>
      <c r="E6237" s="5" t="s">
        <v>8</v>
      </c>
      <c r="F6237" s="5" t="s">
        <v>9</v>
      </c>
      <c r="G6237" s="5" t="s">
        <v>21</v>
      </c>
      <c r="H6237">
        <v>58</v>
      </c>
      <c r="I6237" s="4">
        <v>176668</v>
      </c>
      <c r="J6237" s="4">
        <v>105154</v>
      </c>
    </row>
    <row r="6238" spans="2:10" x14ac:dyDescent="0.3">
      <c r="B6238" s="7">
        <v>44774</v>
      </c>
      <c r="C6238" s="3">
        <f t="shared" si="194"/>
        <v>2022</v>
      </c>
      <c r="D6238" s="3">
        <f t="shared" si="195"/>
        <v>202208</v>
      </c>
      <c r="E6238" s="5" t="s">
        <v>8</v>
      </c>
      <c r="F6238" s="5" t="s">
        <v>9</v>
      </c>
      <c r="G6238" s="5" t="s">
        <v>21</v>
      </c>
      <c r="H6238">
        <v>49</v>
      </c>
      <c r="I6238" s="4">
        <v>215012</v>
      </c>
      <c r="J6238" s="4">
        <v>88837</v>
      </c>
    </row>
    <row r="6239" spans="2:10" x14ac:dyDescent="0.3">
      <c r="B6239" s="7">
        <v>44805</v>
      </c>
      <c r="C6239" s="3">
        <f t="shared" si="194"/>
        <v>2022</v>
      </c>
      <c r="D6239" s="3">
        <f t="shared" si="195"/>
        <v>202209</v>
      </c>
      <c r="E6239" s="5" t="s">
        <v>8</v>
      </c>
      <c r="F6239" s="5" t="s">
        <v>9</v>
      </c>
      <c r="G6239" s="5" t="s">
        <v>21</v>
      </c>
      <c r="H6239">
        <v>52</v>
      </c>
      <c r="I6239" s="4">
        <v>229788</v>
      </c>
      <c r="J6239" s="4">
        <v>94276</v>
      </c>
    </row>
    <row r="6240" spans="2:10" x14ac:dyDescent="0.3">
      <c r="B6240" s="7">
        <v>44835</v>
      </c>
      <c r="C6240" s="3">
        <f t="shared" si="194"/>
        <v>2022</v>
      </c>
      <c r="D6240" s="3">
        <f t="shared" si="195"/>
        <v>202210</v>
      </c>
      <c r="E6240" s="5" t="s">
        <v>8</v>
      </c>
      <c r="F6240" s="5" t="s">
        <v>9</v>
      </c>
      <c r="G6240" s="5" t="s">
        <v>21</v>
      </c>
      <c r="H6240">
        <v>43</v>
      </c>
      <c r="I6240" s="4">
        <v>210141</v>
      </c>
      <c r="J6240" s="4">
        <v>77959</v>
      </c>
    </row>
    <row r="6241" spans="2:10" x14ac:dyDescent="0.3">
      <c r="B6241" s="7">
        <v>44866</v>
      </c>
      <c r="C6241" s="3">
        <f t="shared" si="194"/>
        <v>2022</v>
      </c>
      <c r="D6241" s="3">
        <f t="shared" si="195"/>
        <v>202211</v>
      </c>
      <c r="E6241" s="5" t="s">
        <v>8</v>
      </c>
      <c r="F6241" s="5" t="s">
        <v>9</v>
      </c>
      <c r="G6241" s="5" t="s">
        <v>21</v>
      </c>
      <c r="H6241">
        <v>31</v>
      </c>
      <c r="I6241" s="4">
        <v>162440</v>
      </c>
      <c r="J6241" s="4">
        <v>56203</v>
      </c>
    </row>
    <row r="6242" spans="2:10" x14ac:dyDescent="0.3">
      <c r="B6242" s="7">
        <v>44896</v>
      </c>
      <c r="C6242" s="3">
        <f t="shared" si="194"/>
        <v>2022</v>
      </c>
      <c r="D6242" s="3">
        <f t="shared" si="195"/>
        <v>202212</v>
      </c>
      <c r="E6242" s="5" t="s">
        <v>8</v>
      </c>
      <c r="F6242" s="5" t="s">
        <v>9</v>
      </c>
      <c r="G6242" s="5" t="s">
        <v>21</v>
      </c>
      <c r="H6242">
        <v>37</v>
      </c>
      <c r="I6242" s="4">
        <v>161468</v>
      </c>
      <c r="J6242" s="4">
        <v>67081</v>
      </c>
    </row>
    <row r="6243" spans="2:10" x14ac:dyDescent="0.3">
      <c r="B6243" s="7">
        <v>44197</v>
      </c>
      <c r="C6243" s="3">
        <f t="shared" si="194"/>
        <v>2021</v>
      </c>
      <c r="D6243" s="3">
        <f t="shared" si="195"/>
        <v>202101</v>
      </c>
      <c r="E6243" s="5" t="s">
        <v>8</v>
      </c>
      <c r="F6243" s="5" t="s">
        <v>9</v>
      </c>
      <c r="G6243" s="5" t="s">
        <v>22</v>
      </c>
      <c r="H6243">
        <v>35</v>
      </c>
      <c r="I6243" s="4">
        <v>141400</v>
      </c>
      <c r="J6243" s="4">
        <v>40250</v>
      </c>
    </row>
    <row r="6244" spans="2:10" x14ac:dyDescent="0.3">
      <c r="B6244" s="7">
        <v>44228</v>
      </c>
      <c r="C6244" s="3">
        <f t="shared" si="194"/>
        <v>2021</v>
      </c>
      <c r="D6244" s="3">
        <f t="shared" si="195"/>
        <v>202102</v>
      </c>
      <c r="E6244" s="5" t="s">
        <v>8</v>
      </c>
      <c r="F6244" s="5" t="s">
        <v>9</v>
      </c>
      <c r="G6244" s="5" t="s">
        <v>22</v>
      </c>
      <c r="H6244">
        <v>22</v>
      </c>
      <c r="I6244" s="4">
        <v>95062</v>
      </c>
      <c r="J6244" s="4">
        <v>25300</v>
      </c>
    </row>
    <row r="6245" spans="2:10" x14ac:dyDescent="0.3">
      <c r="B6245" s="7">
        <v>44256</v>
      </c>
      <c r="C6245" s="3">
        <f t="shared" si="194"/>
        <v>2021</v>
      </c>
      <c r="D6245" s="3">
        <f t="shared" si="195"/>
        <v>202103</v>
      </c>
      <c r="E6245" s="5" t="s">
        <v>8</v>
      </c>
      <c r="F6245" s="5" t="s">
        <v>9</v>
      </c>
      <c r="G6245" s="5" t="s">
        <v>22</v>
      </c>
      <c r="H6245">
        <v>18</v>
      </c>
      <c r="I6245" s="4">
        <v>68400</v>
      </c>
      <c r="J6245" s="4">
        <v>20700</v>
      </c>
    </row>
    <row r="6246" spans="2:10" x14ac:dyDescent="0.3">
      <c r="B6246" s="7">
        <v>44287</v>
      </c>
      <c r="C6246" s="3">
        <f t="shared" si="194"/>
        <v>2021</v>
      </c>
      <c r="D6246" s="3">
        <f t="shared" si="195"/>
        <v>202104</v>
      </c>
      <c r="E6246" s="5" t="s">
        <v>8</v>
      </c>
      <c r="F6246" s="5" t="s">
        <v>9</v>
      </c>
      <c r="G6246" s="5" t="s">
        <v>22</v>
      </c>
      <c r="H6246">
        <v>33</v>
      </c>
      <c r="I6246" s="4">
        <v>144606</v>
      </c>
      <c r="J6246" s="4">
        <v>37950</v>
      </c>
    </row>
    <row r="6247" spans="2:10" x14ac:dyDescent="0.3">
      <c r="B6247" s="7">
        <v>44317</v>
      </c>
      <c r="C6247" s="3">
        <f t="shared" si="194"/>
        <v>2021</v>
      </c>
      <c r="D6247" s="3">
        <f t="shared" si="195"/>
        <v>202105</v>
      </c>
      <c r="E6247" s="5" t="s">
        <v>8</v>
      </c>
      <c r="F6247" s="5" t="s">
        <v>9</v>
      </c>
      <c r="G6247" s="5" t="s">
        <v>22</v>
      </c>
      <c r="H6247">
        <v>41</v>
      </c>
      <c r="I6247" s="4">
        <v>195283</v>
      </c>
      <c r="J6247" s="4">
        <v>47150</v>
      </c>
    </row>
    <row r="6248" spans="2:10" x14ac:dyDescent="0.3">
      <c r="B6248" s="7">
        <v>44348</v>
      </c>
      <c r="C6248" s="3">
        <f t="shared" si="194"/>
        <v>2021</v>
      </c>
      <c r="D6248" s="3">
        <f t="shared" si="195"/>
        <v>202106</v>
      </c>
      <c r="E6248" s="5" t="s">
        <v>8</v>
      </c>
      <c r="F6248" s="5" t="s">
        <v>9</v>
      </c>
      <c r="G6248" s="5" t="s">
        <v>22</v>
      </c>
      <c r="H6248">
        <v>39</v>
      </c>
      <c r="I6248" s="4">
        <v>154635</v>
      </c>
      <c r="J6248" s="4">
        <v>44850</v>
      </c>
    </row>
    <row r="6249" spans="2:10" x14ac:dyDescent="0.3">
      <c r="B6249" s="7">
        <v>44378</v>
      </c>
      <c r="C6249" s="3">
        <f t="shared" si="194"/>
        <v>2021</v>
      </c>
      <c r="D6249" s="3">
        <f t="shared" si="195"/>
        <v>202107</v>
      </c>
      <c r="E6249" s="5" t="s">
        <v>8</v>
      </c>
      <c r="F6249" s="5" t="s">
        <v>9</v>
      </c>
      <c r="G6249" s="5" t="s">
        <v>22</v>
      </c>
      <c r="H6249">
        <v>41</v>
      </c>
      <c r="I6249" s="4">
        <v>81918</v>
      </c>
      <c r="J6249" s="4">
        <v>47150</v>
      </c>
    </row>
    <row r="6250" spans="2:10" x14ac:dyDescent="0.3">
      <c r="B6250" s="7">
        <v>44409</v>
      </c>
      <c r="C6250" s="3">
        <f t="shared" si="194"/>
        <v>2021</v>
      </c>
      <c r="D6250" s="3">
        <f t="shared" si="195"/>
        <v>202108</v>
      </c>
      <c r="E6250" s="5" t="s">
        <v>8</v>
      </c>
      <c r="F6250" s="5" t="s">
        <v>9</v>
      </c>
      <c r="G6250" s="5" t="s">
        <v>22</v>
      </c>
      <c r="H6250">
        <v>35</v>
      </c>
      <c r="I6250" s="4">
        <v>114870</v>
      </c>
      <c r="J6250" s="4">
        <v>40250</v>
      </c>
    </row>
    <row r="6251" spans="2:10" x14ac:dyDescent="0.3">
      <c r="B6251" s="7">
        <v>44440</v>
      </c>
      <c r="C6251" s="3">
        <f t="shared" si="194"/>
        <v>2021</v>
      </c>
      <c r="D6251" s="3">
        <f t="shared" si="195"/>
        <v>202109</v>
      </c>
      <c r="E6251" s="5" t="s">
        <v>8</v>
      </c>
      <c r="F6251" s="5" t="s">
        <v>9</v>
      </c>
      <c r="G6251" s="5" t="s">
        <v>22</v>
      </c>
      <c r="H6251">
        <v>37</v>
      </c>
      <c r="I6251" s="4">
        <v>131091</v>
      </c>
      <c r="J6251" s="4">
        <v>42550</v>
      </c>
    </row>
    <row r="6252" spans="2:10" x14ac:dyDescent="0.3">
      <c r="B6252" s="7">
        <v>44470</v>
      </c>
      <c r="C6252" s="3">
        <f t="shared" si="194"/>
        <v>2021</v>
      </c>
      <c r="D6252" s="3">
        <f t="shared" si="195"/>
        <v>202110</v>
      </c>
      <c r="E6252" s="5" t="s">
        <v>8</v>
      </c>
      <c r="F6252" s="5" t="s">
        <v>9</v>
      </c>
      <c r="G6252" s="5" t="s">
        <v>22</v>
      </c>
      <c r="H6252">
        <v>30</v>
      </c>
      <c r="I6252" s="4">
        <v>122700</v>
      </c>
      <c r="J6252" s="4">
        <v>34500</v>
      </c>
    </row>
    <row r="6253" spans="2:10" x14ac:dyDescent="0.3">
      <c r="B6253" s="7">
        <v>44501</v>
      </c>
      <c r="C6253" s="3">
        <f t="shared" si="194"/>
        <v>2021</v>
      </c>
      <c r="D6253" s="3">
        <f t="shared" si="195"/>
        <v>202111</v>
      </c>
      <c r="E6253" s="5" t="s">
        <v>8</v>
      </c>
      <c r="F6253" s="5" t="s">
        <v>9</v>
      </c>
      <c r="G6253" s="5" t="s">
        <v>22</v>
      </c>
      <c r="H6253">
        <v>22</v>
      </c>
      <c r="I6253" s="4">
        <v>76450</v>
      </c>
      <c r="J6253" s="4">
        <v>25300</v>
      </c>
    </row>
    <row r="6254" spans="2:10" x14ac:dyDescent="0.3">
      <c r="B6254" s="7">
        <v>44531</v>
      </c>
      <c r="C6254" s="3">
        <f t="shared" si="194"/>
        <v>2021</v>
      </c>
      <c r="D6254" s="3">
        <f t="shared" si="195"/>
        <v>202112</v>
      </c>
      <c r="E6254" s="5" t="s">
        <v>8</v>
      </c>
      <c r="F6254" s="5" t="s">
        <v>9</v>
      </c>
      <c r="G6254" s="5" t="s">
        <v>22</v>
      </c>
      <c r="H6254">
        <v>26</v>
      </c>
      <c r="I6254" s="4">
        <v>99970</v>
      </c>
      <c r="J6254" s="4">
        <v>29900</v>
      </c>
    </row>
    <row r="6255" spans="2:10" x14ac:dyDescent="0.3">
      <c r="B6255" s="7">
        <v>44562</v>
      </c>
      <c r="C6255" s="3">
        <f t="shared" si="194"/>
        <v>2022</v>
      </c>
      <c r="D6255" s="3">
        <f t="shared" si="195"/>
        <v>202201</v>
      </c>
      <c r="E6255" s="5" t="s">
        <v>8</v>
      </c>
      <c r="F6255" s="5" t="s">
        <v>9</v>
      </c>
      <c r="G6255" s="5" t="s">
        <v>22</v>
      </c>
      <c r="H6255">
        <v>38</v>
      </c>
      <c r="I6255" s="4">
        <v>121220</v>
      </c>
      <c r="J6255" s="4">
        <v>43700</v>
      </c>
    </row>
    <row r="6256" spans="2:10" x14ac:dyDescent="0.3">
      <c r="B6256" s="7">
        <v>44593</v>
      </c>
      <c r="C6256" s="3">
        <f t="shared" si="194"/>
        <v>2022</v>
      </c>
      <c r="D6256" s="3">
        <f t="shared" si="195"/>
        <v>202202</v>
      </c>
      <c r="E6256" s="5" t="s">
        <v>8</v>
      </c>
      <c r="F6256" s="5" t="s">
        <v>9</v>
      </c>
      <c r="G6256" s="5" t="s">
        <v>22</v>
      </c>
      <c r="H6256">
        <v>24</v>
      </c>
      <c r="I6256" s="4">
        <v>85920</v>
      </c>
      <c r="J6256" s="4">
        <v>27600</v>
      </c>
    </row>
    <row r="6257" spans="2:10" x14ac:dyDescent="0.3">
      <c r="B6257" s="7">
        <v>44621</v>
      </c>
      <c r="C6257" s="3">
        <f t="shared" si="194"/>
        <v>2022</v>
      </c>
      <c r="D6257" s="3">
        <f t="shared" si="195"/>
        <v>202203</v>
      </c>
      <c r="E6257" s="5" t="s">
        <v>8</v>
      </c>
      <c r="F6257" s="5" t="s">
        <v>9</v>
      </c>
      <c r="G6257" s="5" t="s">
        <v>22</v>
      </c>
      <c r="H6257">
        <v>19</v>
      </c>
      <c r="I6257" s="4">
        <v>49989</v>
      </c>
      <c r="J6257" s="4">
        <v>21850</v>
      </c>
    </row>
    <row r="6258" spans="2:10" x14ac:dyDescent="0.3">
      <c r="B6258" s="7">
        <v>44652</v>
      </c>
      <c r="C6258" s="3">
        <f t="shared" si="194"/>
        <v>2022</v>
      </c>
      <c r="D6258" s="3">
        <f t="shared" si="195"/>
        <v>202204</v>
      </c>
      <c r="E6258" s="5" t="s">
        <v>8</v>
      </c>
      <c r="F6258" s="5" t="s">
        <v>9</v>
      </c>
      <c r="G6258" s="5" t="s">
        <v>22</v>
      </c>
      <c r="H6258">
        <v>36</v>
      </c>
      <c r="I6258" s="4">
        <v>137484</v>
      </c>
      <c r="J6258" s="4">
        <v>41400</v>
      </c>
    </row>
    <row r="6259" spans="2:10" x14ac:dyDescent="0.3">
      <c r="B6259" s="7">
        <v>44682</v>
      </c>
      <c r="C6259" s="3">
        <f t="shared" si="194"/>
        <v>2022</v>
      </c>
      <c r="D6259" s="3">
        <f t="shared" si="195"/>
        <v>202205</v>
      </c>
      <c r="E6259" s="5" t="s">
        <v>8</v>
      </c>
      <c r="F6259" s="5" t="s">
        <v>9</v>
      </c>
      <c r="G6259" s="5" t="s">
        <v>22</v>
      </c>
      <c r="H6259">
        <v>45</v>
      </c>
      <c r="I6259" s="4">
        <v>222435</v>
      </c>
      <c r="J6259" s="4">
        <v>51750</v>
      </c>
    </row>
    <row r="6260" spans="2:10" x14ac:dyDescent="0.3">
      <c r="B6260" s="7">
        <v>44713</v>
      </c>
      <c r="C6260" s="3">
        <f t="shared" si="194"/>
        <v>2022</v>
      </c>
      <c r="D6260" s="3">
        <f t="shared" si="195"/>
        <v>202206</v>
      </c>
      <c r="E6260" s="5" t="s">
        <v>8</v>
      </c>
      <c r="F6260" s="5" t="s">
        <v>9</v>
      </c>
      <c r="G6260" s="5" t="s">
        <v>22</v>
      </c>
      <c r="H6260">
        <v>43</v>
      </c>
      <c r="I6260" s="4">
        <v>174279</v>
      </c>
      <c r="J6260" s="4">
        <v>49450</v>
      </c>
    </row>
    <row r="6261" spans="2:10" x14ac:dyDescent="0.3">
      <c r="B6261" s="7">
        <v>44743</v>
      </c>
      <c r="C6261" s="3">
        <f t="shared" si="194"/>
        <v>2022</v>
      </c>
      <c r="D6261" s="3">
        <f t="shared" si="195"/>
        <v>202207</v>
      </c>
      <c r="E6261" s="5" t="s">
        <v>8</v>
      </c>
      <c r="F6261" s="5" t="s">
        <v>9</v>
      </c>
      <c r="G6261" s="5" t="s">
        <v>22</v>
      </c>
      <c r="H6261">
        <v>45</v>
      </c>
      <c r="I6261" s="4">
        <v>113445</v>
      </c>
      <c r="J6261" s="4">
        <v>51750</v>
      </c>
    </row>
    <row r="6262" spans="2:10" x14ac:dyDescent="0.3">
      <c r="B6262" s="7">
        <v>44774</v>
      </c>
      <c r="C6262" s="3">
        <f t="shared" si="194"/>
        <v>2022</v>
      </c>
      <c r="D6262" s="3">
        <f t="shared" si="195"/>
        <v>202208</v>
      </c>
      <c r="E6262" s="5" t="s">
        <v>8</v>
      </c>
      <c r="F6262" s="5" t="s">
        <v>9</v>
      </c>
      <c r="G6262" s="5" t="s">
        <v>22</v>
      </c>
      <c r="H6262">
        <v>38</v>
      </c>
      <c r="I6262" s="4">
        <v>106362</v>
      </c>
      <c r="J6262" s="4">
        <v>43700</v>
      </c>
    </row>
    <row r="6263" spans="2:10" x14ac:dyDescent="0.3">
      <c r="B6263" s="7">
        <v>44805</v>
      </c>
      <c r="C6263" s="3">
        <f t="shared" si="194"/>
        <v>2022</v>
      </c>
      <c r="D6263" s="3">
        <f t="shared" si="195"/>
        <v>202209</v>
      </c>
      <c r="E6263" s="5" t="s">
        <v>8</v>
      </c>
      <c r="F6263" s="5" t="s">
        <v>9</v>
      </c>
      <c r="G6263" s="5" t="s">
        <v>22</v>
      </c>
      <c r="H6263">
        <v>40</v>
      </c>
      <c r="I6263" s="4">
        <v>155840</v>
      </c>
      <c r="J6263" s="4">
        <v>46000</v>
      </c>
    </row>
    <row r="6264" spans="2:10" x14ac:dyDescent="0.3">
      <c r="B6264" s="7">
        <v>44835</v>
      </c>
      <c r="C6264" s="3">
        <f t="shared" si="194"/>
        <v>2022</v>
      </c>
      <c r="D6264" s="3">
        <f t="shared" si="195"/>
        <v>202210</v>
      </c>
      <c r="E6264" s="5" t="s">
        <v>8</v>
      </c>
      <c r="F6264" s="5" t="s">
        <v>9</v>
      </c>
      <c r="G6264" s="5" t="s">
        <v>22</v>
      </c>
      <c r="H6264">
        <v>33</v>
      </c>
      <c r="I6264" s="4">
        <v>127578</v>
      </c>
      <c r="J6264" s="4">
        <v>37950</v>
      </c>
    </row>
    <row r="6265" spans="2:10" x14ac:dyDescent="0.3">
      <c r="B6265" s="7">
        <v>44866</v>
      </c>
      <c r="C6265" s="3">
        <f t="shared" si="194"/>
        <v>2022</v>
      </c>
      <c r="D6265" s="3">
        <f t="shared" si="195"/>
        <v>202211</v>
      </c>
      <c r="E6265" s="5" t="s">
        <v>8</v>
      </c>
      <c r="F6265" s="5" t="s">
        <v>9</v>
      </c>
      <c r="G6265" s="5" t="s">
        <v>22</v>
      </c>
      <c r="H6265">
        <v>24</v>
      </c>
      <c r="I6265" s="4">
        <v>85152</v>
      </c>
      <c r="J6265" s="4">
        <v>27600</v>
      </c>
    </row>
    <row r="6266" spans="2:10" x14ac:dyDescent="0.3">
      <c r="B6266" s="7">
        <v>44896</v>
      </c>
      <c r="C6266" s="3">
        <f t="shared" si="194"/>
        <v>2022</v>
      </c>
      <c r="D6266" s="3">
        <f t="shared" si="195"/>
        <v>202212</v>
      </c>
      <c r="E6266" s="5" t="s">
        <v>8</v>
      </c>
      <c r="F6266" s="5" t="s">
        <v>9</v>
      </c>
      <c r="G6266" s="5" t="s">
        <v>22</v>
      </c>
      <c r="H6266">
        <v>29</v>
      </c>
      <c r="I6266" s="4">
        <v>99296</v>
      </c>
      <c r="J6266" s="4">
        <v>33350</v>
      </c>
    </row>
    <row r="6267" spans="2:10" x14ac:dyDescent="0.3">
      <c r="B6267" s="7">
        <v>44197</v>
      </c>
      <c r="C6267" s="3">
        <f t="shared" si="194"/>
        <v>2021</v>
      </c>
      <c r="D6267" s="3">
        <f t="shared" si="195"/>
        <v>202101</v>
      </c>
      <c r="E6267" s="5" t="s">
        <v>8</v>
      </c>
      <c r="F6267" s="5" t="s">
        <v>9</v>
      </c>
      <c r="G6267" s="5" t="s">
        <v>23</v>
      </c>
      <c r="H6267">
        <v>45</v>
      </c>
      <c r="I6267" s="4">
        <v>178875</v>
      </c>
      <c r="J6267" s="4">
        <v>60030</v>
      </c>
    </row>
    <row r="6268" spans="2:10" x14ac:dyDescent="0.3">
      <c r="B6268" s="7">
        <v>44228</v>
      </c>
      <c r="C6268" s="3">
        <f t="shared" si="194"/>
        <v>2021</v>
      </c>
      <c r="D6268" s="3">
        <f t="shared" si="195"/>
        <v>202102</v>
      </c>
      <c r="E6268" s="5" t="s">
        <v>8</v>
      </c>
      <c r="F6268" s="5" t="s">
        <v>9</v>
      </c>
      <c r="G6268" s="5" t="s">
        <v>23</v>
      </c>
      <c r="H6268">
        <v>28</v>
      </c>
      <c r="I6268" s="4">
        <v>110544</v>
      </c>
      <c r="J6268" s="4">
        <v>37352</v>
      </c>
    </row>
    <row r="6269" spans="2:10" x14ac:dyDescent="0.3">
      <c r="B6269" s="7">
        <v>44256</v>
      </c>
      <c r="C6269" s="3">
        <f t="shared" si="194"/>
        <v>2021</v>
      </c>
      <c r="D6269" s="3">
        <f t="shared" si="195"/>
        <v>202103</v>
      </c>
      <c r="E6269" s="5" t="s">
        <v>8</v>
      </c>
      <c r="F6269" s="5" t="s">
        <v>9</v>
      </c>
      <c r="G6269" s="5" t="s">
        <v>23</v>
      </c>
      <c r="H6269">
        <v>23</v>
      </c>
      <c r="I6269" s="4">
        <v>93886</v>
      </c>
      <c r="J6269" s="4">
        <v>30682</v>
      </c>
    </row>
    <row r="6270" spans="2:10" x14ac:dyDescent="0.3">
      <c r="B6270" s="7">
        <v>44287</v>
      </c>
      <c r="C6270" s="3">
        <f t="shared" si="194"/>
        <v>2021</v>
      </c>
      <c r="D6270" s="3">
        <f t="shared" si="195"/>
        <v>202104</v>
      </c>
      <c r="E6270" s="5" t="s">
        <v>8</v>
      </c>
      <c r="F6270" s="5" t="s">
        <v>9</v>
      </c>
      <c r="G6270" s="5" t="s">
        <v>23</v>
      </c>
      <c r="H6270">
        <v>42</v>
      </c>
      <c r="I6270" s="4">
        <v>173250</v>
      </c>
      <c r="J6270" s="4">
        <v>56028</v>
      </c>
    </row>
    <row r="6271" spans="2:10" x14ac:dyDescent="0.3">
      <c r="B6271" s="7">
        <v>44317</v>
      </c>
      <c r="C6271" s="3">
        <f t="shared" si="194"/>
        <v>2021</v>
      </c>
      <c r="D6271" s="3">
        <f t="shared" si="195"/>
        <v>202105</v>
      </c>
      <c r="E6271" s="5" t="s">
        <v>8</v>
      </c>
      <c r="F6271" s="5" t="s">
        <v>9</v>
      </c>
      <c r="G6271" s="5" t="s">
        <v>23</v>
      </c>
      <c r="H6271">
        <v>53</v>
      </c>
      <c r="I6271" s="4">
        <v>240779</v>
      </c>
      <c r="J6271" s="4">
        <v>70702</v>
      </c>
    </row>
    <row r="6272" spans="2:10" x14ac:dyDescent="0.3">
      <c r="B6272" s="7">
        <v>44348</v>
      </c>
      <c r="C6272" s="3">
        <f t="shared" si="194"/>
        <v>2021</v>
      </c>
      <c r="D6272" s="3">
        <f t="shared" si="195"/>
        <v>202106</v>
      </c>
      <c r="E6272" s="5" t="s">
        <v>8</v>
      </c>
      <c r="F6272" s="5" t="s">
        <v>9</v>
      </c>
      <c r="G6272" s="5" t="s">
        <v>23</v>
      </c>
      <c r="H6272">
        <v>50</v>
      </c>
      <c r="I6272" s="4">
        <v>234050</v>
      </c>
      <c r="J6272" s="4">
        <v>66700</v>
      </c>
    </row>
    <row r="6273" spans="2:10" x14ac:dyDescent="0.3">
      <c r="B6273" s="7">
        <v>44378</v>
      </c>
      <c r="C6273" s="3">
        <f t="shared" si="194"/>
        <v>2021</v>
      </c>
      <c r="D6273" s="3">
        <f t="shared" si="195"/>
        <v>202107</v>
      </c>
      <c r="E6273" s="5" t="s">
        <v>8</v>
      </c>
      <c r="F6273" s="5" t="s">
        <v>9</v>
      </c>
      <c r="G6273" s="5" t="s">
        <v>23</v>
      </c>
      <c r="H6273">
        <v>53</v>
      </c>
      <c r="I6273" s="4">
        <v>114268</v>
      </c>
      <c r="J6273" s="4">
        <v>70702</v>
      </c>
    </row>
    <row r="6274" spans="2:10" x14ac:dyDescent="0.3">
      <c r="B6274" s="7">
        <v>44409</v>
      </c>
      <c r="C6274" s="3">
        <f t="shared" si="194"/>
        <v>2021</v>
      </c>
      <c r="D6274" s="3">
        <f t="shared" si="195"/>
        <v>202108</v>
      </c>
      <c r="E6274" s="5" t="s">
        <v>8</v>
      </c>
      <c r="F6274" s="5" t="s">
        <v>9</v>
      </c>
      <c r="G6274" s="5" t="s">
        <v>23</v>
      </c>
      <c r="H6274">
        <v>45</v>
      </c>
      <c r="I6274" s="4">
        <v>144225</v>
      </c>
      <c r="J6274" s="4">
        <v>60030</v>
      </c>
    </row>
    <row r="6275" spans="2:10" x14ac:dyDescent="0.3">
      <c r="B6275" s="7">
        <v>44440</v>
      </c>
      <c r="C6275" s="3">
        <f t="shared" ref="C6275:C6338" si="196">YEAR(B6275)</f>
        <v>2021</v>
      </c>
      <c r="D6275" s="3">
        <f t="shared" ref="D6275:D6338" si="197">VALUE(TEXT(B6275,"ГГГГММ"))</f>
        <v>202109</v>
      </c>
      <c r="E6275" s="5" t="s">
        <v>8</v>
      </c>
      <c r="F6275" s="5" t="s">
        <v>9</v>
      </c>
      <c r="G6275" s="5" t="s">
        <v>23</v>
      </c>
      <c r="H6275">
        <v>47</v>
      </c>
      <c r="I6275" s="4">
        <v>204732</v>
      </c>
      <c r="J6275" s="4">
        <v>62698</v>
      </c>
    </row>
    <row r="6276" spans="2:10" x14ac:dyDescent="0.3">
      <c r="B6276" s="7">
        <v>44470</v>
      </c>
      <c r="C6276" s="3">
        <f t="shared" si="196"/>
        <v>2021</v>
      </c>
      <c r="D6276" s="3">
        <f t="shared" si="197"/>
        <v>202110</v>
      </c>
      <c r="E6276" s="5" t="s">
        <v>8</v>
      </c>
      <c r="F6276" s="5" t="s">
        <v>9</v>
      </c>
      <c r="G6276" s="5" t="s">
        <v>23</v>
      </c>
      <c r="H6276">
        <v>39</v>
      </c>
      <c r="I6276" s="4">
        <v>149565</v>
      </c>
      <c r="J6276" s="4">
        <v>52026</v>
      </c>
    </row>
    <row r="6277" spans="2:10" x14ac:dyDescent="0.3">
      <c r="B6277" s="7">
        <v>44501</v>
      </c>
      <c r="C6277" s="3">
        <f t="shared" si="196"/>
        <v>2021</v>
      </c>
      <c r="D6277" s="3">
        <f t="shared" si="197"/>
        <v>202111</v>
      </c>
      <c r="E6277" s="5" t="s">
        <v>8</v>
      </c>
      <c r="F6277" s="5" t="s">
        <v>9</v>
      </c>
      <c r="G6277" s="5" t="s">
        <v>23</v>
      </c>
      <c r="H6277">
        <v>28</v>
      </c>
      <c r="I6277" s="4">
        <v>137144</v>
      </c>
      <c r="J6277" s="4">
        <v>37352</v>
      </c>
    </row>
    <row r="6278" spans="2:10" x14ac:dyDescent="0.3">
      <c r="B6278" s="7">
        <v>44531</v>
      </c>
      <c r="C6278" s="3">
        <f t="shared" si="196"/>
        <v>2021</v>
      </c>
      <c r="D6278" s="3">
        <f t="shared" si="197"/>
        <v>202112</v>
      </c>
      <c r="E6278" s="5" t="s">
        <v>8</v>
      </c>
      <c r="F6278" s="5" t="s">
        <v>9</v>
      </c>
      <c r="G6278" s="5" t="s">
        <v>23</v>
      </c>
      <c r="H6278">
        <v>34</v>
      </c>
      <c r="I6278" s="4">
        <v>146506</v>
      </c>
      <c r="J6278" s="4">
        <v>45356</v>
      </c>
    </row>
    <row r="6279" spans="2:10" x14ac:dyDescent="0.3">
      <c r="B6279" s="7">
        <v>44562</v>
      </c>
      <c r="C6279" s="3">
        <f t="shared" si="196"/>
        <v>2022</v>
      </c>
      <c r="D6279" s="3">
        <f t="shared" si="197"/>
        <v>202201</v>
      </c>
      <c r="E6279" s="5" t="s">
        <v>8</v>
      </c>
      <c r="F6279" s="5" t="s">
        <v>9</v>
      </c>
      <c r="G6279" s="5" t="s">
        <v>23</v>
      </c>
      <c r="H6279">
        <v>49</v>
      </c>
      <c r="I6279" s="4">
        <v>186592</v>
      </c>
      <c r="J6279" s="4">
        <v>65366</v>
      </c>
    </row>
    <row r="6280" spans="2:10" x14ac:dyDescent="0.3">
      <c r="B6280" s="7">
        <v>44593</v>
      </c>
      <c r="C6280" s="3">
        <f t="shared" si="196"/>
        <v>2022</v>
      </c>
      <c r="D6280" s="3">
        <f t="shared" si="197"/>
        <v>202202</v>
      </c>
      <c r="E6280" s="5" t="s">
        <v>8</v>
      </c>
      <c r="F6280" s="5" t="s">
        <v>9</v>
      </c>
      <c r="G6280" s="5" t="s">
        <v>23</v>
      </c>
      <c r="H6280">
        <v>31</v>
      </c>
      <c r="I6280" s="4">
        <v>146909</v>
      </c>
      <c r="J6280" s="4">
        <v>41354</v>
      </c>
    </row>
    <row r="6281" spans="2:10" x14ac:dyDescent="0.3">
      <c r="B6281" s="7">
        <v>44621</v>
      </c>
      <c r="C6281" s="3">
        <f t="shared" si="196"/>
        <v>2022</v>
      </c>
      <c r="D6281" s="3">
        <f t="shared" si="197"/>
        <v>202203</v>
      </c>
      <c r="E6281" s="5" t="s">
        <v>8</v>
      </c>
      <c r="F6281" s="5" t="s">
        <v>9</v>
      </c>
      <c r="G6281" s="5" t="s">
        <v>23</v>
      </c>
      <c r="H6281">
        <v>25</v>
      </c>
      <c r="I6281" s="4">
        <v>92350</v>
      </c>
      <c r="J6281" s="4">
        <v>33350</v>
      </c>
    </row>
    <row r="6282" spans="2:10" x14ac:dyDescent="0.3">
      <c r="B6282" s="7">
        <v>44652</v>
      </c>
      <c r="C6282" s="3">
        <f t="shared" si="196"/>
        <v>2022</v>
      </c>
      <c r="D6282" s="3">
        <f t="shared" si="197"/>
        <v>202204</v>
      </c>
      <c r="E6282" s="5" t="s">
        <v>8</v>
      </c>
      <c r="F6282" s="5" t="s">
        <v>9</v>
      </c>
      <c r="G6282" s="5" t="s">
        <v>23</v>
      </c>
      <c r="H6282">
        <v>46</v>
      </c>
      <c r="I6282" s="4">
        <v>229678</v>
      </c>
      <c r="J6282" s="4">
        <v>61364</v>
      </c>
    </row>
    <row r="6283" spans="2:10" x14ac:dyDescent="0.3">
      <c r="B6283" s="7">
        <v>44682</v>
      </c>
      <c r="C6283" s="3">
        <f t="shared" si="196"/>
        <v>2022</v>
      </c>
      <c r="D6283" s="3">
        <f t="shared" si="197"/>
        <v>202205</v>
      </c>
      <c r="E6283" s="5" t="s">
        <v>8</v>
      </c>
      <c r="F6283" s="5" t="s">
        <v>9</v>
      </c>
      <c r="G6283" s="5" t="s">
        <v>23</v>
      </c>
      <c r="H6283">
        <v>58</v>
      </c>
      <c r="I6283" s="4">
        <v>261174</v>
      </c>
      <c r="J6283" s="4">
        <v>77372</v>
      </c>
    </row>
    <row r="6284" spans="2:10" x14ac:dyDescent="0.3">
      <c r="B6284" s="7">
        <v>44713</v>
      </c>
      <c r="C6284" s="3">
        <f t="shared" si="196"/>
        <v>2022</v>
      </c>
      <c r="D6284" s="3">
        <f t="shared" si="197"/>
        <v>202206</v>
      </c>
      <c r="E6284" s="5" t="s">
        <v>8</v>
      </c>
      <c r="F6284" s="5" t="s">
        <v>9</v>
      </c>
      <c r="G6284" s="5" t="s">
        <v>23</v>
      </c>
      <c r="H6284">
        <v>55</v>
      </c>
      <c r="I6284" s="4">
        <v>227040</v>
      </c>
      <c r="J6284" s="4">
        <v>73370</v>
      </c>
    </row>
    <row r="6285" spans="2:10" x14ac:dyDescent="0.3">
      <c r="B6285" s="7">
        <v>44743</v>
      </c>
      <c r="C6285" s="3">
        <f t="shared" si="196"/>
        <v>2022</v>
      </c>
      <c r="D6285" s="3">
        <f t="shared" si="197"/>
        <v>202207</v>
      </c>
      <c r="E6285" s="5" t="s">
        <v>8</v>
      </c>
      <c r="F6285" s="5" t="s">
        <v>9</v>
      </c>
      <c r="G6285" s="5" t="s">
        <v>23</v>
      </c>
      <c r="H6285">
        <v>58</v>
      </c>
      <c r="I6285" s="4">
        <v>130906</v>
      </c>
      <c r="J6285" s="4">
        <v>77372</v>
      </c>
    </row>
    <row r="6286" spans="2:10" x14ac:dyDescent="0.3">
      <c r="B6286" s="7">
        <v>44774</v>
      </c>
      <c r="C6286" s="3">
        <f t="shared" si="196"/>
        <v>2022</v>
      </c>
      <c r="D6286" s="3">
        <f t="shared" si="197"/>
        <v>202208</v>
      </c>
      <c r="E6286" s="5" t="s">
        <v>8</v>
      </c>
      <c r="F6286" s="5" t="s">
        <v>9</v>
      </c>
      <c r="G6286" s="5" t="s">
        <v>23</v>
      </c>
      <c r="H6286">
        <v>49</v>
      </c>
      <c r="I6286" s="4">
        <v>195853</v>
      </c>
      <c r="J6286" s="4">
        <v>65366</v>
      </c>
    </row>
    <row r="6287" spans="2:10" x14ac:dyDescent="0.3">
      <c r="B6287" s="7">
        <v>44805</v>
      </c>
      <c r="C6287" s="3">
        <f t="shared" si="196"/>
        <v>2022</v>
      </c>
      <c r="D6287" s="3">
        <f t="shared" si="197"/>
        <v>202209</v>
      </c>
      <c r="E6287" s="5" t="s">
        <v>8</v>
      </c>
      <c r="F6287" s="5" t="s">
        <v>9</v>
      </c>
      <c r="G6287" s="5" t="s">
        <v>23</v>
      </c>
      <c r="H6287">
        <v>52</v>
      </c>
      <c r="I6287" s="4">
        <v>180908</v>
      </c>
      <c r="J6287" s="4">
        <v>69368</v>
      </c>
    </row>
    <row r="6288" spans="2:10" x14ac:dyDescent="0.3">
      <c r="B6288" s="7">
        <v>44835</v>
      </c>
      <c r="C6288" s="3">
        <f t="shared" si="196"/>
        <v>2022</v>
      </c>
      <c r="D6288" s="3">
        <f t="shared" si="197"/>
        <v>202210</v>
      </c>
      <c r="E6288" s="5" t="s">
        <v>8</v>
      </c>
      <c r="F6288" s="5" t="s">
        <v>9</v>
      </c>
      <c r="G6288" s="5" t="s">
        <v>23</v>
      </c>
      <c r="H6288">
        <v>43</v>
      </c>
      <c r="I6288" s="4">
        <v>177332</v>
      </c>
      <c r="J6288" s="4">
        <v>57362</v>
      </c>
    </row>
    <row r="6289" spans="2:10" x14ac:dyDescent="0.3">
      <c r="B6289" s="7">
        <v>44866</v>
      </c>
      <c r="C6289" s="3">
        <f t="shared" si="196"/>
        <v>2022</v>
      </c>
      <c r="D6289" s="3">
        <f t="shared" si="197"/>
        <v>202211</v>
      </c>
      <c r="E6289" s="5" t="s">
        <v>8</v>
      </c>
      <c r="F6289" s="5" t="s">
        <v>9</v>
      </c>
      <c r="G6289" s="5" t="s">
        <v>23</v>
      </c>
      <c r="H6289">
        <v>31</v>
      </c>
      <c r="I6289" s="4">
        <v>130603</v>
      </c>
      <c r="J6289" s="4">
        <v>41354</v>
      </c>
    </row>
    <row r="6290" spans="2:10" x14ac:dyDescent="0.3">
      <c r="B6290" s="7">
        <v>44896</v>
      </c>
      <c r="C6290" s="3">
        <f t="shared" si="196"/>
        <v>2022</v>
      </c>
      <c r="D6290" s="3">
        <f t="shared" si="197"/>
        <v>202212</v>
      </c>
      <c r="E6290" s="5" t="s">
        <v>8</v>
      </c>
      <c r="F6290" s="5" t="s">
        <v>9</v>
      </c>
      <c r="G6290" s="5" t="s">
        <v>23</v>
      </c>
      <c r="H6290">
        <v>37</v>
      </c>
      <c r="I6290" s="4">
        <v>117179</v>
      </c>
      <c r="J6290" s="4">
        <v>49358</v>
      </c>
    </row>
    <row r="6291" spans="2:10" x14ac:dyDescent="0.3">
      <c r="B6291" s="7">
        <v>44197</v>
      </c>
      <c r="C6291" s="3">
        <f t="shared" si="196"/>
        <v>2021</v>
      </c>
      <c r="D6291" s="3">
        <f t="shared" si="197"/>
        <v>202101</v>
      </c>
      <c r="E6291" s="5" t="s">
        <v>8</v>
      </c>
      <c r="F6291" s="5" t="s">
        <v>9</v>
      </c>
      <c r="G6291" s="5" t="s">
        <v>24</v>
      </c>
      <c r="H6291">
        <v>37</v>
      </c>
      <c r="I6291" s="4">
        <v>185444</v>
      </c>
      <c r="J6291" s="4">
        <v>74592</v>
      </c>
    </row>
    <row r="6292" spans="2:10" x14ac:dyDescent="0.3">
      <c r="B6292" s="7">
        <v>44228</v>
      </c>
      <c r="C6292" s="3">
        <f t="shared" si="196"/>
        <v>2021</v>
      </c>
      <c r="D6292" s="3">
        <f t="shared" si="197"/>
        <v>202102</v>
      </c>
      <c r="E6292" s="5" t="s">
        <v>8</v>
      </c>
      <c r="F6292" s="5" t="s">
        <v>9</v>
      </c>
      <c r="G6292" s="5" t="s">
        <v>24</v>
      </c>
      <c r="H6292">
        <v>23</v>
      </c>
      <c r="I6292" s="4">
        <v>129697</v>
      </c>
      <c r="J6292" s="4">
        <v>46368</v>
      </c>
    </row>
    <row r="6293" spans="2:10" x14ac:dyDescent="0.3">
      <c r="B6293" s="7">
        <v>44256</v>
      </c>
      <c r="C6293" s="3">
        <f t="shared" si="196"/>
        <v>2021</v>
      </c>
      <c r="D6293" s="3">
        <f t="shared" si="197"/>
        <v>202103</v>
      </c>
      <c r="E6293" s="5" t="s">
        <v>8</v>
      </c>
      <c r="F6293" s="5" t="s">
        <v>9</v>
      </c>
      <c r="G6293" s="5" t="s">
        <v>24</v>
      </c>
      <c r="H6293">
        <v>19</v>
      </c>
      <c r="I6293" s="4">
        <v>92682</v>
      </c>
      <c r="J6293" s="4">
        <v>38304</v>
      </c>
    </row>
    <row r="6294" spans="2:10" x14ac:dyDescent="0.3">
      <c r="B6294" s="7">
        <v>44287</v>
      </c>
      <c r="C6294" s="3">
        <f t="shared" si="196"/>
        <v>2021</v>
      </c>
      <c r="D6294" s="3">
        <f t="shared" si="197"/>
        <v>202104</v>
      </c>
      <c r="E6294" s="5" t="s">
        <v>8</v>
      </c>
      <c r="F6294" s="5" t="s">
        <v>9</v>
      </c>
      <c r="G6294" s="5" t="s">
        <v>24</v>
      </c>
      <c r="H6294">
        <v>35</v>
      </c>
      <c r="I6294" s="4">
        <v>208215</v>
      </c>
      <c r="J6294" s="4">
        <v>70560</v>
      </c>
    </row>
    <row r="6295" spans="2:10" x14ac:dyDescent="0.3">
      <c r="B6295" s="7">
        <v>44317</v>
      </c>
      <c r="C6295" s="3">
        <f t="shared" si="196"/>
        <v>2021</v>
      </c>
      <c r="D6295" s="3">
        <f t="shared" si="197"/>
        <v>202105</v>
      </c>
      <c r="E6295" s="5" t="s">
        <v>8</v>
      </c>
      <c r="F6295" s="5" t="s">
        <v>9</v>
      </c>
      <c r="G6295" s="5" t="s">
        <v>24</v>
      </c>
      <c r="H6295">
        <v>44</v>
      </c>
      <c r="I6295" s="4">
        <v>266992</v>
      </c>
      <c r="J6295" s="4">
        <v>88704</v>
      </c>
    </row>
    <row r="6296" spans="2:10" x14ac:dyDescent="0.3">
      <c r="B6296" s="7">
        <v>44348</v>
      </c>
      <c r="C6296" s="3">
        <f t="shared" si="196"/>
        <v>2021</v>
      </c>
      <c r="D6296" s="3">
        <f t="shared" si="197"/>
        <v>202106</v>
      </c>
      <c r="E6296" s="5" t="s">
        <v>8</v>
      </c>
      <c r="F6296" s="5" t="s">
        <v>9</v>
      </c>
      <c r="G6296" s="5" t="s">
        <v>24</v>
      </c>
      <c r="H6296">
        <v>42</v>
      </c>
      <c r="I6296" s="4">
        <v>219366</v>
      </c>
      <c r="J6296" s="4">
        <v>84672</v>
      </c>
    </row>
    <row r="6297" spans="2:10" x14ac:dyDescent="0.3">
      <c r="B6297" s="7">
        <v>44378</v>
      </c>
      <c r="C6297" s="3">
        <f t="shared" si="196"/>
        <v>2021</v>
      </c>
      <c r="D6297" s="3">
        <f t="shared" si="197"/>
        <v>202107</v>
      </c>
      <c r="E6297" s="5" t="s">
        <v>8</v>
      </c>
      <c r="F6297" s="5" t="s">
        <v>9</v>
      </c>
      <c r="G6297" s="5" t="s">
        <v>24</v>
      </c>
      <c r="H6297">
        <v>44</v>
      </c>
      <c r="I6297" s="4">
        <v>170808</v>
      </c>
      <c r="J6297" s="4">
        <v>88704</v>
      </c>
    </row>
    <row r="6298" spans="2:10" x14ac:dyDescent="0.3">
      <c r="B6298" s="7">
        <v>44409</v>
      </c>
      <c r="C6298" s="3">
        <f t="shared" si="196"/>
        <v>2021</v>
      </c>
      <c r="D6298" s="3">
        <f t="shared" si="197"/>
        <v>202108</v>
      </c>
      <c r="E6298" s="5" t="s">
        <v>8</v>
      </c>
      <c r="F6298" s="5" t="s">
        <v>9</v>
      </c>
      <c r="G6298" s="5" t="s">
        <v>24</v>
      </c>
      <c r="H6298">
        <v>37</v>
      </c>
      <c r="I6298" s="4">
        <v>206201</v>
      </c>
      <c r="J6298" s="4">
        <v>74592</v>
      </c>
    </row>
    <row r="6299" spans="2:10" x14ac:dyDescent="0.3">
      <c r="B6299" s="7">
        <v>44440</v>
      </c>
      <c r="C6299" s="3">
        <f t="shared" si="196"/>
        <v>2021</v>
      </c>
      <c r="D6299" s="3">
        <f t="shared" si="197"/>
        <v>202109</v>
      </c>
      <c r="E6299" s="5" t="s">
        <v>8</v>
      </c>
      <c r="F6299" s="5" t="s">
        <v>9</v>
      </c>
      <c r="G6299" s="5" t="s">
        <v>24</v>
      </c>
      <c r="H6299">
        <v>39</v>
      </c>
      <c r="I6299" s="4">
        <v>203697</v>
      </c>
      <c r="J6299" s="4">
        <v>78624</v>
      </c>
    </row>
    <row r="6300" spans="2:10" x14ac:dyDescent="0.3">
      <c r="B6300" s="7">
        <v>44470</v>
      </c>
      <c r="C6300" s="3">
        <f t="shared" si="196"/>
        <v>2021</v>
      </c>
      <c r="D6300" s="3">
        <f t="shared" si="197"/>
        <v>202110</v>
      </c>
      <c r="E6300" s="5" t="s">
        <v>8</v>
      </c>
      <c r="F6300" s="5" t="s">
        <v>9</v>
      </c>
      <c r="G6300" s="5" t="s">
        <v>24</v>
      </c>
      <c r="H6300">
        <v>32</v>
      </c>
      <c r="I6300" s="4">
        <v>167968</v>
      </c>
      <c r="J6300" s="4">
        <v>64512</v>
      </c>
    </row>
    <row r="6301" spans="2:10" x14ac:dyDescent="0.3">
      <c r="B6301" s="7">
        <v>44501</v>
      </c>
      <c r="C6301" s="3">
        <f t="shared" si="196"/>
        <v>2021</v>
      </c>
      <c r="D6301" s="3">
        <f t="shared" si="197"/>
        <v>202111</v>
      </c>
      <c r="E6301" s="5" t="s">
        <v>8</v>
      </c>
      <c r="F6301" s="5" t="s">
        <v>9</v>
      </c>
      <c r="G6301" s="5" t="s">
        <v>24</v>
      </c>
      <c r="H6301">
        <v>23</v>
      </c>
      <c r="I6301" s="4">
        <v>129766</v>
      </c>
      <c r="J6301" s="4">
        <v>46368</v>
      </c>
    </row>
    <row r="6302" spans="2:10" x14ac:dyDescent="0.3">
      <c r="B6302" s="7">
        <v>44531</v>
      </c>
      <c r="C6302" s="3">
        <f t="shared" si="196"/>
        <v>2021</v>
      </c>
      <c r="D6302" s="3">
        <f t="shared" si="197"/>
        <v>202112</v>
      </c>
      <c r="E6302" s="5" t="s">
        <v>8</v>
      </c>
      <c r="F6302" s="5" t="s">
        <v>9</v>
      </c>
      <c r="G6302" s="5" t="s">
        <v>24</v>
      </c>
      <c r="H6302">
        <v>28</v>
      </c>
      <c r="I6302" s="4">
        <v>136108</v>
      </c>
      <c r="J6302" s="4">
        <v>56448</v>
      </c>
    </row>
    <row r="6303" spans="2:10" x14ac:dyDescent="0.3">
      <c r="B6303" s="7">
        <v>44562</v>
      </c>
      <c r="C6303" s="3">
        <f t="shared" si="196"/>
        <v>2022</v>
      </c>
      <c r="D6303" s="3">
        <f t="shared" si="197"/>
        <v>202201</v>
      </c>
      <c r="E6303" s="5" t="s">
        <v>8</v>
      </c>
      <c r="F6303" s="5" t="s">
        <v>9</v>
      </c>
      <c r="G6303" s="5" t="s">
        <v>24</v>
      </c>
      <c r="H6303">
        <v>41</v>
      </c>
      <c r="I6303" s="4">
        <v>220170</v>
      </c>
      <c r="J6303" s="4">
        <v>82656</v>
      </c>
    </row>
    <row r="6304" spans="2:10" x14ac:dyDescent="0.3">
      <c r="B6304" s="7">
        <v>44593</v>
      </c>
      <c r="C6304" s="3">
        <f t="shared" si="196"/>
        <v>2022</v>
      </c>
      <c r="D6304" s="3">
        <f t="shared" si="197"/>
        <v>202202</v>
      </c>
      <c r="E6304" s="5" t="s">
        <v>8</v>
      </c>
      <c r="F6304" s="5" t="s">
        <v>9</v>
      </c>
      <c r="G6304" s="5" t="s">
        <v>24</v>
      </c>
      <c r="H6304">
        <v>26</v>
      </c>
      <c r="I6304" s="4">
        <v>136448</v>
      </c>
      <c r="J6304" s="4">
        <v>52416</v>
      </c>
    </row>
    <row r="6305" spans="2:10" x14ac:dyDescent="0.3">
      <c r="B6305" s="7">
        <v>44621</v>
      </c>
      <c r="C6305" s="3">
        <f t="shared" si="196"/>
        <v>2022</v>
      </c>
      <c r="D6305" s="3">
        <f t="shared" si="197"/>
        <v>202203</v>
      </c>
      <c r="E6305" s="5" t="s">
        <v>8</v>
      </c>
      <c r="F6305" s="5" t="s">
        <v>9</v>
      </c>
      <c r="G6305" s="5" t="s">
        <v>24</v>
      </c>
      <c r="H6305">
        <v>21</v>
      </c>
      <c r="I6305" s="4">
        <v>100527</v>
      </c>
      <c r="J6305" s="4">
        <v>42336</v>
      </c>
    </row>
    <row r="6306" spans="2:10" x14ac:dyDescent="0.3">
      <c r="B6306" s="7">
        <v>44652</v>
      </c>
      <c r="C6306" s="3">
        <f t="shared" si="196"/>
        <v>2022</v>
      </c>
      <c r="D6306" s="3">
        <f t="shared" si="197"/>
        <v>202204</v>
      </c>
      <c r="E6306" s="5" t="s">
        <v>8</v>
      </c>
      <c r="F6306" s="5" t="s">
        <v>9</v>
      </c>
      <c r="G6306" s="5" t="s">
        <v>24</v>
      </c>
      <c r="H6306">
        <v>38</v>
      </c>
      <c r="I6306" s="4">
        <v>239058</v>
      </c>
      <c r="J6306" s="4">
        <v>76608</v>
      </c>
    </row>
    <row r="6307" spans="2:10" x14ac:dyDescent="0.3">
      <c r="B6307" s="7">
        <v>44682</v>
      </c>
      <c r="C6307" s="3">
        <f t="shared" si="196"/>
        <v>2022</v>
      </c>
      <c r="D6307" s="3">
        <f t="shared" si="197"/>
        <v>202205</v>
      </c>
      <c r="E6307" s="5" t="s">
        <v>8</v>
      </c>
      <c r="F6307" s="5" t="s">
        <v>9</v>
      </c>
      <c r="G6307" s="5" t="s">
        <v>24</v>
      </c>
      <c r="H6307">
        <v>48</v>
      </c>
      <c r="I6307" s="4">
        <v>272496</v>
      </c>
      <c r="J6307" s="4">
        <v>96768</v>
      </c>
    </row>
    <row r="6308" spans="2:10" x14ac:dyDescent="0.3">
      <c r="B6308" s="7">
        <v>44713</v>
      </c>
      <c r="C6308" s="3">
        <f t="shared" si="196"/>
        <v>2022</v>
      </c>
      <c r="D6308" s="3">
        <f t="shared" si="197"/>
        <v>202206</v>
      </c>
      <c r="E6308" s="5" t="s">
        <v>8</v>
      </c>
      <c r="F6308" s="5" t="s">
        <v>9</v>
      </c>
      <c r="G6308" s="5" t="s">
        <v>24</v>
      </c>
      <c r="H6308">
        <v>46</v>
      </c>
      <c r="I6308" s="4">
        <v>258382</v>
      </c>
      <c r="J6308" s="4">
        <v>92736</v>
      </c>
    </row>
    <row r="6309" spans="2:10" x14ac:dyDescent="0.3">
      <c r="B6309" s="7">
        <v>44743</v>
      </c>
      <c r="C6309" s="3">
        <f t="shared" si="196"/>
        <v>2022</v>
      </c>
      <c r="D6309" s="3">
        <f t="shared" si="197"/>
        <v>202207</v>
      </c>
      <c r="E6309" s="5" t="s">
        <v>8</v>
      </c>
      <c r="F6309" s="5" t="s">
        <v>9</v>
      </c>
      <c r="G6309" s="5" t="s">
        <v>24</v>
      </c>
      <c r="H6309">
        <v>48</v>
      </c>
      <c r="I6309" s="4">
        <v>210432</v>
      </c>
      <c r="J6309" s="4">
        <v>96768</v>
      </c>
    </row>
    <row r="6310" spans="2:10" x14ac:dyDescent="0.3">
      <c r="B6310" s="7">
        <v>44774</v>
      </c>
      <c r="C6310" s="3">
        <f t="shared" si="196"/>
        <v>2022</v>
      </c>
      <c r="D6310" s="3">
        <f t="shared" si="197"/>
        <v>202208</v>
      </c>
      <c r="E6310" s="5" t="s">
        <v>8</v>
      </c>
      <c r="F6310" s="5" t="s">
        <v>9</v>
      </c>
      <c r="G6310" s="5" t="s">
        <v>24</v>
      </c>
      <c r="H6310">
        <v>41</v>
      </c>
      <c r="I6310" s="4">
        <v>188764</v>
      </c>
      <c r="J6310" s="4">
        <v>82656</v>
      </c>
    </row>
    <row r="6311" spans="2:10" x14ac:dyDescent="0.3">
      <c r="B6311" s="7">
        <v>44805</v>
      </c>
      <c r="C6311" s="3">
        <f t="shared" si="196"/>
        <v>2022</v>
      </c>
      <c r="D6311" s="3">
        <f t="shared" si="197"/>
        <v>202209</v>
      </c>
      <c r="E6311" s="5" t="s">
        <v>8</v>
      </c>
      <c r="F6311" s="5" t="s">
        <v>9</v>
      </c>
      <c r="G6311" s="5" t="s">
        <v>24</v>
      </c>
      <c r="H6311">
        <v>43</v>
      </c>
      <c r="I6311" s="4">
        <v>221579</v>
      </c>
      <c r="J6311" s="4">
        <v>86688</v>
      </c>
    </row>
    <row r="6312" spans="2:10" x14ac:dyDescent="0.3">
      <c r="B6312" s="7">
        <v>44835</v>
      </c>
      <c r="C6312" s="3">
        <f t="shared" si="196"/>
        <v>2022</v>
      </c>
      <c r="D6312" s="3">
        <f t="shared" si="197"/>
        <v>202210</v>
      </c>
      <c r="E6312" s="5" t="s">
        <v>8</v>
      </c>
      <c r="F6312" s="5" t="s">
        <v>9</v>
      </c>
      <c r="G6312" s="5" t="s">
        <v>24</v>
      </c>
      <c r="H6312">
        <v>36</v>
      </c>
      <c r="I6312" s="4">
        <v>219312</v>
      </c>
      <c r="J6312" s="4">
        <v>72576</v>
      </c>
    </row>
    <row r="6313" spans="2:10" x14ac:dyDescent="0.3">
      <c r="B6313" s="7">
        <v>44866</v>
      </c>
      <c r="C6313" s="3">
        <f t="shared" si="196"/>
        <v>2022</v>
      </c>
      <c r="D6313" s="3">
        <f t="shared" si="197"/>
        <v>202211</v>
      </c>
      <c r="E6313" s="5" t="s">
        <v>8</v>
      </c>
      <c r="F6313" s="5" t="s">
        <v>9</v>
      </c>
      <c r="G6313" s="5" t="s">
        <v>24</v>
      </c>
      <c r="H6313">
        <v>26</v>
      </c>
      <c r="I6313" s="4">
        <v>150566</v>
      </c>
      <c r="J6313" s="4">
        <v>52416</v>
      </c>
    </row>
    <row r="6314" spans="2:10" x14ac:dyDescent="0.3">
      <c r="B6314" s="7">
        <v>44896</v>
      </c>
      <c r="C6314" s="3">
        <f t="shared" si="196"/>
        <v>2022</v>
      </c>
      <c r="D6314" s="3">
        <f t="shared" si="197"/>
        <v>202212</v>
      </c>
      <c r="E6314" s="5" t="s">
        <v>8</v>
      </c>
      <c r="F6314" s="5" t="s">
        <v>9</v>
      </c>
      <c r="G6314" s="5" t="s">
        <v>24</v>
      </c>
      <c r="H6314">
        <v>31</v>
      </c>
      <c r="I6314" s="4">
        <v>163463</v>
      </c>
      <c r="J6314" s="4">
        <v>62496</v>
      </c>
    </row>
    <row r="6315" spans="2:10" x14ac:dyDescent="0.3">
      <c r="B6315" s="7">
        <v>44197</v>
      </c>
      <c r="C6315" s="3">
        <f t="shared" si="196"/>
        <v>2021</v>
      </c>
      <c r="D6315" s="3">
        <f t="shared" si="197"/>
        <v>202101</v>
      </c>
      <c r="E6315" s="5" t="s">
        <v>8</v>
      </c>
      <c r="F6315" s="5" t="s">
        <v>9</v>
      </c>
      <c r="G6315" s="5" t="s">
        <v>25</v>
      </c>
      <c r="H6315">
        <v>34</v>
      </c>
      <c r="I6315" s="4">
        <v>95506</v>
      </c>
      <c r="J6315" s="4">
        <v>31790.000000000004</v>
      </c>
    </row>
    <row r="6316" spans="2:10" x14ac:dyDescent="0.3">
      <c r="B6316" s="7">
        <v>44228</v>
      </c>
      <c r="C6316" s="3">
        <f t="shared" si="196"/>
        <v>2021</v>
      </c>
      <c r="D6316" s="3">
        <f t="shared" si="197"/>
        <v>202102</v>
      </c>
      <c r="E6316" s="5" t="s">
        <v>8</v>
      </c>
      <c r="F6316" s="5" t="s">
        <v>9</v>
      </c>
      <c r="G6316" s="5" t="s">
        <v>25</v>
      </c>
      <c r="H6316">
        <v>21</v>
      </c>
      <c r="I6316" s="4">
        <v>77280</v>
      </c>
      <c r="J6316" s="4">
        <v>19635.000000000004</v>
      </c>
    </row>
    <row r="6317" spans="2:10" x14ac:dyDescent="0.3">
      <c r="B6317" s="7">
        <v>44256</v>
      </c>
      <c r="C6317" s="3">
        <f t="shared" si="196"/>
        <v>2021</v>
      </c>
      <c r="D6317" s="3">
        <f t="shared" si="197"/>
        <v>202103</v>
      </c>
      <c r="E6317" s="5" t="s">
        <v>8</v>
      </c>
      <c r="F6317" s="5" t="s">
        <v>9</v>
      </c>
      <c r="G6317" s="5" t="s">
        <v>25</v>
      </c>
      <c r="H6317">
        <v>17</v>
      </c>
      <c r="I6317" s="4">
        <v>35326</v>
      </c>
      <c r="J6317" s="4">
        <v>15895.000000000002</v>
      </c>
    </row>
    <row r="6318" spans="2:10" x14ac:dyDescent="0.3">
      <c r="B6318" s="7">
        <v>44287</v>
      </c>
      <c r="C6318" s="3">
        <f t="shared" si="196"/>
        <v>2021</v>
      </c>
      <c r="D6318" s="3">
        <f t="shared" si="197"/>
        <v>202104</v>
      </c>
      <c r="E6318" s="5" t="s">
        <v>8</v>
      </c>
      <c r="F6318" s="5" t="s">
        <v>9</v>
      </c>
      <c r="G6318" s="5" t="s">
        <v>25</v>
      </c>
      <c r="H6318">
        <v>31</v>
      </c>
      <c r="I6318" s="4">
        <v>90272</v>
      </c>
      <c r="J6318" s="4">
        <v>28985.000000000004</v>
      </c>
    </row>
    <row r="6319" spans="2:10" x14ac:dyDescent="0.3">
      <c r="B6319" s="7">
        <v>44317</v>
      </c>
      <c r="C6319" s="3">
        <f t="shared" si="196"/>
        <v>2021</v>
      </c>
      <c r="D6319" s="3">
        <f t="shared" si="197"/>
        <v>202105</v>
      </c>
      <c r="E6319" s="5" t="s">
        <v>8</v>
      </c>
      <c r="F6319" s="5" t="s">
        <v>9</v>
      </c>
      <c r="G6319" s="5" t="s">
        <v>25</v>
      </c>
      <c r="H6319">
        <v>40</v>
      </c>
      <c r="I6319" s="4">
        <v>163640</v>
      </c>
      <c r="J6319" s="4">
        <v>37400.000000000007</v>
      </c>
    </row>
    <row r="6320" spans="2:10" x14ac:dyDescent="0.3">
      <c r="B6320" s="7">
        <v>44348</v>
      </c>
      <c r="C6320" s="3">
        <f t="shared" si="196"/>
        <v>2021</v>
      </c>
      <c r="D6320" s="3">
        <f t="shared" si="197"/>
        <v>202106</v>
      </c>
      <c r="E6320" s="5" t="s">
        <v>8</v>
      </c>
      <c r="F6320" s="5" t="s">
        <v>9</v>
      </c>
      <c r="G6320" s="5" t="s">
        <v>25</v>
      </c>
      <c r="H6320">
        <v>38</v>
      </c>
      <c r="I6320" s="4">
        <v>120384</v>
      </c>
      <c r="J6320" s="4">
        <v>35530.000000000007</v>
      </c>
    </row>
    <row r="6321" spans="2:10" x14ac:dyDescent="0.3">
      <c r="B6321" s="7">
        <v>44378</v>
      </c>
      <c r="C6321" s="3">
        <f t="shared" si="196"/>
        <v>2021</v>
      </c>
      <c r="D6321" s="3">
        <f t="shared" si="197"/>
        <v>202107</v>
      </c>
      <c r="E6321" s="5" t="s">
        <v>8</v>
      </c>
      <c r="F6321" s="5" t="s">
        <v>9</v>
      </c>
      <c r="G6321" s="5" t="s">
        <v>25</v>
      </c>
      <c r="H6321">
        <v>40</v>
      </c>
      <c r="I6321" s="4">
        <v>78560</v>
      </c>
      <c r="J6321" s="4">
        <v>37400.000000000007</v>
      </c>
    </row>
    <row r="6322" spans="2:10" x14ac:dyDescent="0.3">
      <c r="B6322" s="7">
        <v>44409</v>
      </c>
      <c r="C6322" s="3">
        <f t="shared" si="196"/>
        <v>2021</v>
      </c>
      <c r="D6322" s="3">
        <f t="shared" si="197"/>
        <v>202108</v>
      </c>
      <c r="E6322" s="5" t="s">
        <v>8</v>
      </c>
      <c r="F6322" s="5" t="s">
        <v>9</v>
      </c>
      <c r="G6322" s="5" t="s">
        <v>25</v>
      </c>
      <c r="H6322">
        <v>34</v>
      </c>
      <c r="I6322" s="4">
        <v>90644</v>
      </c>
      <c r="J6322" s="4">
        <v>31790.000000000004</v>
      </c>
    </row>
    <row r="6323" spans="2:10" x14ac:dyDescent="0.3">
      <c r="B6323" s="7">
        <v>44440</v>
      </c>
      <c r="C6323" s="3">
        <f t="shared" si="196"/>
        <v>2021</v>
      </c>
      <c r="D6323" s="3">
        <f t="shared" si="197"/>
        <v>202109</v>
      </c>
      <c r="E6323" s="5" t="s">
        <v>8</v>
      </c>
      <c r="F6323" s="5" t="s">
        <v>9</v>
      </c>
      <c r="G6323" s="5" t="s">
        <v>25</v>
      </c>
      <c r="H6323">
        <v>36</v>
      </c>
      <c r="I6323" s="4">
        <v>90216</v>
      </c>
      <c r="J6323" s="4">
        <v>33660.000000000007</v>
      </c>
    </row>
    <row r="6324" spans="2:10" x14ac:dyDescent="0.3">
      <c r="B6324" s="7">
        <v>44470</v>
      </c>
      <c r="C6324" s="3">
        <f t="shared" si="196"/>
        <v>2021</v>
      </c>
      <c r="D6324" s="3">
        <f t="shared" si="197"/>
        <v>202110</v>
      </c>
      <c r="E6324" s="5" t="s">
        <v>8</v>
      </c>
      <c r="F6324" s="5" t="s">
        <v>9</v>
      </c>
      <c r="G6324" s="5" t="s">
        <v>25</v>
      </c>
      <c r="H6324">
        <v>29</v>
      </c>
      <c r="I6324" s="4">
        <v>93873</v>
      </c>
      <c r="J6324" s="4">
        <v>27115.000000000004</v>
      </c>
    </row>
    <row r="6325" spans="2:10" x14ac:dyDescent="0.3">
      <c r="B6325" s="7">
        <v>44501</v>
      </c>
      <c r="C6325" s="3">
        <f t="shared" si="196"/>
        <v>2021</v>
      </c>
      <c r="D6325" s="3">
        <f t="shared" si="197"/>
        <v>202111</v>
      </c>
      <c r="E6325" s="5" t="s">
        <v>8</v>
      </c>
      <c r="F6325" s="5" t="s">
        <v>9</v>
      </c>
      <c r="G6325" s="5" t="s">
        <v>25</v>
      </c>
      <c r="H6325">
        <v>21</v>
      </c>
      <c r="I6325" s="4">
        <v>55839</v>
      </c>
      <c r="J6325" s="4">
        <v>19635.000000000004</v>
      </c>
    </row>
    <row r="6326" spans="2:10" x14ac:dyDescent="0.3">
      <c r="B6326" s="7">
        <v>44531</v>
      </c>
      <c r="C6326" s="3">
        <f t="shared" si="196"/>
        <v>2021</v>
      </c>
      <c r="D6326" s="3">
        <f t="shared" si="197"/>
        <v>202112</v>
      </c>
      <c r="E6326" s="5" t="s">
        <v>8</v>
      </c>
      <c r="F6326" s="5" t="s">
        <v>9</v>
      </c>
      <c r="G6326" s="5" t="s">
        <v>25</v>
      </c>
      <c r="H6326">
        <v>25</v>
      </c>
      <c r="I6326" s="4">
        <v>54025</v>
      </c>
      <c r="J6326" s="4">
        <v>23375.000000000004</v>
      </c>
    </row>
    <row r="6327" spans="2:10" x14ac:dyDescent="0.3">
      <c r="B6327" s="7">
        <v>44562</v>
      </c>
      <c r="C6327" s="3">
        <f t="shared" si="196"/>
        <v>2022</v>
      </c>
      <c r="D6327" s="3">
        <f t="shared" si="197"/>
        <v>202201</v>
      </c>
      <c r="E6327" s="5" t="s">
        <v>8</v>
      </c>
      <c r="F6327" s="5" t="s">
        <v>9</v>
      </c>
      <c r="G6327" s="5" t="s">
        <v>25</v>
      </c>
      <c r="H6327">
        <v>37</v>
      </c>
      <c r="I6327" s="4">
        <v>111666</v>
      </c>
      <c r="J6327" s="4">
        <v>34595.000000000007</v>
      </c>
    </row>
    <row r="6328" spans="2:10" x14ac:dyDescent="0.3">
      <c r="B6328" s="7">
        <v>44593</v>
      </c>
      <c r="C6328" s="3">
        <f t="shared" si="196"/>
        <v>2022</v>
      </c>
      <c r="D6328" s="3">
        <f t="shared" si="197"/>
        <v>202202</v>
      </c>
      <c r="E6328" s="5" t="s">
        <v>8</v>
      </c>
      <c r="F6328" s="5" t="s">
        <v>9</v>
      </c>
      <c r="G6328" s="5" t="s">
        <v>25</v>
      </c>
      <c r="H6328">
        <v>23</v>
      </c>
      <c r="I6328" s="4">
        <v>61410</v>
      </c>
      <c r="J6328" s="4">
        <v>21505.000000000004</v>
      </c>
    </row>
    <row r="6329" spans="2:10" x14ac:dyDescent="0.3">
      <c r="B6329" s="7">
        <v>44621</v>
      </c>
      <c r="C6329" s="3">
        <f t="shared" si="196"/>
        <v>2022</v>
      </c>
      <c r="D6329" s="3">
        <f t="shared" si="197"/>
        <v>202203</v>
      </c>
      <c r="E6329" s="5" t="s">
        <v>8</v>
      </c>
      <c r="F6329" s="5" t="s">
        <v>9</v>
      </c>
      <c r="G6329" s="5" t="s">
        <v>25</v>
      </c>
      <c r="H6329">
        <v>19</v>
      </c>
      <c r="I6329" s="4">
        <v>51205</v>
      </c>
      <c r="J6329" s="4">
        <v>17765.000000000004</v>
      </c>
    </row>
    <row r="6330" spans="2:10" x14ac:dyDescent="0.3">
      <c r="B6330" s="7">
        <v>44652</v>
      </c>
      <c r="C6330" s="3">
        <f t="shared" si="196"/>
        <v>2022</v>
      </c>
      <c r="D6330" s="3">
        <f t="shared" si="197"/>
        <v>202204</v>
      </c>
      <c r="E6330" s="5" t="s">
        <v>8</v>
      </c>
      <c r="F6330" s="5" t="s">
        <v>9</v>
      </c>
      <c r="G6330" s="5" t="s">
        <v>25</v>
      </c>
      <c r="H6330">
        <v>35</v>
      </c>
      <c r="I6330" s="4">
        <v>112000</v>
      </c>
      <c r="J6330" s="4">
        <v>32725.000000000004</v>
      </c>
    </row>
    <row r="6331" spans="2:10" x14ac:dyDescent="0.3">
      <c r="B6331" s="7">
        <v>44682</v>
      </c>
      <c r="C6331" s="3">
        <f t="shared" si="196"/>
        <v>2022</v>
      </c>
      <c r="D6331" s="3">
        <f t="shared" si="197"/>
        <v>202205</v>
      </c>
      <c r="E6331" s="5" t="s">
        <v>8</v>
      </c>
      <c r="F6331" s="5" t="s">
        <v>9</v>
      </c>
      <c r="G6331" s="5" t="s">
        <v>25</v>
      </c>
      <c r="H6331">
        <v>44</v>
      </c>
      <c r="I6331" s="4">
        <v>150348</v>
      </c>
      <c r="J6331" s="4">
        <v>41140.000000000007</v>
      </c>
    </row>
    <row r="6332" spans="2:10" x14ac:dyDescent="0.3">
      <c r="B6332" s="7">
        <v>44713</v>
      </c>
      <c r="C6332" s="3">
        <f t="shared" si="196"/>
        <v>2022</v>
      </c>
      <c r="D6332" s="3">
        <f t="shared" si="197"/>
        <v>202206</v>
      </c>
      <c r="E6332" s="5" t="s">
        <v>8</v>
      </c>
      <c r="F6332" s="5" t="s">
        <v>9</v>
      </c>
      <c r="G6332" s="5" t="s">
        <v>25</v>
      </c>
      <c r="H6332">
        <v>41</v>
      </c>
      <c r="I6332" s="4">
        <v>122262</v>
      </c>
      <c r="J6332" s="4">
        <v>38335.000000000007</v>
      </c>
    </row>
    <row r="6333" spans="2:10" x14ac:dyDescent="0.3">
      <c r="B6333" s="7">
        <v>44743</v>
      </c>
      <c r="C6333" s="3">
        <f t="shared" si="196"/>
        <v>2022</v>
      </c>
      <c r="D6333" s="3">
        <f t="shared" si="197"/>
        <v>202207</v>
      </c>
      <c r="E6333" s="5" t="s">
        <v>8</v>
      </c>
      <c r="F6333" s="5" t="s">
        <v>9</v>
      </c>
      <c r="G6333" s="5" t="s">
        <v>25</v>
      </c>
      <c r="H6333">
        <v>44</v>
      </c>
      <c r="I6333" s="4">
        <v>59312</v>
      </c>
      <c r="J6333" s="4">
        <v>41140.000000000007</v>
      </c>
    </row>
    <row r="6334" spans="2:10" x14ac:dyDescent="0.3">
      <c r="B6334" s="7">
        <v>44774</v>
      </c>
      <c r="C6334" s="3">
        <f t="shared" si="196"/>
        <v>2022</v>
      </c>
      <c r="D6334" s="3">
        <f t="shared" si="197"/>
        <v>202208</v>
      </c>
      <c r="E6334" s="5" t="s">
        <v>8</v>
      </c>
      <c r="F6334" s="5" t="s">
        <v>9</v>
      </c>
      <c r="G6334" s="5" t="s">
        <v>25</v>
      </c>
      <c r="H6334">
        <v>37</v>
      </c>
      <c r="I6334" s="4">
        <v>89836</v>
      </c>
      <c r="J6334" s="4">
        <v>34595.000000000007</v>
      </c>
    </row>
    <row r="6335" spans="2:10" x14ac:dyDescent="0.3">
      <c r="B6335" s="7">
        <v>44805</v>
      </c>
      <c r="C6335" s="3">
        <f t="shared" si="196"/>
        <v>2022</v>
      </c>
      <c r="D6335" s="3">
        <f t="shared" si="197"/>
        <v>202209</v>
      </c>
      <c r="E6335" s="5" t="s">
        <v>8</v>
      </c>
      <c r="F6335" s="5" t="s">
        <v>9</v>
      </c>
      <c r="G6335" s="5" t="s">
        <v>25</v>
      </c>
      <c r="H6335">
        <v>39</v>
      </c>
      <c r="I6335" s="4">
        <v>103935</v>
      </c>
      <c r="J6335" s="4">
        <v>36465.000000000007</v>
      </c>
    </row>
    <row r="6336" spans="2:10" x14ac:dyDescent="0.3">
      <c r="B6336" s="7">
        <v>44835</v>
      </c>
      <c r="C6336" s="3">
        <f t="shared" si="196"/>
        <v>2022</v>
      </c>
      <c r="D6336" s="3">
        <f t="shared" si="197"/>
        <v>202210</v>
      </c>
      <c r="E6336" s="5" t="s">
        <v>8</v>
      </c>
      <c r="F6336" s="5" t="s">
        <v>9</v>
      </c>
      <c r="G6336" s="5" t="s">
        <v>25</v>
      </c>
      <c r="H6336">
        <v>32</v>
      </c>
      <c r="I6336" s="4">
        <v>93152</v>
      </c>
      <c r="J6336" s="4">
        <v>29920.000000000004</v>
      </c>
    </row>
    <row r="6337" spans="2:10" x14ac:dyDescent="0.3">
      <c r="B6337" s="7">
        <v>44866</v>
      </c>
      <c r="C6337" s="3">
        <f t="shared" si="196"/>
        <v>2022</v>
      </c>
      <c r="D6337" s="3">
        <f t="shared" si="197"/>
        <v>202211</v>
      </c>
      <c r="E6337" s="5" t="s">
        <v>8</v>
      </c>
      <c r="F6337" s="5" t="s">
        <v>9</v>
      </c>
      <c r="G6337" s="5" t="s">
        <v>25</v>
      </c>
      <c r="H6337">
        <v>23</v>
      </c>
      <c r="I6337" s="4">
        <v>66148</v>
      </c>
      <c r="J6337" s="4">
        <v>21505.000000000004</v>
      </c>
    </row>
    <row r="6338" spans="2:10" x14ac:dyDescent="0.3">
      <c r="B6338" s="7">
        <v>44896</v>
      </c>
      <c r="C6338" s="3">
        <f t="shared" si="196"/>
        <v>2022</v>
      </c>
      <c r="D6338" s="3">
        <f t="shared" si="197"/>
        <v>202212</v>
      </c>
      <c r="E6338" s="5" t="s">
        <v>8</v>
      </c>
      <c r="F6338" s="5" t="s">
        <v>9</v>
      </c>
      <c r="G6338" s="5" t="s">
        <v>25</v>
      </c>
      <c r="H6338">
        <v>28</v>
      </c>
      <c r="I6338" s="4">
        <v>75348</v>
      </c>
      <c r="J6338" s="4">
        <v>26180.000000000004</v>
      </c>
    </row>
    <row r="6339" spans="2:10" x14ac:dyDescent="0.3">
      <c r="B6339" s="7">
        <v>44197</v>
      </c>
      <c r="C6339" s="3">
        <f t="shared" ref="C6339:C6402" si="198">YEAR(B6339)</f>
        <v>2021</v>
      </c>
      <c r="D6339" s="3">
        <f t="shared" ref="D6339:D6402" si="199">VALUE(TEXT(B6339,"ГГГГММ"))</f>
        <v>202101</v>
      </c>
      <c r="E6339" s="5" t="s">
        <v>8</v>
      </c>
      <c r="F6339" s="5" t="s">
        <v>9</v>
      </c>
      <c r="G6339" s="5" t="s">
        <v>26</v>
      </c>
      <c r="H6339">
        <v>41</v>
      </c>
      <c r="I6339" s="4">
        <v>193520</v>
      </c>
      <c r="J6339" s="4">
        <v>81016</v>
      </c>
    </row>
    <row r="6340" spans="2:10" x14ac:dyDescent="0.3">
      <c r="B6340" s="7">
        <v>44228</v>
      </c>
      <c r="C6340" s="3">
        <f t="shared" si="198"/>
        <v>2021</v>
      </c>
      <c r="D6340" s="3">
        <f t="shared" si="199"/>
        <v>202102</v>
      </c>
      <c r="E6340" s="5" t="s">
        <v>8</v>
      </c>
      <c r="F6340" s="5" t="s">
        <v>9</v>
      </c>
      <c r="G6340" s="5" t="s">
        <v>26</v>
      </c>
      <c r="H6340">
        <v>26</v>
      </c>
      <c r="I6340" s="4">
        <v>130546</v>
      </c>
      <c r="J6340" s="4">
        <v>51376</v>
      </c>
    </row>
    <row r="6341" spans="2:10" x14ac:dyDescent="0.3">
      <c r="B6341" s="7">
        <v>44256</v>
      </c>
      <c r="C6341" s="3">
        <f t="shared" si="198"/>
        <v>2021</v>
      </c>
      <c r="D6341" s="3">
        <f t="shared" si="199"/>
        <v>202103</v>
      </c>
      <c r="E6341" s="5" t="s">
        <v>8</v>
      </c>
      <c r="F6341" s="5" t="s">
        <v>9</v>
      </c>
      <c r="G6341" s="5" t="s">
        <v>26</v>
      </c>
      <c r="H6341">
        <v>21</v>
      </c>
      <c r="I6341" s="4">
        <v>84315</v>
      </c>
      <c r="J6341" s="4">
        <v>41496</v>
      </c>
    </row>
    <row r="6342" spans="2:10" x14ac:dyDescent="0.3">
      <c r="B6342" s="7">
        <v>44287</v>
      </c>
      <c r="C6342" s="3">
        <f t="shared" si="198"/>
        <v>2021</v>
      </c>
      <c r="D6342" s="3">
        <f t="shared" si="199"/>
        <v>202104</v>
      </c>
      <c r="E6342" s="5" t="s">
        <v>8</v>
      </c>
      <c r="F6342" s="5" t="s">
        <v>9</v>
      </c>
      <c r="G6342" s="5" t="s">
        <v>26</v>
      </c>
      <c r="H6342">
        <v>39</v>
      </c>
      <c r="I6342" s="4">
        <v>226512</v>
      </c>
      <c r="J6342" s="4">
        <v>77064</v>
      </c>
    </row>
    <row r="6343" spans="2:10" x14ac:dyDescent="0.3">
      <c r="B6343" s="7">
        <v>44317</v>
      </c>
      <c r="C6343" s="3">
        <f t="shared" si="198"/>
        <v>2021</v>
      </c>
      <c r="D6343" s="3">
        <f t="shared" si="199"/>
        <v>202105</v>
      </c>
      <c r="E6343" s="5" t="s">
        <v>8</v>
      </c>
      <c r="F6343" s="5" t="s">
        <v>9</v>
      </c>
      <c r="G6343" s="5" t="s">
        <v>26</v>
      </c>
      <c r="H6343">
        <v>49</v>
      </c>
      <c r="I6343" s="4">
        <v>298214</v>
      </c>
      <c r="J6343" s="4">
        <v>96824</v>
      </c>
    </row>
    <row r="6344" spans="2:10" x14ac:dyDescent="0.3">
      <c r="B6344" s="7">
        <v>44348</v>
      </c>
      <c r="C6344" s="3">
        <f t="shared" si="198"/>
        <v>2021</v>
      </c>
      <c r="D6344" s="3">
        <f t="shared" si="199"/>
        <v>202106</v>
      </c>
      <c r="E6344" s="5" t="s">
        <v>8</v>
      </c>
      <c r="F6344" s="5" t="s">
        <v>9</v>
      </c>
      <c r="G6344" s="5" t="s">
        <v>26</v>
      </c>
      <c r="H6344">
        <v>46</v>
      </c>
      <c r="I6344" s="4">
        <v>256450</v>
      </c>
      <c r="J6344" s="4">
        <v>90896</v>
      </c>
    </row>
    <row r="6345" spans="2:10" x14ac:dyDescent="0.3">
      <c r="B6345" s="7">
        <v>44378</v>
      </c>
      <c r="C6345" s="3">
        <f t="shared" si="198"/>
        <v>2021</v>
      </c>
      <c r="D6345" s="3">
        <f t="shared" si="199"/>
        <v>202107</v>
      </c>
      <c r="E6345" s="5" t="s">
        <v>8</v>
      </c>
      <c r="F6345" s="5" t="s">
        <v>9</v>
      </c>
      <c r="G6345" s="5" t="s">
        <v>26</v>
      </c>
      <c r="H6345">
        <v>49</v>
      </c>
      <c r="I6345" s="4">
        <v>163905</v>
      </c>
      <c r="J6345" s="4">
        <v>96824</v>
      </c>
    </row>
    <row r="6346" spans="2:10" x14ac:dyDescent="0.3">
      <c r="B6346" s="7">
        <v>44409</v>
      </c>
      <c r="C6346" s="3">
        <f t="shared" si="198"/>
        <v>2021</v>
      </c>
      <c r="D6346" s="3">
        <f t="shared" si="199"/>
        <v>202108</v>
      </c>
      <c r="E6346" s="5" t="s">
        <v>8</v>
      </c>
      <c r="F6346" s="5" t="s">
        <v>9</v>
      </c>
      <c r="G6346" s="5" t="s">
        <v>26</v>
      </c>
      <c r="H6346">
        <v>41</v>
      </c>
      <c r="I6346" s="4">
        <v>164533</v>
      </c>
      <c r="J6346" s="4">
        <v>81016</v>
      </c>
    </row>
    <row r="6347" spans="2:10" x14ac:dyDescent="0.3">
      <c r="B6347" s="7">
        <v>44440</v>
      </c>
      <c r="C6347" s="3">
        <f t="shared" si="198"/>
        <v>2021</v>
      </c>
      <c r="D6347" s="3">
        <f t="shared" si="199"/>
        <v>202109</v>
      </c>
      <c r="E6347" s="5" t="s">
        <v>8</v>
      </c>
      <c r="F6347" s="5" t="s">
        <v>9</v>
      </c>
      <c r="G6347" s="5" t="s">
        <v>26</v>
      </c>
      <c r="H6347">
        <v>44</v>
      </c>
      <c r="I6347" s="4">
        <v>189332</v>
      </c>
      <c r="J6347" s="4">
        <v>86944</v>
      </c>
    </row>
    <row r="6348" spans="2:10" x14ac:dyDescent="0.3">
      <c r="B6348" s="7">
        <v>44470</v>
      </c>
      <c r="C6348" s="3">
        <f t="shared" si="198"/>
        <v>2021</v>
      </c>
      <c r="D6348" s="3">
        <f t="shared" si="199"/>
        <v>202110</v>
      </c>
      <c r="E6348" s="5" t="s">
        <v>8</v>
      </c>
      <c r="F6348" s="5" t="s">
        <v>9</v>
      </c>
      <c r="G6348" s="5" t="s">
        <v>26</v>
      </c>
      <c r="H6348">
        <v>36</v>
      </c>
      <c r="I6348" s="4">
        <v>185472</v>
      </c>
      <c r="J6348" s="4">
        <v>71136</v>
      </c>
    </row>
    <row r="6349" spans="2:10" x14ac:dyDescent="0.3">
      <c r="B6349" s="7">
        <v>44501</v>
      </c>
      <c r="C6349" s="3">
        <f t="shared" si="198"/>
        <v>2021</v>
      </c>
      <c r="D6349" s="3">
        <f t="shared" si="199"/>
        <v>202111</v>
      </c>
      <c r="E6349" s="5" t="s">
        <v>8</v>
      </c>
      <c r="F6349" s="5" t="s">
        <v>9</v>
      </c>
      <c r="G6349" s="5" t="s">
        <v>26</v>
      </c>
      <c r="H6349">
        <v>26</v>
      </c>
      <c r="I6349" s="4">
        <v>138320</v>
      </c>
      <c r="J6349" s="4">
        <v>51376</v>
      </c>
    </row>
    <row r="6350" spans="2:10" x14ac:dyDescent="0.3">
      <c r="B6350" s="7">
        <v>44531</v>
      </c>
      <c r="C6350" s="3">
        <f t="shared" si="198"/>
        <v>2021</v>
      </c>
      <c r="D6350" s="3">
        <f t="shared" si="199"/>
        <v>202112</v>
      </c>
      <c r="E6350" s="5" t="s">
        <v>8</v>
      </c>
      <c r="F6350" s="5" t="s">
        <v>9</v>
      </c>
      <c r="G6350" s="5" t="s">
        <v>26</v>
      </c>
      <c r="H6350">
        <v>31</v>
      </c>
      <c r="I6350" s="4">
        <v>135904</v>
      </c>
      <c r="J6350" s="4">
        <v>61256</v>
      </c>
    </row>
    <row r="6351" spans="2:10" x14ac:dyDescent="0.3">
      <c r="B6351" s="7">
        <v>44562</v>
      </c>
      <c r="C6351" s="3">
        <f t="shared" si="198"/>
        <v>2022</v>
      </c>
      <c r="D6351" s="3">
        <f t="shared" si="199"/>
        <v>202201</v>
      </c>
      <c r="E6351" s="5" t="s">
        <v>8</v>
      </c>
      <c r="F6351" s="5" t="s">
        <v>9</v>
      </c>
      <c r="G6351" s="5" t="s">
        <v>26</v>
      </c>
      <c r="H6351">
        <v>45</v>
      </c>
      <c r="I6351" s="4">
        <v>207450</v>
      </c>
      <c r="J6351" s="4">
        <v>88920</v>
      </c>
    </row>
    <row r="6352" spans="2:10" x14ac:dyDescent="0.3">
      <c r="B6352" s="7">
        <v>44593</v>
      </c>
      <c r="C6352" s="3">
        <f t="shared" si="198"/>
        <v>2022</v>
      </c>
      <c r="D6352" s="3">
        <f t="shared" si="199"/>
        <v>202202</v>
      </c>
      <c r="E6352" s="5" t="s">
        <v>8</v>
      </c>
      <c r="F6352" s="5" t="s">
        <v>9</v>
      </c>
      <c r="G6352" s="5" t="s">
        <v>26</v>
      </c>
      <c r="H6352">
        <v>28</v>
      </c>
      <c r="I6352" s="4">
        <v>133000</v>
      </c>
      <c r="J6352" s="4">
        <v>55328</v>
      </c>
    </row>
    <row r="6353" spans="2:10" x14ac:dyDescent="0.3">
      <c r="B6353" s="7">
        <v>44621</v>
      </c>
      <c r="C6353" s="3">
        <f t="shared" si="198"/>
        <v>2022</v>
      </c>
      <c r="D6353" s="3">
        <f t="shared" si="199"/>
        <v>202203</v>
      </c>
      <c r="E6353" s="5" t="s">
        <v>8</v>
      </c>
      <c r="F6353" s="5" t="s">
        <v>9</v>
      </c>
      <c r="G6353" s="5" t="s">
        <v>26</v>
      </c>
      <c r="H6353">
        <v>23</v>
      </c>
      <c r="I6353" s="4">
        <v>104742</v>
      </c>
      <c r="J6353" s="4">
        <v>45448</v>
      </c>
    </row>
    <row r="6354" spans="2:10" x14ac:dyDescent="0.3">
      <c r="B6354" s="7">
        <v>44652</v>
      </c>
      <c r="C6354" s="3">
        <f t="shared" si="198"/>
        <v>2022</v>
      </c>
      <c r="D6354" s="3">
        <f t="shared" si="199"/>
        <v>202204</v>
      </c>
      <c r="E6354" s="5" t="s">
        <v>8</v>
      </c>
      <c r="F6354" s="5" t="s">
        <v>9</v>
      </c>
      <c r="G6354" s="5" t="s">
        <v>26</v>
      </c>
      <c r="H6354">
        <v>42</v>
      </c>
      <c r="I6354" s="4">
        <v>257082</v>
      </c>
      <c r="J6354" s="4">
        <v>82992</v>
      </c>
    </row>
    <row r="6355" spans="2:10" x14ac:dyDescent="0.3">
      <c r="B6355" s="7">
        <v>44682</v>
      </c>
      <c r="C6355" s="3">
        <f t="shared" si="198"/>
        <v>2022</v>
      </c>
      <c r="D6355" s="3">
        <f t="shared" si="199"/>
        <v>202205</v>
      </c>
      <c r="E6355" s="5" t="s">
        <v>8</v>
      </c>
      <c r="F6355" s="5" t="s">
        <v>9</v>
      </c>
      <c r="G6355" s="5" t="s">
        <v>26</v>
      </c>
      <c r="H6355">
        <v>54</v>
      </c>
      <c r="I6355" s="4">
        <v>327672</v>
      </c>
      <c r="J6355" s="4">
        <v>106704</v>
      </c>
    </row>
    <row r="6356" spans="2:10" x14ac:dyDescent="0.3">
      <c r="B6356" s="7">
        <v>44713</v>
      </c>
      <c r="C6356" s="3">
        <f t="shared" si="198"/>
        <v>2022</v>
      </c>
      <c r="D6356" s="3">
        <f t="shared" si="199"/>
        <v>202206</v>
      </c>
      <c r="E6356" s="5" t="s">
        <v>8</v>
      </c>
      <c r="F6356" s="5" t="s">
        <v>9</v>
      </c>
      <c r="G6356" s="5" t="s">
        <v>26</v>
      </c>
      <c r="H6356">
        <v>51</v>
      </c>
      <c r="I6356" s="4">
        <v>239853</v>
      </c>
      <c r="J6356" s="4">
        <v>100776</v>
      </c>
    </row>
    <row r="6357" spans="2:10" x14ac:dyDescent="0.3">
      <c r="B6357" s="7">
        <v>44743</v>
      </c>
      <c r="C6357" s="3">
        <f t="shared" si="198"/>
        <v>2022</v>
      </c>
      <c r="D6357" s="3">
        <f t="shared" si="199"/>
        <v>202207</v>
      </c>
      <c r="E6357" s="5" t="s">
        <v>8</v>
      </c>
      <c r="F6357" s="5" t="s">
        <v>9</v>
      </c>
      <c r="G6357" s="5" t="s">
        <v>26</v>
      </c>
      <c r="H6357">
        <v>54</v>
      </c>
      <c r="I6357" s="4">
        <v>196236</v>
      </c>
      <c r="J6357" s="4">
        <v>106704</v>
      </c>
    </row>
    <row r="6358" spans="2:10" x14ac:dyDescent="0.3">
      <c r="B6358" s="7">
        <v>44774</v>
      </c>
      <c r="C6358" s="3">
        <f t="shared" si="198"/>
        <v>2022</v>
      </c>
      <c r="D6358" s="3">
        <f t="shared" si="199"/>
        <v>202208</v>
      </c>
      <c r="E6358" s="5" t="s">
        <v>8</v>
      </c>
      <c r="F6358" s="5" t="s">
        <v>9</v>
      </c>
      <c r="G6358" s="5" t="s">
        <v>26</v>
      </c>
      <c r="H6358">
        <v>45</v>
      </c>
      <c r="I6358" s="4">
        <v>224325</v>
      </c>
      <c r="J6358" s="4">
        <v>88920</v>
      </c>
    </row>
    <row r="6359" spans="2:10" x14ac:dyDescent="0.3">
      <c r="B6359" s="7">
        <v>44805</v>
      </c>
      <c r="C6359" s="3">
        <f t="shared" si="198"/>
        <v>2022</v>
      </c>
      <c r="D6359" s="3">
        <f t="shared" si="199"/>
        <v>202209</v>
      </c>
      <c r="E6359" s="5" t="s">
        <v>8</v>
      </c>
      <c r="F6359" s="5" t="s">
        <v>9</v>
      </c>
      <c r="G6359" s="5" t="s">
        <v>26</v>
      </c>
      <c r="H6359">
        <v>48</v>
      </c>
      <c r="I6359" s="4">
        <v>229776</v>
      </c>
      <c r="J6359" s="4">
        <v>94848</v>
      </c>
    </row>
    <row r="6360" spans="2:10" x14ac:dyDescent="0.3">
      <c r="B6360" s="7">
        <v>44835</v>
      </c>
      <c r="C6360" s="3">
        <f t="shared" si="198"/>
        <v>2022</v>
      </c>
      <c r="D6360" s="3">
        <f t="shared" si="199"/>
        <v>202210</v>
      </c>
      <c r="E6360" s="5" t="s">
        <v>8</v>
      </c>
      <c r="F6360" s="5" t="s">
        <v>9</v>
      </c>
      <c r="G6360" s="5" t="s">
        <v>26</v>
      </c>
      <c r="H6360">
        <v>40</v>
      </c>
      <c r="I6360" s="4">
        <v>203360</v>
      </c>
      <c r="J6360" s="4">
        <v>79040</v>
      </c>
    </row>
    <row r="6361" spans="2:10" x14ac:dyDescent="0.3">
      <c r="B6361" s="7">
        <v>44866</v>
      </c>
      <c r="C6361" s="3">
        <f t="shared" si="198"/>
        <v>2022</v>
      </c>
      <c r="D6361" s="3">
        <f t="shared" si="199"/>
        <v>202211</v>
      </c>
      <c r="E6361" s="5" t="s">
        <v>8</v>
      </c>
      <c r="F6361" s="5" t="s">
        <v>9</v>
      </c>
      <c r="G6361" s="5" t="s">
        <v>26</v>
      </c>
      <c r="H6361">
        <v>28</v>
      </c>
      <c r="I6361" s="4">
        <v>155876</v>
      </c>
      <c r="J6361" s="4">
        <v>55328</v>
      </c>
    </row>
    <row r="6362" spans="2:10" x14ac:dyDescent="0.3">
      <c r="B6362" s="7">
        <v>44896</v>
      </c>
      <c r="C6362" s="3">
        <f t="shared" si="198"/>
        <v>2022</v>
      </c>
      <c r="D6362" s="3">
        <f t="shared" si="199"/>
        <v>202212</v>
      </c>
      <c r="E6362" s="5" t="s">
        <v>8</v>
      </c>
      <c r="F6362" s="5" t="s">
        <v>9</v>
      </c>
      <c r="G6362" s="5" t="s">
        <v>26</v>
      </c>
      <c r="H6362">
        <v>34</v>
      </c>
      <c r="I6362" s="4">
        <v>146540</v>
      </c>
      <c r="J6362" s="4">
        <v>67184</v>
      </c>
    </row>
    <row r="6363" spans="2:10" x14ac:dyDescent="0.3">
      <c r="B6363" s="7">
        <v>44197</v>
      </c>
      <c r="C6363" s="3">
        <f t="shared" si="198"/>
        <v>2021</v>
      </c>
      <c r="D6363" s="3">
        <f t="shared" si="199"/>
        <v>202101</v>
      </c>
      <c r="E6363" s="5" t="s">
        <v>8</v>
      </c>
      <c r="F6363" s="5" t="s">
        <v>9</v>
      </c>
      <c r="G6363" s="5" t="s">
        <v>27</v>
      </c>
      <c r="H6363">
        <v>37</v>
      </c>
      <c r="I6363" s="4">
        <v>234654</v>
      </c>
      <c r="J6363" s="4">
        <v>66600</v>
      </c>
    </row>
    <row r="6364" spans="2:10" x14ac:dyDescent="0.3">
      <c r="B6364" s="7">
        <v>44228</v>
      </c>
      <c r="C6364" s="3">
        <f t="shared" si="198"/>
        <v>2021</v>
      </c>
      <c r="D6364" s="3">
        <f t="shared" si="199"/>
        <v>202102</v>
      </c>
      <c r="E6364" s="5" t="s">
        <v>8</v>
      </c>
      <c r="F6364" s="5" t="s">
        <v>9</v>
      </c>
      <c r="G6364" s="5" t="s">
        <v>27</v>
      </c>
      <c r="H6364">
        <v>23</v>
      </c>
      <c r="I6364" s="4">
        <v>136896</v>
      </c>
      <c r="J6364" s="4">
        <v>41400</v>
      </c>
    </row>
    <row r="6365" spans="2:10" x14ac:dyDescent="0.3">
      <c r="B6365" s="7">
        <v>44256</v>
      </c>
      <c r="C6365" s="3">
        <f t="shared" si="198"/>
        <v>2021</v>
      </c>
      <c r="D6365" s="3">
        <f t="shared" si="199"/>
        <v>202103</v>
      </c>
      <c r="E6365" s="5" t="s">
        <v>8</v>
      </c>
      <c r="F6365" s="5" t="s">
        <v>9</v>
      </c>
      <c r="G6365" s="5" t="s">
        <v>27</v>
      </c>
      <c r="H6365">
        <v>19</v>
      </c>
      <c r="I6365" s="4">
        <v>108110</v>
      </c>
      <c r="J6365" s="4">
        <v>34200</v>
      </c>
    </row>
    <row r="6366" spans="2:10" x14ac:dyDescent="0.3">
      <c r="B6366" s="7">
        <v>44287</v>
      </c>
      <c r="C6366" s="3">
        <f t="shared" si="198"/>
        <v>2021</v>
      </c>
      <c r="D6366" s="3">
        <f t="shared" si="199"/>
        <v>202104</v>
      </c>
      <c r="E6366" s="5" t="s">
        <v>8</v>
      </c>
      <c r="F6366" s="5" t="s">
        <v>9</v>
      </c>
      <c r="G6366" s="5" t="s">
        <v>27</v>
      </c>
      <c r="H6366">
        <v>35</v>
      </c>
      <c r="I6366" s="4">
        <v>211575</v>
      </c>
      <c r="J6366" s="4">
        <v>63000</v>
      </c>
    </row>
    <row r="6367" spans="2:10" x14ac:dyDescent="0.3">
      <c r="B6367" s="7">
        <v>44317</v>
      </c>
      <c r="C6367" s="3">
        <f t="shared" si="198"/>
        <v>2021</v>
      </c>
      <c r="D6367" s="3">
        <f t="shared" si="199"/>
        <v>202105</v>
      </c>
      <c r="E6367" s="5" t="s">
        <v>8</v>
      </c>
      <c r="F6367" s="5" t="s">
        <v>9</v>
      </c>
      <c r="G6367" s="5" t="s">
        <v>27</v>
      </c>
      <c r="H6367">
        <v>44</v>
      </c>
      <c r="I6367" s="4">
        <v>277288</v>
      </c>
      <c r="J6367" s="4">
        <v>79200</v>
      </c>
    </row>
    <row r="6368" spans="2:10" x14ac:dyDescent="0.3">
      <c r="B6368" s="7">
        <v>44348</v>
      </c>
      <c r="C6368" s="3">
        <f t="shared" si="198"/>
        <v>2021</v>
      </c>
      <c r="D6368" s="3">
        <f t="shared" si="199"/>
        <v>202106</v>
      </c>
      <c r="E6368" s="5" t="s">
        <v>8</v>
      </c>
      <c r="F6368" s="5" t="s">
        <v>9</v>
      </c>
      <c r="G6368" s="5" t="s">
        <v>27</v>
      </c>
      <c r="H6368">
        <v>42</v>
      </c>
      <c r="I6368" s="4">
        <v>243978</v>
      </c>
      <c r="J6368" s="4">
        <v>75600</v>
      </c>
    </row>
    <row r="6369" spans="2:10" x14ac:dyDescent="0.3">
      <c r="B6369" s="7">
        <v>44378</v>
      </c>
      <c r="C6369" s="3">
        <f t="shared" si="198"/>
        <v>2021</v>
      </c>
      <c r="D6369" s="3">
        <f t="shared" si="199"/>
        <v>202107</v>
      </c>
      <c r="E6369" s="5" t="s">
        <v>8</v>
      </c>
      <c r="F6369" s="5" t="s">
        <v>9</v>
      </c>
      <c r="G6369" s="5" t="s">
        <v>27</v>
      </c>
      <c r="H6369">
        <v>44</v>
      </c>
      <c r="I6369" s="4">
        <v>164076</v>
      </c>
      <c r="J6369" s="4">
        <v>79200</v>
      </c>
    </row>
    <row r="6370" spans="2:10" x14ac:dyDescent="0.3">
      <c r="B6370" s="7">
        <v>44409</v>
      </c>
      <c r="C6370" s="3">
        <f t="shared" si="198"/>
        <v>2021</v>
      </c>
      <c r="D6370" s="3">
        <f t="shared" si="199"/>
        <v>202108</v>
      </c>
      <c r="E6370" s="5" t="s">
        <v>8</v>
      </c>
      <c r="F6370" s="5" t="s">
        <v>9</v>
      </c>
      <c r="G6370" s="5" t="s">
        <v>27</v>
      </c>
      <c r="H6370">
        <v>37</v>
      </c>
      <c r="I6370" s="4">
        <v>210604</v>
      </c>
      <c r="J6370" s="4">
        <v>66600</v>
      </c>
    </row>
    <row r="6371" spans="2:10" x14ac:dyDescent="0.3">
      <c r="B6371" s="7">
        <v>44440</v>
      </c>
      <c r="C6371" s="3">
        <f t="shared" si="198"/>
        <v>2021</v>
      </c>
      <c r="D6371" s="3">
        <f t="shared" si="199"/>
        <v>202109</v>
      </c>
      <c r="E6371" s="5" t="s">
        <v>8</v>
      </c>
      <c r="F6371" s="5" t="s">
        <v>9</v>
      </c>
      <c r="G6371" s="5" t="s">
        <v>27</v>
      </c>
      <c r="H6371">
        <v>39</v>
      </c>
      <c r="I6371" s="4">
        <v>213486</v>
      </c>
      <c r="J6371" s="4">
        <v>70200</v>
      </c>
    </row>
    <row r="6372" spans="2:10" x14ac:dyDescent="0.3">
      <c r="B6372" s="7">
        <v>44470</v>
      </c>
      <c r="C6372" s="3">
        <f t="shared" si="198"/>
        <v>2021</v>
      </c>
      <c r="D6372" s="3">
        <f t="shared" si="199"/>
        <v>202110</v>
      </c>
      <c r="E6372" s="5" t="s">
        <v>8</v>
      </c>
      <c r="F6372" s="5" t="s">
        <v>9</v>
      </c>
      <c r="G6372" s="5" t="s">
        <v>27</v>
      </c>
      <c r="H6372">
        <v>32</v>
      </c>
      <c r="I6372" s="4">
        <v>194144</v>
      </c>
      <c r="J6372" s="4">
        <v>57600</v>
      </c>
    </row>
    <row r="6373" spans="2:10" x14ac:dyDescent="0.3">
      <c r="B6373" s="7">
        <v>44501</v>
      </c>
      <c r="C6373" s="3">
        <f t="shared" si="198"/>
        <v>2021</v>
      </c>
      <c r="D6373" s="3">
        <f t="shared" si="199"/>
        <v>202111</v>
      </c>
      <c r="E6373" s="5" t="s">
        <v>8</v>
      </c>
      <c r="F6373" s="5" t="s">
        <v>9</v>
      </c>
      <c r="G6373" s="5" t="s">
        <v>27</v>
      </c>
      <c r="H6373">
        <v>23</v>
      </c>
      <c r="I6373" s="4">
        <v>140806</v>
      </c>
      <c r="J6373" s="4">
        <v>41400</v>
      </c>
    </row>
    <row r="6374" spans="2:10" x14ac:dyDescent="0.3">
      <c r="B6374" s="7">
        <v>44531</v>
      </c>
      <c r="C6374" s="3">
        <f t="shared" si="198"/>
        <v>2021</v>
      </c>
      <c r="D6374" s="3">
        <f t="shared" si="199"/>
        <v>202112</v>
      </c>
      <c r="E6374" s="5" t="s">
        <v>8</v>
      </c>
      <c r="F6374" s="5" t="s">
        <v>9</v>
      </c>
      <c r="G6374" s="5" t="s">
        <v>27</v>
      </c>
      <c r="H6374">
        <v>28</v>
      </c>
      <c r="I6374" s="4">
        <v>156968</v>
      </c>
      <c r="J6374" s="4">
        <v>50400</v>
      </c>
    </row>
    <row r="6375" spans="2:10" x14ac:dyDescent="0.3">
      <c r="B6375" s="7">
        <v>44562</v>
      </c>
      <c r="C6375" s="3">
        <f t="shared" si="198"/>
        <v>2022</v>
      </c>
      <c r="D6375" s="3">
        <f t="shared" si="199"/>
        <v>202201</v>
      </c>
      <c r="E6375" s="5" t="s">
        <v>8</v>
      </c>
      <c r="F6375" s="5" t="s">
        <v>9</v>
      </c>
      <c r="G6375" s="5" t="s">
        <v>27</v>
      </c>
      <c r="H6375">
        <v>41</v>
      </c>
      <c r="I6375" s="4">
        <v>224516</v>
      </c>
      <c r="J6375" s="4">
        <v>73800</v>
      </c>
    </row>
    <row r="6376" spans="2:10" x14ac:dyDescent="0.3">
      <c r="B6376" s="7">
        <v>44593</v>
      </c>
      <c r="C6376" s="3">
        <f t="shared" si="198"/>
        <v>2022</v>
      </c>
      <c r="D6376" s="3">
        <f t="shared" si="199"/>
        <v>202202</v>
      </c>
      <c r="E6376" s="5" t="s">
        <v>8</v>
      </c>
      <c r="F6376" s="5" t="s">
        <v>9</v>
      </c>
      <c r="G6376" s="5" t="s">
        <v>27</v>
      </c>
      <c r="H6376">
        <v>26</v>
      </c>
      <c r="I6376" s="4">
        <v>165516</v>
      </c>
      <c r="J6376" s="4">
        <v>46800</v>
      </c>
    </row>
    <row r="6377" spans="2:10" x14ac:dyDescent="0.3">
      <c r="B6377" s="7">
        <v>44621</v>
      </c>
      <c r="C6377" s="3">
        <f t="shared" si="198"/>
        <v>2022</v>
      </c>
      <c r="D6377" s="3">
        <f t="shared" si="199"/>
        <v>202203</v>
      </c>
      <c r="E6377" s="5" t="s">
        <v>8</v>
      </c>
      <c r="F6377" s="5" t="s">
        <v>9</v>
      </c>
      <c r="G6377" s="5" t="s">
        <v>27</v>
      </c>
      <c r="H6377">
        <v>21</v>
      </c>
      <c r="I6377" s="4">
        <v>101640</v>
      </c>
      <c r="J6377" s="4">
        <v>37800</v>
      </c>
    </row>
    <row r="6378" spans="2:10" x14ac:dyDescent="0.3">
      <c r="B6378" s="7">
        <v>44652</v>
      </c>
      <c r="C6378" s="3">
        <f t="shared" si="198"/>
        <v>2022</v>
      </c>
      <c r="D6378" s="3">
        <f t="shared" si="199"/>
        <v>202204</v>
      </c>
      <c r="E6378" s="5" t="s">
        <v>8</v>
      </c>
      <c r="F6378" s="5" t="s">
        <v>9</v>
      </c>
      <c r="G6378" s="5" t="s">
        <v>27</v>
      </c>
      <c r="H6378">
        <v>38</v>
      </c>
      <c r="I6378" s="4">
        <v>244644</v>
      </c>
      <c r="J6378" s="4">
        <v>68400</v>
      </c>
    </row>
    <row r="6379" spans="2:10" x14ac:dyDescent="0.3">
      <c r="B6379" s="7">
        <v>44682</v>
      </c>
      <c r="C6379" s="3">
        <f t="shared" si="198"/>
        <v>2022</v>
      </c>
      <c r="D6379" s="3">
        <f t="shared" si="199"/>
        <v>202205</v>
      </c>
      <c r="E6379" s="5" t="s">
        <v>8</v>
      </c>
      <c r="F6379" s="5" t="s">
        <v>9</v>
      </c>
      <c r="G6379" s="5" t="s">
        <v>27</v>
      </c>
      <c r="H6379">
        <v>48</v>
      </c>
      <c r="I6379" s="4">
        <v>307248</v>
      </c>
      <c r="J6379" s="4">
        <v>86400</v>
      </c>
    </row>
    <row r="6380" spans="2:10" x14ac:dyDescent="0.3">
      <c r="B6380" s="7">
        <v>44713</v>
      </c>
      <c r="C6380" s="3">
        <f t="shared" si="198"/>
        <v>2022</v>
      </c>
      <c r="D6380" s="3">
        <f t="shared" si="199"/>
        <v>202206</v>
      </c>
      <c r="E6380" s="5" t="s">
        <v>8</v>
      </c>
      <c r="F6380" s="5" t="s">
        <v>9</v>
      </c>
      <c r="G6380" s="5" t="s">
        <v>27</v>
      </c>
      <c r="H6380">
        <v>46</v>
      </c>
      <c r="I6380" s="4">
        <v>280784</v>
      </c>
      <c r="J6380" s="4">
        <v>82800</v>
      </c>
    </row>
    <row r="6381" spans="2:10" x14ac:dyDescent="0.3">
      <c r="B6381" s="7">
        <v>44743</v>
      </c>
      <c r="C6381" s="3">
        <f t="shared" si="198"/>
        <v>2022</v>
      </c>
      <c r="D6381" s="3">
        <f t="shared" si="199"/>
        <v>202207</v>
      </c>
      <c r="E6381" s="5" t="s">
        <v>8</v>
      </c>
      <c r="F6381" s="5" t="s">
        <v>9</v>
      </c>
      <c r="G6381" s="5" t="s">
        <v>27</v>
      </c>
      <c r="H6381">
        <v>48</v>
      </c>
      <c r="I6381" s="4">
        <v>225456</v>
      </c>
      <c r="J6381" s="4">
        <v>86400</v>
      </c>
    </row>
    <row r="6382" spans="2:10" x14ac:dyDescent="0.3">
      <c r="B6382" s="7">
        <v>44774</v>
      </c>
      <c r="C6382" s="3">
        <f t="shared" si="198"/>
        <v>2022</v>
      </c>
      <c r="D6382" s="3">
        <f t="shared" si="199"/>
        <v>202208</v>
      </c>
      <c r="E6382" s="5" t="s">
        <v>8</v>
      </c>
      <c r="F6382" s="5" t="s">
        <v>9</v>
      </c>
      <c r="G6382" s="5" t="s">
        <v>27</v>
      </c>
      <c r="H6382">
        <v>41</v>
      </c>
      <c r="I6382" s="4">
        <v>211970</v>
      </c>
      <c r="J6382" s="4">
        <v>73800</v>
      </c>
    </row>
    <row r="6383" spans="2:10" x14ac:dyDescent="0.3">
      <c r="B6383" s="7">
        <v>44805</v>
      </c>
      <c r="C6383" s="3">
        <f t="shared" si="198"/>
        <v>2022</v>
      </c>
      <c r="D6383" s="3">
        <f t="shared" si="199"/>
        <v>202209</v>
      </c>
      <c r="E6383" s="5" t="s">
        <v>8</v>
      </c>
      <c r="F6383" s="5" t="s">
        <v>9</v>
      </c>
      <c r="G6383" s="5" t="s">
        <v>27</v>
      </c>
      <c r="H6383">
        <v>43</v>
      </c>
      <c r="I6383" s="4">
        <v>229706</v>
      </c>
      <c r="J6383" s="4">
        <v>77400</v>
      </c>
    </row>
    <row r="6384" spans="2:10" x14ac:dyDescent="0.3">
      <c r="B6384" s="7">
        <v>44835</v>
      </c>
      <c r="C6384" s="3">
        <f t="shared" si="198"/>
        <v>2022</v>
      </c>
      <c r="D6384" s="3">
        <f t="shared" si="199"/>
        <v>202210</v>
      </c>
      <c r="E6384" s="5" t="s">
        <v>8</v>
      </c>
      <c r="F6384" s="5" t="s">
        <v>9</v>
      </c>
      <c r="G6384" s="5" t="s">
        <v>27</v>
      </c>
      <c r="H6384">
        <v>36</v>
      </c>
      <c r="I6384" s="4">
        <v>222588</v>
      </c>
      <c r="J6384" s="4">
        <v>64800</v>
      </c>
    </row>
    <row r="6385" spans="2:10" x14ac:dyDescent="0.3">
      <c r="B6385" s="7">
        <v>44866</v>
      </c>
      <c r="C6385" s="3">
        <f t="shared" si="198"/>
        <v>2022</v>
      </c>
      <c r="D6385" s="3">
        <f t="shared" si="199"/>
        <v>202211</v>
      </c>
      <c r="E6385" s="5" t="s">
        <v>8</v>
      </c>
      <c r="F6385" s="5" t="s">
        <v>9</v>
      </c>
      <c r="G6385" s="5" t="s">
        <v>27</v>
      </c>
      <c r="H6385">
        <v>26</v>
      </c>
      <c r="I6385" s="4">
        <v>144716</v>
      </c>
      <c r="J6385" s="4">
        <v>46800</v>
      </c>
    </row>
    <row r="6386" spans="2:10" x14ac:dyDescent="0.3">
      <c r="B6386" s="7">
        <v>44896</v>
      </c>
      <c r="C6386" s="3">
        <f t="shared" si="198"/>
        <v>2022</v>
      </c>
      <c r="D6386" s="3">
        <f t="shared" si="199"/>
        <v>202212</v>
      </c>
      <c r="E6386" s="5" t="s">
        <v>8</v>
      </c>
      <c r="F6386" s="5" t="s">
        <v>9</v>
      </c>
      <c r="G6386" s="5" t="s">
        <v>27</v>
      </c>
      <c r="H6386">
        <v>31</v>
      </c>
      <c r="I6386" s="4">
        <v>152148</v>
      </c>
      <c r="J6386" s="4">
        <v>55800</v>
      </c>
    </row>
    <row r="6387" spans="2:10" x14ac:dyDescent="0.3">
      <c r="B6387" s="7">
        <v>44197</v>
      </c>
      <c r="C6387" s="3">
        <f t="shared" si="198"/>
        <v>2021</v>
      </c>
      <c r="D6387" s="3">
        <f t="shared" si="199"/>
        <v>202101</v>
      </c>
      <c r="E6387" s="5" t="s">
        <v>8</v>
      </c>
      <c r="F6387" s="5" t="s">
        <v>10</v>
      </c>
      <c r="G6387" s="5" t="s">
        <v>28</v>
      </c>
      <c r="H6387">
        <v>25</v>
      </c>
      <c r="I6387" s="4">
        <v>914725</v>
      </c>
      <c r="J6387" s="4">
        <v>516250</v>
      </c>
    </row>
    <row r="6388" spans="2:10" x14ac:dyDescent="0.3">
      <c r="B6388" s="7">
        <v>44228</v>
      </c>
      <c r="C6388" s="3">
        <f t="shared" si="198"/>
        <v>2021</v>
      </c>
      <c r="D6388" s="3">
        <f t="shared" si="199"/>
        <v>202102</v>
      </c>
      <c r="E6388" s="5" t="s">
        <v>8</v>
      </c>
      <c r="F6388" s="5" t="s">
        <v>10</v>
      </c>
      <c r="G6388" s="5" t="s">
        <v>28</v>
      </c>
      <c r="H6388">
        <v>16</v>
      </c>
      <c r="I6388" s="4">
        <v>584208</v>
      </c>
      <c r="J6388" s="4">
        <v>330400</v>
      </c>
    </row>
    <row r="6389" spans="2:10" x14ac:dyDescent="0.3">
      <c r="B6389" s="7">
        <v>44256</v>
      </c>
      <c r="C6389" s="3">
        <f t="shared" si="198"/>
        <v>2021</v>
      </c>
      <c r="D6389" s="3">
        <f t="shared" si="199"/>
        <v>202103</v>
      </c>
      <c r="E6389" s="5" t="s">
        <v>8</v>
      </c>
      <c r="F6389" s="5" t="s">
        <v>10</v>
      </c>
      <c r="G6389" s="5" t="s">
        <v>28</v>
      </c>
      <c r="H6389">
        <v>13</v>
      </c>
      <c r="I6389" s="4">
        <v>467012</v>
      </c>
      <c r="J6389" s="4">
        <v>268450</v>
      </c>
    </row>
    <row r="6390" spans="2:10" x14ac:dyDescent="0.3">
      <c r="B6390" s="7">
        <v>44287</v>
      </c>
      <c r="C6390" s="3">
        <f t="shared" si="198"/>
        <v>2021</v>
      </c>
      <c r="D6390" s="3">
        <f t="shared" si="199"/>
        <v>202104</v>
      </c>
      <c r="E6390" s="5" t="s">
        <v>8</v>
      </c>
      <c r="F6390" s="5" t="s">
        <v>10</v>
      </c>
      <c r="G6390" s="5" t="s">
        <v>28</v>
      </c>
      <c r="H6390">
        <v>23</v>
      </c>
      <c r="I6390" s="4">
        <v>857946</v>
      </c>
      <c r="J6390" s="4">
        <v>474950</v>
      </c>
    </row>
    <row r="6391" spans="2:10" x14ac:dyDescent="0.3">
      <c r="B6391" s="7">
        <v>44317</v>
      </c>
      <c r="C6391" s="3">
        <f t="shared" si="198"/>
        <v>2021</v>
      </c>
      <c r="D6391" s="3">
        <f t="shared" si="199"/>
        <v>202105</v>
      </c>
      <c r="E6391" s="5" t="s">
        <v>8</v>
      </c>
      <c r="F6391" s="5" t="s">
        <v>10</v>
      </c>
      <c r="G6391" s="5" t="s">
        <v>28</v>
      </c>
      <c r="H6391">
        <v>29</v>
      </c>
      <c r="I6391" s="4">
        <v>1089298</v>
      </c>
      <c r="J6391" s="4">
        <v>598850</v>
      </c>
    </row>
    <row r="6392" spans="2:10" x14ac:dyDescent="0.3">
      <c r="B6392" s="7">
        <v>44348</v>
      </c>
      <c r="C6392" s="3">
        <f t="shared" si="198"/>
        <v>2021</v>
      </c>
      <c r="D6392" s="3">
        <f t="shared" si="199"/>
        <v>202106</v>
      </c>
      <c r="E6392" s="5" t="s">
        <v>8</v>
      </c>
      <c r="F6392" s="5" t="s">
        <v>10</v>
      </c>
      <c r="G6392" s="5" t="s">
        <v>28</v>
      </c>
      <c r="H6392">
        <v>28</v>
      </c>
      <c r="I6392" s="4">
        <v>1018724</v>
      </c>
      <c r="J6392" s="4">
        <v>578200</v>
      </c>
    </row>
    <row r="6393" spans="2:10" x14ac:dyDescent="0.3">
      <c r="B6393" s="7">
        <v>44378</v>
      </c>
      <c r="C6393" s="3">
        <f t="shared" si="198"/>
        <v>2021</v>
      </c>
      <c r="D6393" s="3">
        <f t="shared" si="199"/>
        <v>202107</v>
      </c>
      <c r="E6393" s="5" t="s">
        <v>8</v>
      </c>
      <c r="F6393" s="5" t="s">
        <v>10</v>
      </c>
      <c r="G6393" s="5" t="s">
        <v>28</v>
      </c>
      <c r="H6393">
        <v>29</v>
      </c>
      <c r="I6393" s="4">
        <v>1003893</v>
      </c>
      <c r="J6393" s="4">
        <v>598850</v>
      </c>
    </row>
    <row r="6394" spans="2:10" x14ac:dyDescent="0.3">
      <c r="B6394" s="7">
        <v>44409</v>
      </c>
      <c r="C6394" s="3">
        <f t="shared" si="198"/>
        <v>2021</v>
      </c>
      <c r="D6394" s="3">
        <f t="shared" si="199"/>
        <v>202108</v>
      </c>
      <c r="E6394" s="5" t="s">
        <v>8</v>
      </c>
      <c r="F6394" s="5" t="s">
        <v>10</v>
      </c>
      <c r="G6394" s="5" t="s">
        <v>28</v>
      </c>
      <c r="H6394">
        <v>25</v>
      </c>
      <c r="I6394" s="4">
        <v>897450</v>
      </c>
      <c r="J6394" s="4">
        <v>516250</v>
      </c>
    </row>
    <row r="6395" spans="2:10" x14ac:dyDescent="0.3">
      <c r="B6395" s="7">
        <v>44440</v>
      </c>
      <c r="C6395" s="3">
        <f t="shared" si="198"/>
        <v>2021</v>
      </c>
      <c r="D6395" s="3">
        <f t="shared" si="199"/>
        <v>202109</v>
      </c>
      <c r="E6395" s="5" t="s">
        <v>8</v>
      </c>
      <c r="F6395" s="5" t="s">
        <v>10</v>
      </c>
      <c r="G6395" s="5" t="s">
        <v>28</v>
      </c>
      <c r="H6395">
        <v>26</v>
      </c>
      <c r="I6395" s="4">
        <v>921076</v>
      </c>
      <c r="J6395" s="4">
        <v>536900</v>
      </c>
    </row>
    <row r="6396" spans="2:10" x14ac:dyDescent="0.3">
      <c r="B6396" s="7">
        <v>44470</v>
      </c>
      <c r="C6396" s="3">
        <f t="shared" si="198"/>
        <v>2021</v>
      </c>
      <c r="D6396" s="3">
        <f t="shared" si="199"/>
        <v>202110</v>
      </c>
      <c r="E6396" s="5" t="s">
        <v>8</v>
      </c>
      <c r="F6396" s="5" t="s">
        <v>10</v>
      </c>
      <c r="G6396" s="5" t="s">
        <v>28</v>
      </c>
      <c r="H6396">
        <v>22</v>
      </c>
      <c r="I6396" s="4">
        <v>814132</v>
      </c>
      <c r="J6396" s="4">
        <v>454300</v>
      </c>
    </row>
    <row r="6397" spans="2:10" x14ac:dyDescent="0.3">
      <c r="B6397" s="7">
        <v>44501</v>
      </c>
      <c r="C6397" s="3">
        <f t="shared" si="198"/>
        <v>2021</v>
      </c>
      <c r="D6397" s="3">
        <f t="shared" si="199"/>
        <v>202111</v>
      </c>
      <c r="E6397" s="5" t="s">
        <v>8</v>
      </c>
      <c r="F6397" s="5" t="s">
        <v>10</v>
      </c>
      <c r="G6397" s="5" t="s">
        <v>28</v>
      </c>
      <c r="H6397">
        <v>16</v>
      </c>
      <c r="I6397" s="4">
        <v>577600</v>
      </c>
      <c r="J6397" s="4">
        <v>330400</v>
      </c>
    </row>
    <row r="6398" spans="2:10" x14ac:dyDescent="0.3">
      <c r="B6398" s="7">
        <v>44531</v>
      </c>
      <c r="C6398" s="3">
        <f t="shared" si="198"/>
        <v>2021</v>
      </c>
      <c r="D6398" s="3">
        <f t="shared" si="199"/>
        <v>202112</v>
      </c>
      <c r="E6398" s="5" t="s">
        <v>8</v>
      </c>
      <c r="F6398" s="5" t="s">
        <v>10</v>
      </c>
      <c r="G6398" s="5" t="s">
        <v>28</v>
      </c>
      <c r="H6398">
        <v>19</v>
      </c>
      <c r="I6398" s="4">
        <v>677407</v>
      </c>
      <c r="J6398" s="4">
        <v>392350</v>
      </c>
    </row>
    <row r="6399" spans="2:10" x14ac:dyDescent="0.3">
      <c r="B6399" s="7">
        <v>44562</v>
      </c>
      <c r="C6399" s="3">
        <f t="shared" si="198"/>
        <v>2022</v>
      </c>
      <c r="D6399" s="3">
        <f t="shared" si="199"/>
        <v>202201</v>
      </c>
      <c r="E6399" s="5" t="s">
        <v>8</v>
      </c>
      <c r="F6399" s="5" t="s">
        <v>10</v>
      </c>
      <c r="G6399" s="5" t="s">
        <v>28</v>
      </c>
      <c r="H6399">
        <v>27</v>
      </c>
      <c r="I6399" s="4">
        <v>997299</v>
      </c>
      <c r="J6399" s="4">
        <v>557550</v>
      </c>
    </row>
    <row r="6400" spans="2:10" x14ac:dyDescent="0.3">
      <c r="B6400" s="7">
        <v>44593</v>
      </c>
      <c r="C6400" s="3">
        <f t="shared" si="198"/>
        <v>2022</v>
      </c>
      <c r="D6400" s="3">
        <f t="shared" si="199"/>
        <v>202202</v>
      </c>
      <c r="E6400" s="5" t="s">
        <v>8</v>
      </c>
      <c r="F6400" s="5" t="s">
        <v>10</v>
      </c>
      <c r="G6400" s="5" t="s">
        <v>28</v>
      </c>
      <c r="H6400">
        <v>17</v>
      </c>
      <c r="I6400" s="4">
        <v>627368</v>
      </c>
      <c r="J6400" s="4">
        <v>351050</v>
      </c>
    </row>
    <row r="6401" spans="2:10" x14ac:dyDescent="0.3">
      <c r="B6401" s="7">
        <v>44621</v>
      </c>
      <c r="C6401" s="3">
        <f t="shared" si="198"/>
        <v>2022</v>
      </c>
      <c r="D6401" s="3">
        <f t="shared" si="199"/>
        <v>202203</v>
      </c>
      <c r="E6401" s="5" t="s">
        <v>8</v>
      </c>
      <c r="F6401" s="5" t="s">
        <v>10</v>
      </c>
      <c r="G6401" s="5" t="s">
        <v>28</v>
      </c>
      <c r="H6401">
        <v>14</v>
      </c>
      <c r="I6401" s="4">
        <v>497924</v>
      </c>
      <c r="J6401" s="4">
        <v>289100</v>
      </c>
    </row>
    <row r="6402" spans="2:10" x14ac:dyDescent="0.3">
      <c r="B6402" s="7">
        <v>44652</v>
      </c>
      <c r="C6402" s="3">
        <f t="shared" si="198"/>
        <v>2022</v>
      </c>
      <c r="D6402" s="3">
        <f t="shared" si="199"/>
        <v>202204</v>
      </c>
      <c r="E6402" s="5" t="s">
        <v>8</v>
      </c>
      <c r="F6402" s="5" t="s">
        <v>10</v>
      </c>
      <c r="G6402" s="5" t="s">
        <v>28</v>
      </c>
      <c r="H6402">
        <v>26</v>
      </c>
      <c r="I6402" s="4">
        <v>949780</v>
      </c>
      <c r="J6402" s="4">
        <v>536900</v>
      </c>
    </row>
    <row r="6403" spans="2:10" x14ac:dyDescent="0.3">
      <c r="B6403" s="7">
        <v>44682</v>
      </c>
      <c r="C6403" s="3">
        <f t="shared" ref="C6403:C6466" si="200">YEAR(B6403)</f>
        <v>2022</v>
      </c>
      <c r="D6403" s="3">
        <f t="shared" ref="D6403:D6466" si="201">VALUE(TEXT(B6403,"ГГГГММ"))</f>
        <v>202205</v>
      </c>
      <c r="E6403" s="5" t="s">
        <v>8</v>
      </c>
      <c r="F6403" s="5" t="s">
        <v>10</v>
      </c>
      <c r="G6403" s="5" t="s">
        <v>28</v>
      </c>
      <c r="H6403">
        <v>32</v>
      </c>
      <c r="I6403" s="4">
        <v>1167872</v>
      </c>
      <c r="J6403" s="4">
        <v>660800</v>
      </c>
    </row>
    <row r="6404" spans="2:10" x14ac:dyDescent="0.3">
      <c r="B6404" s="7">
        <v>44713</v>
      </c>
      <c r="C6404" s="3">
        <f t="shared" si="200"/>
        <v>2022</v>
      </c>
      <c r="D6404" s="3">
        <f t="shared" si="201"/>
        <v>202206</v>
      </c>
      <c r="E6404" s="5" t="s">
        <v>8</v>
      </c>
      <c r="F6404" s="5" t="s">
        <v>10</v>
      </c>
      <c r="G6404" s="5" t="s">
        <v>28</v>
      </c>
      <c r="H6404">
        <v>31</v>
      </c>
      <c r="I6404" s="4">
        <v>1141885</v>
      </c>
      <c r="J6404" s="4">
        <v>640150</v>
      </c>
    </row>
    <row r="6405" spans="2:10" x14ac:dyDescent="0.3">
      <c r="B6405" s="7">
        <v>44743</v>
      </c>
      <c r="C6405" s="3">
        <f t="shared" si="200"/>
        <v>2022</v>
      </c>
      <c r="D6405" s="3">
        <f t="shared" si="201"/>
        <v>202207</v>
      </c>
      <c r="E6405" s="5" t="s">
        <v>8</v>
      </c>
      <c r="F6405" s="5" t="s">
        <v>10</v>
      </c>
      <c r="G6405" s="5" t="s">
        <v>28</v>
      </c>
      <c r="H6405">
        <v>32</v>
      </c>
      <c r="I6405" s="4">
        <v>1102592</v>
      </c>
      <c r="J6405" s="4">
        <v>660800</v>
      </c>
    </row>
    <row r="6406" spans="2:10" x14ac:dyDescent="0.3">
      <c r="B6406" s="7">
        <v>44774</v>
      </c>
      <c r="C6406" s="3">
        <f t="shared" si="200"/>
        <v>2022</v>
      </c>
      <c r="D6406" s="3">
        <f t="shared" si="201"/>
        <v>202208</v>
      </c>
      <c r="E6406" s="5" t="s">
        <v>8</v>
      </c>
      <c r="F6406" s="5" t="s">
        <v>10</v>
      </c>
      <c r="G6406" s="5" t="s">
        <v>28</v>
      </c>
      <c r="H6406">
        <v>27</v>
      </c>
      <c r="I6406" s="4">
        <v>974970</v>
      </c>
      <c r="J6406" s="4">
        <v>557550</v>
      </c>
    </row>
    <row r="6407" spans="2:10" x14ac:dyDescent="0.3">
      <c r="B6407" s="7">
        <v>44805</v>
      </c>
      <c r="C6407" s="3">
        <f t="shared" si="200"/>
        <v>2022</v>
      </c>
      <c r="D6407" s="3">
        <f t="shared" si="201"/>
        <v>202209</v>
      </c>
      <c r="E6407" s="5" t="s">
        <v>8</v>
      </c>
      <c r="F6407" s="5" t="s">
        <v>10</v>
      </c>
      <c r="G6407" s="5" t="s">
        <v>28</v>
      </c>
      <c r="H6407">
        <v>29</v>
      </c>
      <c r="I6407" s="4">
        <v>1038809</v>
      </c>
      <c r="J6407" s="4">
        <v>598850</v>
      </c>
    </row>
    <row r="6408" spans="2:10" x14ac:dyDescent="0.3">
      <c r="B6408" s="7">
        <v>44835</v>
      </c>
      <c r="C6408" s="3">
        <f t="shared" si="200"/>
        <v>2022</v>
      </c>
      <c r="D6408" s="3">
        <f t="shared" si="201"/>
        <v>202210</v>
      </c>
      <c r="E6408" s="5" t="s">
        <v>8</v>
      </c>
      <c r="F6408" s="5" t="s">
        <v>10</v>
      </c>
      <c r="G6408" s="5" t="s">
        <v>28</v>
      </c>
      <c r="H6408">
        <v>24</v>
      </c>
      <c r="I6408" s="4">
        <v>881904</v>
      </c>
      <c r="J6408" s="4">
        <v>495600</v>
      </c>
    </row>
    <row r="6409" spans="2:10" x14ac:dyDescent="0.3">
      <c r="B6409" s="7">
        <v>44866</v>
      </c>
      <c r="C6409" s="3">
        <f t="shared" si="200"/>
        <v>2022</v>
      </c>
      <c r="D6409" s="3">
        <f t="shared" si="201"/>
        <v>202211</v>
      </c>
      <c r="E6409" s="5" t="s">
        <v>8</v>
      </c>
      <c r="F6409" s="5" t="s">
        <v>10</v>
      </c>
      <c r="G6409" s="5" t="s">
        <v>28</v>
      </c>
      <c r="H6409">
        <v>17</v>
      </c>
      <c r="I6409" s="4">
        <v>607869</v>
      </c>
      <c r="J6409" s="4">
        <v>351050</v>
      </c>
    </row>
    <row r="6410" spans="2:10" x14ac:dyDescent="0.3">
      <c r="B6410" s="7">
        <v>44896</v>
      </c>
      <c r="C6410" s="3">
        <f t="shared" si="200"/>
        <v>2022</v>
      </c>
      <c r="D6410" s="3">
        <f t="shared" si="201"/>
        <v>202212</v>
      </c>
      <c r="E6410" s="5" t="s">
        <v>8</v>
      </c>
      <c r="F6410" s="5" t="s">
        <v>10</v>
      </c>
      <c r="G6410" s="5" t="s">
        <v>28</v>
      </c>
      <c r="H6410">
        <v>21</v>
      </c>
      <c r="I6410" s="4">
        <v>743988</v>
      </c>
      <c r="J6410" s="4">
        <v>433650</v>
      </c>
    </row>
    <row r="6411" spans="2:10" x14ac:dyDescent="0.3">
      <c r="B6411" s="7">
        <v>44197</v>
      </c>
      <c r="C6411" s="3">
        <f t="shared" si="200"/>
        <v>2021</v>
      </c>
      <c r="D6411" s="3">
        <f t="shared" si="201"/>
        <v>202101</v>
      </c>
      <c r="E6411" s="5" t="s">
        <v>8</v>
      </c>
      <c r="F6411" s="5" t="s">
        <v>10</v>
      </c>
      <c r="G6411" s="5" t="s">
        <v>29</v>
      </c>
      <c r="H6411">
        <v>20</v>
      </c>
      <c r="I6411" s="4">
        <v>657460</v>
      </c>
      <c r="J6411" s="4">
        <v>313600</v>
      </c>
    </row>
    <row r="6412" spans="2:10" x14ac:dyDescent="0.3">
      <c r="B6412" s="7">
        <v>44228</v>
      </c>
      <c r="C6412" s="3">
        <f t="shared" si="200"/>
        <v>2021</v>
      </c>
      <c r="D6412" s="3">
        <f t="shared" si="201"/>
        <v>202102</v>
      </c>
      <c r="E6412" s="5" t="s">
        <v>8</v>
      </c>
      <c r="F6412" s="5" t="s">
        <v>10</v>
      </c>
      <c r="G6412" s="5" t="s">
        <v>29</v>
      </c>
      <c r="H6412">
        <v>13</v>
      </c>
      <c r="I6412" s="4">
        <v>433277</v>
      </c>
      <c r="J6412" s="4">
        <v>203840</v>
      </c>
    </row>
    <row r="6413" spans="2:10" x14ac:dyDescent="0.3">
      <c r="B6413" s="7">
        <v>44256</v>
      </c>
      <c r="C6413" s="3">
        <f t="shared" si="200"/>
        <v>2021</v>
      </c>
      <c r="D6413" s="3">
        <f t="shared" si="201"/>
        <v>202103</v>
      </c>
      <c r="E6413" s="5" t="s">
        <v>8</v>
      </c>
      <c r="F6413" s="5" t="s">
        <v>10</v>
      </c>
      <c r="G6413" s="5" t="s">
        <v>29</v>
      </c>
      <c r="H6413">
        <v>10</v>
      </c>
      <c r="I6413" s="4">
        <v>329800</v>
      </c>
      <c r="J6413" s="4">
        <v>156800</v>
      </c>
    </row>
    <row r="6414" spans="2:10" x14ac:dyDescent="0.3">
      <c r="B6414" s="7">
        <v>44287</v>
      </c>
      <c r="C6414" s="3">
        <f t="shared" si="200"/>
        <v>2021</v>
      </c>
      <c r="D6414" s="3">
        <f t="shared" si="201"/>
        <v>202104</v>
      </c>
      <c r="E6414" s="5" t="s">
        <v>8</v>
      </c>
      <c r="F6414" s="5" t="s">
        <v>10</v>
      </c>
      <c r="G6414" s="5" t="s">
        <v>29</v>
      </c>
      <c r="H6414">
        <v>19</v>
      </c>
      <c r="I6414" s="4">
        <v>643606</v>
      </c>
      <c r="J6414" s="4">
        <v>297920</v>
      </c>
    </row>
    <row r="6415" spans="2:10" x14ac:dyDescent="0.3">
      <c r="B6415" s="7">
        <v>44317</v>
      </c>
      <c r="C6415" s="3">
        <f t="shared" si="200"/>
        <v>2021</v>
      </c>
      <c r="D6415" s="3">
        <f t="shared" si="201"/>
        <v>202105</v>
      </c>
      <c r="E6415" s="5" t="s">
        <v>8</v>
      </c>
      <c r="F6415" s="5" t="s">
        <v>10</v>
      </c>
      <c r="G6415" s="5" t="s">
        <v>29</v>
      </c>
      <c r="H6415">
        <v>24</v>
      </c>
      <c r="I6415" s="4">
        <v>818352</v>
      </c>
      <c r="J6415" s="4">
        <v>376320</v>
      </c>
    </row>
    <row r="6416" spans="2:10" x14ac:dyDescent="0.3">
      <c r="B6416" s="7">
        <v>44348</v>
      </c>
      <c r="C6416" s="3">
        <f t="shared" si="200"/>
        <v>2021</v>
      </c>
      <c r="D6416" s="3">
        <f t="shared" si="201"/>
        <v>202106</v>
      </c>
      <c r="E6416" s="5" t="s">
        <v>8</v>
      </c>
      <c r="F6416" s="5" t="s">
        <v>10</v>
      </c>
      <c r="G6416" s="5" t="s">
        <v>29</v>
      </c>
      <c r="H6416">
        <v>23</v>
      </c>
      <c r="I6416" s="4">
        <v>769488</v>
      </c>
      <c r="J6416" s="4">
        <v>360640</v>
      </c>
    </row>
    <row r="6417" spans="2:10" x14ac:dyDescent="0.3">
      <c r="B6417" s="7">
        <v>44378</v>
      </c>
      <c r="C6417" s="3">
        <f t="shared" si="200"/>
        <v>2021</v>
      </c>
      <c r="D6417" s="3">
        <f t="shared" si="201"/>
        <v>202107</v>
      </c>
      <c r="E6417" s="5" t="s">
        <v>8</v>
      </c>
      <c r="F6417" s="5" t="s">
        <v>10</v>
      </c>
      <c r="G6417" s="5" t="s">
        <v>29</v>
      </c>
      <c r="H6417">
        <v>24</v>
      </c>
      <c r="I6417" s="4">
        <v>768480</v>
      </c>
      <c r="J6417" s="4">
        <v>376320</v>
      </c>
    </row>
    <row r="6418" spans="2:10" x14ac:dyDescent="0.3">
      <c r="B6418" s="7">
        <v>44409</v>
      </c>
      <c r="C6418" s="3">
        <f t="shared" si="200"/>
        <v>2021</v>
      </c>
      <c r="D6418" s="3">
        <f t="shared" si="201"/>
        <v>202108</v>
      </c>
      <c r="E6418" s="5" t="s">
        <v>8</v>
      </c>
      <c r="F6418" s="5" t="s">
        <v>10</v>
      </c>
      <c r="G6418" s="5" t="s">
        <v>29</v>
      </c>
      <c r="H6418">
        <v>20</v>
      </c>
      <c r="I6418" s="4">
        <v>658340</v>
      </c>
      <c r="J6418" s="4">
        <v>313600</v>
      </c>
    </row>
    <row r="6419" spans="2:10" x14ac:dyDescent="0.3">
      <c r="B6419" s="7">
        <v>44440</v>
      </c>
      <c r="C6419" s="3">
        <f t="shared" si="200"/>
        <v>2021</v>
      </c>
      <c r="D6419" s="3">
        <f t="shared" si="201"/>
        <v>202109</v>
      </c>
      <c r="E6419" s="5" t="s">
        <v>8</v>
      </c>
      <c r="F6419" s="5" t="s">
        <v>10</v>
      </c>
      <c r="G6419" s="5" t="s">
        <v>29</v>
      </c>
      <c r="H6419">
        <v>21</v>
      </c>
      <c r="I6419" s="4">
        <v>691782</v>
      </c>
      <c r="J6419" s="4">
        <v>329280</v>
      </c>
    </row>
    <row r="6420" spans="2:10" x14ac:dyDescent="0.3">
      <c r="B6420" s="7">
        <v>44470</v>
      </c>
      <c r="C6420" s="3">
        <f t="shared" si="200"/>
        <v>2021</v>
      </c>
      <c r="D6420" s="3">
        <f t="shared" si="201"/>
        <v>202110</v>
      </c>
      <c r="E6420" s="5" t="s">
        <v>8</v>
      </c>
      <c r="F6420" s="5" t="s">
        <v>10</v>
      </c>
      <c r="G6420" s="5" t="s">
        <v>29</v>
      </c>
      <c r="H6420">
        <v>18</v>
      </c>
      <c r="I6420" s="4">
        <v>605232</v>
      </c>
      <c r="J6420" s="4">
        <v>282240</v>
      </c>
    </row>
    <row r="6421" spans="2:10" x14ac:dyDescent="0.3">
      <c r="B6421" s="7">
        <v>44501</v>
      </c>
      <c r="C6421" s="3">
        <f t="shared" si="200"/>
        <v>2021</v>
      </c>
      <c r="D6421" s="3">
        <f t="shared" si="201"/>
        <v>202111</v>
      </c>
      <c r="E6421" s="5" t="s">
        <v>8</v>
      </c>
      <c r="F6421" s="5" t="s">
        <v>10</v>
      </c>
      <c r="G6421" s="5" t="s">
        <v>29</v>
      </c>
      <c r="H6421">
        <v>13</v>
      </c>
      <c r="I6421" s="4">
        <v>435994</v>
      </c>
      <c r="J6421" s="4">
        <v>203840</v>
      </c>
    </row>
    <row r="6422" spans="2:10" x14ac:dyDescent="0.3">
      <c r="B6422" s="7">
        <v>44531</v>
      </c>
      <c r="C6422" s="3">
        <f t="shared" si="200"/>
        <v>2021</v>
      </c>
      <c r="D6422" s="3">
        <f t="shared" si="201"/>
        <v>202112</v>
      </c>
      <c r="E6422" s="5" t="s">
        <v>8</v>
      </c>
      <c r="F6422" s="5" t="s">
        <v>10</v>
      </c>
      <c r="G6422" s="5" t="s">
        <v>29</v>
      </c>
      <c r="H6422">
        <v>15</v>
      </c>
      <c r="I6422" s="4">
        <v>501255</v>
      </c>
      <c r="J6422" s="4">
        <v>235200</v>
      </c>
    </row>
    <row r="6423" spans="2:10" x14ac:dyDescent="0.3">
      <c r="B6423" s="7">
        <v>44562</v>
      </c>
      <c r="C6423" s="3">
        <f t="shared" si="200"/>
        <v>2022</v>
      </c>
      <c r="D6423" s="3">
        <f t="shared" si="201"/>
        <v>202201</v>
      </c>
      <c r="E6423" s="5" t="s">
        <v>8</v>
      </c>
      <c r="F6423" s="5" t="s">
        <v>10</v>
      </c>
      <c r="G6423" s="5" t="s">
        <v>29</v>
      </c>
      <c r="H6423">
        <v>22</v>
      </c>
      <c r="I6423" s="4">
        <v>721622</v>
      </c>
      <c r="J6423" s="4">
        <v>344960</v>
      </c>
    </row>
    <row r="6424" spans="2:10" x14ac:dyDescent="0.3">
      <c r="B6424" s="7">
        <v>44593</v>
      </c>
      <c r="C6424" s="3">
        <f t="shared" si="200"/>
        <v>2022</v>
      </c>
      <c r="D6424" s="3">
        <f t="shared" si="201"/>
        <v>202202</v>
      </c>
      <c r="E6424" s="5" t="s">
        <v>8</v>
      </c>
      <c r="F6424" s="5" t="s">
        <v>10</v>
      </c>
      <c r="G6424" s="5" t="s">
        <v>29</v>
      </c>
      <c r="H6424">
        <v>14</v>
      </c>
      <c r="I6424" s="4">
        <v>476770</v>
      </c>
      <c r="J6424" s="4">
        <v>219520</v>
      </c>
    </row>
    <row r="6425" spans="2:10" x14ac:dyDescent="0.3">
      <c r="B6425" s="7">
        <v>44621</v>
      </c>
      <c r="C6425" s="3">
        <f t="shared" si="200"/>
        <v>2022</v>
      </c>
      <c r="D6425" s="3">
        <f t="shared" si="201"/>
        <v>202203</v>
      </c>
      <c r="E6425" s="5" t="s">
        <v>8</v>
      </c>
      <c r="F6425" s="5" t="s">
        <v>10</v>
      </c>
      <c r="G6425" s="5" t="s">
        <v>29</v>
      </c>
      <c r="H6425">
        <v>11</v>
      </c>
      <c r="I6425" s="4">
        <v>364661</v>
      </c>
      <c r="J6425" s="4">
        <v>172480</v>
      </c>
    </row>
    <row r="6426" spans="2:10" x14ac:dyDescent="0.3">
      <c r="B6426" s="7">
        <v>44652</v>
      </c>
      <c r="C6426" s="3">
        <f t="shared" si="200"/>
        <v>2022</v>
      </c>
      <c r="D6426" s="3">
        <f t="shared" si="201"/>
        <v>202204</v>
      </c>
      <c r="E6426" s="5" t="s">
        <v>8</v>
      </c>
      <c r="F6426" s="5" t="s">
        <v>10</v>
      </c>
      <c r="G6426" s="5" t="s">
        <v>29</v>
      </c>
      <c r="H6426">
        <v>21</v>
      </c>
      <c r="I6426" s="4">
        <v>709884</v>
      </c>
      <c r="J6426" s="4">
        <v>329280</v>
      </c>
    </row>
    <row r="6427" spans="2:10" x14ac:dyDescent="0.3">
      <c r="B6427" s="7">
        <v>44682</v>
      </c>
      <c r="C6427" s="3">
        <f t="shared" si="200"/>
        <v>2022</v>
      </c>
      <c r="D6427" s="3">
        <f t="shared" si="201"/>
        <v>202205</v>
      </c>
      <c r="E6427" s="5" t="s">
        <v>8</v>
      </c>
      <c r="F6427" s="5" t="s">
        <v>10</v>
      </c>
      <c r="G6427" s="5" t="s">
        <v>29</v>
      </c>
      <c r="H6427">
        <v>26</v>
      </c>
      <c r="I6427" s="4">
        <v>871988</v>
      </c>
      <c r="J6427" s="4">
        <v>407680</v>
      </c>
    </row>
    <row r="6428" spans="2:10" x14ac:dyDescent="0.3">
      <c r="B6428" s="7">
        <v>44713</v>
      </c>
      <c r="C6428" s="3">
        <f t="shared" si="200"/>
        <v>2022</v>
      </c>
      <c r="D6428" s="3">
        <f t="shared" si="201"/>
        <v>202206</v>
      </c>
      <c r="E6428" s="5" t="s">
        <v>8</v>
      </c>
      <c r="F6428" s="5" t="s">
        <v>10</v>
      </c>
      <c r="G6428" s="5" t="s">
        <v>29</v>
      </c>
      <c r="H6428">
        <v>25</v>
      </c>
      <c r="I6428" s="4">
        <v>834825</v>
      </c>
      <c r="J6428" s="4">
        <v>392000</v>
      </c>
    </row>
    <row r="6429" spans="2:10" x14ac:dyDescent="0.3">
      <c r="B6429" s="7">
        <v>44743</v>
      </c>
      <c r="C6429" s="3">
        <f t="shared" si="200"/>
        <v>2022</v>
      </c>
      <c r="D6429" s="3">
        <f t="shared" si="201"/>
        <v>202207</v>
      </c>
      <c r="E6429" s="5" t="s">
        <v>8</v>
      </c>
      <c r="F6429" s="5" t="s">
        <v>10</v>
      </c>
      <c r="G6429" s="5" t="s">
        <v>29</v>
      </c>
      <c r="H6429">
        <v>26</v>
      </c>
      <c r="I6429" s="4">
        <v>813280</v>
      </c>
      <c r="J6429" s="4">
        <v>407680</v>
      </c>
    </row>
    <row r="6430" spans="2:10" x14ac:dyDescent="0.3">
      <c r="B6430" s="7">
        <v>44774</v>
      </c>
      <c r="C6430" s="3">
        <f t="shared" si="200"/>
        <v>2022</v>
      </c>
      <c r="D6430" s="3">
        <f t="shared" si="201"/>
        <v>202208</v>
      </c>
      <c r="E6430" s="5" t="s">
        <v>8</v>
      </c>
      <c r="F6430" s="5" t="s">
        <v>10</v>
      </c>
      <c r="G6430" s="5" t="s">
        <v>29</v>
      </c>
      <c r="H6430">
        <v>22</v>
      </c>
      <c r="I6430" s="4">
        <v>714230</v>
      </c>
      <c r="J6430" s="4">
        <v>344960</v>
      </c>
    </row>
    <row r="6431" spans="2:10" x14ac:dyDescent="0.3">
      <c r="B6431" s="7">
        <v>44805</v>
      </c>
      <c r="C6431" s="3">
        <f t="shared" si="200"/>
        <v>2022</v>
      </c>
      <c r="D6431" s="3">
        <f t="shared" si="201"/>
        <v>202209</v>
      </c>
      <c r="E6431" s="5" t="s">
        <v>8</v>
      </c>
      <c r="F6431" s="5" t="s">
        <v>10</v>
      </c>
      <c r="G6431" s="5" t="s">
        <v>29</v>
      </c>
      <c r="H6431">
        <v>23</v>
      </c>
      <c r="I6431" s="4">
        <v>752169</v>
      </c>
      <c r="J6431" s="4">
        <v>360640</v>
      </c>
    </row>
    <row r="6432" spans="2:10" x14ac:dyDescent="0.3">
      <c r="B6432" s="7">
        <v>44835</v>
      </c>
      <c r="C6432" s="3">
        <f t="shared" si="200"/>
        <v>2022</v>
      </c>
      <c r="D6432" s="3">
        <f t="shared" si="201"/>
        <v>202210</v>
      </c>
      <c r="E6432" s="5" t="s">
        <v>8</v>
      </c>
      <c r="F6432" s="5" t="s">
        <v>10</v>
      </c>
      <c r="G6432" s="5" t="s">
        <v>29</v>
      </c>
      <c r="H6432">
        <v>19</v>
      </c>
      <c r="I6432" s="4">
        <v>632624</v>
      </c>
      <c r="J6432" s="4">
        <v>297920</v>
      </c>
    </row>
    <row r="6433" spans="2:10" x14ac:dyDescent="0.3">
      <c r="B6433" s="7">
        <v>44866</v>
      </c>
      <c r="C6433" s="3">
        <f t="shared" si="200"/>
        <v>2022</v>
      </c>
      <c r="D6433" s="3">
        <f t="shared" si="201"/>
        <v>202211</v>
      </c>
      <c r="E6433" s="5" t="s">
        <v>8</v>
      </c>
      <c r="F6433" s="5" t="s">
        <v>10</v>
      </c>
      <c r="G6433" s="5" t="s">
        <v>29</v>
      </c>
      <c r="H6433">
        <v>14</v>
      </c>
      <c r="I6433" s="4">
        <v>464716</v>
      </c>
      <c r="J6433" s="4">
        <v>219520</v>
      </c>
    </row>
    <row r="6434" spans="2:10" x14ac:dyDescent="0.3">
      <c r="B6434" s="7">
        <v>44896</v>
      </c>
      <c r="C6434" s="3">
        <f t="shared" si="200"/>
        <v>2022</v>
      </c>
      <c r="D6434" s="3">
        <f t="shared" si="201"/>
        <v>202212</v>
      </c>
      <c r="E6434" s="5" t="s">
        <v>8</v>
      </c>
      <c r="F6434" s="5" t="s">
        <v>10</v>
      </c>
      <c r="G6434" s="5" t="s">
        <v>29</v>
      </c>
      <c r="H6434">
        <v>17</v>
      </c>
      <c r="I6434" s="4">
        <v>561204</v>
      </c>
      <c r="J6434" s="4">
        <v>266560</v>
      </c>
    </row>
    <row r="6435" spans="2:10" x14ac:dyDescent="0.3">
      <c r="B6435" s="7">
        <v>44197</v>
      </c>
      <c r="C6435" s="3">
        <f t="shared" si="200"/>
        <v>2021</v>
      </c>
      <c r="D6435" s="3">
        <f t="shared" si="201"/>
        <v>202101</v>
      </c>
      <c r="E6435" s="5" t="s">
        <v>8</v>
      </c>
      <c r="F6435" s="5" t="s">
        <v>10</v>
      </c>
      <c r="G6435" s="5" t="s">
        <v>30</v>
      </c>
      <c r="H6435">
        <v>22</v>
      </c>
      <c r="I6435" s="4">
        <v>948134</v>
      </c>
      <c r="J6435" s="4">
        <v>397320</v>
      </c>
    </row>
    <row r="6436" spans="2:10" x14ac:dyDescent="0.3">
      <c r="B6436" s="7">
        <v>44228</v>
      </c>
      <c r="C6436" s="3">
        <f t="shared" si="200"/>
        <v>2021</v>
      </c>
      <c r="D6436" s="3">
        <f t="shared" si="201"/>
        <v>202102</v>
      </c>
      <c r="E6436" s="5" t="s">
        <v>8</v>
      </c>
      <c r="F6436" s="5" t="s">
        <v>10</v>
      </c>
      <c r="G6436" s="5" t="s">
        <v>30</v>
      </c>
      <c r="H6436">
        <v>14</v>
      </c>
      <c r="I6436" s="4">
        <v>605542</v>
      </c>
      <c r="J6436" s="4">
        <v>252840</v>
      </c>
    </row>
    <row r="6437" spans="2:10" x14ac:dyDescent="0.3">
      <c r="B6437" s="7">
        <v>44256</v>
      </c>
      <c r="C6437" s="3">
        <f t="shared" si="200"/>
        <v>2021</v>
      </c>
      <c r="D6437" s="3">
        <f t="shared" si="201"/>
        <v>202103</v>
      </c>
      <c r="E6437" s="5" t="s">
        <v>8</v>
      </c>
      <c r="F6437" s="5" t="s">
        <v>10</v>
      </c>
      <c r="G6437" s="5" t="s">
        <v>30</v>
      </c>
      <c r="H6437">
        <v>11</v>
      </c>
      <c r="I6437" s="4">
        <v>471284</v>
      </c>
      <c r="J6437" s="4">
        <v>198660</v>
      </c>
    </row>
    <row r="6438" spans="2:10" x14ac:dyDescent="0.3">
      <c r="B6438" s="7">
        <v>44287</v>
      </c>
      <c r="C6438" s="3">
        <f t="shared" si="200"/>
        <v>2021</v>
      </c>
      <c r="D6438" s="3">
        <f t="shared" si="201"/>
        <v>202104</v>
      </c>
      <c r="E6438" s="5" t="s">
        <v>8</v>
      </c>
      <c r="F6438" s="5" t="s">
        <v>10</v>
      </c>
      <c r="G6438" s="5" t="s">
        <v>30</v>
      </c>
      <c r="H6438">
        <v>21</v>
      </c>
      <c r="I6438" s="4">
        <v>908292</v>
      </c>
      <c r="J6438" s="4">
        <v>379260</v>
      </c>
    </row>
    <row r="6439" spans="2:10" x14ac:dyDescent="0.3">
      <c r="B6439" s="7">
        <v>44317</v>
      </c>
      <c r="C6439" s="3">
        <f t="shared" si="200"/>
        <v>2021</v>
      </c>
      <c r="D6439" s="3">
        <f t="shared" si="201"/>
        <v>202105</v>
      </c>
      <c r="E6439" s="5" t="s">
        <v>8</v>
      </c>
      <c r="F6439" s="5" t="s">
        <v>10</v>
      </c>
      <c r="G6439" s="5" t="s">
        <v>30</v>
      </c>
      <c r="H6439">
        <v>26</v>
      </c>
      <c r="I6439" s="4">
        <v>1152762</v>
      </c>
      <c r="J6439" s="4">
        <v>469560</v>
      </c>
    </row>
    <row r="6440" spans="2:10" x14ac:dyDescent="0.3">
      <c r="B6440" s="7">
        <v>44348</v>
      </c>
      <c r="C6440" s="3">
        <f t="shared" si="200"/>
        <v>2021</v>
      </c>
      <c r="D6440" s="3">
        <f t="shared" si="201"/>
        <v>202106</v>
      </c>
      <c r="E6440" s="5" t="s">
        <v>8</v>
      </c>
      <c r="F6440" s="5" t="s">
        <v>10</v>
      </c>
      <c r="G6440" s="5" t="s">
        <v>30</v>
      </c>
      <c r="H6440">
        <v>25</v>
      </c>
      <c r="I6440" s="4">
        <v>1091175</v>
      </c>
      <c r="J6440" s="4">
        <v>451500</v>
      </c>
    </row>
    <row r="6441" spans="2:10" x14ac:dyDescent="0.3">
      <c r="B6441" s="7">
        <v>44378</v>
      </c>
      <c r="C6441" s="3">
        <f t="shared" si="200"/>
        <v>2021</v>
      </c>
      <c r="D6441" s="3">
        <f t="shared" si="201"/>
        <v>202107</v>
      </c>
      <c r="E6441" s="5" t="s">
        <v>8</v>
      </c>
      <c r="F6441" s="5" t="s">
        <v>10</v>
      </c>
      <c r="G6441" s="5" t="s">
        <v>30</v>
      </c>
      <c r="H6441">
        <v>26</v>
      </c>
      <c r="I6441" s="4">
        <v>1092130</v>
      </c>
      <c r="J6441" s="4">
        <v>469560</v>
      </c>
    </row>
    <row r="6442" spans="2:10" x14ac:dyDescent="0.3">
      <c r="B6442" s="7">
        <v>44409</v>
      </c>
      <c r="C6442" s="3">
        <f t="shared" si="200"/>
        <v>2021</v>
      </c>
      <c r="D6442" s="3">
        <f t="shared" si="201"/>
        <v>202108</v>
      </c>
      <c r="E6442" s="5" t="s">
        <v>8</v>
      </c>
      <c r="F6442" s="5" t="s">
        <v>10</v>
      </c>
      <c r="G6442" s="5" t="s">
        <v>30</v>
      </c>
      <c r="H6442">
        <v>22</v>
      </c>
      <c r="I6442" s="4">
        <v>947584</v>
      </c>
      <c r="J6442" s="4">
        <v>397320</v>
      </c>
    </row>
    <row r="6443" spans="2:10" x14ac:dyDescent="0.3">
      <c r="B6443" s="7">
        <v>44440</v>
      </c>
      <c r="C6443" s="3">
        <f t="shared" si="200"/>
        <v>2021</v>
      </c>
      <c r="D6443" s="3">
        <f t="shared" si="201"/>
        <v>202109</v>
      </c>
      <c r="E6443" s="5" t="s">
        <v>8</v>
      </c>
      <c r="F6443" s="5" t="s">
        <v>10</v>
      </c>
      <c r="G6443" s="5" t="s">
        <v>30</v>
      </c>
      <c r="H6443">
        <v>24</v>
      </c>
      <c r="I6443" s="4">
        <v>1038432</v>
      </c>
      <c r="J6443" s="4">
        <v>433440</v>
      </c>
    </row>
    <row r="6444" spans="2:10" x14ac:dyDescent="0.3">
      <c r="B6444" s="7">
        <v>44470</v>
      </c>
      <c r="C6444" s="3">
        <f t="shared" si="200"/>
        <v>2021</v>
      </c>
      <c r="D6444" s="3">
        <f t="shared" si="201"/>
        <v>202110</v>
      </c>
      <c r="E6444" s="5" t="s">
        <v>8</v>
      </c>
      <c r="F6444" s="5" t="s">
        <v>10</v>
      </c>
      <c r="G6444" s="5" t="s">
        <v>30</v>
      </c>
      <c r="H6444">
        <v>20</v>
      </c>
      <c r="I6444" s="4">
        <v>879320</v>
      </c>
      <c r="J6444" s="4">
        <v>361200</v>
      </c>
    </row>
    <row r="6445" spans="2:10" x14ac:dyDescent="0.3">
      <c r="B6445" s="7">
        <v>44501</v>
      </c>
      <c r="C6445" s="3">
        <f t="shared" si="200"/>
        <v>2021</v>
      </c>
      <c r="D6445" s="3">
        <f t="shared" si="201"/>
        <v>202111</v>
      </c>
      <c r="E6445" s="5" t="s">
        <v>8</v>
      </c>
      <c r="F6445" s="5" t="s">
        <v>10</v>
      </c>
      <c r="G6445" s="5" t="s">
        <v>30</v>
      </c>
      <c r="H6445">
        <v>14</v>
      </c>
      <c r="I6445" s="4">
        <v>608874</v>
      </c>
      <c r="J6445" s="4">
        <v>252840</v>
      </c>
    </row>
    <row r="6446" spans="2:10" x14ac:dyDescent="0.3">
      <c r="B6446" s="7">
        <v>44531</v>
      </c>
      <c r="C6446" s="3">
        <f t="shared" si="200"/>
        <v>2021</v>
      </c>
      <c r="D6446" s="3">
        <f t="shared" si="201"/>
        <v>202112</v>
      </c>
      <c r="E6446" s="5" t="s">
        <v>8</v>
      </c>
      <c r="F6446" s="5" t="s">
        <v>10</v>
      </c>
      <c r="G6446" s="5" t="s">
        <v>30</v>
      </c>
      <c r="H6446">
        <v>17</v>
      </c>
      <c r="I6446" s="4">
        <v>733703</v>
      </c>
      <c r="J6446" s="4">
        <v>307020</v>
      </c>
    </row>
    <row r="6447" spans="2:10" x14ac:dyDescent="0.3">
      <c r="B6447" s="7">
        <v>44562</v>
      </c>
      <c r="C6447" s="3">
        <f t="shared" si="200"/>
        <v>2022</v>
      </c>
      <c r="D6447" s="3">
        <f t="shared" si="201"/>
        <v>202201</v>
      </c>
      <c r="E6447" s="5" t="s">
        <v>8</v>
      </c>
      <c r="F6447" s="5" t="s">
        <v>10</v>
      </c>
      <c r="G6447" s="5" t="s">
        <v>30</v>
      </c>
      <c r="H6447">
        <v>25</v>
      </c>
      <c r="I6447" s="4">
        <v>1081150</v>
      </c>
      <c r="J6447" s="4">
        <v>451500</v>
      </c>
    </row>
    <row r="6448" spans="2:10" x14ac:dyDescent="0.3">
      <c r="B6448" s="7">
        <v>44593</v>
      </c>
      <c r="C6448" s="3">
        <f t="shared" si="200"/>
        <v>2022</v>
      </c>
      <c r="D6448" s="3">
        <f t="shared" si="201"/>
        <v>202202</v>
      </c>
      <c r="E6448" s="5" t="s">
        <v>8</v>
      </c>
      <c r="F6448" s="5" t="s">
        <v>10</v>
      </c>
      <c r="G6448" s="5" t="s">
        <v>30</v>
      </c>
      <c r="H6448">
        <v>16</v>
      </c>
      <c r="I6448" s="4">
        <v>702544</v>
      </c>
      <c r="J6448" s="4">
        <v>288960</v>
      </c>
    </row>
    <row r="6449" spans="2:10" x14ac:dyDescent="0.3">
      <c r="B6449" s="7">
        <v>44621</v>
      </c>
      <c r="C6449" s="3">
        <f t="shared" si="200"/>
        <v>2022</v>
      </c>
      <c r="D6449" s="3">
        <f t="shared" si="201"/>
        <v>202203</v>
      </c>
      <c r="E6449" s="5" t="s">
        <v>8</v>
      </c>
      <c r="F6449" s="5" t="s">
        <v>10</v>
      </c>
      <c r="G6449" s="5" t="s">
        <v>30</v>
      </c>
      <c r="H6449">
        <v>13</v>
      </c>
      <c r="I6449" s="4">
        <v>563199</v>
      </c>
      <c r="J6449" s="4">
        <v>234780</v>
      </c>
    </row>
    <row r="6450" spans="2:10" x14ac:dyDescent="0.3">
      <c r="B6450" s="7">
        <v>44652</v>
      </c>
      <c r="C6450" s="3">
        <f t="shared" si="200"/>
        <v>2022</v>
      </c>
      <c r="D6450" s="3">
        <f t="shared" si="201"/>
        <v>202204</v>
      </c>
      <c r="E6450" s="5" t="s">
        <v>8</v>
      </c>
      <c r="F6450" s="5" t="s">
        <v>10</v>
      </c>
      <c r="G6450" s="5" t="s">
        <v>30</v>
      </c>
      <c r="H6450">
        <v>23</v>
      </c>
      <c r="I6450" s="4">
        <v>1003950</v>
      </c>
      <c r="J6450" s="4">
        <v>415380</v>
      </c>
    </row>
    <row r="6451" spans="2:10" x14ac:dyDescent="0.3">
      <c r="B6451" s="7">
        <v>44682</v>
      </c>
      <c r="C6451" s="3">
        <f t="shared" si="200"/>
        <v>2022</v>
      </c>
      <c r="D6451" s="3">
        <f t="shared" si="201"/>
        <v>202205</v>
      </c>
      <c r="E6451" s="5" t="s">
        <v>8</v>
      </c>
      <c r="F6451" s="5" t="s">
        <v>10</v>
      </c>
      <c r="G6451" s="5" t="s">
        <v>30</v>
      </c>
      <c r="H6451">
        <v>29</v>
      </c>
      <c r="I6451" s="4">
        <v>1276493</v>
      </c>
      <c r="J6451" s="4">
        <v>523740</v>
      </c>
    </row>
    <row r="6452" spans="2:10" x14ac:dyDescent="0.3">
      <c r="B6452" s="7">
        <v>44713</v>
      </c>
      <c r="C6452" s="3">
        <f t="shared" si="200"/>
        <v>2022</v>
      </c>
      <c r="D6452" s="3">
        <f t="shared" si="201"/>
        <v>202206</v>
      </c>
      <c r="E6452" s="5" t="s">
        <v>8</v>
      </c>
      <c r="F6452" s="5" t="s">
        <v>10</v>
      </c>
      <c r="G6452" s="5" t="s">
        <v>30</v>
      </c>
      <c r="H6452">
        <v>28</v>
      </c>
      <c r="I6452" s="4">
        <v>1198092</v>
      </c>
      <c r="J6452" s="4">
        <v>505680</v>
      </c>
    </row>
    <row r="6453" spans="2:10" x14ac:dyDescent="0.3">
      <c r="B6453" s="7">
        <v>44743</v>
      </c>
      <c r="C6453" s="3">
        <f t="shared" si="200"/>
        <v>2022</v>
      </c>
      <c r="D6453" s="3">
        <f t="shared" si="201"/>
        <v>202207</v>
      </c>
      <c r="E6453" s="5" t="s">
        <v>8</v>
      </c>
      <c r="F6453" s="5" t="s">
        <v>10</v>
      </c>
      <c r="G6453" s="5" t="s">
        <v>30</v>
      </c>
      <c r="H6453">
        <v>29</v>
      </c>
      <c r="I6453" s="4">
        <v>1213244</v>
      </c>
      <c r="J6453" s="4">
        <v>523740</v>
      </c>
    </row>
    <row r="6454" spans="2:10" x14ac:dyDescent="0.3">
      <c r="B6454" s="7">
        <v>44774</v>
      </c>
      <c r="C6454" s="3">
        <f t="shared" si="200"/>
        <v>2022</v>
      </c>
      <c r="D6454" s="3">
        <f t="shared" si="201"/>
        <v>202208</v>
      </c>
      <c r="E6454" s="5" t="s">
        <v>8</v>
      </c>
      <c r="F6454" s="5" t="s">
        <v>10</v>
      </c>
      <c r="G6454" s="5" t="s">
        <v>30</v>
      </c>
      <c r="H6454">
        <v>25</v>
      </c>
      <c r="I6454" s="4">
        <v>1065250</v>
      </c>
      <c r="J6454" s="4">
        <v>451500</v>
      </c>
    </row>
    <row r="6455" spans="2:10" x14ac:dyDescent="0.3">
      <c r="B6455" s="7">
        <v>44805</v>
      </c>
      <c r="C6455" s="3">
        <f t="shared" si="200"/>
        <v>2022</v>
      </c>
      <c r="D6455" s="3">
        <f t="shared" si="201"/>
        <v>202209</v>
      </c>
      <c r="E6455" s="5" t="s">
        <v>8</v>
      </c>
      <c r="F6455" s="5" t="s">
        <v>10</v>
      </c>
      <c r="G6455" s="5" t="s">
        <v>30</v>
      </c>
      <c r="H6455">
        <v>26</v>
      </c>
      <c r="I6455" s="4">
        <v>1112410</v>
      </c>
      <c r="J6455" s="4">
        <v>469560</v>
      </c>
    </row>
    <row r="6456" spans="2:10" x14ac:dyDescent="0.3">
      <c r="B6456" s="7">
        <v>44835</v>
      </c>
      <c r="C6456" s="3">
        <f t="shared" si="200"/>
        <v>2022</v>
      </c>
      <c r="D6456" s="3">
        <f t="shared" si="201"/>
        <v>202210</v>
      </c>
      <c r="E6456" s="5" t="s">
        <v>8</v>
      </c>
      <c r="F6456" s="5" t="s">
        <v>10</v>
      </c>
      <c r="G6456" s="5" t="s">
        <v>30</v>
      </c>
      <c r="H6456">
        <v>22</v>
      </c>
      <c r="I6456" s="4">
        <v>948508</v>
      </c>
      <c r="J6456" s="4">
        <v>397320</v>
      </c>
    </row>
    <row r="6457" spans="2:10" x14ac:dyDescent="0.3">
      <c r="B6457" s="7">
        <v>44866</v>
      </c>
      <c r="C6457" s="3">
        <f t="shared" si="200"/>
        <v>2022</v>
      </c>
      <c r="D6457" s="3">
        <f t="shared" si="201"/>
        <v>202211</v>
      </c>
      <c r="E6457" s="5" t="s">
        <v>8</v>
      </c>
      <c r="F6457" s="5" t="s">
        <v>10</v>
      </c>
      <c r="G6457" s="5" t="s">
        <v>30</v>
      </c>
      <c r="H6457">
        <v>16</v>
      </c>
      <c r="I6457" s="4">
        <v>686208</v>
      </c>
      <c r="J6457" s="4">
        <v>288960</v>
      </c>
    </row>
    <row r="6458" spans="2:10" x14ac:dyDescent="0.3">
      <c r="B6458" s="7">
        <v>44896</v>
      </c>
      <c r="C6458" s="3">
        <f t="shared" si="200"/>
        <v>2022</v>
      </c>
      <c r="D6458" s="3">
        <f t="shared" si="201"/>
        <v>202212</v>
      </c>
      <c r="E6458" s="5" t="s">
        <v>8</v>
      </c>
      <c r="F6458" s="5" t="s">
        <v>10</v>
      </c>
      <c r="G6458" s="5" t="s">
        <v>30</v>
      </c>
      <c r="H6458">
        <v>19</v>
      </c>
      <c r="I6458" s="4">
        <v>807139</v>
      </c>
      <c r="J6458" s="4">
        <v>343140</v>
      </c>
    </row>
    <row r="6459" spans="2:10" x14ac:dyDescent="0.3">
      <c r="B6459" s="7">
        <v>44197</v>
      </c>
      <c r="C6459" s="3">
        <f t="shared" si="200"/>
        <v>2021</v>
      </c>
      <c r="D6459" s="3">
        <f t="shared" si="201"/>
        <v>202101</v>
      </c>
      <c r="E6459" s="5" t="s">
        <v>8</v>
      </c>
      <c r="F6459" s="5" t="s">
        <v>10</v>
      </c>
      <c r="G6459" s="5" t="s">
        <v>31</v>
      </c>
      <c r="H6459">
        <v>20</v>
      </c>
      <c r="I6459" s="4">
        <v>579980</v>
      </c>
      <c r="J6459" s="4">
        <v>224000</v>
      </c>
    </row>
    <row r="6460" spans="2:10" x14ac:dyDescent="0.3">
      <c r="B6460" s="7">
        <v>44228</v>
      </c>
      <c r="C6460" s="3">
        <f t="shared" si="200"/>
        <v>2021</v>
      </c>
      <c r="D6460" s="3">
        <f t="shared" si="201"/>
        <v>202102</v>
      </c>
      <c r="E6460" s="5" t="s">
        <v>8</v>
      </c>
      <c r="F6460" s="5" t="s">
        <v>10</v>
      </c>
      <c r="G6460" s="5" t="s">
        <v>31</v>
      </c>
      <c r="H6460">
        <v>13</v>
      </c>
      <c r="I6460" s="4">
        <v>388167</v>
      </c>
      <c r="J6460" s="4">
        <v>145600</v>
      </c>
    </row>
    <row r="6461" spans="2:10" x14ac:dyDescent="0.3">
      <c r="B6461" s="7">
        <v>44256</v>
      </c>
      <c r="C6461" s="3">
        <f t="shared" si="200"/>
        <v>2021</v>
      </c>
      <c r="D6461" s="3">
        <f t="shared" si="201"/>
        <v>202103</v>
      </c>
      <c r="E6461" s="5" t="s">
        <v>8</v>
      </c>
      <c r="F6461" s="5" t="s">
        <v>10</v>
      </c>
      <c r="G6461" s="5" t="s">
        <v>31</v>
      </c>
      <c r="H6461">
        <v>10</v>
      </c>
      <c r="I6461" s="4">
        <v>286560</v>
      </c>
      <c r="J6461" s="4">
        <v>112000</v>
      </c>
    </row>
    <row r="6462" spans="2:10" x14ac:dyDescent="0.3">
      <c r="B6462" s="7">
        <v>44287</v>
      </c>
      <c r="C6462" s="3">
        <f t="shared" si="200"/>
        <v>2021</v>
      </c>
      <c r="D6462" s="3">
        <f t="shared" si="201"/>
        <v>202104</v>
      </c>
      <c r="E6462" s="5" t="s">
        <v>8</v>
      </c>
      <c r="F6462" s="5" t="s">
        <v>10</v>
      </c>
      <c r="G6462" s="5" t="s">
        <v>31</v>
      </c>
      <c r="H6462">
        <v>19</v>
      </c>
      <c r="I6462" s="4">
        <v>565307</v>
      </c>
      <c r="J6462" s="4">
        <v>212800</v>
      </c>
    </row>
    <row r="6463" spans="2:10" x14ac:dyDescent="0.3">
      <c r="B6463" s="7">
        <v>44317</v>
      </c>
      <c r="C6463" s="3">
        <f t="shared" si="200"/>
        <v>2021</v>
      </c>
      <c r="D6463" s="3">
        <f t="shared" si="201"/>
        <v>202105</v>
      </c>
      <c r="E6463" s="5" t="s">
        <v>8</v>
      </c>
      <c r="F6463" s="5" t="s">
        <v>10</v>
      </c>
      <c r="G6463" s="5" t="s">
        <v>31</v>
      </c>
      <c r="H6463">
        <v>24</v>
      </c>
      <c r="I6463" s="4">
        <v>733872</v>
      </c>
      <c r="J6463" s="4">
        <v>268800</v>
      </c>
    </row>
    <row r="6464" spans="2:10" x14ac:dyDescent="0.3">
      <c r="B6464" s="7">
        <v>44348</v>
      </c>
      <c r="C6464" s="3">
        <f t="shared" si="200"/>
        <v>2021</v>
      </c>
      <c r="D6464" s="3">
        <f t="shared" si="201"/>
        <v>202106</v>
      </c>
      <c r="E6464" s="5" t="s">
        <v>8</v>
      </c>
      <c r="F6464" s="5" t="s">
        <v>10</v>
      </c>
      <c r="G6464" s="5" t="s">
        <v>31</v>
      </c>
      <c r="H6464">
        <v>23</v>
      </c>
      <c r="I6464" s="4">
        <v>672888</v>
      </c>
      <c r="J6464" s="4">
        <v>257600</v>
      </c>
    </row>
    <row r="6465" spans="2:10" x14ac:dyDescent="0.3">
      <c r="B6465" s="7">
        <v>44378</v>
      </c>
      <c r="C6465" s="3">
        <f t="shared" si="200"/>
        <v>2021</v>
      </c>
      <c r="D6465" s="3">
        <f t="shared" si="201"/>
        <v>202107</v>
      </c>
      <c r="E6465" s="5" t="s">
        <v>8</v>
      </c>
      <c r="F6465" s="5" t="s">
        <v>10</v>
      </c>
      <c r="G6465" s="5" t="s">
        <v>31</v>
      </c>
      <c r="H6465">
        <v>24</v>
      </c>
      <c r="I6465" s="4">
        <v>668952</v>
      </c>
      <c r="J6465" s="4">
        <v>268800</v>
      </c>
    </row>
    <row r="6466" spans="2:10" x14ac:dyDescent="0.3">
      <c r="B6466" s="7">
        <v>44409</v>
      </c>
      <c r="C6466" s="3">
        <f t="shared" si="200"/>
        <v>2021</v>
      </c>
      <c r="D6466" s="3">
        <f t="shared" si="201"/>
        <v>202108</v>
      </c>
      <c r="E6466" s="5" t="s">
        <v>8</v>
      </c>
      <c r="F6466" s="5" t="s">
        <v>10</v>
      </c>
      <c r="G6466" s="5" t="s">
        <v>31</v>
      </c>
      <c r="H6466">
        <v>20</v>
      </c>
      <c r="I6466" s="4">
        <v>577640</v>
      </c>
      <c r="J6466" s="4">
        <v>224000</v>
      </c>
    </row>
    <row r="6467" spans="2:10" x14ac:dyDescent="0.3">
      <c r="B6467" s="7">
        <v>44440</v>
      </c>
      <c r="C6467" s="3">
        <f t="shared" ref="C6467:C6530" si="202">YEAR(B6467)</f>
        <v>2021</v>
      </c>
      <c r="D6467" s="3">
        <f t="shared" ref="D6467:D6530" si="203">VALUE(TEXT(B6467,"ГГГГММ"))</f>
        <v>202109</v>
      </c>
      <c r="E6467" s="5" t="s">
        <v>8</v>
      </c>
      <c r="F6467" s="5" t="s">
        <v>10</v>
      </c>
      <c r="G6467" s="5" t="s">
        <v>31</v>
      </c>
      <c r="H6467">
        <v>22</v>
      </c>
      <c r="I6467" s="4">
        <v>641014</v>
      </c>
      <c r="J6467" s="4">
        <v>246400</v>
      </c>
    </row>
    <row r="6468" spans="2:10" x14ac:dyDescent="0.3">
      <c r="B6468" s="7">
        <v>44470</v>
      </c>
      <c r="C6468" s="3">
        <f t="shared" si="202"/>
        <v>2021</v>
      </c>
      <c r="D6468" s="3">
        <f t="shared" si="203"/>
        <v>202110</v>
      </c>
      <c r="E6468" s="5" t="s">
        <v>8</v>
      </c>
      <c r="F6468" s="5" t="s">
        <v>10</v>
      </c>
      <c r="G6468" s="5" t="s">
        <v>31</v>
      </c>
      <c r="H6468">
        <v>18</v>
      </c>
      <c r="I6468" s="4">
        <v>529074</v>
      </c>
      <c r="J6468" s="4">
        <v>201600</v>
      </c>
    </row>
    <row r="6469" spans="2:10" x14ac:dyDescent="0.3">
      <c r="B6469" s="7">
        <v>44501</v>
      </c>
      <c r="C6469" s="3">
        <f t="shared" si="202"/>
        <v>2021</v>
      </c>
      <c r="D6469" s="3">
        <f t="shared" si="203"/>
        <v>202111</v>
      </c>
      <c r="E6469" s="5" t="s">
        <v>8</v>
      </c>
      <c r="F6469" s="5" t="s">
        <v>10</v>
      </c>
      <c r="G6469" s="5" t="s">
        <v>31</v>
      </c>
      <c r="H6469">
        <v>13</v>
      </c>
      <c r="I6469" s="4">
        <v>378976</v>
      </c>
      <c r="J6469" s="4">
        <v>145600</v>
      </c>
    </row>
    <row r="6470" spans="2:10" x14ac:dyDescent="0.3">
      <c r="B6470" s="7">
        <v>44531</v>
      </c>
      <c r="C6470" s="3">
        <f t="shared" si="202"/>
        <v>2021</v>
      </c>
      <c r="D6470" s="3">
        <f t="shared" si="203"/>
        <v>202112</v>
      </c>
      <c r="E6470" s="5" t="s">
        <v>8</v>
      </c>
      <c r="F6470" s="5" t="s">
        <v>10</v>
      </c>
      <c r="G6470" s="5" t="s">
        <v>31</v>
      </c>
      <c r="H6470">
        <v>15</v>
      </c>
      <c r="I6470" s="4">
        <v>437640</v>
      </c>
      <c r="J6470" s="4">
        <v>168000</v>
      </c>
    </row>
    <row r="6471" spans="2:10" x14ac:dyDescent="0.3">
      <c r="B6471" s="7">
        <v>44562</v>
      </c>
      <c r="C6471" s="3">
        <f t="shared" si="202"/>
        <v>2022</v>
      </c>
      <c r="D6471" s="3">
        <f t="shared" si="203"/>
        <v>202201</v>
      </c>
      <c r="E6471" s="5" t="s">
        <v>8</v>
      </c>
      <c r="F6471" s="5" t="s">
        <v>10</v>
      </c>
      <c r="G6471" s="5" t="s">
        <v>31</v>
      </c>
      <c r="H6471">
        <v>22</v>
      </c>
      <c r="I6471" s="4">
        <v>634634</v>
      </c>
      <c r="J6471" s="4">
        <v>246400</v>
      </c>
    </row>
    <row r="6472" spans="2:10" x14ac:dyDescent="0.3">
      <c r="B6472" s="7">
        <v>44593</v>
      </c>
      <c r="C6472" s="3">
        <f t="shared" si="202"/>
        <v>2022</v>
      </c>
      <c r="D6472" s="3">
        <f t="shared" si="203"/>
        <v>202202</v>
      </c>
      <c r="E6472" s="5" t="s">
        <v>8</v>
      </c>
      <c r="F6472" s="5" t="s">
        <v>10</v>
      </c>
      <c r="G6472" s="5" t="s">
        <v>31</v>
      </c>
      <c r="H6472">
        <v>14</v>
      </c>
      <c r="I6472" s="4">
        <v>411922</v>
      </c>
      <c r="J6472" s="4">
        <v>156800</v>
      </c>
    </row>
    <row r="6473" spans="2:10" x14ac:dyDescent="0.3">
      <c r="B6473" s="7">
        <v>44621</v>
      </c>
      <c r="C6473" s="3">
        <f t="shared" si="202"/>
        <v>2022</v>
      </c>
      <c r="D6473" s="3">
        <f t="shared" si="203"/>
        <v>202203</v>
      </c>
      <c r="E6473" s="5" t="s">
        <v>8</v>
      </c>
      <c r="F6473" s="5" t="s">
        <v>10</v>
      </c>
      <c r="G6473" s="5" t="s">
        <v>31</v>
      </c>
      <c r="H6473">
        <v>11</v>
      </c>
      <c r="I6473" s="4">
        <v>321596</v>
      </c>
      <c r="J6473" s="4">
        <v>123200</v>
      </c>
    </row>
    <row r="6474" spans="2:10" x14ac:dyDescent="0.3">
      <c r="B6474" s="7">
        <v>44652</v>
      </c>
      <c r="C6474" s="3">
        <f t="shared" si="202"/>
        <v>2022</v>
      </c>
      <c r="D6474" s="3">
        <f t="shared" si="203"/>
        <v>202204</v>
      </c>
      <c r="E6474" s="5" t="s">
        <v>8</v>
      </c>
      <c r="F6474" s="5" t="s">
        <v>10</v>
      </c>
      <c r="G6474" s="5" t="s">
        <v>31</v>
      </c>
      <c r="H6474">
        <v>21</v>
      </c>
      <c r="I6474" s="4">
        <v>620403</v>
      </c>
      <c r="J6474" s="4">
        <v>235200</v>
      </c>
    </row>
    <row r="6475" spans="2:10" x14ac:dyDescent="0.3">
      <c r="B6475" s="7">
        <v>44682</v>
      </c>
      <c r="C6475" s="3">
        <f t="shared" si="202"/>
        <v>2022</v>
      </c>
      <c r="D6475" s="3">
        <f t="shared" si="203"/>
        <v>202205</v>
      </c>
      <c r="E6475" s="5" t="s">
        <v>8</v>
      </c>
      <c r="F6475" s="5" t="s">
        <v>10</v>
      </c>
      <c r="G6475" s="5" t="s">
        <v>31</v>
      </c>
      <c r="H6475">
        <v>26</v>
      </c>
      <c r="I6475" s="4">
        <v>778128</v>
      </c>
      <c r="J6475" s="4">
        <v>291200</v>
      </c>
    </row>
    <row r="6476" spans="2:10" x14ac:dyDescent="0.3">
      <c r="B6476" s="7">
        <v>44713</v>
      </c>
      <c r="C6476" s="3">
        <f t="shared" si="202"/>
        <v>2022</v>
      </c>
      <c r="D6476" s="3">
        <f t="shared" si="203"/>
        <v>202206</v>
      </c>
      <c r="E6476" s="5" t="s">
        <v>8</v>
      </c>
      <c r="F6476" s="5" t="s">
        <v>10</v>
      </c>
      <c r="G6476" s="5" t="s">
        <v>31</v>
      </c>
      <c r="H6476">
        <v>25</v>
      </c>
      <c r="I6476" s="4">
        <v>741425</v>
      </c>
      <c r="J6476" s="4">
        <v>280000</v>
      </c>
    </row>
    <row r="6477" spans="2:10" x14ac:dyDescent="0.3">
      <c r="B6477" s="7">
        <v>44743</v>
      </c>
      <c r="C6477" s="3">
        <f t="shared" si="202"/>
        <v>2022</v>
      </c>
      <c r="D6477" s="3">
        <f t="shared" si="203"/>
        <v>202207</v>
      </c>
      <c r="E6477" s="5" t="s">
        <v>8</v>
      </c>
      <c r="F6477" s="5" t="s">
        <v>10</v>
      </c>
      <c r="G6477" s="5" t="s">
        <v>31</v>
      </c>
      <c r="H6477">
        <v>26</v>
      </c>
      <c r="I6477" s="4">
        <v>735696</v>
      </c>
      <c r="J6477" s="4">
        <v>291200</v>
      </c>
    </row>
    <row r="6478" spans="2:10" x14ac:dyDescent="0.3">
      <c r="B6478" s="7">
        <v>44774</v>
      </c>
      <c r="C6478" s="3">
        <f t="shared" si="202"/>
        <v>2022</v>
      </c>
      <c r="D6478" s="3">
        <f t="shared" si="203"/>
        <v>202208</v>
      </c>
      <c r="E6478" s="5" t="s">
        <v>8</v>
      </c>
      <c r="F6478" s="5" t="s">
        <v>10</v>
      </c>
      <c r="G6478" s="5" t="s">
        <v>31</v>
      </c>
      <c r="H6478">
        <v>22</v>
      </c>
      <c r="I6478" s="4">
        <v>623084</v>
      </c>
      <c r="J6478" s="4">
        <v>246400</v>
      </c>
    </row>
    <row r="6479" spans="2:10" x14ac:dyDescent="0.3">
      <c r="B6479" s="7">
        <v>44805</v>
      </c>
      <c r="C6479" s="3">
        <f t="shared" si="202"/>
        <v>2022</v>
      </c>
      <c r="D6479" s="3">
        <f t="shared" si="203"/>
        <v>202209</v>
      </c>
      <c r="E6479" s="5" t="s">
        <v>8</v>
      </c>
      <c r="F6479" s="5" t="s">
        <v>10</v>
      </c>
      <c r="G6479" s="5" t="s">
        <v>31</v>
      </c>
      <c r="H6479">
        <v>24</v>
      </c>
      <c r="I6479" s="4">
        <v>697320</v>
      </c>
      <c r="J6479" s="4">
        <v>268800</v>
      </c>
    </row>
    <row r="6480" spans="2:10" x14ac:dyDescent="0.3">
      <c r="B6480" s="7">
        <v>44835</v>
      </c>
      <c r="C6480" s="3">
        <f t="shared" si="202"/>
        <v>2022</v>
      </c>
      <c r="D6480" s="3">
        <f t="shared" si="203"/>
        <v>202210</v>
      </c>
      <c r="E6480" s="5" t="s">
        <v>8</v>
      </c>
      <c r="F6480" s="5" t="s">
        <v>10</v>
      </c>
      <c r="G6480" s="5" t="s">
        <v>31</v>
      </c>
      <c r="H6480">
        <v>20</v>
      </c>
      <c r="I6480" s="4">
        <v>597680</v>
      </c>
      <c r="J6480" s="4">
        <v>224000</v>
      </c>
    </row>
    <row r="6481" spans="2:10" x14ac:dyDescent="0.3">
      <c r="B6481" s="7">
        <v>44866</v>
      </c>
      <c r="C6481" s="3">
        <f t="shared" si="202"/>
        <v>2022</v>
      </c>
      <c r="D6481" s="3">
        <f t="shared" si="203"/>
        <v>202211</v>
      </c>
      <c r="E6481" s="5" t="s">
        <v>8</v>
      </c>
      <c r="F6481" s="5" t="s">
        <v>10</v>
      </c>
      <c r="G6481" s="5" t="s">
        <v>31</v>
      </c>
      <c r="H6481">
        <v>14</v>
      </c>
      <c r="I6481" s="4">
        <v>408100</v>
      </c>
      <c r="J6481" s="4">
        <v>156800</v>
      </c>
    </row>
    <row r="6482" spans="2:10" x14ac:dyDescent="0.3">
      <c r="B6482" s="7">
        <v>44896</v>
      </c>
      <c r="C6482" s="3">
        <f t="shared" si="202"/>
        <v>2022</v>
      </c>
      <c r="D6482" s="3">
        <f t="shared" si="203"/>
        <v>202212</v>
      </c>
      <c r="E6482" s="5" t="s">
        <v>8</v>
      </c>
      <c r="F6482" s="5" t="s">
        <v>10</v>
      </c>
      <c r="G6482" s="5" t="s">
        <v>31</v>
      </c>
      <c r="H6482">
        <v>17</v>
      </c>
      <c r="I6482" s="4">
        <v>485061</v>
      </c>
      <c r="J6482" s="4">
        <v>190400</v>
      </c>
    </row>
    <row r="6483" spans="2:10" x14ac:dyDescent="0.3">
      <c r="B6483" s="7">
        <v>44197</v>
      </c>
      <c r="C6483" s="3">
        <f t="shared" si="202"/>
        <v>2021</v>
      </c>
      <c r="D6483" s="3">
        <f t="shared" si="203"/>
        <v>202101</v>
      </c>
      <c r="E6483" s="5" t="s">
        <v>8</v>
      </c>
      <c r="F6483" s="5" t="s">
        <v>10</v>
      </c>
      <c r="G6483" s="5" t="s">
        <v>32</v>
      </c>
      <c r="H6483">
        <v>26</v>
      </c>
      <c r="I6483" s="4">
        <v>1217268</v>
      </c>
      <c r="J6483" s="4">
        <v>655200.00000000012</v>
      </c>
    </row>
    <row r="6484" spans="2:10" x14ac:dyDescent="0.3">
      <c r="B6484" s="7">
        <v>44228</v>
      </c>
      <c r="C6484" s="3">
        <f t="shared" si="202"/>
        <v>2021</v>
      </c>
      <c r="D6484" s="3">
        <f t="shared" si="203"/>
        <v>202102</v>
      </c>
      <c r="E6484" s="5" t="s">
        <v>8</v>
      </c>
      <c r="F6484" s="5" t="s">
        <v>10</v>
      </c>
      <c r="G6484" s="5" t="s">
        <v>32</v>
      </c>
      <c r="H6484">
        <v>16</v>
      </c>
      <c r="I6484" s="4">
        <v>747280</v>
      </c>
      <c r="J6484" s="4">
        <v>403200.00000000006</v>
      </c>
    </row>
    <row r="6485" spans="2:10" x14ac:dyDescent="0.3">
      <c r="B6485" s="7">
        <v>44256</v>
      </c>
      <c r="C6485" s="3">
        <f t="shared" si="202"/>
        <v>2021</v>
      </c>
      <c r="D6485" s="3">
        <f t="shared" si="203"/>
        <v>202103</v>
      </c>
      <c r="E6485" s="5" t="s">
        <v>8</v>
      </c>
      <c r="F6485" s="5" t="s">
        <v>10</v>
      </c>
      <c r="G6485" s="5" t="s">
        <v>32</v>
      </c>
      <c r="H6485">
        <v>13</v>
      </c>
      <c r="I6485" s="4">
        <v>587106</v>
      </c>
      <c r="J6485" s="4">
        <v>327600.00000000006</v>
      </c>
    </row>
    <row r="6486" spans="2:10" x14ac:dyDescent="0.3">
      <c r="B6486" s="7">
        <v>44287</v>
      </c>
      <c r="C6486" s="3">
        <f t="shared" si="202"/>
        <v>2021</v>
      </c>
      <c r="D6486" s="3">
        <f t="shared" si="203"/>
        <v>202104</v>
      </c>
      <c r="E6486" s="5" t="s">
        <v>8</v>
      </c>
      <c r="F6486" s="5" t="s">
        <v>10</v>
      </c>
      <c r="G6486" s="5" t="s">
        <v>32</v>
      </c>
      <c r="H6486">
        <v>24</v>
      </c>
      <c r="I6486" s="4">
        <v>1119240</v>
      </c>
      <c r="J6486" s="4">
        <v>604800.00000000012</v>
      </c>
    </row>
    <row r="6487" spans="2:10" x14ac:dyDescent="0.3">
      <c r="B6487" s="7">
        <v>44317</v>
      </c>
      <c r="C6487" s="3">
        <f t="shared" si="202"/>
        <v>2021</v>
      </c>
      <c r="D6487" s="3">
        <f t="shared" si="203"/>
        <v>202105</v>
      </c>
      <c r="E6487" s="5" t="s">
        <v>8</v>
      </c>
      <c r="F6487" s="5" t="s">
        <v>10</v>
      </c>
      <c r="G6487" s="5" t="s">
        <v>32</v>
      </c>
      <c r="H6487">
        <v>30</v>
      </c>
      <c r="I6487" s="4">
        <v>1417830</v>
      </c>
      <c r="J6487" s="4">
        <v>756000.00000000012</v>
      </c>
    </row>
    <row r="6488" spans="2:10" x14ac:dyDescent="0.3">
      <c r="B6488" s="7">
        <v>44348</v>
      </c>
      <c r="C6488" s="3">
        <f t="shared" si="202"/>
        <v>2021</v>
      </c>
      <c r="D6488" s="3">
        <f t="shared" si="203"/>
        <v>202106</v>
      </c>
      <c r="E6488" s="5" t="s">
        <v>8</v>
      </c>
      <c r="F6488" s="5" t="s">
        <v>10</v>
      </c>
      <c r="G6488" s="5" t="s">
        <v>32</v>
      </c>
      <c r="H6488">
        <v>29</v>
      </c>
      <c r="I6488" s="4">
        <v>1362043</v>
      </c>
      <c r="J6488" s="4">
        <v>730800.00000000012</v>
      </c>
    </row>
    <row r="6489" spans="2:10" x14ac:dyDescent="0.3">
      <c r="B6489" s="7">
        <v>44378</v>
      </c>
      <c r="C6489" s="3">
        <f t="shared" si="202"/>
        <v>2021</v>
      </c>
      <c r="D6489" s="3">
        <f t="shared" si="203"/>
        <v>202107</v>
      </c>
      <c r="E6489" s="5" t="s">
        <v>8</v>
      </c>
      <c r="F6489" s="5" t="s">
        <v>10</v>
      </c>
      <c r="G6489" s="5" t="s">
        <v>32</v>
      </c>
      <c r="H6489">
        <v>30</v>
      </c>
      <c r="I6489" s="4">
        <v>1339230</v>
      </c>
      <c r="J6489" s="4">
        <v>756000.00000000012</v>
      </c>
    </row>
    <row r="6490" spans="2:10" x14ac:dyDescent="0.3">
      <c r="B6490" s="7">
        <v>44409</v>
      </c>
      <c r="C6490" s="3">
        <f t="shared" si="202"/>
        <v>2021</v>
      </c>
      <c r="D6490" s="3">
        <f t="shared" si="203"/>
        <v>202108</v>
      </c>
      <c r="E6490" s="5" t="s">
        <v>8</v>
      </c>
      <c r="F6490" s="5" t="s">
        <v>10</v>
      </c>
      <c r="G6490" s="5" t="s">
        <v>32</v>
      </c>
      <c r="H6490">
        <v>26</v>
      </c>
      <c r="I6490" s="4">
        <v>1182350</v>
      </c>
      <c r="J6490" s="4">
        <v>655200.00000000012</v>
      </c>
    </row>
    <row r="6491" spans="2:10" x14ac:dyDescent="0.3">
      <c r="B6491" s="7">
        <v>44440</v>
      </c>
      <c r="C6491" s="3">
        <f t="shared" si="202"/>
        <v>2021</v>
      </c>
      <c r="D6491" s="3">
        <f t="shared" si="203"/>
        <v>202109</v>
      </c>
      <c r="E6491" s="5" t="s">
        <v>8</v>
      </c>
      <c r="F6491" s="5" t="s">
        <v>10</v>
      </c>
      <c r="G6491" s="5" t="s">
        <v>32</v>
      </c>
      <c r="H6491">
        <v>27</v>
      </c>
      <c r="I6491" s="4">
        <v>1232901</v>
      </c>
      <c r="J6491" s="4">
        <v>680400.00000000012</v>
      </c>
    </row>
    <row r="6492" spans="2:10" x14ac:dyDescent="0.3">
      <c r="B6492" s="7">
        <v>44470</v>
      </c>
      <c r="C6492" s="3">
        <f t="shared" si="202"/>
        <v>2021</v>
      </c>
      <c r="D6492" s="3">
        <f t="shared" si="203"/>
        <v>202110</v>
      </c>
      <c r="E6492" s="5" t="s">
        <v>8</v>
      </c>
      <c r="F6492" s="5" t="s">
        <v>10</v>
      </c>
      <c r="G6492" s="5" t="s">
        <v>32</v>
      </c>
      <c r="H6492">
        <v>22</v>
      </c>
      <c r="I6492" s="4">
        <v>1017038</v>
      </c>
      <c r="J6492" s="4">
        <v>554400.00000000012</v>
      </c>
    </row>
    <row r="6493" spans="2:10" x14ac:dyDescent="0.3">
      <c r="B6493" s="7">
        <v>44501</v>
      </c>
      <c r="C6493" s="3">
        <f t="shared" si="202"/>
        <v>2021</v>
      </c>
      <c r="D6493" s="3">
        <f t="shared" si="203"/>
        <v>202111</v>
      </c>
      <c r="E6493" s="5" t="s">
        <v>8</v>
      </c>
      <c r="F6493" s="5" t="s">
        <v>10</v>
      </c>
      <c r="G6493" s="5" t="s">
        <v>32</v>
      </c>
      <c r="H6493">
        <v>16</v>
      </c>
      <c r="I6493" s="4">
        <v>739648</v>
      </c>
      <c r="J6493" s="4">
        <v>403200.00000000006</v>
      </c>
    </row>
    <row r="6494" spans="2:10" x14ac:dyDescent="0.3">
      <c r="B6494" s="7">
        <v>44531</v>
      </c>
      <c r="C6494" s="3">
        <f t="shared" si="202"/>
        <v>2021</v>
      </c>
      <c r="D6494" s="3">
        <f t="shared" si="203"/>
        <v>202112</v>
      </c>
      <c r="E6494" s="5" t="s">
        <v>8</v>
      </c>
      <c r="F6494" s="5" t="s">
        <v>10</v>
      </c>
      <c r="G6494" s="5" t="s">
        <v>32</v>
      </c>
      <c r="H6494">
        <v>19</v>
      </c>
      <c r="I6494" s="4">
        <v>867920</v>
      </c>
      <c r="J6494" s="4">
        <v>478800.00000000006</v>
      </c>
    </row>
    <row r="6495" spans="2:10" x14ac:dyDescent="0.3">
      <c r="B6495" s="7">
        <v>44562</v>
      </c>
      <c r="C6495" s="3">
        <f t="shared" si="202"/>
        <v>2022</v>
      </c>
      <c r="D6495" s="3">
        <f t="shared" si="203"/>
        <v>202201</v>
      </c>
      <c r="E6495" s="5" t="s">
        <v>8</v>
      </c>
      <c r="F6495" s="5" t="s">
        <v>10</v>
      </c>
      <c r="G6495" s="5" t="s">
        <v>32</v>
      </c>
      <c r="H6495">
        <v>28</v>
      </c>
      <c r="I6495" s="4">
        <v>1311772</v>
      </c>
      <c r="J6495" s="4">
        <v>705600.00000000012</v>
      </c>
    </row>
    <row r="6496" spans="2:10" x14ac:dyDescent="0.3">
      <c r="B6496" s="7">
        <v>44593</v>
      </c>
      <c r="C6496" s="3">
        <f t="shared" si="202"/>
        <v>2022</v>
      </c>
      <c r="D6496" s="3">
        <f t="shared" si="203"/>
        <v>202202</v>
      </c>
      <c r="E6496" s="5" t="s">
        <v>8</v>
      </c>
      <c r="F6496" s="5" t="s">
        <v>10</v>
      </c>
      <c r="G6496" s="5" t="s">
        <v>32</v>
      </c>
      <c r="H6496">
        <v>18</v>
      </c>
      <c r="I6496" s="4">
        <v>840618</v>
      </c>
      <c r="J6496" s="4">
        <v>453600.00000000006</v>
      </c>
    </row>
    <row r="6497" spans="2:10" x14ac:dyDescent="0.3">
      <c r="B6497" s="7">
        <v>44621</v>
      </c>
      <c r="C6497" s="3">
        <f t="shared" si="202"/>
        <v>2022</v>
      </c>
      <c r="D6497" s="3">
        <f t="shared" si="203"/>
        <v>202203</v>
      </c>
      <c r="E6497" s="5" t="s">
        <v>8</v>
      </c>
      <c r="F6497" s="5" t="s">
        <v>10</v>
      </c>
      <c r="G6497" s="5" t="s">
        <v>32</v>
      </c>
      <c r="H6497">
        <v>14</v>
      </c>
      <c r="I6497" s="4">
        <v>639324</v>
      </c>
      <c r="J6497" s="4">
        <v>352800.00000000006</v>
      </c>
    </row>
    <row r="6498" spans="2:10" x14ac:dyDescent="0.3">
      <c r="B6498" s="7">
        <v>44652</v>
      </c>
      <c r="C6498" s="3">
        <f t="shared" si="202"/>
        <v>2022</v>
      </c>
      <c r="D6498" s="3">
        <f t="shared" si="203"/>
        <v>202204</v>
      </c>
      <c r="E6498" s="5" t="s">
        <v>8</v>
      </c>
      <c r="F6498" s="5" t="s">
        <v>10</v>
      </c>
      <c r="G6498" s="5" t="s">
        <v>32</v>
      </c>
      <c r="H6498">
        <v>26</v>
      </c>
      <c r="I6498" s="4">
        <v>1212588</v>
      </c>
      <c r="J6498" s="4">
        <v>655200.00000000012</v>
      </c>
    </row>
    <row r="6499" spans="2:10" x14ac:dyDescent="0.3">
      <c r="B6499" s="7">
        <v>44682</v>
      </c>
      <c r="C6499" s="3">
        <f t="shared" si="202"/>
        <v>2022</v>
      </c>
      <c r="D6499" s="3">
        <f t="shared" si="203"/>
        <v>202205</v>
      </c>
      <c r="E6499" s="5" t="s">
        <v>8</v>
      </c>
      <c r="F6499" s="5" t="s">
        <v>10</v>
      </c>
      <c r="G6499" s="5" t="s">
        <v>32</v>
      </c>
      <c r="H6499">
        <v>33</v>
      </c>
      <c r="I6499" s="4">
        <v>1563078</v>
      </c>
      <c r="J6499" s="4">
        <v>831600.00000000012</v>
      </c>
    </row>
    <row r="6500" spans="2:10" x14ac:dyDescent="0.3">
      <c r="B6500" s="7">
        <v>44713</v>
      </c>
      <c r="C6500" s="3">
        <f t="shared" si="202"/>
        <v>2022</v>
      </c>
      <c r="D6500" s="3">
        <f t="shared" si="203"/>
        <v>202206</v>
      </c>
      <c r="E6500" s="5" t="s">
        <v>8</v>
      </c>
      <c r="F6500" s="5" t="s">
        <v>10</v>
      </c>
      <c r="G6500" s="5" t="s">
        <v>32</v>
      </c>
      <c r="H6500">
        <v>32</v>
      </c>
      <c r="I6500" s="4">
        <v>1485536</v>
      </c>
      <c r="J6500" s="4">
        <v>806400.00000000012</v>
      </c>
    </row>
    <row r="6501" spans="2:10" x14ac:dyDescent="0.3">
      <c r="B6501" s="7">
        <v>44743</v>
      </c>
      <c r="C6501" s="3">
        <f t="shared" si="202"/>
        <v>2022</v>
      </c>
      <c r="D6501" s="3">
        <f t="shared" si="203"/>
        <v>202207</v>
      </c>
      <c r="E6501" s="5" t="s">
        <v>8</v>
      </c>
      <c r="F6501" s="5" t="s">
        <v>10</v>
      </c>
      <c r="G6501" s="5" t="s">
        <v>32</v>
      </c>
      <c r="H6501">
        <v>33</v>
      </c>
      <c r="I6501" s="4">
        <v>1479060</v>
      </c>
      <c r="J6501" s="4">
        <v>831600.00000000012</v>
      </c>
    </row>
    <row r="6502" spans="2:10" x14ac:dyDescent="0.3">
      <c r="B6502" s="7">
        <v>44774</v>
      </c>
      <c r="C6502" s="3">
        <f t="shared" si="202"/>
        <v>2022</v>
      </c>
      <c r="D6502" s="3">
        <f t="shared" si="203"/>
        <v>202208</v>
      </c>
      <c r="E6502" s="5" t="s">
        <v>8</v>
      </c>
      <c r="F6502" s="5" t="s">
        <v>10</v>
      </c>
      <c r="G6502" s="5" t="s">
        <v>32</v>
      </c>
      <c r="H6502">
        <v>28</v>
      </c>
      <c r="I6502" s="4">
        <v>1277332</v>
      </c>
      <c r="J6502" s="4">
        <v>705600.00000000012</v>
      </c>
    </row>
    <row r="6503" spans="2:10" x14ac:dyDescent="0.3">
      <c r="B6503" s="7">
        <v>44805</v>
      </c>
      <c r="C6503" s="3">
        <f t="shared" si="202"/>
        <v>2022</v>
      </c>
      <c r="D6503" s="3">
        <f t="shared" si="203"/>
        <v>202209</v>
      </c>
      <c r="E6503" s="5" t="s">
        <v>8</v>
      </c>
      <c r="F6503" s="5" t="s">
        <v>10</v>
      </c>
      <c r="G6503" s="5" t="s">
        <v>32</v>
      </c>
      <c r="H6503">
        <v>30</v>
      </c>
      <c r="I6503" s="4">
        <v>1366050</v>
      </c>
      <c r="J6503" s="4">
        <v>756000.00000000012</v>
      </c>
    </row>
    <row r="6504" spans="2:10" x14ac:dyDescent="0.3">
      <c r="B6504" s="7">
        <v>44835</v>
      </c>
      <c r="C6504" s="3">
        <f t="shared" si="202"/>
        <v>2022</v>
      </c>
      <c r="D6504" s="3">
        <f t="shared" si="203"/>
        <v>202210</v>
      </c>
      <c r="E6504" s="5" t="s">
        <v>8</v>
      </c>
      <c r="F6504" s="5" t="s">
        <v>10</v>
      </c>
      <c r="G6504" s="5" t="s">
        <v>32</v>
      </c>
      <c r="H6504">
        <v>25</v>
      </c>
      <c r="I6504" s="4">
        <v>1145125</v>
      </c>
      <c r="J6504" s="4">
        <v>630000.00000000012</v>
      </c>
    </row>
    <row r="6505" spans="2:10" x14ac:dyDescent="0.3">
      <c r="B6505" s="7">
        <v>44866</v>
      </c>
      <c r="C6505" s="3">
        <f t="shared" si="202"/>
        <v>2022</v>
      </c>
      <c r="D6505" s="3">
        <f t="shared" si="203"/>
        <v>202211</v>
      </c>
      <c r="E6505" s="5" t="s">
        <v>8</v>
      </c>
      <c r="F6505" s="5" t="s">
        <v>10</v>
      </c>
      <c r="G6505" s="5" t="s">
        <v>32</v>
      </c>
      <c r="H6505">
        <v>18</v>
      </c>
      <c r="I6505" s="4">
        <v>826902</v>
      </c>
      <c r="J6505" s="4">
        <v>453600.00000000006</v>
      </c>
    </row>
    <row r="6506" spans="2:10" x14ac:dyDescent="0.3">
      <c r="B6506" s="7">
        <v>44896</v>
      </c>
      <c r="C6506" s="3">
        <f t="shared" si="202"/>
        <v>2022</v>
      </c>
      <c r="D6506" s="3">
        <f t="shared" si="203"/>
        <v>202212</v>
      </c>
      <c r="E6506" s="5" t="s">
        <v>8</v>
      </c>
      <c r="F6506" s="5" t="s">
        <v>10</v>
      </c>
      <c r="G6506" s="5" t="s">
        <v>32</v>
      </c>
      <c r="H6506">
        <v>21</v>
      </c>
      <c r="I6506" s="4">
        <v>959973</v>
      </c>
      <c r="J6506" s="4">
        <v>529200.00000000012</v>
      </c>
    </row>
    <row r="6507" spans="2:10" x14ac:dyDescent="0.3">
      <c r="B6507" s="7">
        <v>44197</v>
      </c>
      <c r="C6507" s="3">
        <f t="shared" si="202"/>
        <v>2021</v>
      </c>
      <c r="D6507" s="3">
        <f t="shared" si="203"/>
        <v>202101</v>
      </c>
      <c r="E6507" s="5" t="s">
        <v>8</v>
      </c>
      <c r="F6507" s="5" t="s">
        <v>10</v>
      </c>
      <c r="G6507" s="5" t="s">
        <v>33</v>
      </c>
      <c r="H6507">
        <v>26</v>
      </c>
      <c r="I6507" s="4">
        <v>472628</v>
      </c>
      <c r="J6507" s="4">
        <v>247520</v>
      </c>
    </row>
    <row r="6508" spans="2:10" x14ac:dyDescent="0.3">
      <c r="B6508" s="7">
        <v>44228</v>
      </c>
      <c r="C6508" s="3">
        <f t="shared" si="202"/>
        <v>2021</v>
      </c>
      <c r="D6508" s="3">
        <f t="shared" si="203"/>
        <v>202102</v>
      </c>
      <c r="E6508" s="5" t="s">
        <v>8</v>
      </c>
      <c r="F6508" s="5" t="s">
        <v>10</v>
      </c>
      <c r="G6508" s="5" t="s">
        <v>33</v>
      </c>
      <c r="H6508">
        <v>16</v>
      </c>
      <c r="I6508" s="4">
        <v>294192</v>
      </c>
      <c r="J6508" s="4">
        <v>152320</v>
      </c>
    </row>
    <row r="6509" spans="2:10" x14ac:dyDescent="0.3">
      <c r="B6509" s="7">
        <v>44256</v>
      </c>
      <c r="C6509" s="3">
        <f t="shared" si="202"/>
        <v>2021</v>
      </c>
      <c r="D6509" s="3">
        <f t="shared" si="203"/>
        <v>202103</v>
      </c>
      <c r="E6509" s="5" t="s">
        <v>8</v>
      </c>
      <c r="F6509" s="5" t="s">
        <v>10</v>
      </c>
      <c r="G6509" s="5" t="s">
        <v>33</v>
      </c>
      <c r="H6509">
        <v>13</v>
      </c>
      <c r="I6509" s="4">
        <v>234663</v>
      </c>
      <c r="J6509" s="4">
        <v>123760</v>
      </c>
    </row>
    <row r="6510" spans="2:10" x14ac:dyDescent="0.3">
      <c r="B6510" s="7">
        <v>44287</v>
      </c>
      <c r="C6510" s="3">
        <f t="shared" si="202"/>
        <v>2021</v>
      </c>
      <c r="D6510" s="3">
        <f t="shared" si="203"/>
        <v>202104</v>
      </c>
      <c r="E6510" s="5" t="s">
        <v>8</v>
      </c>
      <c r="F6510" s="5" t="s">
        <v>10</v>
      </c>
      <c r="G6510" s="5" t="s">
        <v>33</v>
      </c>
      <c r="H6510">
        <v>24</v>
      </c>
      <c r="I6510" s="4">
        <v>451872</v>
      </c>
      <c r="J6510" s="4">
        <v>228480</v>
      </c>
    </row>
    <row r="6511" spans="2:10" x14ac:dyDescent="0.3">
      <c r="B6511" s="7">
        <v>44317</v>
      </c>
      <c r="C6511" s="3">
        <f t="shared" si="202"/>
        <v>2021</v>
      </c>
      <c r="D6511" s="3">
        <f t="shared" si="203"/>
        <v>202105</v>
      </c>
      <c r="E6511" s="5" t="s">
        <v>8</v>
      </c>
      <c r="F6511" s="5" t="s">
        <v>10</v>
      </c>
      <c r="G6511" s="5" t="s">
        <v>33</v>
      </c>
      <c r="H6511">
        <v>30</v>
      </c>
      <c r="I6511" s="4">
        <v>575160</v>
      </c>
      <c r="J6511" s="4">
        <v>285600</v>
      </c>
    </row>
    <row r="6512" spans="2:10" x14ac:dyDescent="0.3">
      <c r="B6512" s="7">
        <v>44348</v>
      </c>
      <c r="C6512" s="3">
        <f t="shared" si="202"/>
        <v>2021</v>
      </c>
      <c r="D6512" s="3">
        <f t="shared" si="203"/>
        <v>202106</v>
      </c>
      <c r="E6512" s="5" t="s">
        <v>8</v>
      </c>
      <c r="F6512" s="5" t="s">
        <v>10</v>
      </c>
      <c r="G6512" s="5" t="s">
        <v>33</v>
      </c>
      <c r="H6512">
        <v>29</v>
      </c>
      <c r="I6512" s="4">
        <v>522464</v>
      </c>
      <c r="J6512" s="4">
        <v>276080</v>
      </c>
    </row>
    <row r="6513" spans="2:10" x14ac:dyDescent="0.3">
      <c r="B6513" s="7">
        <v>44378</v>
      </c>
      <c r="C6513" s="3">
        <f t="shared" si="202"/>
        <v>2021</v>
      </c>
      <c r="D6513" s="3">
        <f t="shared" si="203"/>
        <v>202107</v>
      </c>
      <c r="E6513" s="5" t="s">
        <v>8</v>
      </c>
      <c r="F6513" s="5" t="s">
        <v>10</v>
      </c>
      <c r="G6513" s="5" t="s">
        <v>33</v>
      </c>
      <c r="H6513">
        <v>30</v>
      </c>
      <c r="I6513" s="4">
        <v>513300</v>
      </c>
      <c r="J6513" s="4">
        <v>285600</v>
      </c>
    </row>
    <row r="6514" spans="2:10" x14ac:dyDescent="0.3">
      <c r="B6514" s="7">
        <v>44409</v>
      </c>
      <c r="C6514" s="3">
        <f t="shared" si="202"/>
        <v>2021</v>
      </c>
      <c r="D6514" s="3">
        <f t="shared" si="203"/>
        <v>202108</v>
      </c>
      <c r="E6514" s="5" t="s">
        <v>8</v>
      </c>
      <c r="F6514" s="5" t="s">
        <v>10</v>
      </c>
      <c r="G6514" s="5" t="s">
        <v>33</v>
      </c>
      <c r="H6514">
        <v>26</v>
      </c>
      <c r="I6514" s="4">
        <v>449306</v>
      </c>
      <c r="J6514" s="4">
        <v>247520</v>
      </c>
    </row>
    <row r="6515" spans="2:10" x14ac:dyDescent="0.3">
      <c r="B6515" s="7">
        <v>44440</v>
      </c>
      <c r="C6515" s="3">
        <f t="shared" si="202"/>
        <v>2021</v>
      </c>
      <c r="D6515" s="3">
        <f t="shared" si="203"/>
        <v>202109</v>
      </c>
      <c r="E6515" s="5" t="s">
        <v>8</v>
      </c>
      <c r="F6515" s="5" t="s">
        <v>10</v>
      </c>
      <c r="G6515" s="5" t="s">
        <v>33</v>
      </c>
      <c r="H6515">
        <v>27</v>
      </c>
      <c r="I6515" s="4">
        <v>488079</v>
      </c>
      <c r="J6515" s="4">
        <v>257040</v>
      </c>
    </row>
    <row r="6516" spans="2:10" x14ac:dyDescent="0.3">
      <c r="B6516" s="7">
        <v>44470</v>
      </c>
      <c r="C6516" s="3">
        <f t="shared" si="202"/>
        <v>2021</v>
      </c>
      <c r="D6516" s="3">
        <f t="shared" si="203"/>
        <v>202110</v>
      </c>
      <c r="E6516" s="5" t="s">
        <v>8</v>
      </c>
      <c r="F6516" s="5" t="s">
        <v>10</v>
      </c>
      <c r="G6516" s="5" t="s">
        <v>33</v>
      </c>
      <c r="H6516">
        <v>22</v>
      </c>
      <c r="I6516" s="4">
        <v>415118</v>
      </c>
      <c r="J6516" s="4">
        <v>209440</v>
      </c>
    </row>
    <row r="6517" spans="2:10" x14ac:dyDescent="0.3">
      <c r="B6517" s="7">
        <v>44501</v>
      </c>
      <c r="C6517" s="3">
        <f t="shared" si="202"/>
        <v>2021</v>
      </c>
      <c r="D6517" s="3">
        <f t="shared" si="203"/>
        <v>202111</v>
      </c>
      <c r="E6517" s="5" t="s">
        <v>8</v>
      </c>
      <c r="F6517" s="5" t="s">
        <v>10</v>
      </c>
      <c r="G6517" s="5" t="s">
        <v>33</v>
      </c>
      <c r="H6517">
        <v>16</v>
      </c>
      <c r="I6517" s="4">
        <v>294016</v>
      </c>
      <c r="J6517" s="4">
        <v>152320</v>
      </c>
    </row>
    <row r="6518" spans="2:10" x14ac:dyDescent="0.3">
      <c r="B6518" s="7">
        <v>44531</v>
      </c>
      <c r="C6518" s="3">
        <f t="shared" si="202"/>
        <v>2021</v>
      </c>
      <c r="D6518" s="3">
        <f t="shared" si="203"/>
        <v>202112</v>
      </c>
      <c r="E6518" s="5" t="s">
        <v>8</v>
      </c>
      <c r="F6518" s="5" t="s">
        <v>10</v>
      </c>
      <c r="G6518" s="5" t="s">
        <v>33</v>
      </c>
      <c r="H6518">
        <v>19</v>
      </c>
      <c r="I6518" s="4">
        <v>344641</v>
      </c>
      <c r="J6518" s="4">
        <v>180880</v>
      </c>
    </row>
    <row r="6519" spans="2:10" x14ac:dyDescent="0.3">
      <c r="B6519" s="7">
        <v>44562</v>
      </c>
      <c r="C6519" s="3">
        <f t="shared" si="202"/>
        <v>2022</v>
      </c>
      <c r="D6519" s="3">
        <f t="shared" si="203"/>
        <v>202201</v>
      </c>
      <c r="E6519" s="5" t="s">
        <v>8</v>
      </c>
      <c r="F6519" s="5" t="s">
        <v>10</v>
      </c>
      <c r="G6519" s="5" t="s">
        <v>33</v>
      </c>
      <c r="H6519">
        <v>28</v>
      </c>
      <c r="I6519" s="4">
        <v>505932</v>
      </c>
      <c r="J6519" s="4">
        <v>266560</v>
      </c>
    </row>
    <row r="6520" spans="2:10" x14ac:dyDescent="0.3">
      <c r="B6520" s="7">
        <v>44593</v>
      </c>
      <c r="C6520" s="3">
        <f t="shared" si="202"/>
        <v>2022</v>
      </c>
      <c r="D6520" s="3">
        <f t="shared" si="203"/>
        <v>202202</v>
      </c>
      <c r="E6520" s="5" t="s">
        <v>8</v>
      </c>
      <c r="F6520" s="5" t="s">
        <v>10</v>
      </c>
      <c r="G6520" s="5" t="s">
        <v>33</v>
      </c>
      <c r="H6520">
        <v>18</v>
      </c>
      <c r="I6520" s="4">
        <v>337824</v>
      </c>
      <c r="J6520" s="4">
        <v>171360</v>
      </c>
    </row>
    <row r="6521" spans="2:10" x14ac:dyDescent="0.3">
      <c r="B6521" s="7">
        <v>44621</v>
      </c>
      <c r="C6521" s="3">
        <f t="shared" si="202"/>
        <v>2022</v>
      </c>
      <c r="D6521" s="3">
        <f t="shared" si="203"/>
        <v>202203</v>
      </c>
      <c r="E6521" s="5" t="s">
        <v>8</v>
      </c>
      <c r="F6521" s="5" t="s">
        <v>10</v>
      </c>
      <c r="G6521" s="5" t="s">
        <v>33</v>
      </c>
      <c r="H6521">
        <v>14</v>
      </c>
      <c r="I6521" s="4">
        <v>252728</v>
      </c>
      <c r="J6521" s="4">
        <v>133280</v>
      </c>
    </row>
    <row r="6522" spans="2:10" x14ac:dyDescent="0.3">
      <c r="B6522" s="7">
        <v>44652</v>
      </c>
      <c r="C6522" s="3">
        <f t="shared" si="202"/>
        <v>2022</v>
      </c>
      <c r="D6522" s="3">
        <f t="shared" si="203"/>
        <v>202204</v>
      </c>
      <c r="E6522" s="5" t="s">
        <v>8</v>
      </c>
      <c r="F6522" s="5" t="s">
        <v>10</v>
      </c>
      <c r="G6522" s="5" t="s">
        <v>33</v>
      </c>
      <c r="H6522">
        <v>26</v>
      </c>
      <c r="I6522" s="4">
        <v>494910</v>
      </c>
      <c r="J6522" s="4">
        <v>247520</v>
      </c>
    </row>
    <row r="6523" spans="2:10" x14ac:dyDescent="0.3">
      <c r="B6523" s="7">
        <v>44682</v>
      </c>
      <c r="C6523" s="3">
        <f t="shared" si="202"/>
        <v>2022</v>
      </c>
      <c r="D6523" s="3">
        <f t="shared" si="203"/>
        <v>202205</v>
      </c>
      <c r="E6523" s="5" t="s">
        <v>8</v>
      </c>
      <c r="F6523" s="5" t="s">
        <v>10</v>
      </c>
      <c r="G6523" s="5" t="s">
        <v>33</v>
      </c>
      <c r="H6523">
        <v>33</v>
      </c>
      <c r="I6523" s="4">
        <v>634755</v>
      </c>
      <c r="J6523" s="4">
        <v>314160</v>
      </c>
    </row>
    <row r="6524" spans="2:10" x14ac:dyDescent="0.3">
      <c r="B6524" s="7">
        <v>44713</v>
      </c>
      <c r="C6524" s="3">
        <f t="shared" si="202"/>
        <v>2022</v>
      </c>
      <c r="D6524" s="3">
        <f t="shared" si="203"/>
        <v>202206</v>
      </c>
      <c r="E6524" s="5" t="s">
        <v>8</v>
      </c>
      <c r="F6524" s="5" t="s">
        <v>10</v>
      </c>
      <c r="G6524" s="5" t="s">
        <v>33</v>
      </c>
      <c r="H6524">
        <v>32</v>
      </c>
      <c r="I6524" s="4">
        <v>582080</v>
      </c>
      <c r="J6524" s="4">
        <v>304640</v>
      </c>
    </row>
    <row r="6525" spans="2:10" x14ac:dyDescent="0.3">
      <c r="B6525" s="7">
        <v>44743</v>
      </c>
      <c r="C6525" s="3">
        <f t="shared" si="202"/>
        <v>2022</v>
      </c>
      <c r="D6525" s="3">
        <f t="shared" si="203"/>
        <v>202207</v>
      </c>
      <c r="E6525" s="5" t="s">
        <v>8</v>
      </c>
      <c r="F6525" s="5" t="s">
        <v>10</v>
      </c>
      <c r="G6525" s="5" t="s">
        <v>33</v>
      </c>
      <c r="H6525">
        <v>33</v>
      </c>
      <c r="I6525" s="4">
        <v>550176</v>
      </c>
      <c r="J6525" s="4">
        <v>314160</v>
      </c>
    </row>
    <row r="6526" spans="2:10" x14ac:dyDescent="0.3">
      <c r="B6526" s="7">
        <v>44774</v>
      </c>
      <c r="C6526" s="3">
        <f t="shared" si="202"/>
        <v>2022</v>
      </c>
      <c r="D6526" s="3">
        <f t="shared" si="203"/>
        <v>202208</v>
      </c>
      <c r="E6526" s="5" t="s">
        <v>8</v>
      </c>
      <c r="F6526" s="5" t="s">
        <v>10</v>
      </c>
      <c r="G6526" s="5" t="s">
        <v>33</v>
      </c>
      <c r="H6526">
        <v>28</v>
      </c>
      <c r="I6526" s="4">
        <v>504756</v>
      </c>
      <c r="J6526" s="4">
        <v>266560</v>
      </c>
    </row>
    <row r="6527" spans="2:10" x14ac:dyDescent="0.3">
      <c r="B6527" s="7">
        <v>44805</v>
      </c>
      <c r="C6527" s="3">
        <f t="shared" si="202"/>
        <v>2022</v>
      </c>
      <c r="D6527" s="3">
        <f t="shared" si="203"/>
        <v>202209</v>
      </c>
      <c r="E6527" s="5" t="s">
        <v>8</v>
      </c>
      <c r="F6527" s="5" t="s">
        <v>10</v>
      </c>
      <c r="G6527" s="5" t="s">
        <v>33</v>
      </c>
      <c r="H6527">
        <v>30</v>
      </c>
      <c r="I6527" s="4">
        <v>541020</v>
      </c>
      <c r="J6527" s="4">
        <v>285600</v>
      </c>
    </row>
    <row r="6528" spans="2:10" x14ac:dyDescent="0.3">
      <c r="B6528" s="7">
        <v>44835</v>
      </c>
      <c r="C6528" s="3">
        <f t="shared" si="202"/>
        <v>2022</v>
      </c>
      <c r="D6528" s="3">
        <f t="shared" si="203"/>
        <v>202210</v>
      </c>
      <c r="E6528" s="5" t="s">
        <v>8</v>
      </c>
      <c r="F6528" s="5" t="s">
        <v>10</v>
      </c>
      <c r="G6528" s="5" t="s">
        <v>33</v>
      </c>
      <c r="H6528">
        <v>25</v>
      </c>
      <c r="I6528" s="4">
        <v>461375</v>
      </c>
      <c r="J6528" s="4">
        <v>238000</v>
      </c>
    </row>
    <row r="6529" spans="2:10" x14ac:dyDescent="0.3">
      <c r="B6529" s="7">
        <v>44866</v>
      </c>
      <c r="C6529" s="3">
        <f t="shared" si="202"/>
        <v>2022</v>
      </c>
      <c r="D6529" s="3">
        <f t="shared" si="203"/>
        <v>202211</v>
      </c>
      <c r="E6529" s="5" t="s">
        <v>8</v>
      </c>
      <c r="F6529" s="5" t="s">
        <v>10</v>
      </c>
      <c r="G6529" s="5" t="s">
        <v>33</v>
      </c>
      <c r="H6529">
        <v>18</v>
      </c>
      <c r="I6529" s="4">
        <v>333648</v>
      </c>
      <c r="J6529" s="4">
        <v>171360</v>
      </c>
    </row>
    <row r="6530" spans="2:10" x14ac:dyDescent="0.3">
      <c r="B6530" s="7">
        <v>44896</v>
      </c>
      <c r="C6530" s="3">
        <f t="shared" si="202"/>
        <v>2022</v>
      </c>
      <c r="D6530" s="3">
        <f t="shared" si="203"/>
        <v>202212</v>
      </c>
      <c r="E6530" s="5" t="s">
        <v>8</v>
      </c>
      <c r="F6530" s="5" t="s">
        <v>10</v>
      </c>
      <c r="G6530" s="5" t="s">
        <v>33</v>
      </c>
      <c r="H6530">
        <v>21</v>
      </c>
      <c r="I6530" s="4">
        <v>360360</v>
      </c>
      <c r="J6530" s="4">
        <v>199920</v>
      </c>
    </row>
    <row r="6531" spans="2:10" x14ac:dyDescent="0.3">
      <c r="B6531" s="7">
        <v>44197</v>
      </c>
      <c r="C6531" s="3">
        <f t="shared" ref="C6531:C6594" si="204">YEAR(B6531)</f>
        <v>2021</v>
      </c>
      <c r="D6531" s="3">
        <f t="shared" ref="D6531:D6594" si="205">VALUE(TEXT(B6531,"ГГГГММ"))</f>
        <v>202101</v>
      </c>
      <c r="E6531" s="5" t="s">
        <v>8</v>
      </c>
      <c r="F6531" s="5" t="s">
        <v>10</v>
      </c>
      <c r="G6531" s="5" t="s">
        <v>34</v>
      </c>
      <c r="H6531">
        <v>21</v>
      </c>
      <c r="I6531" s="4">
        <v>854826</v>
      </c>
      <c r="J6531" s="4">
        <v>343980</v>
      </c>
    </row>
    <row r="6532" spans="2:10" x14ac:dyDescent="0.3">
      <c r="B6532" s="7">
        <v>44228</v>
      </c>
      <c r="C6532" s="3">
        <f t="shared" si="204"/>
        <v>2021</v>
      </c>
      <c r="D6532" s="3">
        <f t="shared" si="205"/>
        <v>202102</v>
      </c>
      <c r="E6532" s="5" t="s">
        <v>8</v>
      </c>
      <c r="F6532" s="5" t="s">
        <v>10</v>
      </c>
      <c r="G6532" s="5" t="s">
        <v>34</v>
      </c>
      <c r="H6532">
        <v>13</v>
      </c>
      <c r="I6532" s="4">
        <v>525759</v>
      </c>
      <c r="J6532" s="4">
        <v>212940</v>
      </c>
    </row>
    <row r="6533" spans="2:10" x14ac:dyDescent="0.3">
      <c r="B6533" s="7">
        <v>44256</v>
      </c>
      <c r="C6533" s="3">
        <f t="shared" si="204"/>
        <v>2021</v>
      </c>
      <c r="D6533" s="3">
        <f t="shared" si="205"/>
        <v>202103</v>
      </c>
      <c r="E6533" s="5" t="s">
        <v>8</v>
      </c>
      <c r="F6533" s="5" t="s">
        <v>10</v>
      </c>
      <c r="G6533" s="5" t="s">
        <v>34</v>
      </c>
      <c r="H6533">
        <v>11</v>
      </c>
      <c r="I6533" s="4">
        <v>438823</v>
      </c>
      <c r="J6533" s="4">
        <v>180180</v>
      </c>
    </row>
    <row r="6534" spans="2:10" x14ac:dyDescent="0.3">
      <c r="B6534" s="7">
        <v>44287</v>
      </c>
      <c r="C6534" s="3">
        <f t="shared" si="204"/>
        <v>2021</v>
      </c>
      <c r="D6534" s="3">
        <f t="shared" si="205"/>
        <v>202104</v>
      </c>
      <c r="E6534" s="5" t="s">
        <v>8</v>
      </c>
      <c r="F6534" s="5" t="s">
        <v>10</v>
      </c>
      <c r="G6534" s="5" t="s">
        <v>34</v>
      </c>
      <c r="H6534">
        <v>19</v>
      </c>
      <c r="I6534" s="4">
        <v>760646</v>
      </c>
      <c r="J6534" s="4">
        <v>311220</v>
      </c>
    </row>
    <row r="6535" spans="2:10" x14ac:dyDescent="0.3">
      <c r="B6535" s="7">
        <v>44317</v>
      </c>
      <c r="C6535" s="3">
        <f t="shared" si="204"/>
        <v>2021</v>
      </c>
      <c r="D6535" s="3">
        <f t="shared" si="205"/>
        <v>202105</v>
      </c>
      <c r="E6535" s="5" t="s">
        <v>8</v>
      </c>
      <c r="F6535" s="5" t="s">
        <v>10</v>
      </c>
      <c r="G6535" s="5" t="s">
        <v>34</v>
      </c>
      <c r="H6535">
        <v>24</v>
      </c>
      <c r="I6535" s="4">
        <v>975624</v>
      </c>
      <c r="J6535" s="4">
        <v>393120</v>
      </c>
    </row>
    <row r="6536" spans="2:10" x14ac:dyDescent="0.3">
      <c r="B6536" s="7">
        <v>44348</v>
      </c>
      <c r="C6536" s="3">
        <f t="shared" si="204"/>
        <v>2021</v>
      </c>
      <c r="D6536" s="3">
        <f t="shared" si="205"/>
        <v>202106</v>
      </c>
      <c r="E6536" s="5" t="s">
        <v>8</v>
      </c>
      <c r="F6536" s="5" t="s">
        <v>10</v>
      </c>
      <c r="G6536" s="5" t="s">
        <v>34</v>
      </c>
      <c r="H6536">
        <v>23</v>
      </c>
      <c r="I6536" s="4">
        <v>939573</v>
      </c>
      <c r="J6536" s="4">
        <v>376740</v>
      </c>
    </row>
    <row r="6537" spans="2:10" x14ac:dyDescent="0.3">
      <c r="B6537" s="7">
        <v>44378</v>
      </c>
      <c r="C6537" s="3">
        <f t="shared" si="204"/>
        <v>2021</v>
      </c>
      <c r="D6537" s="3">
        <f t="shared" si="205"/>
        <v>202107</v>
      </c>
      <c r="E6537" s="5" t="s">
        <v>8</v>
      </c>
      <c r="F6537" s="5" t="s">
        <v>10</v>
      </c>
      <c r="G6537" s="5" t="s">
        <v>34</v>
      </c>
      <c r="H6537">
        <v>24</v>
      </c>
      <c r="I6537" s="4">
        <v>921456</v>
      </c>
      <c r="J6537" s="4">
        <v>393120</v>
      </c>
    </row>
    <row r="6538" spans="2:10" x14ac:dyDescent="0.3">
      <c r="B6538" s="7">
        <v>44409</v>
      </c>
      <c r="C6538" s="3">
        <f t="shared" si="204"/>
        <v>2021</v>
      </c>
      <c r="D6538" s="3">
        <f t="shared" si="205"/>
        <v>202108</v>
      </c>
      <c r="E6538" s="5" t="s">
        <v>8</v>
      </c>
      <c r="F6538" s="5" t="s">
        <v>10</v>
      </c>
      <c r="G6538" s="5" t="s">
        <v>34</v>
      </c>
      <c r="H6538">
        <v>21</v>
      </c>
      <c r="I6538" s="4">
        <v>838509</v>
      </c>
      <c r="J6538" s="4">
        <v>343980</v>
      </c>
    </row>
    <row r="6539" spans="2:10" x14ac:dyDescent="0.3">
      <c r="B6539" s="7">
        <v>44440</v>
      </c>
      <c r="C6539" s="3">
        <f t="shared" si="204"/>
        <v>2021</v>
      </c>
      <c r="D6539" s="3">
        <f t="shared" si="205"/>
        <v>202109</v>
      </c>
      <c r="E6539" s="5" t="s">
        <v>8</v>
      </c>
      <c r="F6539" s="5" t="s">
        <v>10</v>
      </c>
      <c r="G6539" s="5" t="s">
        <v>34</v>
      </c>
      <c r="H6539">
        <v>22</v>
      </c>
      <c r="I6539" s="4">
        <v>880176</v>
      </c>
      <c r="J6539" s="4">
        <v>360360</v>
      </c>
    </row>
    <row r="6540" spans="2:10" x14ac:dyDescent="0.3">
      <c r="B6540" s="7">
        <v>44470</v>
      </c>
      <c r="C6540" s="3">
        <f t="shared" si="204"/>
        <v>2021</v>
      </c>
      <c r="D6540" s="3">
        <f t="shared" si="205"/>
        <v>202110</v>
      </c>
      <c r="E6540" s="5" t="s">
        <v>8</v>
      </c>
      <c r="F6540" s="5" t="s">
        <v>10</v>
      </c>
      <c r="G6540" s="5" t="s">
        <v>34</v>
      </c>
      <c r="H6540">
        <v>18</v>
      </c>
      <c r="I6540" s="4">
        <v>730476</v>
      </c>
      <c r="J6540" s="4">
        <v>294840</v>
      </c>
    </row>
    <row r="6541" spans="2:10" x14ac:dyDescent="0.3">
      <c r="B6541" s="7">
        <v>44501</v>
      </c>
      <c r="C6541" s="3">
        <f t="shared" si="204"/>
        <v>2021</v>
      </c>
      <c r="D6541" s="3">
        <f t="shared" si="205"/>
        <v>202111</v>
      </c>
      <c r="E6541" s="5" t="s">
        <v>8</v>
      </c>
      <c r="F6541" s="5" t="s">
        <v>10</v>
      </c>
      <c r="G6541" s="5" t="s">
        <v>34</v>
      </c>
      <c r="H6541">
        <v>13</v>
      </c>
      <c r="I6541" s="4">
        <v>520884</v>
      </c>
      <c r="J6541" s="4">
        <v>212940</v>
      </c>
    </row>
    <row r="6542" spans="2:10" x14ac:dyDescent="0.3">
      <c r="B6542" s="7">
        <v>44531</v>
      </c>
      <c r="C6542" s="3">
        <f t="shared" si="204"/>
        <v>2021</v>
      </c>
      <c r="D6542" s="3">
        <f t="shared" si="205"/>
        <v>202112</v>
      </c>
      <c r="E6542" s="5" t="s">
        <v>8</v>
      </c>
      <c r="F6542" s="5" t="s">
        <v>10</v>
      </c>
      <c r="G6542" s="5" t="s">
        <v>34</v>
      </c>
      <c r="H6542">
        <v>16</v>
      </c>
      <c r="I6542" s="4">
        <v>626336</v>
      </c>
      <c r="J6542" s="4">
        <v>262080</v>
      </c>
    </row>
    <row r="6543" spans="2:10" x14ac:dyDescent="0.3">
      <c r="B6543" s="7">
        <v>44562</v>
      </c>
      <c r="C6543" s="3">
        <f t="shared" si="204"/>
        <v>2022</v>
      </c>
      <c r="D6543" s="3">
        <f t="shared" si="205"/>
        <v>202201</v>
      </c>
      <c r="E6543" s="5" t="s">
        <v>8</v>
      </c>
      <c r="F6543" s="5" t="s">
        <v>10</v>
      </c>
      <c r="G6543" s="5" t="s">
        <v>34</v>
      </c>
      <c r="H6543">
        <v>23</v>
      </c>
      <c r="I6543" s="4">
        <v>923611</v>
      </c>
      <c r="J6543" s="4">
        <v>376740</v>
      </c>
    </row>
    <row r="6544" spans="2:10" x14ac:dyDescent="0.3">
      <c r="B6544" s="7">
        <v>44593</v>
      </c>
      <c r="C6544" s="3">
        <f t="shared" si="204"/>
        <v>2022</v>
      </c>
      <c r="D6544" s="3">
        <f t="shared" si="205"/>
        <v>202202</v>
      </c>
      <c r="E6544" s="5" t="s">
        <v>8</v>
      </c>
      <c r="F6544" s="5" t="s">
        <v>10</v>
      </c>
      <c r="G6544" s="5" t="s">
        <v>34</v>
      </c>
      <c r="H6544">
        <v>14</v>
      </c>
      <c r="I6544" s="4">
        <v>564606</v>
      </c>
      <c r="J6544" s="4">
        <v>229320</v>
      </c>
    </row>
    <row r="6545" spans="2:10" x14ac:dyDescent="0.3">
      <c r="B6545" s="7">
        <v>44621</v>
      </c>
      <c r="C6545" s="3">
        <f t="shared" si="204"/>
        <v>2022</v>
      </c>
      <c r="D6545" s="3">
        <f t="shared" si="205"/>
        <v>202203</v>
      </c>
      <c r="E6545" s="5" t="s">
        <v>8</v>
      </c>
      <c r="F6545" s="5" t="s">
        <v>10</v>
      </c>
      <c r="G6545" s="5" t="s">
        <v>34</v>
      </c>
      <c r="H6545">
        <v>12</v>
      </c>
      <c r="I6545" s="4">
        <v>479352</v>
      </c>
      <c r="J6545" s="4">
        <v>196560</v>
      </c>
    </row>
    <row r="6546" spans="2:10" x14ac:dyDescent="0.3">
      <c r="B6546" s="7">
        <v>44652</v>
      </c>
      <c r="C6546" s="3">
        <f t="shared" si="204"/>
        <v>2022</v>
      </c>
      <c r="D6546" s="3">
        <f t="shared" si="205"/>
        <v>202204</v>
      </c>
      <c r="E6546" s="5" t="s">
        <v>8</v>
      </c>
      <c r="F6546" s="5" t="s">
        <v>10</v>
      </c>
      <c r="G6546" s="5" t="s">
        <v>34</v>
      </c>
      <c r="H6546">
        <v>21</v>
      </c>
      <c r="I6546" s="4">
        <v>859719</v>
      </c>
      <c r="J6546" s="4">
        <v>343980</v>
      </c>
    </row>
    <row r="6547" spans="2:10" x14ac:dyDescent="0.3">
      <c r="B6547" s="7">
        <v>44682</v>
      </c>
      <c r="C6547" s="3">
        <f t="shared" si="204"/>
        <v>2022</v>
      </c>
      <c r="D6547" s="3">
        <f t="shared" si="205"/>
        <v>202205</v>
      </c>
      <c r="E6547" s="5" t="s">
        <v>8</v>
      </c>
      <c r="F6547" s="5" t="s">
        <v>10</v>
      </c>
      <c r="G6547" s="5" t="s">
        <v>34</v>
      </c>
      <c r="H6547">
        <v>27</v>
      </c>
      <c r="I6547" s="4">
        <v>1110429</v>
      </c>
      <c r="J6547" s="4">
        <v>442260</v>
      </c>
    </row>
    <row r="6548" spans="2:10" x14ac:dyDescent="0.3">
      <c r="B6548" s="7">
        <v>44713</v>
      </c>
      <c r="C6548" s="3">
        <f t="shared" si="204"/>
        <v>2022</v>
      </c>
      <c r="D6548" s="3">
        <f t="shared" si="205"/>
        <v>202206</v>
      </c>
      <c r="E6548" s="5" t="s">
        <v>8</v>
      </c>
      <c r="F6548" s="5" t="s">
        <v>10</v>
      </c>
      <c r="G6548" s="5" t="s">
        <v>34</v>
      </c>
      <c r="H6548">
        <v>25</v>
      </c>
      <c r="I6548" s="4">
        <v>1014950</v>
      </c>
      <c r="J6548" s="4">
        <v>409500</v>
      </c>
    </row>
    <row r="6549" spans="2:10" x14ac:dyDescent="0.3">
      <c r="B6549" s="7">
        <v>44743</v>
      </c>
      <c r="C6549" s="3">
        <f t="shared" si="204"/>
        <v>2022</v>
      </c>
      <c r="D6549" s="3">
        <f t="shared" si="205"/>
        <v>202207</v>
      </c>
      <c r="E6549" s="5" t="s">
        <v>8</v>
      </c>
      <c r="F6549" s="5" t="s">
        <v>10</v>
      </c>
      <c r="G6549" s="5" t="s">
        <v>34</v>
      </c>
      <c r="H6549">
        <v>27</v>
      </c>
      <c r="I6549" s="4">
        <v>1055754</v>
      </c>
      <c r="J6549" s="4">
        <v>442260</v>
      </c>
    </row>
    <row r="6550" spans="2:10" x14ac:dyDescent="0.3">
      <c r="B6550" s="7">
        <v>44774</v>
      </c>
      <c r="C6550" s="3">
        <f t="shared" si="204"/>
        <v>2022</v>
      </c>
      <c r="D6550" s="3">
        <f t="shared" si="205"/>
        <v>202208</v>
      </c>
      <c r="E6550" s="5" t="s">
        <v>8</v>
      </c>
      <c r="F6550" s="5" t="s">
        <v>10</v>
      </c>
      <c r="G6550" s="5" t="s">
        <v>34</v>
      </c>
      <c r="H6550">
        <v>23</v>
      </c>
      <c r="I6550" s="4">
        <v>910570</v>
      </c>
      <c r="J6550" s="4">
        <v>376740</v>
      </c>
    </row>
    <row r="6551" spans="2:10" x14ac:dyDescent="0.3">
      <c r="B6551" s="7">
        <v>44805</v>
      </c>
      <c r="C6551" s="3">
        <f t="shared" si="204"/>
        <v>2022</v>
      </c>
      <c r="D6551" s="3">
        <f t="shared" si="205"/>
        <v>202209</v>
      </c>
      <c r="E6551" s="5" t="s">
        <v>8</v>
      </c>
      <c r="F6551" s="5" t="s">
        <v>10</v>
      </c>
      <c r="G6551" s="5" t="s">
        <v>34</v>
      </c>
      <c r="H6551">
        <v>24</v>
      </c>
      <c r="I6551" s="4">
        <v>950856</v>
      </c>
      <c r="J6551" s="4">
        <v>393120</v>
      </c>
    </row>
    <row r="6552" spans="2:10" x14ac:dyDescent="0.3">
      <c r="B6552" s="7">
        <v>44835</v>
      </c>
      <c r="C6552" s="3">
        <f t="shared" si="204"/>
        <v>2022</v>
      </c>
      <c r="D6552" s="3">
        <f t="shared" si="205"/>
        <v>202210</v>
      </c>
      <c r="E6552" s="5" t="s">
        <v>8</v>
      </c>
      <c r="F6552" s="5" t="s">
        <v>10</v>
      </c>
      <c r="G6552" s="5" t="s">
        <v>34</v>
      </c>
      <c r="H6552">
        <v>20</v>
      </c>
      <c r="I6552" s="4">
        <v>804120</v>
      </c>
      <c r="J6552" s="4">
        <v>327600</v>
      </c>
    </row>
    <row r="6553" spans="2:10" x14ac:dyDescent="0.3">
      <c r="B6553" s="7">
        <v>44866</v>
      </c>
      <c r="C6553" s="3">
        <f t="shared" si="204"/>
        <v>2022</v>
      </c>
      <c r="D6553" s="3">
        <f t="shared" si="205"/>
        <v>202211</v>
      </c>
      <c r="E6553" s="5" t="s">
        <v>8</v>
      </c>
      <c r="F6553" s="5" t="s">
        <v>10</v>
      </c>
      <c r="G6553" s="5" t="s">
        <v>34</v>
      </c>
      <c r="H6553">
        <v>14</v>
      </c>
      <c r="I6553" s="4">
        <v>570346</v>
      </c>
      <c r="J6553" s="4">
        <v>229320</v>
      </c>
    </row>
    <row r="6554" spans="2:10" x14ac:dyDescent="0.3">
      <c r="B6554" s="7">
        <v>44896</v>
      </c>
      <c r="C6554" s="3">
        <f t="shared" si="204"/>
        <v>2022</v>
      </c>
      <c r="D6554" s="3">
        <f t="shared" si="205"/>
        <v>202212</v>
      </c>
      <c r="E6554" s="5" t="s">
        <v>8</v>
      </c>
      <c r="F6554" s="5" t="s">
        <v>10</v>
      </c>
      <c r="G6554" s="5" t="s">
        <v>34</v>
      </c>
      <c r="H6554">
        <v>17</v>
      </c>
      <c r="I6554" s="4">
        <v>673693</v>
      </c>
      <c r="J6554" s="4">
        <v>278460</v>
      </c>
    </row>
    <row r="6555" spans="2:10" x14ac:dyDescent="0.3">
      <c r="B6555" s="7">
        <v>44197</v>
      </c>
      <c r="C6555" s="3">
        <f t="shared" si="204"/>
        <v>2021</v>
      </c>
      <c r="D6555" s="3">
        <f t="shared" si="205"/>
        <v>202101</v>
      </c>
      <c r="E6555" s="5" t="s">
        <v>8</v>
      </c>
      <c r="F6555" s="5" t="s">
        <v>11</v>
      </c>
      <c r="G6555" s="5" t="s">
        <v>35</v>
      </c>
      <c r="H6555">
        <v>63</v>
      </c>
      <c r="I6555" s="4">
        <v>394569</v>
      </c>
      <c r="J6555" s="4">
        <v>144900</v>
      </c>
    </row>
    <row r="6556" spans="2:10" x14ac:dyDescent="0.3">
      <c r="B6556" s="7">
        <v>44228</v>
      </c>
      <c r="C6556" s="3">
        <f t="shared" si="204"/>
        <v>2021</v>
      </c>
      <c r="D6556" s="3">
        <f t="shared" si="205"/>
        <v>202102</v>
      </c>
      <c r="E6556" s="5" t="s">
        <v>8</v>
      </c>
      <c r="F6556" s="5" t="s">
        <v>11</v>
      </c>
      <c r="G6556" s="5" t="s">
        <v>35</v>
      </c>
      <c r="H6556">
        <v>40</v>
      </c>
      <c r="I6556" s="4">
        <v>247400</v>
      </c>
      <c r="J6556" s="4">
        <v>92000</v>
      </c>
    </row>
    <row r="6557" spans="2:10" x14ac:dyDescent="0.3">
      <c r="B6557" s="7">
        <v>44256</v>
      </c>
      <c r="C6557" s="3">
        <f t="shared" si="204"/>
        <v>2021</v>
      </c>
      <c r="D6557" s="3">
        <f t="shared" si="205"/>
        <v>202103</v>
      </c>
      <c r="E6557" s="5" t="s">
        <v>8</v>
      </c>
      <c r="F6557" s="5" t="s">
        <v>11</v>
      </c>
      <c r="G6557" s="5" t="s">
        <v>35</v>
      </c>
      <c r="H6557">
        <v>32</v>
      </c>
      <c r="I6557" s="4">
        <v>188960</v>
      </c>
      <c r="J6557" s="4">
        <v>73600</v>
      </c>
    </row>
    <row r="6558" spans="2:10" x14ac:dyDescent="0.3">
      <c r="B6558" s="7">
        <v>44287</v>
      </c>
      <c r="C6558" s="3">
        <f t="shared" si="204"/>
        <v>2021</v>
      </c>
      <c r="D6558" s="3">
        <f t="shared" si="205"/>
        <v>202104</v>
      </c>
      <c r="E6558" s="5" t="s">
        <v>8</v>
      </c>
      <c r="F6558" s="5" t="s">
        <v>11</v>
      </c>
      <c r="G6558" s="5" t="s">
        <v>35</v>
      </c>
      <c r="H6558">
        <v>59</v>
      </c>
      <c r="I6558" s="4">
        <v>411997</v>
      </c>
      <c r="J6558" s="4">
        <v>135700</v>
      </c>
    </row>
    <row r="6559" spans="2:10" x14ac:dyDescent="0.3">
      <c r="B6559" s="7">
        <v>44317</v>
      </c>
      <c r="C6559" s="3">
        <f t="shared" si="204"/>
        <v>2021</v>
      </c>
      <c r="D6559" s="3">
        <f t="shared" si="205"/>
        <v>202105</v>
      </c>
      <c r="E6559" s="5" t="s">
        <v>8</v>
      </c>
      <c r="F6559" s="5" t="s">
        <v>11</v>
      </c>
      <c r="G6559" s="5" t="s">
        <v>35</v>
      </c>
      <c r="H6559">
        <v>75</v>
      </c>
      <c r="I6559" s="4">
        <v>490275</v>
      </c>
      <c r="J6559" s="4">
        <v>172500</v>
      </c>
    </row>
    <row r="6560" spans="2:10" x14ac:dyDescent="0.3">
      <c r="B6560" s="7">
        <v>44348</v>
      </c>
      <c r="C6560" s="3">
        <f t="shared" si="204"/>
        <v>2021</v>
      </c>
      <c r="D6560" s="3">
        <f t="shared" si="205"/>
        <v>202106</v>
      </c>
      <c r="E6560" s="5" t="s">
        <v>8</v>
      </c>
      <c r="F6560" s="5" t="s">
        <v>11</v>
      </c>
      <c r="G6560" s="5" t="s">
        <v>35</v>
      </c>
      <c r="H6560">
        <v>71</v>
      </c>
      <c r="I6560" s="4">
        <v>457666</v>
      </c>
      <c r="J6560" s="4">
        <v>163300</v>
      </c>
    </row>
    <row r="6561" spans="2:10" x14ac:dyDescent="0.3">
      <c r="B6561" s="7">
        <v>44378</v>
      </c>
      <c r="C6561" s="3">
        <f t="shared" si="204"/>
        <v>2021</v>
      </c>
      <c r="D6561" s="3">
        <f t="shared" si="205"/>
        <v>202107</v>
      </c>
      <c r="E6561" s="5" t="s">
        <v>8</v>
      </c>
      <c r="F6561" s="5" t="s">
        <v>11</v>
      </c>
      <c r="G6561" s="5" t="s">
        <v>35</v>
      </c>
      <c r="H6561">
        <v>75</v>
      </c>
      <c r="I6561" s="4">
        <v>384450</v>
      </c>
      <c r="J6561" s="4">
        <v>172500</v>
      </c>
    </row>
    <row r="6562" spans="2:10" x14ac:dyDescent="0.3">
      <c r="B6562" s="7">
        <v>44409</v>
      </c>
      <c r="C6562" s="3">
        <f t="shared" si="204"/>
        <v>2021</v>
      </c>
      <c r="D6562" s="3">
        <f t="shared" si="205"/>
        <v>202108</v>
      </c>
      <c r="E6562" s="5" t="s">
        <v>8</v>
      </c>
      <c r="F6562" s="5" t="s">
        <v>11</v>
      </c>
      <c r="G6562" s="5" t="s">
        <v>35</v>
      </c>
      <c r="H6562">
        <v>63</v>
      </c>
      <c r="I6562" s="4">
        <v>356139</v>
      </c>
      <c r="J6562" s="4">
        <v>144900</v>
      </c>
    </row>
    <row r="6563" spans="2:10" x14ac:dyDescent="0.3">
      <c r="B6563" s="7">
        <v>44440</v>
      </c>
      <c r="C6563" s="3">
        <f t="shared" si="204"/>
        <v>2021</v>
      </c>
      <c r="D6563" s="3">
        <f t="shared" si="205"/>
        <v>202109</v>
      </c>
      <c r="E6563" s="5" t="s">
        <v>8</v>
      </c>
      <c r="F6563" s="5" t="s">
        <v>11</v>
      </c>
      <c r="G6563" s="5" t="s">
        <v>35</v>
      </c>
      <c r="H6563">
        <v>67</v>
      </c>
      <c r="I6563" s="4">
        <v>375870</v>
      </c>
      <c r="J6563" s="4">
        <v>154100</v>
      </c>
    </row>
    <row r="6564" spans="2:10" x14ac:dyDescent="0.3">
      <c r="B6564" s="7">
        <v>44470</v>
      </c>
      <c r="C6564" s="3">
        <f t="shared" si="204"/>
        <v>2021</v>
      </c>
      <c r="D6564" s="3">
        <f t="shared" si="205"/>
        <v>202110</v>
      </c>
      <c r="E6564" s="5" t="s">
        <v>8</v>
      </c>
      <c r="F6564" s="5" t="s">
        <v>11</v>
      </c>
      <c r="G6564" s="5" t="s">
        <v>35</v>
      </c>
      <c r="H6564">
        <v>55</v>
      </c>
      <c r="I6564" s="4">
        <v>330385</v>
      </c>
      <c r="J6564" s="4">
        <v>126500</v>
      </c>
    </row>
    <row r="6565" spans="2:10" x14ac:dyDescent="0.3">
      <c r="B6565" s="7">
        <v>44501</v>
      </c>
      <c r="C6565" s="3">
        <f t="shared" si="204"/>
        <v>2021</v>
      </c>
      <c r="D6565" s="3">
        <f t="shared" si="205"/>
        <v>202111</v>
      </c>
      <c r="E6565" s="5" t="s">
        <v>8</v>
      </c>
      <c r="F6565" s="5" t="s">
        <v>11</v>
      </c>
      <c r="G6565" s="5" t="s">
        <v>35</v>
      </c>
      <c r="H6565">
        <v>40</v>
      </c>
      <c r="I6565" s="4">
        <v>269400</v>
      </c>
      <c r="J6565" s="4">
        <v>92000</v>
      </c>
    </row>
    <row r="6566" spans="2:10" x14ac:dyDescent="0.3">
      <c r="B6566" s="7">
        <v>44531</v>
      </c>
      <c r="C6566" s="3">
        <f t="shared" si="204"/>
        <v>2021</v>
      </c>
      <c r="D6566" s="3">
        <f t="shared" si="205"/>
        <v>202112</v>
      </c>
      <c r="E6566" s="5" t="s">
        <v>8</v>
      </c>
      <c r="F6566" s="5" t="s">
        <v>11</v>
      </c>
      <c r="G6566" s="5" t="s">
        <v>35</v>
      </c>
      <c r="H6566">
        <v>47</v>
      </c>
      <c r="I6566" s="4">
        <v>286136</v>
      </c>
      <c r="J6566" s="4">
        <v>108100</v>
      </c>
    </row>
    <row r="6567" spans="2:10" x14ac:dyDescent="0.3">
      <c r="B6567" s="7">
        <v>44562</v>
      </c>
      <c r="C6567" s="3">
        <f t="shared" si="204"/>
        <v>2022</v>
      </c>
      <c r="D6567" s="3">
        <f t="shared" si="205"/>
        <v>202201</v>
      </c>
      <c r="E6567" s="5" t="s">
        <v>8</v>
      </c>
      <c r="F6567" s="5" t="s">
        <v>11</v>
      </c>
      <c r="G6567" s="5" t="s">
        <v>35</v>
      </c>
      <c r="H6567">
        <v>69</v>
      </c>
      <c r="I6567" s="4">
        <v>411930</v>
      </c>
      <c r="J6567" s="4">
        <v>158700</v>
      </c>
    </row>
    <row r="6568" spans="2:10" x14ac:dyDescent="0.3">
      <c r="B6568" s="7">
        <v>44593</v>
      </c>
      <c r="C6568" s="3">
        <f t="shared" si="204"/>
        <v>2022</v>
      </c>
      <c r="D6568" s="3">
        <f t="shared" si="205"/>
        <v>202202</v>
      </c>
      <c r="E6568" s="5" t="s">
        <v>8</v>
      </c>
      <c r="F6568" s="5" t="s">
        <v>11</v>
      </c>
      <c r="G6568" s="5" t="s">
        <v>35</v>
      </c>
      <c r="H6568">
        <v>44</v>
      </c>
      <c r="I6568" s="4">
        <v>293920</v>
      </c>
      <c r="J6568" s="4">
        <v>101200</v>
      </c>
    </row>
    <row r="6569" spans="2:10" x14ac:dyDescent="0.3">
      <c r="B6569" s="7">
        <v>44621</v>
      </c>
      <c r="C6569" s="3">
        <f t="shared" si="204"/>
        <v>2022</v>
      </c>
      <c r="D6569" s="3">
        <f t="shared" si="205"/>
        <v>202203</v>
      </c>
      <c r="E6569" s="5" t="s">
        <v>8</v>
      </c>
      <c r="F6569" s="5" t="s">
        <v>11</v>
      </c>
      <c r="G6569" s="5" t="s">
        <v>35</v>
      </c>
      <c r="H6569">
        <v>35</v>
      </c>
      <c r="I6569" s="4">
        <v>187705</v>
      </c>
      <c r="J6569" s="4">
        <v>80500</v>
      </c>
    </row>
    <row r="6570" spans="2:10" x14ac:dyDescent="0.3">
      <c r="B6570" s="7">
        <v>44652</v>
      </c>
      <c r="C6570" s="3">
        <f t="shared" si="204"/>
        <v>2022</v>
      </c>
      <c r="D6570" s="3">
        <f t="shared" si="205"/>
        <v>202204</v>
      </c>
      <c r="E6570" s="5" t="s">
        <v>8</v>
      </c>
      <c r="F6570" s="5" t="s">
        <v>11</v>
      </c>
      <c r="G6570" s="5" t="s">
        <v>35</v>
      </c>
      <c r="H6570">
        <v>65</v>
      </c>
      <c r="I6570" s="4">
        <v>446940</v>
      </c>
      <c r="J6570" s="4">
        <v>149500</v>
      </c>
    </row>
    <row r="6571" spans="2:10" x14ac:dyDescent="0.3">
      <c r="B6571" s="7">
        <v>44682</v>
      </c>
      <c r="C6571" s="3">
        <f t="shared" si="204"/>
        <v>2022</v>
      </c>
      <c r="D6571" s="3">
        <f t="shared" si="205"/>
        <v>202205</v>
      </c>
      <c r="E6571" s="5" t="s">
        <v>8</v>
      </c>
      <c r="F6571" s="5" t="s">
        <v>11</v>
      </c>
      <c r="G6571" s="5" t="s">
        <v>35</v>
      </c>
      <c r="H6571">
        <v>82</v>
      </c>
      <c r="I6571" s="4">
        <v>572688</v>
      </c>
      <c r="J6571" s="4">
        <v>188600</v>
      </c>
    </row>
    <row r="6572" spans="2:10" x14ac:dyDescent="0.3">
      <c r="B6572" s="7">
        <v>44713</v>
      </c>
      <c r="C6572" s="3">
        <f t="shared" si="204"/>
        <v>2022</v>
      </c>
      <c r="D6572" s="3">
        <f t="shared" si="205"/>
        <v>202206</v>
      </c>
      <c r="E6572" s="5" t="s">
        <v>8</v>
      </c>
      <c r="F6572" s="5" t="s">
        <v>11</v>
      </c>
      <c r="G6572" s="5" t="s">
        <v>35</v>
      </c>
      <c r="H6572">
        <v>78</v>
      </c>
      <c r="I6572" s="4">
        <v>465348</v>
      </c>
      <c r="J6572" s="4">
        <v>179400</v>
      </c>
    </row>
    <row r="6573" spans="2:10" x14ac:dyDescent="0.3">
      <c r="B6573" s="7">
        <v>44743</v>
      </c>
      <c r="C6573" s="3">
        <f t="shared" si="204"/>
        <v>2022</v>
      </c>
      <c r="D6573" s="3">
        <f t="shared" si="205"/>
        <v>202207</v>
      </c>
      <c r="E6573" s="5" t="s">
        <v>8</v>
      </c>
      <c r="F6573" s="5" t="s">
        <v>11</v>
      </c>
      <c r="G6573" s="5" t="s">
        <v>35</v>
      </c>
      <c r="H6573">
        <v>82</v>
      </c>
      <c r="I6573" s="4">
        <v>372034</v>
      </c>
      <c r="J6573" s="4">
        <v>188600</v>
      </c>
    </row>
    <row r="6574" spans="2:10" x14ac:dyDescent="0.3">
      <c r="B6574" s="7">
        <v>44774</v>
      </c>
      <c r="C6574" s="3">
        <f t="shared" si="204"/>
        <v>2022</v>
      </c>
      <c r="D6574" s="3">
        <f t="shared" si="205"/>
        <v>202208</v>
      </c>
      <c r="E6574" s="5" t="s">
        <v>8</v>
      </c>
      <c r="F6574" s="5" t="s">
        <v>11</v>
      </c>
      <c r="G6574" s="5" t="s">
        <v>35</v>
      </c>
      <c r="H6574">
        <v>69</v>
      </c>
      <c r="I6574" s="4">
        <v>393576</v>
      </c>
      <c r="J6574" s="4">
        <v>158700</v>
      </c>
    </row>
    <row r="6575" spans="2:10" x14ac:dyDescent="0.3">
      <c r="B6575" s="7">
        <v>44805</v>
      </c>
      <c r="C6575" s="3">
        <f t="shared" si="204"/>
        <v>2022</v>
      </c>
      <c r="D6575" s="3">
        <f t="shared" si="205"/>
        <v>202209</v>
      </c>
      <c r="E6575" s="5" t="s">
        <v>8</v>
      </c>
      <c r="F6575" s="5" t="s">
        <v>11</v>
      </c>
      <c r="G6575" s="5" t="s">
        <v>35</v>
      </c>
      <c r="H6575">
        <v>74</v>
      </c>
      <c r="I6575" s="4">
        <v>421652</v>
      </c>
      <c r="J6575" s="4">
        <v>170200</v>
      </c>
    </row>
    <row r="6576" spans="2:10" x14ac:dyDescent="0.3">
      <c r="B6576" s="7">
        <v>44835</v>
      </c>
      <c r="C6576" s="3">
        <f t="shared" si="204"/>
        <v>2022</v>
      </c>
      <c r="D6576" s="3">
        <f t="shared" si="205"/>
        <v>202210</v>
      </c>
      <c r="E6576" s="5" t="s">
        <v>8</v>
      </c>
      <c r="F6576" s="5" t="s">
        <v>11</v>
      </c>
      <c r="G6576" s="5" t="s">
        <v>35</v>
      </c>
      <c r="H6576">
        <v>61</v>
      </c>
      <c r="I6576" s="4">
        <v>360022</v>
      </c>
      <c r="J6576" s="4">
        <v>140300</v>
      </c>
    </row>
    <row r="6577" spans="2:10" x14ac:dyDescent="0.3">
      <c r="B6577" s="7">
        <v>44866</v>
      </c>
      <c r="C6577" s="3">
        <f t="shared" si="204"/>
        <v>2022</v>
      </c>
      <c r="D6577" s="3">
        <f t="shared" si="205"/>
        <v>202211</v>
      </c>
      <c r="E6577" s="5" t="s">
        <v>8</v>
      </c>
      <c r="F6577" s="5" t="s">
        <v>11</v>
      </c>
      <c r="G6577" s="5" t="s">
        <v>35</v>
      </c>
      <c r="H6577">
        <v>44</v>
      </c>
      <c r="I6577" s="4">
        <v>252164</v>
      </c>
      <c r="J6577" s="4">
        <v>101200</v>
      </c>
    </row>
    <row r="6578" spans="2:10" x14ac:dyDescent="0.3">
      <c r="B6578" s="7">
        <v>44896</v>
      </c>
      <c r="C6578" s="3">
        <f t="shared" si="204"/>
        <v>2022</v>
      </c>
      <c r="D6578" s="3">
        <f t="shared" si="205"/>
        <v>202212</v>
      </c>
      <c r="E6578" s="5" t="s">
        <v>8</v>
      </c>
      <c r="F6578" s="5" t="s">
        <v>11</v>
      </c>
      <c r="G6578" s="5" t="s">
        <v>35</v>
      </c>
      <c r="H6578">
        <v>52</v>
      </c>
      <c r="I6578" s="4">
        <v>275548</v>
      </c>
      <c r="J6578" s="4">
        <v>119600</v>
      </c>
    </row>
    <row r="6579" spans="2:10" x14ac:dyDescent="0.3">
      <c r="B6579" s="7">
        <v>44197</v>
      </c>
      <c r="C6579" s="3">
        <f t="shared" si="204"/>
        <v>2021</v>
      </c>
      <c r="D6579" s="3">
        <f t="shared" si="205"/>
        <v>202101</v>
      </c>
      <c r="E6579" s="5" t="s">
        <v>8</v>
      </c>
      <c r="F6579" s="5" t="s">
        <v>11</v>
      </c>
      <c r="G6579" s="5" t="s">
        <v>36</v>
      </c>
      <c r="H6579">
        <v>56</v>
      </c>
      <c r="I6579" s="4">
        <v>560672</v>
      </c>
      <c r="J6579" s="4">
        <v>226800</v>
      </c>
    </row>
    <row r="6580" spans="2:10" x14ac:dyDescent="0.3">
      <c r="B6580" s="7">
        <v>44228</v>
      </c>
      <c r="C6580" s="3">
        <f t="shared" si="204"/>
        <v>2021</v>
      </c>
      <c r="D6580" s="3">
        <f t="shared" si="205"/>
        <v>202102</v>
      </c>
      <c r="E6580" s="5" t="s">
        <v>8</v>
      </c>
      <c r="F6580" s="5" t="s">
        <v>11</v>
      </c>
      <c r="G6580" s="5" t="s">
        <v>36</v>
      </c>
      <c r="H6580">
        <v>35</v>
      </c>
      <c r="I6580" s="4">
        <v>368375</v>
      </c>
      <c r="J6580" s="4">
        <v>141750</v>
      </c>
    </row>
    <row r="6581" spans="2:10" x14ac:dyDescent="0.3">
      <c r="B6581" s="7">
        <v>44256</v>
      </c>
      <c r="C6581" s="3">
        <f t="shared" si="204"/>
        <v>2021</v>
      </c>
      <c r="D6581" s="3">
        <f t="shared" si="205"/>
        <v>202103</v>
      </c>
      <c r="E6581" s="5" t="s">
        <v>8</v>
      </c>
      <c r="F6581" s="5" t="s">
        <v>11</v>
      </c>
      <c r="G6581" s="5" t="s">
        <v>36</v>
      </c>
      <c r="H6581">
        <v>28</v>
      </c>
      <c r="I6581" s="4">
        <v>263004</v>
      </c>
      <c r="J6581" s="4">
        <v>113400</v>
      </c>
    </row>
    <row r="6582" spans="2:10" x14ac:dyDescent="0.3">
      <c r="B6582" s="7">
        <v>44287</v>
      </c>
      <c r="C6582" s="3">
        <f t="shared" si="204"/>
        <v>2021</v>
      </c>
      <c r="D6582" s="3">
        <f t="shared" si="205"/>
        <v>202104</v>
      </c>
      <c r="E6582" s="5" t="s">
        <v>8</v>
      </c>
      <c r="F6582" s="5" t="s">
        <v>11</v>
      </c>
      <c r="G6582" s="5" t="s">
        <v>36</v>
      </c>
      <c r="H6582">
        <v>52</v>
      </c>
      <c r="I6582" s="4">
        <v>544908</v>
      </c>
      <c r="J6582" s="4">
        <v>210600</v>
      </c>
    </row>
    <row r="6583" spans="2:10" x14ac:dyDescent="0.3">
      <c r="B6583" s="7">
        <v>44317</v>
      </c>
      <c r="C6583" s="3">
        <f t="shared" si="204"/>
        <v>2021</v>
      </c>
      <c r="D6583" s="3">
        <f t="shared" si="205"/>
        <v>202105</v>
      </c>
      <c r="E6583" s="5" t="s">
        <v>8</v>
      </c>
      <c r="F6583" s="5" t="s">
        <v>11</v>
      </c>
      <c r="G6583" s="5" t="s">
        <v>36</v>
      </c>
      <c r="H6583">
        <v>66</v>
      </c>
      <c r="I6583" s="4">
        <v>696234</v>
      </c>
      <c r="J6583" s="4">
        <v>267300</v>
      </c>
    </row>
    <row r="6584" spans="2:10" x14ac:dyDescent="0.3">
      <c r="B6584" s="7">
        <v>44348</v>
      </c>
      <c r="C6584" s="3">
        <f t="shared" si="204"/>
        <v>2021</v>
      </c>
      <c r="D6584" s="3">
        <f t="shared" si="205"/>
        <v>202106</v>
      </c>
      <c r="E6584" s="5" t="s">
        <v>8</v>
      </c>
      <c r="F6584" s="5" t="s">
        <v>11</v>
      </c>
      <c r="G6584" s="5" t="s">
        <v>36</v>
      </c>
      <c r="H6584">
        <v>63</v>
      </c>
      <c r="I6584" s="4">
        <v>648963</v>
      </c>
      <c r="J6584" s="4">
        <v>255150</v>
      </c>
    </row>
    <row r="6585" spans="2:10" x14ac:dyDescent="0.3">
      <c r="B6585" s="7">
        <v>44378</v>
      </c>
      <c r="C6585" s="3">
        <f t="shared" si="204"/>
        <v>2021</v>
      </c>
      <c r="D6585" s="3">
        <f t="shared" si="205"/>
        <v>202107</v>
      </c>
      <c r="E6585" s="5" t="s">
        <v>8</v>
      </c>
      <c r="F6585" s="5" t="s">
        <v>11</v>
      </c>
      <c r="G6585" s="5" t="s">
        <v>36</v>
      </c>
      <c r="H6585">
        <v>66</v>
      </c>
      <c r="I6585" s="4">
        <v>616704</v>
      </c>
      <c r="J6585" s="4">
        <v>267300</v>
      </c>
    </row>
    <row r="6586" spans="2:10" x14ac:dyDescent="0.3">
      <c r="B6586" s="7">
        <v>44409</v>
      </c>
      <c r="C6586" s="3">
        <f t="shared" si="204"/>
        <v>2021</v>
      </c>
      <c r="D6586" s="3">
        <f t="shared" si="205"/>
        <v>202108</v>
      </c>
      <c r="E6586" s="5" t="s">
        <v>8</v>
      </c>
      <c r="F6586" s="5" t="s">
        <v>11</v>
      </c>
      <c r="G6586" s="5" t="s">
        <v>36</v>
      </c>
      <c r="H6586">
        <v>56</v>
      </c>
      <c r="I6586" s="4">
        <v>550200</v>
      </c>
      <c r="J6586" s="4">
        <v>226800</v>
      </c>
    </row>
    <row r="6587" spans="2:10" x14ac:dyDescent="0.3">
      <c r="B6587" s="7">
        <v>44440</v>
      </c>
      <c r="C6587" s="3">
        <f t="shared" si="204"/>
        <v>2021</v>
      </c>
      <c r="D6587" s="3">
        <f t="shared" si="205"/>
        <v>202109</v>
      </c>
      <c r="E6587" s="5" t="s">
        <v>8</v>
      </c>
      <c r="F6587" s="5" t="s">
        <v>11</v>
      </c>
      <c r="G6587" s="5" t="s">
        <v>36</v>
      </c>
      <c r="H6587">
        <v>59</v>
      </c>
      <c r="I6587" s="4">
        <v>568170</v>
      </c>
      <c r="J6587" s="4">
        <v>238950</v>
      </c>
    </row>
    <row r="6588" spans="2:10" x14ac:dyDescent="0.3">
      <c r="B6588" s="7">
        <v>44470</v>
      </c>
      <c r="C6588" s="3">
        <f t="shared" si="204"/>
        <v>2021</v>
      </c>
      <c r="D6588" s="3">
        <f t="shared" si="205"/>
        <v>202110</v>
      </c>
      <c r="E6588" s="5" t="s">
        <v>8</v>
      </c>
      <c r="F6588" s="5" t="s">
        <v>11</v>
      </c>
      <c r="G6588" s="5" t="s">
        <v>36</v>
      </c>
      <c r="H6588">
        <v>49</v>
      </c>
      <c r="I6588" s="4">
        <v>505043</v>
      </c>
      <c r="J6588" s="4">
        <v>198450</v>
      </c>
    </row>
    <row r="6589" spans="2:10" x14ac:dyDescent="0.3">
      <c r="B6589" s="7">
        <v>44501</v>
      </c>
      <c r="C6589" s="3">
        <f t="shared" si="204"/>
        <v>2021</v>
      </c>
      <c r="D6589" s="3">
        <f t="shared" si="205"/>
        <v>202111</v>
      </c>
      <c r="E6589" s="5" t="s">
        <v>8</v>
      </c>
      <c r="F6589" s="5" t="s">
        <v>11</v>
      </c>
      <c r="G6589" s="5" t="s">
        <v>36</v>
      </c>
      <c r="H6589">
        <v>35</v>
      </c>
      <c r="I6589" s="4">
        <v>371000</v>
      </c>
      <c r="J6589" s="4">
        <v>141750</v>
      </c>
    </row>
    <row r="6590" spans="2:10" x14ac:dyDescent="0.3">
      <c r="B6590" s="7">
        <v>44531</v>
      </c>
      <c r="C6590" s="3">
        <f t="shared" si="204"/>
        <v>2021</v>
      </c>
      <c r="D6590" s="3">
        <f t="shared" si="205"/>
        <v>202112</v>
      </c>
      <c r="E6590" s="5" t="s">
        <v>8</v>
      </c>
      <c r="F6590" s="5" t="s">
        <v>11</v>
      </c>
      <c r="G6590" s="5" t="s">
        <v>36</v>
      </c>
      <c r="H6590">
        <v>42</v>
      </c>
      <c r="I6590" s="4">
        <v>422898</v>
      </c>
      <c r="J6590" s="4">
        <v>170100</v>
      </c>
    </row>
    <row r="6591" spans="2:10" x14ac:dyDescent="0.3">
      <c r="B6591" s="7">
        <v>44562</v>
      </c>
      <c r="C6591" s="3">
        <f t="shared" si="204"/>
        <v>2022</v>
      </c>
      <c r="D6591" s="3">
        <f t="shared" si="205"/>
        <v>202201</v>
      </c>
      <c r="E6591" s="5" t="s">
        <v>8</v>
      </c>
      <c r="F6591" s="5" t="s">
        <v>11</v>
      </c>
      <c r="G6591" s="5" t="s">
        <v>36</v>
      </c>
      <c r="H6591">
        <v>61</v>
      </c>
      <c r="I6591" s="4">
        <v>652334</v>
      </c>
      <c r="J6591" s="4">
        <v>247050</v>
      </c>
    </row>
    <row r="6592" spans="2:10" x14ac:dyDescent="0.3">
      <c r="B6592" s="7">
        <v>44593</v>
      </c>
      <c r="C6592" s="3">
        <f t="shared" si="204"/>
        <v>2022</v>
      </c>
      <c r="D6592" s="3">
        <f t="shared" si="205"/>
        <v>202202</v>
      </c>
      <c r="E6592" s="5" t="s">
        <v>8</v>
      </c>
      <c r="F6592" s="5" t="s">
        <v>11</v>
      </c>
      <c r="G6592" s="5" t="s">
        <v>36</v>
      </c>
      <c r="H6592">
        <v>39</v>
      </c>
      <c r="I6592" s="4">
        <v>401778</v>
      </c>
      <c r="J6592" s="4">
        <v>157950</v>
      </c>
    </row>
    <row r="6593" spans="2:10" x14ac:dyDescent="0.3">
      <c r="B6593" s="7">
        <v>44621</v>
      </c>
      <c r="C6593" s="3">
        <f t="shared" si="204"/>
        <v>2022</v>
      </c>
      <c r="D6593" s="3">
        <f t="shared" si="205"/>
        <v>202203</v>
      </c>
      <c r="E6593" s="5" t="s">
        <v>8</v>
      </c>
      <c r="F6593" s="5" t="s">
        <v>11</v>
      </c>
      <c r="G6593" s="5" t="s">
        <v>36</v>
      </c>
      <c r="H6593">
        <v>31</v>
      </c>
      <c r="I6593" s="4">
        <v>309752</v>
      </c>
      <c r="J6593" s="4">
        <v>125550</v>
      </c>
    </row>
    <row r="6594" spans="2:10" x14ac:dyDescent="0.3">
      <c r="B6594" s="7">
        <v>44652</v>
      </c>
      <c r="C6594" s="3">
        <f t="shared" si="204"/>
        <v>2022</v>
      </c>
      <c r="D6594" s="3">
        <f t="shared" si="205"/>
        <v>202204</v>
      </c>
      <c r="E6594" s="5" t="s">
        <v>8</v>
      </c>
      <c r="F6594" s="5" t="s">
        <v>11</v>
      </c>
      <c r="G6594" s="5" t="s">
        <v>36</v>
      </c>
      <c r="H6594">
        <v>58</v>
      </c>
      <c r="I6594" s="4">
        <v>619614</v>
      </c>
      <c r="J6594" s="4">
        <v>234900</v>
      </c>
    </row>
    <row r="6595" spans="2:10" x14ac:dyDescent="0.3">
      <c r="B6595" s="7">
        <v>44682</v>
      </c>
      <c r="C6595" s="3">
        <f t="shared" ref="C6595:C6658" si="206">YEAR(B6595)</f>
        <v>2022</v>
      </c>
      <c r="D6595" s="3">
        <f t="shared" ref="D6595:D6658" si="207">VALUE(TEXT(B6595,"ГГГГММ"))</f>
        <v>202205</v>
      </c>
      <c r="E6595" s="5" t="s">
        <v>8</v>
      </c>
      <c r="F6595" s="5" t="s">
        <v>11</v>
      </c>
      <c r="G6595" s="5" t="s">
        <v>36</v>
      </c>
      <c r="H6595">
        <v>73</v>
      </c>
      <c r="I6595" s="4">
        <v>789568</v>
      </c>
      <c r="J6595" s="4">
        <v>295650</v>
      </c>
    </row>
    <row r="6596" spans="2:10" x14ac:dyDescent="0.3">
      <c r="B6596" s="7">
        <v>44713</v>
      </c>
      <c r="C6596" s="3">
        <f t="shared" si="206"/>
        <v>2022</v>
      </c>
      <c r="D6596" s="3">
        <f t="shared" si="207"/>
        <v>202206</v>
      </c>
      <c r="E6596" s="5" t="s">
        <v>8</v>
      </c>
      <c r="F6596" s="5" t="s">
        <v>11</v>
      </c>
      <c r="G6596" s="5" t="s">
        <v>36</v>
      </c>
      <c r="H6596">
        <v>69</v>
      </c>
      <c r="I6596" s="4">
        <v>684204</v>
      </c>
      <c r="J6596" s="4">
        <v>279450</v>
      </c>
    </row>
    <row r="6597" spans="2:10" x14ac:dyDescent="0.3">
      <c r="B6597" s="7">
        <v>44743</v>
      </c>
      <c r="C6597" s="3">
        <f t="shared" si="206"/>
        <v>2022</v>
      </c>
      <c r="D6597" s="3">
        <f t="shared" si="207"/>
        <v>202207</v>
      </c>
      <c r="E6597" s="5" t="s">
        <v>8</v>
      </c>
      <c r="F6597" s="5" t="s">
        <v>11</v>
      </c>
      <c r="G6597" s="5" t="s">
        <v>36</v>
      </c>
      <c r="H6597">
        <v>73</v>
      </c>
      <c r="I6597" s="4">
        <v>602980</v>
      </c>
      <c r="J6597" s="4">
        <v>295650</v>
      </c>
    </row>
    <row r="6598" spans="2:10" x14ac:dyDescent="0.3">
      <c r="B6598" s="7">
        <v>44774</v>
      </c>
      <c r="C6598" s="3">
        <f t="shared" si="206"/>
        <v>2022</v>
      </c>
      <c r="D6598" s="3">
        <f t="shared" si="207"/>
        <v>202208</v>
      </c>
      <c r="E6598" s="5" t="s">
        <v>8</v>
      </c>
      <c r="F6598" s="5" t="s">
        <v>11</v>
      </c>
      <c r="G6598" s="5" t="s">
        <v>36</v>
      </c>
      <c r="H6598">
        <v>61</v>
      </c>
      <c r="I6598" s="4">
        <v>590907</v>
      </c>
      <c r="J6598" s="4">
        <v>247050</v>
      </c>
    </row>
    <row r="6599" spans="2:10" x14ac:dyDescent="0.3">
      <c r="B6599" s="7">
        <v>44805</v>
      </c>
      <c r="C6599" s="3">
        <f t="shared" si="206"/>
        <v>2022</v>
      </c>
      <c r="D6599" s="3">
        <f t="shared" si="207"/>
        <v>202209</v>
      </c>
      <c r="E6599" s="5" t="s">
        <v>8</v>
      </c>
      <c r="F6599" s="5" t="s">
        <v>11</v>
      </c>
      <c r="G6599" s="5" t="s">
        <v>36</v>
      </c>
      <c r="H6599">
        <v>65</v>
      </c>
      <c r="I6599" s="4">
        <v>658645</v>
      </c>
      <c r="J6599" s="4">
        <v>263250</v>
      </c>
    </row>
    <row r="6600" spans="2:10" x14ac:dyDescent="0.3">
      <c r="B6600" s="7">
        <v>44835</v>
      </c>
      <c r="C6600" s="3">
        <f t="shared" si="206"/>
        <v>2022</v>
      </c>
      <c r="D6600" s="3">
        <f t="shared" si="207"/>
        <v>202210</v>
      </c>
      <c r="E6600" s="5" t="s">
        <v>8</v>
      </c>
      <c r="F6600" s="5" t="s">
        <v>11</v>
      </c>
      <c r="G6600" s="5" t="s">
        <v>36</v>
      </c>
      <c r="H6600">
        <v>54</v>
      </c>
      <c r="I6600" s="4">
        <v>581040</v>
      </c>
      <c r="J6600" s="4">
        <v>218700</v>
      </c>
    </row>
    <row r="6601" spans="2:10" x14ac:dyDescent="0.3">
      <c r="B6601" s="7">
        <v>44866</v>
      </c>
      <c r="C6601" s="3">
        <f t="shared" si="206"/>
        <v>2022</v>
      </c>
      <c r="D6601" s="3">
        <f t="shared" si="207"/>
        <v>202211</v>
      </c>
      <c r="E6601" s="5" t="s">
        <v>8</v>
      </c>
      <c r="F6601" s="5" t="s">
        <v>11</v>
      </c>
      <c r="G6601" s="5" t="s">
        <v>36</v>
      </c>
      <c r="H6601">
        <v>39</v>
      </c>
      <c r="I6601" s="4">
        <v>416286</v>
      </c>
      <c r="J6601" s="4">
        <v>157950</v>
      </c>
    </row>
    <row r="6602" spans="2:10" x14ac:dyDescent="0.3">
      <c r="B6602" s="7">
        <v>44896</v>
      </c>
      <c r="C6602" s="3">
        <f t="shared" si="206"/>
        <v>2022</v>
      </c>
      <c r="D6602" s="3">
        <f t="shared" si="207"/>
        <v>202212</v>
      </c>
      <c r="E6602" s="5" t="s">
        <v>8</v>
      </c>
      <c r="F6602" s="5" t="s">
        <v>11</v>
      </c>
      <c r="G6602" s="5" t="s">
        <v>36</v>
      </c>
      <c r="H6602">
        <v>46</v>
      </c>
      <c r="I6602" s="4">
        <v>445878</v>
      </c>
      <c r="J6602" s="4">
        <v>186300</v>
      </c>
    </row>
    <row r="6603" spans="2:10" x14ac:dyDescent="0.3">
      <c r="B6603" s="7">
        <v>44197</v>
      </c>
      <c r="C6603" s="3">
        <f t="shared" si="206"/>
        <v>2021</v>
      </c>
      <c r="D6603" s="3">
        <f t="shared" si="207"/>
        <v>202101</v>
      </c>
      <c r="E6603" s="5" t="s">
        <v>8</v>
      </c>
      <c r="F6603" s="5" t="s">
        <v>11</v>
      </c>
      <c r="G6603" s="5" t="s">
        <v>37</v>
      </c>
      <c r="H6603">
        <v>63</v>
      </c>
      <c r="I6603" s="4">
        <v>534177</v>
      </c>
      <c r="J6603" s="4">
        <v>251369.99999999997</v>
      </c>
    </row>
    <row r="6604" spans="2:10" x14ac:dyDescent="0.3">
      <c r="B6604" s="7">
        <v>44228</v>
      </c>
      <c r="C6604" s="3">
        <f t="shared" si="206"/>
        <v>2021</v>
      </c>
      <c r="D6604" s="3">
        <f t="shared" si="207"/>
        <v>202102</v>
      </c>
      <c r="E6604" s="5" t="s">
        <v>8</v>
      </c>
      <c r="F6604" s="5" t="s">
        <v>11</v>
      </c>
      <c r="G6604" s="5" t="s">
        <v>37</v>
      </c>
      <c r="H6604">
        <v>40</v>
      </c>
      <c r="I6604" s="4">
        <v>327600</v>
      </c>
      <c r="J6604" s="4">
        <v>159599.99999999997</v>
      </c>
    </row>
    <row r="6605" spans="2:10" x14ac:dyDescent="0.3">
      <c r="B6605" s="7">
        <v>44256</v>
      </c>
      <c r="C6605" s="3">
        <f t="shared" si="206"/>
        <v>2021</v>
      </c>
      <c r="D6605" s="3">
        <f t="shared" si="207"/>
        <v>202103</v>
      </c>
      <c r="E6605" s="5" t="s">
        <v>8</v>
      </c>
      <c r="F6605" s="5" t="s">
        <v>11</v>
      </c>
      <c r="G6605" s="5" t="s">
        <v>37</v>
      </c>
      <c r="H6605">
        <v>32</v>
      </c>
      <c r="I6605" s="4">
        <v>249440</v>
      </c>
      <c r="J6605" s="4">
        <v>127679.99999999999</v>
      </c>
    </row>
    <row r="6606" spans="2:10" x14ac:dyDescent="0.3">
      <c r="B6606" s="7">
        <v>44287</v>
      </c>
      <c r="C6606" s="3">
        <f t="shared" si="206"/>
        <v>2021</v>
      </c>
      <c r="D6606" s="3">
        <f t="shared" si="207"/>
        <v>202104</v>
      </c>
      <c r="E6606" s="5" t="s">
        <v>8</v>
      </c>
      <c r="F6606" s="5" t="s">
        <v>11</v>
      </c>
      <c r="G6606" s="5" t="s">
        <v>37</v>
      </c>
      <c r="H6606">
        <v>59</v>
      </c>
      <c r="I6606" s="4">
        <v>548346</v>
      </c>
      <c r="J6606" s="4">
        <v>235409.99999999997</v>
      </c>
    </row>
    <row r="6607" spans="2:10" x14ac:dyDescent="0.3">
      <c r="B6607" s="7">
        <v>44317</v>
      </c>
      <c r="C6607" s="3">
        <f t="shared" si="206"/>
        <v>2021</v>
      </c>
      <c r="D6607" s="3">
        <f t="shared" si="207"/>
        <v>202105</v>
      </c>
      <c r="E6607" s="5" t="s">
        <v>8</v>
      </c>
      <c r="F6607" s="5" t="s">
        <v>11</v>
      </c>
      <c r="G6607" s="5" t="s">
        <v>37</v>
      </c>
      <c r="H6607">
        <v>75</v>
      </c>
      <c r="I6607" s="4">
        <v>721575</v>
      </c>
      <c r="J6607" s="4">
        <v>299249.99999999994</v>
      </c>
    </row>
    <row r="6608" spans="2:10" x14ac:dyDescent="0.3">
      <c r="B6608" s="7">
        <v>44348</v>
      </c>
      <c r="C6608" s="3">
        <f t="shared" si="206"/>
        <v>2021</v>
      </c>
      <c r="D6608" s="3">
        <f t="shared" si="207"/>
        <v>202106</v>
      </c>
      <c r="E6608" s="5" t="s">
        <v>8</v>
      </c>
      <c r="F6608" s="5" t="s">
        <v>11</v>
      </c>
      <c r="G6608" s="5" t="s">
        <v>37</v>
      </c>
      <c r="H6608">
        <v>71</v>
      </c>
      <c r="I6608" s="4">
        <v>572047</v>
      </c>
      <c r="J6608" s="4">
        <v>283289.99999999994</v>
      </c>
    </row>
    <row r="6609" spans="2:10" x14ac:dyDescent="0.3">
      <c r="B6609" s="7">
        <v>44378</v>
      </c>
      <c r="C6609" s="3">
        <f t="shared" si="206"/>
        <v>2021</v>
      </c>
      <c r="D6609" s="3">
        <f t="shared" si="207"/>
        <v>202107</v>
      </c>
      <c r="E6609" s="5" t="s">
        <v>8</v>
      </c>
      <c r="F6609" s="5" t="s">
        <v>11</v>
      </c>
      <c r="G6609" s="5" t="s">
        <v>37</v>
      </c>
      <c r="H6609">
        <v>75</v>
      </c>
      <c r="I6609" s="4">
        <v>503550</v>
      </c>
      <c r="J6609" s="4">
        <v>299249.99999999994</v>
      </c>
    </row>
    <row r="6610" spans="2:10" x14ac:dyDescent="0.3">
      <c r="B6610" s="7">
        <v>44409</v>
      </c>
      <c r="C6610" s="3">
        <f t="shared" si="206"/>
        <v>2021</v>
      </c>
      <c r="D6610" s="3">
        <f t="shared" si="207"/>
        <v>202108</v>
      </c>
      <c r="E6610" s="5" t="s">
        <v>8</v>
      </c>
      <c r="F6610" s="5" t="s">
        <v>11</v>
      </c>
      <c r="G6610" s="5" t="s">
        <v>37</v>
      </c>
      <c r="H6610">
        <v>63</v>
      </c>
      <c r="I6610" s="4">
        <v>462609</v>
      </c>
      <c r="J6610" s="4">
        <v>251369.99999999997</v>
      </c>
    </row>
    <row r="6611" spans="2:10" x14ac:dyDescent="0.3">
      <c r="B6611" s="7">
        <v>44440</v>
      </c>
      <c r="C6611" s="3">
        <f t="shared" si="206"/>
        <v>2021</v>
      </c>
      <c r="D6611" s="3">
        <f t="shared" si="207"/>
        <v>202109</v>
      </c>
      <c r="E6611" s="5" t="s">
        <v>8</v>
      </c>
      <c r="F6611" s="5" t="s">
        <v>11</v>
      </c>
      <c r="G6611" s="5" t="s">
        <v>37</v>
      </c>
      <c r="H6611">
        <v>67</v>
      </c>
      <c r="I6611" s="4">
        <v>542566</v>
      </c>
      <c r="J6611" s="4">
        <v>267329.99999999994</v>
      </c>
    </row>
    <row r="6612" spans="2:10" x14ac:dyDescent="0.3">
      <c r="B6612" s="7">
        <v>44470</v>
      </c>
      <c r="C6612" s="3">
        <f t="shared" si="206"/>
        <v>2021</v>
      </c>
      <c r="D6612" s="3">
        <f t="shared" si="207"/>
        <v>202110</v>
      </c>
      <c r="E6612" s="5" t="s">
        <v>8</v>
      </c>
      <c r="F6612" s="5" t="s">
        <v>11</v>
      </c>
      <c r="G6612" s="5" t="s">
        <v>37</v>
      </c>
      <c r="H6612">
        <v>55</v>
      </c>
      <c r="I6612" s="4">
        <v>468710</v>
      </c>
      <c r="J6612" s="4">
        <v>219449.99999999997</v>
      </c>
    </row>
    <row r="6613" spans="2:10" x14ac:dyDescent="0.3">
      <c r="B6613" s="7">
        <v>44501</v>
      </c>
      <c r="C6613" s="3">
        <f t="shared" si="206"/>
        <v>2021</v>
      </c>
      <c r="D6613" s="3">
        <f t="shared" si="207"/>
        <v>202111</v>
      </c>
      <c r="E6613" s="5" t="s">
        <v>8</v>
      </c>
      <c r="F6613" s="5" t="s">
        <v>11</v>
      </c>
      <c r="G6613" s="5" t="s">
        <v>37</v>
      </c>
      <c r="H6613">
        <v>40</v>
      </c>
      <c r="I6613" s="4">
        <v>318560</v>
      </c>
      <c r="J6613" s="4">
        <v>159599.99999999997</v>
      </c>
    </row>
    <row r="6614" spans="2:10" x14ac:dyDescent="0.3">
      <c r="B6614" s="7">
        <v>44531</v>
      </c>
      <c r="C6614" s="3">
        <f t="shared" si="206"/>
        <v>2021</v>
      </c>
      <c r="D6614" s="3">
        <f t="shared" si="207"/>
        <v>202112</v>
      </c>
      <c r="E6614" s="5" t="s">
        <v>8</v>
      </c>
      <c r="F6614" s="5" t="s">
        <v>11</v>
      </c>
      <c r="G6614" s="5" t="s">
        <v>37</v>
      </c>
      <c r="H6614">
        <v>47</v>
      </c>
      <c r="I6614" s="4">
        <v>361759</v>
      </c>
      <c r="J6614" s="4">
        <v>187529.99999999997</v>
      </c>
    </row>
    <row r="6615" spans="2:10" x14ac:dyDescent="0.3">
      <c r="B6615" s="7">
        <v>44562</v>
      </c>
      <c r="C6615" s="3">
        <f t="shared" si="206"/>
        <v>2022</v>
      </c>
      <c r="D6615" s="3">
        <f t="shared" si="207"/>
        <v>202201</v>
      </c>
      <c r="E6615" s="5" t="s">
        <v>8</v>
      </c>
      <c r="F6615" s="5" t="s">
        <v>11</v>
      </c>
      <c r="G6615" s="5" t="s">
        <v>37</v>
      </c>
      <c r="H6615">
        <v>69</v>
      </c>
      <c r="I6615" s="4">
        <v>581463</v>
      </c>
      <c r="J6615" s="4">
        <v>275309.99999999994</v>
      </c>
    </row>
    <row r="6616" spans="2:10" x14ac:dyDescent="0.3">
      <c r="B6616" s="7">
        <v>44593</v>
      </c>
      <c r="C6616" s="3">
        <f t="shared" si="206"/>
        <v>2022</v>
      </c>
      <c r="D6616" s="3">
        <f t="shared" si="207"/>
        <v>202202</v>
      </c>
      <c r="E6616" s="5" t="s">
        <v>8</v>
      </c>
      <c r="F6616" s="5" t="s">
        <v>11</v>
      </c>
      <c r="G6616" s="5" t="s">
        <v>37</v>
      </c>
      <c r="H6616">
        <v>44</v>
      </c>
      <c r="I6616" s="4">
        <v>355300</v>
      </c>
      <c r="J6616" s="4">
        <v>175559.99999999997</v>
      </c>
    </row>
    <row r="6617" spans="2:10" x14ac:dyDescent="0.3">
      <c r="B6617" s="7">
        <v>44621</v>
      </c>
      <c r="C6617" s="3">
        <f t="shared" si="206"/>
        <v>2022</v>
      </c>
      <c r="D6617" s="3">
        <f t="shared" si="207"/>
        <v>202203</v>
      </c>
      <c r="E6617" s="5" t="s">
        <v>8</v>
      </c>
      <c r="F6617" s="5" t="s">
        <v>11</v>
      </c>
      <c r="G6617" s="5" t="s">
        <v>37</v>
      </c>
      <c r="H6617">
        <v>35</v>
      </c>
      <c r="I6617" s="4">
        <v>273140</v>
      </c>
      <c r="J6617" s="4">
        <v>139649.99999999997</v>
      </c>
    </row>
    <row r="6618" spans="2:10" x14ac:dyDescent="0.3">
      <c r="B6618" s="7">
        <v>44652</v>
      </c>
      <c r="C6618" s="3">
        <f t="shared" si="206"/>
        <v>2022</v>
      </c>
      <c r="D6618" s="3">
        <f t="shared" si="207"/>
        <v>202204</v>
      </c>
      <c r="E6618" s="5" t="s">
        <v>8</v>
      </c>
      <c r="F6618" s="5" t="s">
        <v>11</v>
      </c>
      <c r="G6618" s="5" t="s">
        <v>37</v>
      </c>
      <c r="H6618">
        <v>65</v>
      </c>
      <c r="I6618" s="4">
        <v>570570</v>
      </c>
      <c r="J6618" s="4">
        <v>259349.99999999997</v>
      </c>
    </row>
    <row r="6619" spans="2:10" x14ac:dyDescent="0.3">
      <c r="B6619" s="7">
        <v>44682</v>
      </c>
      <c r="C6619" s="3">
        <f t="shared" si="206"/>
        <v>2022</v>
      </c>
      <c r="D6619" s="3">
        <f t="shared" si="207"/>
        <v>202205</v>
      </c>
      <c r="E6619" s="5" t="s">
        <v>8</v>
      </c>
      <c r="F6619" s="5" t="s">
        <v>11</v>
      </c>
      <c r="G6619" s="5" t="s">
        <v>37</v>
      </c>
      <c r="H6619">
        <v>82</v>
      </c>
      <c r="I6619" s="4">
        <v>750792</v>
      </c>
      <c r="J6619" s="4">
        <v>327179.99999999994</v>
      </c>
    </row>
    <row r="6620" spans="2:10" x14ac:dyDescent="0.3">
      <c r="B6620" s="7">
        <v>44713</v>
      </c>
      <c r="C6620" s="3">
        <f t="shared" si="206"/>
        <v>2022</v>
      </c>
      <c r="D6620" s="3">
        <f t="shared" si="207"/>
        <v>202206</v>
      </c>
      <c r="E6620" s="5" t="s">
        <v>8</v>
      </c>
      <c r="F6620" s="5" t="s">
        <v>11</v>
      </c>
      <c r="G6620" s="5" t="s">
        <v>37</v>
      </c>
      <c r="H6620">
        <v>78</v>
      </c>
      <c r="I6620" s="4">
        <v>664404</v>
      </c>
      <c r="J6620" s="4">
        <v>311219.99999999994</v>
      </c>
    </row>
    <row r="6621" spans="2:10" x14ac:dyDescent="0.3">
      <c r="B6621" s="7">
        <v>44743</v>
      </c>
      <c r="C6621" s="3">
        <f t="shared" si="206"/>
        <v>2022</v>
      </c>
      <c r="D6621" s="3">
        <f t="shared" si="207"/>
        <v>202207</v>
      </c>
      <c r="E6621" s="5" t="s">
        <v>8</v>
      </c>
      <c r="F6621" s="5" t="s">
        <v>11</v>
      </c>
      <c r="G6621" s="5" t="s">
        <v>37</v>
      </c>
      <c r="H6621">
        <v>82</v>
      </c>
      <c r="I6621" s="4">
        <v>524390</v>
      </c>
      <c r="J6621" s="4">
        <v>327179.99999999994</v>
      </c>
    </row>
    <row r="6622" spans="2:10" x14ac:dyDescent="0.3">
      <c r="B6622" s="7">
        <v>44774</v>
      </c>
      <c r="C6622" s="3">
        <f t="shared" si="206"/>
        <v>2022</v>
      </c>
      <c r="D6622" s="3">
        <f t="shared" si="207"/>
        <v>202208</v>
      </c>
      <c r="E6622" s="5" t="s">
        <v>8</v>
      </c>
      <c r="F6622" s="5" t="s">
        <v>11</v>
      </c>
      <c r="G6622" s="5" t="s">
        <v>37</v>
      </c>
      <c r="H6622">
        <v>69</v>
      </c>
      <c r="I6622" s="4">
        <v>551862</v>
      </c>
      <c r="J6622" s="4">
        <v>275309.99999999994</v>
      </c>
    </row>
    <row r="6623" spans="2:10" x14ac:dyDescent="0.3">
      <c r="B6623" s="7">
        <v>44805</v>
      </c>
      <c r="C6623" s="3">
        <f t="shared" si="206"/>
        <v>2022</v>
      </c>
      <c r="D6623" s="3">
        <f t="shared" si="207"/>
        <v>202209</v>
      </c>
      <c r="E6623" s="5" t="s">
        <v>8</v>
      </c>
      <c r="F6623" s="5" t="s">
        <v>11</v>
      </c>
      <c r="G6623" s="5" t="s">
        <v>37</v>
      </c>
      <c r="H6623">
        <v>74</v>
      </c>
      <c r="I6623" s="4">
        <v>618862</v>
      </c>
      <c r="J6623" s="4">
        <v>295259.99999999994</v>
      </c>
    </row>
    <row r="6624" spans="2:10" x14ac:dyDescent="0.3">
      <c r="B6624" s="7">
        <v>44835</v>
      </c>
      <c r="C6624" s="3">
        <f t="shared" si="206"/>
        <v>2022</v>
      </c>
      <c r="D6624" s="3">
        <f t="shared" si="207"/>
        <v>202210</v>
      </c>
      <c r="E6624" s="5" t="s">
        <v>8</v>
      </c>
      <c r="F6624" s="5" t="s">
        <v>11</v>
      </c>
      <c r="G6624" s="5" t="s">
        <v>37</v>
      </c>
      <c r="H6624">
        <v>61</v>
      </c>
      <c r="I6624" s="4">
        <v>546621</v>
      </c>
      <c r="J6624" s="4">
        <v>243389.99999999997</v>
      </c>
    </row>
    <row r="6625" spans="2:10" x14ac:dyDescent="0.3">
      <c r="B6625" s="7">
        <v>44866</v>
      </c>
      <c r="C6625" s="3">
        <f t="shared" si="206"/>
        <v>2022</v>
      </c>
      <c r="D6625" s="3">
        <f t="shared" si="207"/>
        <v>202211</v>
      </c>
      <c r="E6625" s="5" t="s">
        <v>8</v>
      </c>
      <c r="F6625" s="5" t="s">
        <v>11</v>
      </c>
      <c r="G6625" s="5" t="s">
        <v>37</v>
      </c>
      <c r="H6625">
        <v>44</v>
      </c>
      <c r="I6625" s="4">
        <v>355256</v>
      </c>
      <c r="J6625" s="4">
        <v>175559.99999999997</v>
      </c>
    </row>
    <row r="6626" spans="2:10" x14ac:dyDescent="0.3">
      <c r="B6626" s="7">
        <v>44896</v>
      </c>
      <c r="C6626" s="3">
        <f t="shared" si="206"/>
        <v>2022</v>
      </c>
      <c r="D6626" s="3">
        <f t="shared" si="207"/>
        <v>202212</v>
      </c>
      <c r="E6626" s="5" t="s">
        <v>8</v>
      </c>
      <c r="F6626" s="5" t="s">
        <v>11</v>
      </c>
      <c r="G6626" s="5" t="s">
        <v>37</v>
      </c>
      <c r="H6626">
        <v>52</v>
      </c>
      <c r="I6626" s="4">
        <v>406588</v>
      </c>
      <c r="J6626" s="4">
        <v>207479.99999999997</v>
      </c>
    </row>
    <row r="6627" spans="2:10" x14ac:dyDescent="0.3">
      <c r="B6627" s="7">
        <v>44197</v>
      </c>
      <c r="C6627" s="3">
        <f t="shared" si="206"/>
        <v>2021</v>
      </c>
      <c r="D6627" s="3">
        <f t="shared" si="207"/>
        <v>202101</v>
      </c>
      <c r="E6627" s="5" t="s">
        <v>8</v>
      </c>
      <c r="F6627" s="5" t="s">
        <v>11</v>
      </c>
      <c r="G6627" s="5" t="s">
        <v>38</v>
      </c>
      <c r="H6627">
        <v>55</v>
      </c>
      <c r="I6627" s="4">
        <v>544830</v>
      </c>
      <c r="J6627" s="4">
        <v>229075</v>
      </c>
    </row>
    <row r="6628" spans="2:10" x14ac:dyDescent="0.3">
      <c r="B6628" s="7">
        <v>44228</v>
      </c>
      <c r="C6628" s="3">
        <f t="shared" si="206"/>
        <v>2021</v>
      </c>
      <c r="D6628" s="3">
        <f t="shared" si="207"/>
        <v>202102</v>
      </c>
      <c r="E6628" s="5" t="s">
        <v>8</v>
      </c>
      <c r="F6628" s="5" t="s">
        <v>11</v>
      </c>
      <c r="G6628" s="5" t="s">
        <v>38</v>
      </c>
      <c r="H6628">
        <v>35</v>
      </c>
      <c r="I6628" s="4">
        <v>344050</v>
      </c>
      <c r="J6628" s="4">
        <v>145775</v>
      </c>
    </row>
    <row r="6629" spans="2:10" x14ac:dyDescent="0.3">
      <c r="B6629" s="7">
        <v>44256</v>
      </c>
      <c r="C6629" s="3">
        <f t="shared" si="206"/>
        <v>2021</v>
      </c>
      <c r="D6629" s="3">
        <f t="shared" si="207"/>
        <v>202103</v>
      </c>
      <c r="E6629" s="5" t="s">
        <v>8</v>
      </c>
      <c r="F6629" s="5" t="s">
        <v>11</v>
      </c>
      <c r="G6629" s="5" t="s">
        <v>38</v>
      </c>
      <c r="H6629">
        <v>28</v>
      </c>
      <c r="I6629" s="4">
        <v>268240</v>
      </c>
      <c r="J6629" s="4">
        <v>116620</v>
      </c>
    </row>
    <row r="6630" spans="2:10" x14ac:dyDescent="0.3">
      <c r="B6630" s="7">
        <v>44287</v>
      </c>
      <c r="C6630" s="3">
        <f t="shared" si="206"/>
        <v>2021</v>
      </c>
      <c r="D6630" s="3">
        <f t="shared" si="207"/>
        <v>202104</v>
      </c>
      <c r="E6630" s="5" t="s">
        <v>8</v>
      </c>
      <c r="F6630" s="5" t="s">
        <v>11</v>
      </c>
      <c r="G6630" s="5" t="s">
        <v>38</v>
      </c>
      <c r="H6630">
        <v>52</v>
      </c>
      <c r="I6630" s="4">
        <v>537732</v>
      </c>
      <c r="J6630" s="4">
        <v>216580</v>
      </c>
    </row>
    <row r="6631" spans="2:10" x14ac:dyDescent="0.3">
      <c r="B6631" s="7">
        <v>44317</v>
      </c>
      <c r="C6631" s="3">
        <f t="shared" si="206"/>
        <v>2021</v>
      </c>
      <c r="D6631" s="3">
        <f t="shared" si="207"/>
        <v>202105</v>
      </c>
      <c r="E6631" s="5" t="s">
        <v>8</v>
      </c>
      <c r="F6631" s="5" t="s">
        <v>11</v>
      </c>
      <c r="G6631" s="5" t="s">
        <v>38</v>
      </c>
      <c r="H6631">
        <v>65</v>
      </c>
      <c r="I6631" s="4">
        <v>664625</v>
      </c>
      <c r="J6631" s="4">
        <v>270725</v>
      </c>
    </row>
    <row r="6632" spans="2:10" x14ac:dyDescent="0.3">
      <c r="B6632" s="7">
        <v>44348</v>
      </c>
      <c r="C6632" s="3">
        <f t="shared" si="206"/>
        <v>2021</v>
      </c>
      <c r="D6632" s="3">
        <f t="shared" si="207"/>
        <v>202106</v>
      </c>
      <c r="E6632" s="5" t="s">
        <v>8</v>
      </c>
      <c r="F6632" s="5" t="s">
        <v>11</v>
      </c>
      <c r="G6632" s="5" t="s">
        <v>38</v>
      </c>
      <c r="H6632">
        <v>62</v>
      </c>
      <c r="I6632" s="4">
        <v>628618</v>
      </c>
      <c r="J6632" s="4">
        <v>258230</v>
      </c>
    </row>
    <row r="6633" spans="2:10" x14ac:dyDescent="0.3">
      <c r="B6633" s="7">
        <v>44378</v>
      </c>
      <c r="C6633" s="3">
        <f t="shared" si="206"/>
        <v>2021</v>
      </c>
      <c r="D6633" s="3">
        <f t="shared" si="207"/>
        <v>202107</v>
      </c>
      <c r="E6633" s="5" t="s">
        <v>8</v>
      </c>
      <c r="F6633" s="5" t="s">
        <v>11</v>
      </c>
      <c r="G6633" s="5" t="s">
        <v>38</v>
      </c>
      <c r="H6633">
        <v>65</v>
      </c>
      <c r="I6633" s="4">
        <v>537680</v>
      </c>
      <c r="J6633" s="4">
        <v>270725</v>
      </c>
    </row>
    <row r="6634" spans="2:10" x14ac:dyDescent="0.3">
      <c r="B6634" s="7">
        <v>44409</v>
      </c>
      <c r="C6634" s="3">
        <f t="shared" si="206"/>
        <v>2021</v>
      </c>
      <c r="D6634" s="3">
        <f t="shared" si="207"/>
        <v>202108</v>
      </c>
      <c r="E6634" s="5" t="s">
        <v>8</v>
      </c>
      <c r="F6634" s="5" t="s">
        <v>11</v>
      </c>
      <c r="G6634" s="5" t="s">
        <v>38</v>
      </c>
      <c r="H6634">
        <v>55</v>
      </c>
      <c r="I6634" s="4">
        <v>502260</v>
      </c>
      <c r="J6634" s="4">
        <v>229075</v>
      </c>
    </row>
    <row r="6635" spans="2:10" x14ac:dyDescent="0.3">
      <c r="B6635" s="7">
        <v>44440</v>
      </c>
      <c r="C6635" s="3">
        <f t="shared" si="206"/>
        <v>2021</v>
      </c>
      <c r="D6635" s="3">
        <f t="shared" si="207"/>
        <v>202109</v>
      </c>
      <c r="E6635" s="5" t="s">
        <v>8</v>
      </c>
      <c r="F6635" s="5" t="s">
        <v>11</v>
      </c>
      <c r="G6635" s="5" t="s">
        <v>38</v>
      </c>
      <c r="H6635">
        <v>59</v>
      </c>
      <c r="I6635" s="4">
        <v>542151</v>
      </c>
      <c r="J6635" s="4">
        <v>245735</v>
      </c>
    </row>
    <row r="6636" spans="2:10" x14ac:dyDescent="0.3">
      <c r="B6636" s="7">
        <v>44470</v>
      </c>
      <c r="C6636" s="3">
        <f t="shared" si="206"/>
        <v>2021</v>
      </c>
      <c r="D6636" s="3">
        <f t="shared" si="207"/>
        <v>202110</v>
      </c>
      <c r="E6636" s="5" t="s">
        <v>8</v>
      </c>
      <c r="F6636" s="5" t="s">
        <v>11</v>
      </c>
      <c r="G6636" s="5" t="s">
        <v>38</v>
      </c>
      <c r="H6636">
        <v>48</v>
      </c>
      <c r="I6636" s="4">
        <v>463056</v>
      </c>
      <c r="J6636" s="4">
        <v>199920</v>
      </c>
    </row>
    <row r="6637" spans="2:10" x14ac:dyDescent="0.3">
      <c r="B6637" s="7">
        <v>44501</v>
      </c>
      <c r="C6637" s="3">
        <f t="shared" si="206"/>
        <v>2021</v>
      </c>
      <c r="D6637" s="3">
        <f t="shared" si="207"/>
        <v>202111</v>
      </c>
      <c r="E6637" s="5" t="s">
        <v>8</v>
      </c>
      <c r="F6637" s="5" t="s">
        <v>11</v>
      </c>
      <c r="G6637" s="5" t="s">
        <v>38</v>
      </c>
      <c r="H6637">
        <v>35</v>
      </c>
      <c r="I6637" s="4">
        <v>349265</v>
      </c>
      <c r="J6637" s="4">
        <v>145775</v>
      </c>
    </row>
    <row r="6638" spans="2:10" x14ac:dyDescent="0.3">
      <c r="B6638" s="7">
        <v>44531</v>
      </c>
      <c r="C6638" s="3">
        <f t="shared" si="206"/>
        <v>2021</v>
      </c>
      <c r="D6638" s="3">
        <f t="shared" si="207"/>
        <v>202112</v>
      </c>
      <c r="E6638" s="5" t="s">
        <v>8</v>
      </c>
      <c r="F6638" s="5" t="s">
        <v>11</v>
      </c>
      <c r="G6638" s="5" t="s">
        <v>38</v>
      </c>
      <c r="H6638">
        <v>42</v>
      </c>
      <c r="I6638" s="4">
        <v>392154</v>
      </c>
      <c r="J6638" s="4">
        <v>174930</v>
      </c>
    </row>
    <row r="6639" spans="2:10" x14ac:dyDescent="0.3">
      <c r="B6639" s="7">
        <v>44562</v>
      </c>
      <c r="C6639" s="3">
        <f t="shared" si="206"/>
        <v>2022</v>
      </c>
      <c r="D6639" s="3">
        <f t="shared" si="207"/>
        <v>202201</v>
      </c>
      <c r="E6639" s="5" t="s">
        <v>8</v>
      </c>
      <c r="F6639" s="5" t="s">
        <v>11</v>
      </c>
      <c r="G6639" s="5" t="s">
        <v>38</v>
      </c>
      <c r="H6639">
        <v>61</v>
      </c>
      <c r="I6639" s="4">
        <v>579134</v>
      </c>
      <c r="J6639" s="4">
        <v>254065</v>
      </c>
    </row>
    <row r="6640" spans="2:10" x14ac:dyDescent="0.3">
      <c r="B6640" s="7">
        <v>44593</v>
      </c>
      <c r="C6640" s="3">
        <f t="shared" si="206"/>
        <v>2022</v>
      </c>
      <c r="D6640" s="3">
        <f t="shared" si="207"/>
        <v>202202</v>
      </c>
      <c r="E6640" s="5" t="s">
        <v>8</v>
      </c>
      <c r="F6640" s="5" t="s">
        <v>11</v>
      </c>
      <c r="G6640" s="5" t="s">
        <v>38</v>
      </c>
      <c r="H6640">
        <v>38</v>
      </c>
      <c r="I6640" s="4">
        <v>388018</v>
      </c>
      <c r="J6640" s="4">
        <v>158270</v>
      </c>
    </row>
    <row r="6641" spans="2:10" x14ac:dyDescent="0.3">
      <c r="B6641" s="7">
        <v>44621</v>
      </c>
      <c r="C6641" s="3">
        <f t="shared" si="206"/>
        <v>2022</v>
      </c>
      <c r="D6641" s="3">
        <f t="shared" si="207"/>
        <v>202203</v>
      </c>
      <c r="E6641" s="5" t="s">
        <v>8</v>
      </c>
      <c r="F6641" s="5" t="s">
        <v>11</v>
      </c>
      <c r="G6641" s="5" t="s">
        <v>38</v>
      </c>
      <c r="H6641">
        <v>31</v>
      </c>
      <c r="I6641" s="4">
        <v>293384</v>
      </c>
      <c r="J6641" s="4">
        <v>129115</v>
      </c>
    </row>
    <row r="6642" spans="2:10" x14ac:dyDescent="0.3">
      <c r="B6642" s="7">
        <v>44652</v>
      </c>
      <c r="C6642" s="3">
        <f t="shared" si="206"/>
        <v>2022</v>
      </c>
      <c r="D6642" s="3">
        <f t="shared" si="207"/>
        <v>202204</v>
      </c>
      <c r="E6642" s="5" t="s">
        <v>8</v>
      </c>
      <c r="F6642" s="5" t="s">
        <v>11</v>
      </c>
      <c r="G6642" s="5" t="s">
        <v>38</v>
      </c>
      <c r="H6642">
        <v>57</v>
      </c>
      <c r="I6642" s="4">
        <v>571995</v>
      </c>
      <c r="J6642" s="4">
        <v>237405</v>
      </c>
    </row>
    <row r="6643" spans="2:10" x14ac:dyDescent="0.3">
      <c r="B6643" s="7">
        <v>44682</v>
      </c>
      <c r="C6643" s="3">
        <f t="shared" si="206"/>
        <v>2022</v>
      </c>
      <c r="D6643" s="3">
        <f t="shared" si="207"/>
        <v>202205</v>
      </c>
      <c r="E6643" s="5" t="s">
        <v>8</v>
      </c>
      <c r="F6643" s="5" t="s">
        <v>11</v>
      </c>
      <c r="G6643" s="5" t="s">
        <v>38</v>
      </c>
      <c r="H6643">
        <v>72</v>
      </c>
      <c r="I6643" s="4">
        <v>727200</v>
      </c>
      <c r="J6643" s="4">
        <v>299880</v>
      </c>
    </row>
    <row r="6644" spans="2:10" x14ac:dyDescent="0.3">
      <c r="B6644" s="7">
        <v>44713</v>
      </c>
      <c r="C6644" s="3">
        <f t="shared" si="206"/>
        <v>2022</v>
      </c>
      <c r="D6644" s="3">
        <f t="shared" si="207"/>
        <v>202206</v>
      </c>
      <c r="E6644" s="5" t="s">
        <v>8</v>
      </c>
      <c r="F6644" s="5" t="s">
        <v>11</v>
      </c>
      <c r="G6644" s="5" t="s">
        <v>38</v>
      </c>
      <c r="H6644">
        <v>68</v>
      </c>
      <c r="I6644" s="4">
        <v>682108</v>
      </c>
      <c r="J6644" s="4">
        <v>283220</v>
      </c>
    </row>
    <row r="6645" spans="2:10" x14ac:dyDescent="0.3">
      <c r="B6645" s="7">
        <v>44743</v>
      </c>
      <c r="C6645" s="3">
        <f t="shared" si="206"/>
        <v>2022</v>
      </c>
      <c r="D6645" s="3">
        <f t="shared" si="207"/>
        <v>202207</v>
      </c>
      <c r="E6645" s="5" t="s">
        <v>8</v>
      </c>
      <c r="F6645" s="5" t="s">
        <v>11</v>
      </c>
      <c r="G6645" s="5" t="s">
        <v>38</v>
      </c>
      <c r="H6645">
        <v>72</v>
      </c>
      <c r="I6645" s="4">
        <v>560088</v>
      </c>
      <c r="J6645" s="4">
        <v>299880</v>
      </c>
    </row>
    <row r="6646" spans="2:10" x14ac:dyDescent="0.3">
      <c r="B6646" s="7">
        <v>44774</v>
      </c>
      <c r="C6646" s="3">
        <f t="shared" si="206"/>
        <v>2022</v>
      </c>
      <c r="D6646" s="3">
        <f t="shared" si="207"/>
        <v>202208</v>
      </c>
      <c r="E6646" s="5" t="s">
        <v>8</v>
      </c>
      <c r="F6646" s="5" t="s">
        <v>11</v>
      </c>
      <c r="G6646" s="5" t="s">
        <v>38</v>
      </c>
      <c r="H6646">
        <v>61</v>
      </c>
      <c r="I6646" s="4">
        <v>575474</v>
      </c>
      <c r="J6646" s="4">
        <v>254065</v>
      </c>
    </row>
    <row r="6647" spans="2:10" x14ac:dyDescent="0.3">
      <c r="B6647" s="7">
        <v>44805</v>
      </c>
      <c r="C6647" s="3">
        <f t="shared" si="206"/>
        <v>2022</v>
      </c>
      <c r="D6647" s="3">
        <f t="shared" si="207"/>
        <v>202209</v>
      </c>
      <c r="E6647" s="5" t="s">
        <v>8</v>
      </c>
      <c r="F6647" s="5" t="s">
        <v>11</v>
      </c>
      <c r="G6647" s="5" t="s">
        <v>38</v>
      </c>
      <c r="H6647">
        <v>64</v>
      </c>
      <c r="I6647" s="4">
        <v>606976</v>
      </c>
      <c r="J6647" s="4">
        <v>266560</v>
      </c>
    </row>
    <row r="6648" spans="2:10" x14ac:dyDescent="0.3">
      <c r="B6648" s="7">
        <v>44835</v>
      </c>
      <c r="C6648" s="3">
        <f t="shared" si="206"/>
        <v>2022</v>
      </c>
      <c r="D6648" s="3">
        <f t="shared" si="207"/>
        <v>202210</v>
      </c>
      <c r="E6648" s="5" t="s">
        <v>8</v>
      </c>
      <c r="F6648" s="5" t="s">
        <v>11</v>
      </c>
      <c r="G6648" s="5" t="s">
        <v>38</v>
      </c>
      <c r="H6648">
        <v>53</v>
      </c>
      <c r="I6648" s="4">
        <v>508111</v>
      </c>
      <c r="J6648" s="4">
        <v>220745</v>
      </c>
    </row>
    <row r="6649" spans="2:10" x14ac:dyDescent="0.3">
      <c r="B6649" s="7">
        <v>44866</v>
      </c>
      <c r="C6649" s="3">
        <f t="shared" si="206"/>
        <v>2022</v>
      </c>
      <c r="D6649" s="3">
        <f t="shared" si="207"/>
        <v>202211</v>
      </c>
      <c r="E6649" s="5" t="s">
        <v>8</v>
      </c>
      <c r="F6649" s="5" t="s">
        <v>11</v>
      </c>
      <c r="G6649" s="5" t="s">
        <v>38</v>
      </c>
      <c r="H6649">
        <v>38</v>
      </c>
      <c r="I6649" s="4">
        <v>358112</v>
      </c>
      <c r="J6649" s="4">
        <v>158270</v>
      </c>
    </row>
    <row r="6650" spans="2:10" x14ac:dyDescent="0.3">
      <c r="B6650" s="7">
        <v>44896</v>
      </c>
      <c r="C6650" s="3">
        <f t="shared" si="206"/>
        <v>2022</v>
      </c>
      <c r="D6650" s="3">
        <f t="shared" si="207"/>
        <v>202212</v>
      </c>
      <c r="E6650" s="5" t="s">
        <v>8</v>
      </c>
      <c r="F6650" s="5" t="s">
        <v>11</v>
      </c>
      <c r="G6650" s="5" t="s">
        <v>38</v>
      </c>
      <c r="H6650">
        <v>46</v>
      </c>
      <c r="I6650" s="4">
        <v>416392</v>
      </c>
      <c r="J6650" s="4">
        <v>191590</v>
      </c>
    </row>
    <row r="6651" spans="2:10" x14ac:dyDescent="0.3">
      <c r="B6651" s="7">
        <v>44197</v>
      </c>
      <c r="C6651" s="3">
        <f t="shared" si="206"/>
        <v>2021</v>
      </c>
      <c r="D6651" s="3">
        <f t="shared" si="207"/>
        <v>202101</v>
      </c>
      <c r="E6651" s="5" t="s">
        <v>8</v>
      </c>
      <c r="F6651" s="5" t="s">
        <v>11</v>
      </c>
      <c r="G6651" s="5" t="s">
        <v>39</v>
      </c>
      <c r="H6651">
        <v>55</v>
      </c>
      <c r="I6651" s="4">
        <v>426745</v>
      </c>
      <c r="J6651" s="4">
        <v>168300</v>
      </c>
    </row>
    <row r="6652" spans="2:10" x14ac:dyDescent="0.3">
      <c r="B6652" s="7">
        <v>44228</v>
      </c>
      <c r="C6652" s="3">
        <f t="shared" si="206"/>
        <v>2021</v>
      </c>
      <c r="D6652" s="3">
        <f t="shared" si="207"/>
        <v>202102</v>
      </c>
      <c r="E6652" s="5" t="s">
        <v>8</v>
      </c>
      <c r="F6652" s="5" t="s">
        <v>11</v>
      </c>
      <c r="G6652" s="5" t="s">
        <v>39</v>
      </c>
      <c r="H6652">
        <v>35</v>
      </c>
      <c r="I6652" s="4">
        <v>258195</v>
      </c>
      <c r="J6652" s="4">
        <v>107100</v>
      </c>
    </row>
    <row r="6653" spans="2:10" x14ac:dyDescent="0.3">
      <c r="B6653" s="7">
        <v>44256</v>
      </c>
      <c r="C6653" s="3">
        <f t="shared" si="206"/>
        <v>2021</v>
      </c>
      <c r="D6653" s="3">
        <f t="shared" si="207"/>
        <v>202103</v>
      </c>
      <c r="E6653" s="5" t="s">
        <v>8</v>
      </c>
      <c r="F6653" s="5" t="s">
        <v>11</v>
      </c>
      <c r="G6653" s="5" t="s">
        <v>39</v>
      </c>
      <c r="H6653">
        <v>28</v>
      </c>
      <c r="I6653" s="4">
        <v>183372</v>
      </c>
      <c r="J6653" s="4">
        <v>85680</v>
      </c>
    </row>
    <row r="6654" spans="2:10" x14ac:dyDescent="0.3">
      <c r="B6654" s="7">
        <v>44287</v>
      </c>
      <c r="C6654" s="3">
        <f t="shared" si="206"/>
        <v>2021</v>
      </c>
      <c r="D6654" s="3">
        <f t="shared" si="207"/>
        <v>202104</v>
      </c>
      <c r="E6654" s="5" t="s">
        <v>8</v>
      </c>
      <c r="F6654" s="5" t="s">
        <v>11</v>
      </c>
      <c r="G6654" s="5" t="s">
        <v>39</v>
      </c>
      <c r="H6654">
        <v>52</v>
      </c>
      <c r="I6654" s="4">
        <v>418808</v>
      </c>
      <c r="J6654" s="4">
        <v>159120</v>
      </c>
    </row>
    <row r="6655" spans="2:10" x14ac:dyDescent="0.3">
      <c r="B6655" s="7">
        <v>44317</v>
      </c>
      <c r="C6655" s="3">
        <f t="shared" si="206"/>
        <v>2021</v>
      </c>
      <c r="D6655" s="3">
        <f t="shared" si="207"/>
        <v>202105</v>
      </c>
      <c r="E6655" s="5" t="s">
        <v>8</v>
      </c>
      <c r="F6655" s="5" t="s">
        <v>11</v>
      </c>
      <c r="G6655" s="5" t="s">
        <v>39</v>
      </c>
      <c r="H6655">
        <v>65</v>
      </c>
      <c r="I6655" s="4">
        <v>530725</v>
      </c>
      <c r="J6655" s="4">
        <v>198900</v>
      </c>
    </row>
    <row r="6656" spans="2:10" x14ac:dyDescent="0.3">
      <c r="B6656" s="7">
        <v>44348</v>
      </c>
      <c r="C6656" s="3">
        <f t="shared" si="206"/>
        <v>2021</v>
      </c>
      <c r="D6656" s="3">
        <f t="shared" si="207"/>
        <v>202106</v>
      </c>
      <c r="E6656" s="5" t="s">
        <v>8</v>
      </c>
      <c r="F6656" s="5" t="s">
        <v>11</v>
      </c>
      <c r="G6656" s="5" t="s">
        <v>39</v>
      </c>
      <c r="H6656">
        <v>62</v>
      </c>
      <c r="I6656" s="4">
        <v>461528</v>
      </c>
      <c r="J6656" s="4">
        <v>189720</v>
      </c>
    </row>
    <row r="6657" spans="2:10" x14ac:dyDescent="0.3">
      <c r="B6657" s="7">
        <v>44378</v>
      </c>
      <c r="C6657" s="3">
        <f t="shared" si="206"/>
        <v>2021</v>
      </c>
      <c r="D6657" s="3">
        <f t="shared" si="207"/>
        <v>202107</v>
      </c>
      <c r="E6657" s="5" t="s">
        <v>8</v>
      </c>
      <c r="F6657" s="5" t="s">
        <v>11</v>
      </c>
      <c r="G6657" s="5" t="s">
        <v>39</v>
      </c>
      <c r="H6657">
        <v>65</v>
      </c>
      <c r="I6657" s="4">
        <v>384605</v>
      </c>
      <c r="J6657" s="4">
        <v>198900</v>
      </c>
    </row>
    <row r="6658" spans="2:10" x14ac:dyDescent="0.3">
      <c r="B6658" s="7">
        <v>44409</v>
      </c>
      <c r="C6658" s="3">
        <f t="shared" si="206"/>
        <v>2021</v>
      </c>
      <c r="D6658" s="3">
        <f t="shared" si="207"/>
        <v>202108</v>
      </c>
      <c r="E6658" s="5" t="s">
        <v>8</v>
      </c>
      <c r="F6658" s="5" t="s">
        <v>11</v>
      </c>
      <c r="G6658" s="5" t="s">
        <v>39</v>
      </c>
      <c r="H6658">
        <v>55</v>
      </c>
      <c r="I6658" s="4">
        <v>361460</v>
      </c>
      <c r="J6658" s="4">
        <v>168300</v>
      </c>
    </row>
    <row r="6659" spans="2:10" x14ac:dyDescent="0.3">
      <c r="B6659" s="7">
        <v>44440</v>
      </c>
      <c r="C6659" s="3">
        <f t="shared" ref="C6659:C6722" si="208">YEAR(B6659)</f>
        <v>2021</v>
      </c>
      <c r="D6659" s="3">
        <f t="shared" ref="D6659:D6722" si="209">VALUE(TEXT(B6659,"ГГГГММ"))</f>
        <v>202109</v>
      </c>
      <c r="E6659" s="5" t="s">
        <v>8</v>
      </c>
      <c r="F6659" s="5" t="s">
        <v>11</v>
      </c>
      <c r="G6659" s="5" t="s">
        <v>39</v>
      </c>
      <c r="H6659">
        <v>59</v>
      </c>
      <c r="I6659" s="4">
        <v>380609</v>
      </c>
      <c r="J6659" s="4">
        <v>180540</v>
      </c>
    </row>
    <row r="6660" spans="2:10" x14ac:dyDescent="0.3">
      <c r="B6660" s="7">
        <v>44470</v>
      </c>
      <c r="C6660" s="3">
        <f t="shared" si="208"/>
        <v>2021</v>
      </c>
      <c r="D6660" s="3">
        <f t="shared" si="209"/>
        <v>202110</v>
      </c>
      <c r="E6660" s="5" t="s">
        <v>8</v>
      </c>
      <c r="F6660" s="5" t="s">
        <v>11</v>
      </c>
      <c r="G6660" s="5" t="s">
        <v>39</v>
      </c>
      <c r="H6660">
        <v>48</v>
      </c>
      <c r="I6660" s="4">
        <v>367584</v>
      </c>
      <c r="J6660" s="4">
        <v>146880</v>
      </c>
    </row>
    <row r="6661" spans="2:10" x14ac:dyDescent="0.3">
      <c r="B6661" s="7">
        <v>44501</v>
      </c>
      <c r="C6661" s="3">
        <f t="shared" si="208"/>
        <v>2021</v>
      </c>
      <c r="D6661" s="3">
        <f t="shared" si="209"/>
        <v>202111</v>
      </c>
      <c r="E6661" s="5" t="s">
        <v>8</v>
      </c>
      <c r="F6661" s="5" t="s">
        <v>11</v>
      </c>
      <c r="G6661" s="5" t="s">
        <v>39</v>
      </c>
      <c r="H6661">
        <v>35</v>
      </c>
      <c r="I6661" s="4">
        <v>247555</v>
      </c>
      <c r="J6661" s="4">
        <v>107100</v>
      </c>
    </row>
    <row r="6662" spans="2:10" x14ac:dyDescent="0.3">
      <c r="B6662" s="7">
        <v>44531</v>
      </c>
      <c r="C6662" s="3">
        <f t="shared" si="208"/>
        <v>2021</v>
      </c>
      <c r="D6662" s="3">
        <f t="shared" si="209"/>
        <v>202112</v>
      </c>
      <c r="E6662" s="5" t="s">
        <v>8</v>
      </c>
      <c r="F6662" s="5" t="s">
        <v>11</v>
      </c>
      <c r="G6662" s="5" t="s">
        <v>39</v>
      </c>
      <c r="H6662">
        <v>42</v>
      </c>
      <c r="I6662" s="4">
        <v>299586</v>
      </c>
      <c r="J6662" s="4">
        <v>128520</v>
      </c>
    </row>
    <row r="6663" spans="2:10" x14ac:dyDescent="0.3">
      <c r="B6663" s="7">
        <v>44562</v>
      </c>
      <c r="C6663" s="3">
        <f t="shared" si="208"/>
        <v>2022</v>
      </c>
      <c r="D6663" s="3">
        <f t="shared" si="209"/>
        <v>202201</v>
      </c>
      <c r="E6663" s="5" t="s">
        <v>8</v>
      </c>
      <c r="F6663" s="5" t="s">
        <v>11</v>
      </c>
      <c r="G6663" s="5" t="s">
        <v>39</v>
      </c>
      <c r="H6663">
        <v>61</v>
      </c>
      <c r="I6663" s="4">
        <v>449082</v>
      </c>
      <c r="J6663" s="4">
        <v>186660</v>
      </c>
    </row>
    <row r="6664" spans="2:10" x14ac:dyDescent="0.3">
      <c r="B6664" s="7">
        <v>44593</v>
      </c>
      <c r="C6664" s="3">
        <f t="shared" si="208"/>
        <v>2022</v>
      </c>
      <c r="D6664" s="3">
        <f t="shared" si="209"/>
        <v>202202</v>
      </c>
      <c r="E6664" s="5" t="s">
        <v>8</v>
      </c>
      <c r="F6664" s="5" t="s">
        <v>11</v>
      </c>
      <c r="G6664" s="5" t="s">
        <v>39</v>
      </c>
      <c r="H6664">
        <v>38</v>
      </c>
      <c r="I6664" s="4">
        <v>277552</v>
      </c>
      <c r="J6664" s="4">
        <v>116280</v>
      </c>
    </row>
    <row r="6665" spans="2:10" x14ac:dyDescent="0.3">
      <c r="B6665" s="7">
        <v>44621</v>
      </c>
      <c r="C6665" s="3">
        <f t="shared" si="208"/>
        <v>2022</v>
      </c>
      <c r="D6665" s="3">
        <f t="shared" si="209"/>
        <v>202203</v>
      </c>
      <c r="E6665" s="5" t="s">
        <v>8</v>
      </c>
      <c r="F6665" s="5" t="s">
        <v>11</v>
      </c>
      <c r="G6665" s="5" t="s">
        <v>39</v>
      </c>
      <c r="H6665">
        <v>31</v>
      </c>
      <c r="I6665" s="4">
        <v>194556</v>
      </c>
      <c r="J6665" s="4">
        <v>94860</v>
      </c>
    </row>
    <row r="6666" spans="2:10" x14ac:dyDescent="0.3">
      <c r="B6666" s="7">
        <v>44652</v>
      </c>
      <c r="C6666" s="3">
        <f t="shared" si="208"/>
        <v>2022</v>
      </c>
      <c r="D6666" s="3">
        <f t="shared" si="209"/>
        <v>202204</v>
      </c>
      <c r="E6666" s="5" t="s">
        <v>8</v>
      </c>
      <c r="F6666" s="5" t="s">
        <v>11</v>
      </c>
      <c r="G6666" s="5" t="s">
        <v>39</v>
      </c>
      <c r="H6666">
        <v>57</v>
      </c>
      <c r="I6666" s="4">
        <v>456171</v>
      </c>
      <c r="J6666" s="4">
        <v>174420</v>
      </c>
    </row>
    <row r="6667" spans="2:10" x14ac:dyDescent="0.3">
      <c r="B6667" s="7">
        <v>44682</v>
      </c>
      <c r="C6667" s="3">
        <f t="shared" si="208"/>
        <v>2022</v>
      </c>
      <c r="D6667" s="3">
        <f t="shared" si="209"/>
        <v>202205</v>
      </c>
      <c r="E6667" s="5" t="s">
        <v>8</v>
      </c>
      <c r="F6667" s="5" t="s">
        <v>11</v>
      </c>
      <c r="G6667" s="5" t="s">
        <v>39</v>
      </c>
      <c r="H6667">
        <v>72</v>
      </c>
      <c r="I6667" s="4">
        <v>534024</v>
      </c>
      <c r="J6667" s="4">
        <v>220320</v>
      </c>
    </row>
    <row r="6668" spans="2:10" x14ac:dyDescent="0.3">
      <c r="B6668" s="7">
        <v>44713</v>
      </c>
      <c r="C6668" s="3">
        <f t="shared" si="208"/>
        <v>2022</v>
      </c>
      <c r="D6668" s="3">
        <f t="shared" si="209"/>
        <v>202206</v>
      </c>
      <c r="E6668" s="5" t="s">
        <v>8</v>
      </c>
      <c r="F6668" s="5" t="s">
        <v>11</v>
      </c>
      <c r="G6668" s="5" t="s">
        <v>39</v>
      </c>
      <c r="H6668">
        <v>68</v>
      </c>
      <c r="I6668" s="4">
        <v>469200</v>
      </c>
      <c r="J6668" s="4">
        <v>208080</v>
      </c>
    </row>
    <row r="6669" spans="2:10" x14ac:dyDescent="0.3">
      <c r="B6669" s="7">
        <v>44743</v>
      </c>
      <c r="C6669" s="3">
        <f t="shared" si="208"/>
        <v>2022</v>
      </c>
      <c r="D6669" s="3">
        <f t="shared" si="209"/>
        <v>202207</v>
      </c>
      <c r="E6669" s="5" t="s">
        <v>8</v>
      </c>
      <c r="F6669" s="5" t="s">
        <v>11</v>
      </c>
      <c r="G6669" s="5" t="s">
        <v>39</v>
      </c>
      <c r="H6669">
        <v>72</v>
      </c>
      <c r="I6669" s="4">
        <v>391896</v>
      </c>
      <c r="J6669" s="4">
        <v>220320</v>
      </c>
    </row>
    <row r="6670" spans="2:10" x14ac:dyDescent="0.3">
      <c r="B6670" s="7">
        <v>44774</v>
      </c>
      <c r="C6670" s="3">
        <f t="shared" si="208"/>
        <v>2022</v>
      </c>
      <c r="D6670" s="3">
        <f t="shared" si="209"/>
        <v>202208</v>
      </c>
      <c r="E6670" s="5" t="s">
        <v>8</v>
      </c>
      <c r="F6670" s="5" t="s">
        <v>11</v>
      </c>
      <c r="G6670" s="5" t="s">
        <v>39</v>
      </c>
      <c r="H6670">
        <v>61</v>
      </c>
      <c r="I6670" s="4">
        <v>409005</v>
      </c>
      <c r="J6670" s="4">
        <v>186660</v>
      </c>
    </row>
    <row r="6671" spans="2:10" x14ac:dyDescent="0.3">
      <c r="B6671" s="7">
        <v>44805</v>
      </c>
      <c r="C6671" s="3">
        <f t="shared" si="208"/>
        <v>2022</v>
      </c>
      <c r="D6671" s="3">
        <f t="shared" si="209"/>
        <v>202209</v>
      </c>
      <c r="E6671" s="5" t="s">
        <v>8</v>
      </c>
      <c r="F6671" s="5" t="s">
        <v>11</v>
      </c>
      <c r="G6671" s="5" t="s">
        <v>39</v>
      </c>
      <c r="H6671">
        <v>64</v>
      </c>
      <c r="I6671" s="4">
        <v>434176</v>
      </c>
      <c r="J6671" s="4">
        <v>195840</v>
      </c>
    </row>
    <row r="6672" spans="2:10" x14ac:dyDescent="0.3">
      <c r="B6672" s="7">
        <v>44835</v>
      </c>
      <c r="C6672" s="3">
        <f t="shared" si="208"/>
        <v>2022</v>
      </c>
      <c r="D6672" s="3">
        <f t="shared" si="209"/>
        <v>202210</v>
      </c>
      <c r="E6672" s="5" t="s">
        <v>8</v>
      </c>
      <c r="F6672" s="5" t="s">
        <v>11</v>
      </c>
      <c r="G6672" s="5" t="s">
        <v>39</v>
      </c>
      <c r="H6672">
        <v>53</v>
      </c>
      <c r="I6672" s="4">
        <v>368456</v>
      </c>
      <c r="J6672" s="4">
        <v>162180</v>
      </c>
    </row>
    <row r="6673" spans="2:10" x14ac:dyDescent="0.3">
      <c r="B6673" s="7">
        <v>44866</v>
      </c>
      <c r="C6673" s="3">
        <f t="shared" si="208"/>
        <v>2022</v>
      </c>
      <c r="D6673" s="3">
        <f t="shared" si="209"/>
        <v>202211</v>
      </c>
      <c r="E6673" s="5" t="s">
        <v>8</v>
      </c>
      <c r="F6673" s="5" t="s">
        <v>11</v>
      </c>
      <c r="G6673" s="5" t="s">
        <v>39</v>
      </c>
      <c r="H6673">
        <v>38</v>
      </c>
      <c r="I6673" s="4">
        <v>275652</v>
      </c>
      <c r="J6673" s="4">
        <v>116280</v>
      </c>
    </row>
    <row r="6674" spans="2:10" x14ac:dyDescent="0.3">
      <c r="B6674" s="7">
        <v>44896</v>
      </c>
      <c r="C6674" s="3">
        <f t="shared" si="208"/>
        <v>2022</v>
      </c>
      <c r="D6674" s="3">
        <f t="shared" si="209"/>
        <v>202212</v>
      </c>
      <c r="E6674" s="5" t="s">
        <v>8</v>
      </c>
      <c r="F6674" s="5" t="s">
        <v>11</v>
      </c>
      <c r="G6674" s="5" t="s">
        <v>39</v>
      </c>
      <c r="H6674">
        <v>46</v>
      </c>
      <c r="I6674" s="4">
        <v>305256</v>
      </c>
      <c r="J6674" s="4">
        <v>140760</v>
      </c>
    </row>
    <row r="6675" spans="2:10" x14ac:dyDescent="0.3">
      <c r="B6675" s="7">
        <v>44197</v>
      </c>
      <c r="C6675" s="3">
        <f t="shared" si="208"/>
        <v>2021</v>
      </c>
      <c r="D6675" s="3">
        <f t="shared" si="209"/>
        <v>202101</v>
      </c>
      <c r="E6675" s="5" t="s">
        <v>8</v>
      </c>
      <c r="F6675" s="5" t="s">
        <v>11</v>
      </c>
      <c r="G6675" s="5" t="s">
        <v>40</v>
      </c>
      <c r="H6675">
        <v>58</v>
      </c>
      <c r="I6675" s="4">
        <v>510748</v>
      </c>
      <c r="J6675" s="4">
        <v>200448</v>
      </c>
    </row>
    <row r="6676" spans="2:10" x14ac:dyDescent="0.3">
      <c r="B6676" s="7">
        <v>44228</v>
      </c>
      <c r="C6676" s="3">
        <f t="shared" si="208"/>
        <v>2021</v>
      </c>
      <c r="D6676" s="3">
        <f t="shared" si="209"/>
        <v>202102</v>
      </c>
      <c r="E6676" s="5" t="s">
        <v>8</v>
      </c>
      <c r="F6676" s="5" t="s">
        <v>11</v>
      </c>
      <c r="G6676" s="5" t="s">
        <v>40</v>
      </c>
      <c r="H6676">
        <v>36</v>
      </c>
      <c r="I6676" s="4">
        <v>291528</v>
      </c>
      <c r="J6676" s="4">
        <v>124416</v>
      </c>
    </row>
    <row r="6677" spans="2:10" x14ac:dyDescent="0.3">
      <c r="B6677" s="7">
        <v>44256</v>
      </c>
      <c r="C6677" s="3">
        <f t="shared" si="208"/>
        <v>2021</v>
      </c>
      <c r="D6677" s="3">
        <f t="shared" si="209"/>
        <v>202103</v>
      </c>
      <c r="E6677" s="5" t="s">
        <v>8</v>
      </c>
      <c r="F6677" s="5" t="s">
        <v>11</v>
      </c>
      <c r="G6677" s="5" t="s">
        <v>40</v>
      </c>
      <c r="H6677">
        <v>29</v>
      </c>
      <c r="I6677" s="4">
        <v>246210</v>
      </c>
      <c r="J6677" s="4">
        <v>100224</v>
      </c>
    </row>
    <row r="6678" spans="2:10" x14ac:dyDescent="0.3">
      <c r="B6678" s="7">
        <v>44287</v>
      </c>
      <c r="C6678" s="3">
        <f t="shared" si="208"/>
        <v>2021</v>
      </c>
      <c r="D6678" s="3">
        <f t="shared" si="209"/>
        <v>202104</v>
      </c>
      <c r="E6678" s="5" t="s">
        <v>8</v>
      </c>
      <c r="F6678" s="5" t="s">
        <v>11</v>
      </c>
      <c r="G6678" s="5" t="s">
        <v>40</v>
      </c>
      <c r="H6678">
        <v>54</v>
      </c>
      <c r="I6678" s="4">
        <v>487080</v>
      </c>
      <c r="J6678" s="4">
        <v>186624</v>
      </c>
    </row>
    <row r="6679" spans="2:10" x14ac:dyDescent="0.3">
      <c r="B6679" s="7">
        <v>44317</v>
      </c>
      <c r="C6679" s="3">
        <f t="shared" si="208"/>
        <v>2021</v>
      </c>
      <c r="D6679" s="3">
        <f t="shared" si="209"/>
        <v>202105</v>
      </c>
      <c r="E6679" s="5" t="s">
        <v>8</v>
      </c>
      <c r="F6679" s="5" t="s">
        <v>11</v>
      </c>
      <c r="G6679" s="5" t="s">
        <v>40</v>
      </c>
      <c r="H6679">
        <v>68</v>
      </c>
      <c r="I6679" s="4">
        <v>656472</v>
      </c>
      <c r="J6679" s="4">
        <v>235008</v>
      </c>
    </row>
    <row r="6680" spans="2:10" x14ac:dyDescent="0.3">
      <c r="B6680" s="7">
        <v>44348</v>
      </c>
      <c r="C6680" s="3">
        <f t="shared" si="208"/>
        <v>2021</v>
      </c>
      <c r="D6680" s="3">
        <f t="shared" si="209"/>
        <v>202106</v>
      </c>
      <c r="E6680" s="5" t="s">
        <v>8</v>
      </c>
      <c r="F6680" s="5" t="s">
        <v>11</v>
      </c>
      <c r="G6680" s="5" t="s">
        <v>40</v>
      </c>
      <c r="H6680">
        <v>65</v>
      </c>
      <c r="I6680" s="4">
        <v>542360</v>
      </c>
      <c r="J6680" s="4">
        <v>224640</v>
      </c>
    </row>
    <row r="6681" spans="2:10" x14ac:dyDescent="0.3">
      <c r="B6681" s="7">
        <v>44378</v>
      </c>
      <c r="C6681" s="3">
        <f t="shared" si="208"/>
        <v>2021</v>
      </c>
      <c r="D6681" s="3">
        <f t="shared" si="209"/>
        <v>202107</v>
      </c>
      <c r="E6681" s="5" t="s">
        <v>8</v>
      </c>
      <c r="F6681" s="5" t="s">
        <v>11</v>
      </c>
      <c r="G6681" s="5" t="s">
        <v>40</v>
      </c>
      <c r="H6681">
        <v>68</v>
      </c>
      <c r="I6681" s="4">
        <v>462468</v>
      </c>
      <c r="J6681" s="4">
        <v>235008</v>
      </c>
    </row>
    <row r="6682" spans="2:10" x14ac:dyDescent="0.3">
      <c r="B6682" s="7">
        <v>44409</v>
      </c>
      <c r="C6682" s="3">
        <f t="shared" si="208"/>
        <v>2021</v>
      </c>
      <c r="D6682" s="3">
        <f t="shared" si="209"/>
        <v>202108</v>
      </c>
      <c r="E6682" s="5" t="s">
        <v>8</v>
      </c>
      <c r="F6682" s="5" t="s">
        <v>11</v>
      </c>
      <c r="G6682" s="5" t="s">
        <v>40</v>
      </c>
      <c r="H6682">
        <v>58</v>
      </c>
      <c r="I6682" s="4">
        <v>477398</v>
      </c>
      <c r="J6682" s="4">
        <v>200448</v>
      </c>
    </row>
    <row r="6683" spans="2:10" x14ac:dyDescent="0.3">
      <c r="B6683" s="7">
        <v>44440</v>
      </c>
      <c r="C6683" s="3">
        <f t="shared" si="208"/>
        <v>2021</v>
      </c>
      <c r="D6683" s="3">
        <f t="shared" si="209"/>
        <v>202109</v>
      </c>
      <c r="E6683" s="5" t="s">
        <v>8</v>
      </c>
      <c r="F6683" s="5" t="s">
        <v>11</v>
      </c>
      <c r="G6683" s="5" t="s">
        <v>40</v>
      </c>
      <c r="H6683">
        <v>61</v>
      </c>
      <c r="I6683" s="4">
        <v>463234</v>
      </c>
      <c r="J6683" s="4">
        <v>210816</v>
      </c>
    </row>
    <row r="6684" spans="2:10" x14ac:dyDescent="0.3">
      <c r="B6684" s="7">
        <v>44470</v>
      </c>
      <c r="C6684" s="3">
        <f t="shared" si="208"/>
        <v>2021</v>
      </c>
      <c r="D6684" s="3">
        <f t="shared" si="209"/>
        <v>202110</v>
      </c>
      <c r="E6684" s="5" t="s">
        <v>8</v>
      </c>
      <c r="F6684" s="5" t="s">
        <v>11</v>
      </c>
      <c r="G6684" s="5" t="s">
        <v>40</v>
      </c>
      <c r="H6684">
        <v>51</v>
      </c>
      <c r="I6684" s="4">
        <v>454665</v>
      </c>
      <c r="J6684" s="4">
        <v>176256</v>
      </c>
    </row>
    <row r="6685" spans="2:10" x14ac:dyDescent="0.3">
      <c r="B6685" s="7">
        <v>44501</v>
      </c>
      <c r="C6685" s="3">
        <f t="shared" si="208"/>
        <v>2021</v>
      </c>
      <c r="D6685" s="3">
        <f t="shared" si="209"/>
        <v>202111</v>
      </c>
      <c r="E6685" s="5" t="s">
        <v>8</v>
      </c>
      <c r="F6685" s="5" t="s">
        <v>11</v>
      </c>
      <c r="G6685" s="5" t="s">
        <v>40</v>
      </c>
      <c r="H6685">
        <v>36</v>
      </c>
      <c r="I6685" s="4">
        <v>292428</v>
      </c>
      <c r="J6685" s="4">
        <v>124416</v>
      </c>
    </row>
    <row r="6686" spans="2:10" x14ac:dyDescent="0.3">
      <c r="B6686" s="7">
        <v>44531</v>
      </c>
      <c r="C6686" s="3">
        <f t="shared" si="208"/>
        <v>2021</v>
      </c>
      <c r="D6686" s="3">
        <f t="shared" si="209"/>
        <v>202112</v>
      </c>
      <c r="E6686" s="5" t="s">
        <v>8</v>
      </c>
      <c r="F6686" s="5" t="s">
        <v>11</v>
      </c>
      <c r="G6686" s="5" t="s">
        <v>40</v>
      </c>
      <c r="H6686">
        <v>43</v>
      </c>
      <c r="I6686" s="4">
        <v>333637</v>
      </c>
      <c r="J6686" s="4">
        <v>148608</v>
      </c>
    </row>
    <row r="6687" spans="2:10" x14ac:dyDescent="0.3">
      <c r="B6687" s="7">
        <v>44562</v>
      </c>
      <c r="C6687" s="3">
        <f t="shared" si="208"/>
        <v>2022</v>
      </c>
      <c r="D6687" s="3">
        <f t="shared" si="209"/>
        <v>202201</v>
      </c>
      <c r="E6687" s="5" t="s">
        <v>8</v>
      </c>
      <c r="F6687" s="5" t="s">
        <v>11</v>
      </c>
      <c r="G6687" s="5" t="s">
        <v>40</v>
      </c>
      <c r="H6687">
        <v>63</v>
      </c>
      <c r="I6687" s="4">
        <v>529893</v>
      </c>
      <c r="J6687" s="4">
        <v>217728</v>
      </c>
    </row>
    <row r="6688" spans="2:10" x14ac:dyDescent="0.3">
      <c r="B6688" s="7">
        <v>44593</v>
      </c>
      <c r="C6688" s="3">
        <f t="shared" si="208"/>
        <v>2022</v>
      </c>
      <c r="D6688" s="3">
        <f t="shared" si="209"/>
        <v>202202</v>
      </c>
      <c r="E6688" s="5" t="s">
        <v>8</v>
      </c>
      <c r="F6688" s="5" t="s">
        <v>11</v>
      </c>
      <c r="G6688" s="5" t="s">
        <v>40</v>
      </c>
      <c r="H6688">
        <v>40</v>
      </c>
      <c r="I6688" s="4">
        <v>357520</v>
      </c>
      <c r="J6688" s="4">
        <v>138240</v>
      </c>
    </row>
    <row r="6689" spans="2:10" x14ac:dyDescent="0.3">
      <c r="B6689" s="7">
        <v>44621</v>
      </c>
      <c r="C6689" s="3">
        <f t="shared" si="208"/>
        <v>2022</v>
      </c>
      <c r="D6689" s="3">
        <f t="shared" si="209"/>
        <v>202203</v>
      </c>
      <c r="E6689" s="5" t="s">
        <v>8</v>
      </c>
      <c r="F6689" s="5" t="s">
        <v>11</v>
      </c>
      <c r="G6689" s="5" t="s">
        <v>40</v>
      </c>
      <c r="H6689">
        <v>32</v>
      </c>
      <c r="I6689" s="4">
        <v>242944</v>
      </c>
      <c r="J6689" s="4">
        <v>110592</v>
      </c>
    </row>
    <row r="6690" spans="2:10" x14ac:dyDescent="0.3">
      <c r="B6690" s="7">
        <v>44652</v>
      </c>
      <c r="C6690" s="3">
        <f t="shared" si="208"/>
        <v>2022</v>
      </c>
      <c r="D6690" s="3">
        <f t="shared" si="209"/>
        <v>202204</v>
      </c>
      <c r="E6690" s="5" t="s">
        <v>8</v>
      </c>
      <c r="F6690" s="5" t="s">
        <v>11</v>
      </c>
      <c r="G6690" s="5" t="s">
        <v>40</v>
      </c>
      <c r="H6690">
        <v>59</v>
      </c>
      <c r="I6690" s="4">
        <v>550824</v>
      </c>
      <c r="J6690" s="4">
        <v>203904</v>
      </c>
    </row>
    <row r="6691" spans="2:10" x14ac:dyDescent="0.3">
      <c r="B6691" s="7">
        <v>44682</v>
      </c>
      <c r="C6691" s="3">
        <f t="shared" si="208"/>
        <v>2022</v>
      </c>
      <c r="D6691" s="3">
        <f t="shared" si="209"/>
        <v>202205</v>
      </c>
      <c r="E6691" s="5" t="s">
        <v>8</v>
      </c>
      <c r="F6691" s="5" t="s">
        <v>11</v>
      </c>
      <c r="G6691" s="5" t="s">
        <v>40</v>
      </c>
      <c r="H6691">
        <v>75</v>
      </c>
      <c r="I6691" s="4">
        <v>714900</v>
      </c>
      <c r="J6691" s="4">
        <v>259200</v>
      </c>
    </row>
    <row r="6692" spans="2:10" x14ac:dyDescent="0.3">
      <c r="B6692" s="7">
        <v>44713</v>
      </c>
      <c r="C6692" s="3">
        <f t="shared" si="208"/>
        <v>2022</v>
      </c>
      <c r="D6692" s="3">
        <f t="shared" si="209"/>
        <v>202206</v>
      </c>
      <c r="E6692" s="5" t="s">
        <v>8</v>
      </c>
      <c r="F6692" s="5" t="s">
        <v>11</v>
      </c>
      <c r="G6692" s="5" t="s">
        <v>40</v>
      </c>
      <c r="H6692">
        <v>71</v>
      </c>
      <c r="I6692" s="4">
        <v>604068</v>
      </c>
      <c r="J6692" s="4">
        <v>245376</v>
      </c>
    </row>
    <row r="6693" spans="2:10" x14ac:dyDescent="0.3">
      <c r="B6693" s="7">
        <v>44743</v>
      </c>
      <c r="C6693" s="3">
        <f t="shared" si="208"/>
        <v>2022</v>
      </c>
      <c r="D6693" s="3">
        <f t="shared" si="209"/>
        <v>202207</v>
      </c>
      <c r="E6693" s="5" t="s">
        <v>8</v>
      </c>
      <c r="F6693" s="5" t="s">
        <v>11</v>
      </c>
      <c r="G6693" s="5" t="s">
        <v>40</v>
      </c>
      <c r="H6693">
        <v>75</v>
      </c>
      <c r="I6693" s="4">
        <v>531900</v>
      </c>
      <c r="J6693" s="4">
        <v>259200</v>
      </c>
    </row>
    <row r="6694" spans="2:10" x14ac:dyDescent="0.3">
      <c r="B6694" s="7">
        <v>44774</v>
      </c>
      <c r="C6694" s="3">
        <f t="shared" si="208"/>
        <v>2022</v>
      </c>
      <c r="D6694" s="3">
        <f t="shared" si="209"/>
        <v>202208</v>
      </c>
      <c r="E6694" s="5" t="s">
        <v>8</v>
      </c>
      <c r="F6694" s="5" t="s">
        <v>11</v>
      </c>
      <c r="G6694" s="5" t="s">
        <v>40</v>
      </c>
      <c r="H6694">
        <v>63</v>
      </c>
      <c r="I6694" s="4">
        <v>505071</v>
      </c>
      <c r="J6694" s="4">
        <v>217728</v>
      </c>
    </row>
    <row r="6695" spans="2:10" x14ac:dyDescent="0.3">
      <c r="B6695" s="7">
        <v>44805</v>
      </c>
      <c r="C6695" s="3">
        <f t="shared" si="208"/>
        <v>2022</v>
      </c>
      <c r="D6695" s="3">
        <f t="shared" si="209"/>
        <v>202209</v>
      </c>
      <c r="E6695" s="5" t="s">
        <v>8</v>
      </c>
      <c r="F6695" s="5" t="s">
        <v>11</v>
      </c>
      <c r="G6695" s="5" t="s">
        <v>40</v>
      </c>
      <c r="H6695">
        <v>67</v>
      </c>
      <c r="I6695" s="4">
        <v>577942</v>
      </c>
      <c r="J6695" s="4">
        <v>231552</v>
      </c>
    </row>
    <row r="6696" spans="2:10" x14ac:dyDescent="0.3">
      <c r="B6696" s="7">
        <v>44835</v>
      </c>
      <c r="C6696" s="3">
        <f t="shared" si="208"/>
        <v>2022</v>
      </c>
      <c r="D6696" s="3">
        <f t="shared" si="209"/>
        <v>202210</v>
      </c>
      <c r="E6696" s="5" t="s">
        <v>8</v>
      </c>
      <c r="F6696" s="5" t="s">
        <v>11</v>
      </c>
      <c r="G6696" s="5" t="s">
        <v>40</v>
      </c>
      <c r="H6696">
        <v>56</v>
      </c>
      <c r="I6696" s="4">
        <v>465192</v>
      </c>
      <c r="J6696" s="4">
        <v>193536</v>
      </c>
    </row>
    <row r="6697" spans="2:10" x14ac:dyDescent="0.3">
      <c r="B6697" s="7">
        <v>44866</v>
      </c>
      <c r="C6697" s="3">
        <f t="shared" si="208"/>
        <v>2022</v>
      </c>
      <c r="D6697" s="3">
        <f t="shared" si="209"/>
        <v>202211</v>
      </c>
      <c r="E6697" s="5" t="s">
        <v>8</v>
      </c>
      <c r="F6697" s="5" t="s">
        <v>11</v>
      </c>
      <c r="G6697" s="5" t="s">
        <v>40</v>
      </c>
      <c r="H6697">
        <v>40</v>
      </c>
      <c r="I6697" s="4">
        <v>347640</v>
      </c>
      <c r="J6697" s="4">
        <v>138240</v>
      </c>
    </row>
    <row r="6698" spans="2:10" x14ac:dyDescent="0.3">
      <c r="B6698" s="7">
        <v>44896</v>
      </c>
      <c r="C6698" s="3">
        <f t="shared" si="208"/>
        <v>2022</v>
      </c>
      <c r="D6698" s="3">
        <f t="shared" si="209"/>
        <v>202212</v>
      </c>
      <c r="E6698" s="5" t="s">
        <v>8</v>
      </c>
      <c r="F6698" s="5" t="s">
        <v>11</v>
      </c>
      <c r="G6698" s="5" t="s">
        <v>40</v>
      </c>
      <c r="H6698">
        <v>48</v>
      </c>
      <c r="I6698" s="4">
        <v>411264</v>
      </c>
      <c r="J6698" s="4">
        <v>165888</v>
      </c>
    </row>
    <row r="6699" spans="2:10" x14ac:dyDescent="0.3">
      <c r="B6699" s="7">
        <v>44197</v>
      </c>
      <c r="C6699" s="3">
        <f t="shared" si="208"/>
        <v>2021</v>
      </c>
      <c r="D6699" s="3">
        <f t="shared" si="209"/>
        <v>202101</v>
      </c>
      <c r="E6699" s="5" t="s">
        <v>8</v>
      </c>
      <c r="F6699" s="5" t="s">
        <v>11</v>
      </c>
      <c r="G6699" s="5" t="s">
        <v>41</v>
      </c>
      <c r="H6699">
        <v>59</v>
      </c>
      <c r="I6699" s="4">
        <v>637908</v>
      </c>
      <c r="J6699" s="4">
        <v>306033</v>
      </c>
    </row>
    <row r="6700" spans="2:10" x14ac:dyDescent="0.3">
      <c r="B6700" s="7">
        <v>44228</v>
      </c>
      <c r="C6700" s="3">
        <f t="shared" si="208"/>
        <v>2021</v>
      </c>
      <c r="D6700" s="3">
        <f t="shared" si="209"/>
        <v>202102</v>
      </c>
      <c r="E6700" s="5" t="s">
        <v>8</v>
      </c>
      <c r="F6700" s="5" t="s">
        <v>11</v>
      </c>
      <c r="G6700" s="5" t="s">
        <v>41</v>
      </c>
      <c r="H6700">
        <v>37</v>
      </c>
      <c r="I6700" s="4">
        <v>416805</v>
      </c>
      <c r="J6700" s="4">
        <v>191919</v>
      </c>
    </row>
    <row r="6701" spans="2:10" x14ac:dyDescent="0.3">
      <c r="B6701" s="7">
        <v>44256</v>
      </c>
      <c r="C6701" s="3">
        <f t="shared" si="208"/>
        <v>2021</v>
      </c>
      <c r="D6701" s="3">
        <f t="shared" si="209"/>
        <v>202103</v>
      </c>
      <c r="E6701" s="5" t="s">
        <v>8</v>
      </c>
      <c r="F6701" s="5" t="s">
        <v>11</v>
      </c>
      <c r="G6701" s="5" t="s">
        <v>41</v>
      </c>
      <c r="H6701">
        <v>30</v>
      </c>
      <c r="I6701" s="4">
        <v>287130</v>
      </c>
      <c r="J6701" s="4">
        <v>155610</v>
      </c>
    </row>
    <row r="6702" spans="2:10" x14ac:dyDescent="0.3">
      <c r="B6702" s="7">
        <v>44287</v>
      </c>
      <c r="C6702" s="3">
        <f t="shared" si="208"/>
        <v>2021</v>
      </c>
      <c r="D6702" s="3">
        <f t="shared" si="209"/>
        <v>202104</v>
      </c>
      <c r="E6702" s="5" t="s">
        <v>8</v>
      </c>
      <c r="F6702" s="5" t="s">
        <v>11</v>
      </c>
      <c r="G6702" s="5" t="s">
        <v>41</v>
      </c>
      <c r="H6702">
        <v>56</v>
      </c>
      <c r="I6702" s="4">
        <v>610680</v>
      </c>
      <c r="J6702" s="4">
        <v>290472</v>
      </c>
    </row>
    <row r="6703" spans="2:10" x14ac:dyDescent="0.3">
      <c r="B6703" s="7">
        <v>44317</v>
      </c>
      <c r="C6703" s="3">
        <f t="shared" si="208"/>
        <v>2021</v>
      </c>
      <c r="D6703" s="3">
        <f t="shared" si="209"/>
        <v>202105</v>
      </c>
      <c r="E6703" s="5" t="s">
        <v>8</v>
      </c>
      <c r="F6703" s="5" t="s">
        <v>11</v>
      </c>
      <c r="G6703" s="5" t="s">
        <v>41</v>
      </c>
      <c r="H6703">
        <v>71</v>
      </c>
      <c r="I6703" s="4">
        <v>806702</v>
      </c>
      <c r="J6703" s="4">
        <v>368277</v>
      </c>
    </row>
    <row r="6704" spans="2:10" x14ac:dyDescent="0.3">
      <c r="B6704" s="7">
        <v>44348</v>
      </c>
      <c r="C6704" s="3">
        <f t="shared" si="208"/>
        <v>2021</v>
      </c>
      <c r="D6704" s="3">
        <f t="shared" si="209"/>
        <v>202106</v>
      </c>
      <c r="E6704" s="5" t="s">
        <v>8</v>
      </c>
      <c r="F6704" s="5" t="s">
        <v>11</v>
      </c>
      <c r="G6704" s="5" t="s">
        <v>41</v>
      </c>
      <c r="H6704">
        <v>67</v>
      </c>
      <c r="I6704" s="4">
        <v>694924</v>
      </c>
      <c r="J6704" s="4">
        <v>347529</v>
      </c>
    </row>
    <row r="6705" spans="2:10" x14ac:dyDescent="0.3">
      <c r="B6705" s="7">
        <v>44378</v>
      </c>
      <c r="C6705" s="3">
        <f t="shared" si="208"/>
        <v>2021</v>
      </c>
      <c r="D6705" s="3">
        <f t="shared" si="209"/>
        <v>202107</v>
      </c>
      <c r="E6705" s="5" t="s">
        <v>8</v>
      </c>
      <c r="F6705" s="5" t="s">
        <v>11</v>
      </c>
      <c r="G6705" s="5" t="s">
        <v>41</v>
      </c>
      <c r="H6705">
        <v>71</v>
      </c>
      <c r="I6705" s="4">
        <v>628279</v>
      </c>
      <c r="J6705" s="4">
        <v>368277</v>
      </c>
    </row>
    <row r="6706" spans="2:10" x14ac:dyDescent="0.3">
      <c r="B6706" s="7">
        <v>44409</v>
      </c>
      <c r="C6706" s="3">
        <f t="shared" si="208"/>
        <v>2021</v>
      </c>
      <c r="D6706" s="3">
        <f t="shared" si="209"/>
        <v>202108</v>
      </c>
      <c r="E6706" s="5" t="s">
        <v>8</v>
      </c>
      <c r="F6706" s="5" t="s">
        <v>11</v>
      </c>
      <c r="G6706" s="5" t="s">
        <v>41</v>
      </c>
      <c r="H6706">
        <v>59</v>
      </c>
      <c r="I6706" s="4">
        <v>584041</v>
      </c>
      <c r="J6706" s="4">
        <v>306033</v>
      </c>
    </row>
    <row r="6707" spans="2:10" x14ac:dyDescent="0.3">
      <c r="B6707" s="7">
        <v>44440</v>
      </c>
      <c r="C6707" s="3">
        <f t="shared" si="208"/>
        <v>2021</v>
      </c>
      <c r="D6707" s="3">
        <f t="shared" si="209"/>
        <v>202109</v>
      </c>
      <c r="E6707" s="5" t="s">
        <v>8</v>
      </c>
      <c r="F6707" s="5" t="s">
        <v>11</v>
      </c>
      <c r="G6707" s="5" t="s">
        <v>41</v>
      </c>
      <c r="H6707">
        <v>63</v>
      </c>
      <c r="I6707" s="4">
        <v>626409</v>
      </c>
      <c r="J6707" s="4">
        <v>326781</v>
      </c>
    </row>
    <row r="6708" spans="2:10" x14ac:dyDescent="0.3">
      <c r="B6708" s="7">
        <v>44470</v>
      </c>
      <c r="C6708" s="3">
        <f t="shared" si="208"/>
        <v>2021</v>
      </c>
      <c r="D6708" s="3">
        <f t="shared" si="209"/>
        <v>202110</v>
      </c>
      <c r="E6708" s="5" t="s">
        <v>8</v>
      </c>
      <c r="F6708" s="5" t="s">
        <v>11</v>
      </c>
      <c r="G6708" s="5" t="s">
        <v>41</v>
      </c>
      <c r="H6708">
        <v>52</v>
      </c>
      <c r="I6708" s="4">
        <v>540540</v>
      </c>
      <c r="J6708" s="4">
        <v>269724</v>
      </c>
    </row>
    <row r="6709" spans="2:10" x14ac:dyDescent="0.3">
      <c r="B6709" s="7">
        <v>44501</v>
      </c>
      <c r="C6709" s="3">
        <f t="shared" si="208"/>
        <v>2021</v>
      </c>
      <c r="D6709" s="3">
        <f t="shared" si="209"/>
        <v>202111</v>
      </c>
      <c r="E6709" s="5" t="s">
        <v>8</v>
      </c>
      <c r="F6709" s="5" t="s">
        <v>11</v>
      </c>
      <c r="G6709" s="5" t="s">
        <v>41</v>
      </c>
      <c r="H6709">
        <v>37</v>
      </c>
      <c r="I6709" s="4">
        <v>364339</v>
      </c>
      <c r="J6709" s="4">
        <v>191919</v>
      </c>
    </row>
    <row r="6710" spans="2:10" x14ac:dyDescent="0.3">
      <c r="B6710" s="7">
        <v>44531</v>
      </c>
      <c r="C6710" s="3">
        <f t="shared" si="208"/>
        <v>2021</v>
      </c>
      <c r="D6710" s="3">
        <f t="shared" si="209"/>
        <v>202112</v>
      </c>
      <c r="E6710" s="5" t="s">
        <v>8</v>
      </c>
      <c r="F6710" s="5" t="s">
        <v>11</v>
      </c>
      <c r="G6710" s="5" t="s">
        <v>41</v>
      </c>
      <c r="H6710">
        <v>45</v>
      </c>
      <c r="I6710" s="4">
        <v>442530</v>
      </c>
      <c r="J6710" s="4">
        <v>233415</v>
      </c>
    </row>
    <row r="6711" spans="2:10" x14ac:dyDescent="0.3">
      <c r="B6711" s="7">
        <v>44562</v>
      </c>
      <c r="C6711" s="3">
        <f t="shared" si="208"/>
        <v>2022</v>
      </c>
      <c r="D6711" s="3">
        <f t="shared" si="209"/>
        <v>202201</v>
      </c>
      <c r="E6711" s="5" t="s">
        <v>8</v>
      </c>
      <c r="F6711" s="5" t="s">
        <v>11</v>
      </c>
      <c r="G6711" s="5" t="s">
        <v>41</v>
      </c>
      <c r="H6711">
        <v>65</v>
      </c>
      <c r="I6711" s="4">
        <v>679380</v>
      </c>
      <c r="J6711" s="4">
        <v>337155</v>
      </c>
    </row>
    <row r="6712" spans="2:10" x14ac:dyDescent="0.3">
      <c r="B6712" s="7">
        <v>44593</v>
      </c>
      <c r="C6712" s="3">
        <f t="shared" si="208"/>
        <v>2022</v>
      </c>
      <c r="D6712" s="3">
        <f t="shared" si="209"/>
        <v>202202</v>
      </c>
      <c r="E6712" s="5" t="s">
        <v>8</v>
      </c>
      <c r="F6712" s="5" t="s">
        <v>11</v>
      </c>
      <c r="G6712" s="5" t="s">
        <v>41</v>
      </c>
      <c r="H6712">
        <v>41</v>
      </c>
      <c r="I6712" s="4">
        <v>418610</v>
      </c>
      <c r="J6712" s="4">
        <v>212667</v>
      </c>
    </row>
    <row r="6713" spans="2:10" x14ac:dyDescent="0.3">
      <c r="B6713" s="7">
        <v>44621</v>
      </c>
      <c r="C6713" s="3">
        <f t="shared" si="208"/>
        <v>2022</v>
      </c>
      <c r="D6713" s="3">
        <f t="shared" si="209"/>
        <v>202203</v>
      </c>
      <c r="E6713" s="5" t="s">
        <v>8</v>
      </c>
      <c r="F6713" s="5" t="s">
        <v>11</v>
      </c>
      <c r="G6713" s="5" t="s">
        <v>41</v>
      </c>
      <c r="H6713">
        <v>33</v>
      </c>
      <c r="I6713" s="4">
        <v>324390</v>
      </c>
      <c r="J6713" s="4">
        <v>171171</v>
      </c>
    </row>
    <row r="6714" spans="2:10" x14ac:dyDescent="0.3">
      <c r="B6714" s="7">
        <v>44652</v>
      </c>
      <c r="C6714" s="3">
        <f t="shared" si="208"/>
        <v>2022</v>
      </c>
      <c r="D6714" s="3">
        <f t="shared" si="209"/>
        <v>202204</v>
      </c>
      <c r="E6714" s="5" t="s">
        <v>8</v>
      </c>
      <c r="F6714" s="5" t="s">
        <v>11</v>
      </c>
      <c r="G6714" s="5" t="s">
        <v>41</v>
      </c>
      <c r="H6714">
        <v>61</v>
      </c>
      <c r="I6714" s="4">
        <v>670573</v>
      </c>
      <c r="J6714" s="4">
        <v>316407</v>
      </c>
    </row>
    <row r="6715" spans="2:10" x14ac:dyDescent="0.3">
      <c r="B6715" s="7">
        <v>44682</v>
      </c>
      <c r="C6715" s="3">
        <f t="shared" si="208"/>
        <v>2022</v>
      </c>
      <c r="D6715" s="3">
        <f t="shared" si="209"/>
        <v>202205</v>
      </c>
      <c r="E6715" s="5" t="s">
        <v>8</v>
      </c>
      <c r="F6715" s="5" t="s">
        <v>11</v>
      </c>
      <c r="G6715" s="5" t="s">
        <v>41</v>
      </c>
      <c r="H6715">
        <v>78</v>
      </c>
      <c r="I6715" s="4">
        <v>841776</v>
      </c>
      <c r="J6715" s="4">
        <v>404586</v>
      </c>
    </row>
    <row r="6716" spans="2:10" x14ac:dyDescent="0.3">
      <c r="B6716" s="7">
        <v>44713</v>
      </c>
      <c r="C6716" s="3">
        <f t="shared" si="208"/>
        <v>2022</v>
      </c>
      <c r="D6716" s="3">
        <f t="shared" si="209"/>
        <v>202206</v>
      </c>
      <c r="E6716" s="5" t="s">
        <v>8</v>
      </c>
      <c r="F6716" s="5" t="s">
        <v>11</v>
      </c>
      <c r="G6716" s="5" t="s">
        <v>41</v>
      </c>
      <c r="H6716">
        <v>73</v>
      </c>
      <c r="I6716" s="4">
        <v>804533</v>
      </c>
      <c r="J6716" s="4">
        <v>378651</v>
      </c>
    </row>
    <row r="6717" spans="2:10" x14ac:dyDescent="0.3">
      <c r="B6717" s="7">
        <v>44743</v>
      </c>
      <c r="C6717" s="3">
        <f t="shared" si="208"/>
        <v>2022</v>
      </c>
      <c r="D6717" s="3">
        <f t="shared" si="209"/>
        <v>202207</v>
      </c>
      <c r="E6717" s="5" t="s">
        <v>8</v>
      </c>
      <c r="F6717" s="5" t="s">
        <v>11</v>
      </c>
      <c r="G6717" s="5" t="s">
        <v>41</v>
      </c>
      <c r="H6717">
        <v>78</v>
      </c>
      <c r="I6717" s="4">
        <v>742326</v>
      </c>
      <c r="J6717" s="4">
        <v>404586</v>
      </c>
    </row>
    <row r="6718" spans="2:10" x14ac:dyDescent="0.3">
      <c r="B6718" s="7">
        <v>44774</v>
      </c>
      <c r="C6718" s="3">
        <f t="shared" si="208"/>
        <v>2022</v>
      </c>
      <c r="D6718" s="3">
        <f t="shared" si="209"/>
        <v>202208</v>
      </c>
      <c r="E6718" s="5" t="s">
        <v>8</v>
      </c>
      <c r="F6718" s="5" t="s">
        <v>11</v>
      </c>
      <c r="G6718" s="5" t="s">
        <v>41</v>
      </c>
      <c r="H6718">
        <v>65</v>
      </c>
      <c r="I6718" s="4">
        <v>623090</v>
      </c>
      <c r="J6718" s="4">
        <v>337155</v>
      </c>
    </row>
    <row r="6719" spans="2:10" x14ac:dyDescent="0.3">
      <c r="B6719" s="7">
        <v>44805</v>
      </c>
      <c r="C6719" s="3">
        <f t="shared" si="208"/>
        <v>2022</v>
      </c>
      <c r="D6719" s="3">
        <f t="shared" si="209"/>
        <v>202209</v>
      </c>
      <c r="E6719" s="5" t="s">
        <v>8</v>
      </c>
      <c r="F6719" s="5" t="s">
        <v>11</v>
      </c>
      <c r="G6719" s="5" t="s">
        <v>41</v>
      </c>
      <c r="H6719">
        <v>69</v>
      </c>
      <c r="I6719" s="4">
        <v>714909</v>
      </c>
      <c r="J6719" s="4">
        <v>357903</v>
      </c>
    </row>
    <row r="6720" spans="2:10" x14ac:dyDescent="0.3">
      <c r="B6720" s="7">
        <v>44835</v>
      </c>
      <c r="C6720" s="3">
        <f t="shared" si="208"/>
        <v>2022</v>
      </c>
      <c r="D6720" s="3">
        <f t="shared" si="209"/>
        <v>202210</v>
      </c>
      <c r="E6720" s="5" t="s">
        <v>8</v>
      </c>
      <c r="F6720" s="5" t="s">
        <v>11</v>
      </c>
      <c r="G6720" s="5" t="s">
        <v>41</v>
      </c>
      <c r="H6720">
        <v>57</v>
      </c>
      <c r="I6720" s="4">
        <v>621642</v>
      </c>
      <c r="J6720" s="4">
        <v>295659</v>
      </c>
    </row>
    <row r="6721" spans="2:10" x14ac:dyDescent="0.3">
      <c r="B6721" s="7">
        <v>44866</v>
      </c>
      <c r="C6721" s="3">
        <f t="shared" si="208"/>
        <v>2022</v>
      </c>
      <c r="D6721" s="3">
        <f t="shared" si="209"/>
        <v>202211</v>
      </c>
      <c r="E6721" s="5" t="s">
        <v>8</v>
      </c>
      <c r="F6721" s="5" t="s">
        <v>11</v>
      </c>
      <c r="G6721" s="5" t="s">
        <v>41</v>
      </c>
      <c r="H6721">
        <v>41</v>
      </c>
      <c r="I6721" s="4">
        <v>416642</v>
      </c>
      <c r="J6721" s="4">
        <v>212667</v>
      </c>
    </row>
    <row r="6722" spans="2:10" x14ac:dyDescent="0.3">
      <c r="B6722" s="7">
        <v>44896</v>
      </c>
      <c r="C6722" s="3">
        <f t="shared" si="208"/>
        <v>2022</v>
      </c>
      <c r="D6722" s="3">
        <f t="shared" si="209"/>
        <v>202212</v>
      </c>
      <c r="E6722" s="5" t="s">
        <v>8</v>
      </c>
      <c r="F6722" s="5" t="s">
        <v>11</v>
      </c>
      <c r="G6722" s="5" t="s">
        <v>41</v>
      </c>
      <c r="H6722">
        <v>49</v>
      </c>
      <c r="I6722" s="4">
        <v>480592</v>
      </c>
      <c r="J6722" s="4">
        <v>254163</v>
      </c>
    </row>
    <row r="6723" spans="2:10" x14ac:dyDescent="0.3">
      <c r="B6723" s="7">
        <v>44197</v>
      </c>
      <c r="C6723" s="3">
        <f t="shared" ref="C6723:C6786" si="210">YEAR(B6723)</f>
        <v>2021</v>
      </c>
      <c r="D6723" s="3">
        <f t="shared" ref="D6723:D6786" si="211">VALUE(TEXT(B6723,"ГГГГММ"))</f>
        <v>202101</v>
      </c>
      <c r="E6723" s="5" t="s">
        <v>8</v>
      </c>
      <c r="F6723" s="5" t="s">
        <v>12</v>
      </c>
      <c r="G6723" s="5" t="s">
        <v>42</v>
      </c>
      <c r="H6723">
        <v>64</v>
      </c>
      <c r="I6723" s="4">
        <v>839872</v>
      </c>
      <c r="J6723" s="4">
        <v>384000</v>
      </c>
    </row>
    <row r="6724" spans="2:10" x14ac:dyDescent="0.3">
      <c r="B6724" s="7">
        <v>44228</v>
      </c>
      <c r="C6724" s="3">
        <f t="shared" si="210"/>
        <v>2021</v>
      </c>
      <c r="D6724" s="3">
        <f t="shared" si="211"/>
        <v>202102</v>
      </c>
      <c r="E6724" s="5" t="s">
        <v>8</v>
      </c>
      <c r="F6724" s="5" t="s">
        <v>12</v>
      </c>
      <c r="G6724" s="5" t="s">
        <v>42</v>
      </c>
      <c r="H6724">
        <v>40</v>
      </c>
      <c r="I6724" s="4">
        <v>524320</v>
      </c>
      <c r="J6724" s="4">
        <v>240000</v>
      </c>
    </row>
    <row r="6725" spans="2:10" x14ac:dyDescent="0.3">
      <c r="B6725" s="7">
        <v>44256</v>
      </c>
      <c r="C6725" s="3">
        <f t="shared" si="210"/>
        <v>2021</v>
      </c>
      <c r="D6725" s="3">
        <f t="shared" si="211"/>
        <v>202103</v>
      </c>
      <c r="E6725" s="5" t="s">
        <v>8</v>
      </c>
      <c r="F6725" s="5" t="s">
        <v>12</v>
      </c>
      <c r="G6725" s="5" t="s">
        <v>42</v>
      </c>
      <c r="H6725">
        <v>32</v>
      </c>
      <c r="I6725" s="4">
        <v>413120</v>
      </c>
      <c r="J6725" s="4">
        <v>192000</v>
      </c>
    </row>
    <row r="6726" spans="2:10" x14ac:dyDescent="0.3">
      <c r="B6726" s="7">
        <v>44287</v>
      </c>
      <c r="C6726" s="3">
        <f t="shared" si="210"/>
        <v>2021</v>
      </c>
      <c r="D6726" s="3">
        <f t="shared" si="211"/>
        <v>202104</v>
      </c>
      <c r="E6726" s="5" t="s">
        <v>8</v>
      </c>
      <c r="F6726" s="5" t="s">
        <v>12</v>
      </c>
      <c r="G6726" s="5" t="s">
        <v>42</v>
      </c>
      <c r="H6726">
        <v>60</v>
      </c>
      <c r="I6726" s="4">
        <v>831180</v>
      </c>
      <c r="J6726" s="4">
        <v>360000</v>
      </c>
    </row>
    <row r="6727" spans="2:10" x14ac:dyDescent="0.3">
      <c r="B6727" s="7">
        <v>44317</v>
      </c>
      <c r="C6727" s="3">
        <f t="shared" si="210"/>
        <v>2021</v>
      </c>
      <c r="D6727" s="3">
        <f t="shared" si="211"/>
        <v>202105</v>
      </c>
      <c r="E6727" s="5" t="s">
        <v>8</v>
      </c>
      <c r="F6727" s="5" t="s">
        <v>12</v>
      </c>
      <c r="G6727" s="5" t="s">
        <v>42</v>
      </c>
      <c r="H6727">
        <v>76</v>
      </c>
      <c r="I6727" s="4">
        <v>1104660</v>
      </c>
      <c r="J6727" s="4">
        <v>456000</v>
      </c>
    </row>
    <row r="6728" spans="2:10" x14ac:dyDescent="0.3">
      <c r="B6728" s="7">
        <v>44348</v>
      </c>
      <c r="C6728" s="3">
        <f t="shared" si="210"/>
        <v>2021</v>
      </c>
      <c r="D6728" s="3">
        <f t="shared" si="211"/>
        <v>202106</v>
      </c>
      <c r="E6728" s="5" t="s">
        <v>8</v>
      </c>
      <c r="F6728" s="5" t="s">
        <v>12</v>
      </c>
      <c r="G6728" s="5" t="s">
        <v>42</v>
      </c>
      <c r="H6728">
        <v>72</v>
      </c>
      <c r="I6728" s="4">
        <v>939168</v>
      </c>
      <c r="J6728" s="4">
        <v>432000</v>
      </c>
    </row>
    <row r="6729" spans="2:10" x14ac:dyDescent="0.3">
      <c r="B6729" s="7">
        <v>44378</v>
      </c>
      <c r="C6729" s="3">
        <f t="shared" si="210"/>
        <v>2021</v>
      </c>
      <c r="D6729" s="3">
        <f t="shared" si="211"/>
        <v>202107</v>
      </c>
      <c r="E6729" s="5" t="s">
        <v>8</v>
      </c>
      <c r="F6729" s="5" t="s">
        <v>12</v>
      </c>
      <c r="G6729" s="5" t="s">
        <v>42</v>
      </c>
      <c r="H6729">
        <v>76</v>
      </c>
      <c r="I6729" s="4">
        <v>872556</v>
      </c>
      <c r="J6729" s="4">
        <v>456000</v>
      </c>
    </row>
    <row r="6730" spans="2:10" x14ac:dyDescent="0.3">
      <c r="B6730" s="7">
        <v>44409</v>
      </c>
      <c r="C6730" s="3">
        <f t="shared" si="210"/>
        <v>2021</v>
      </c>
      <c r="D6730" s="3">
        <f t="shared" si="211"/>
        <v>202108</v>
      </c>
      <c r="E6730" s="5" t="s">
        <v>8</v>
      </c>
      <c r="F6730" s="5" t="s">
        <v>12</v>
      </c>
      <c r="G6730" s="5" t="s">
        <v>42</v>
      </c>
      <c r="H6730">
        <v>64</v>
      </c>
      <c r="I6730" s="4">
        <v>835840</v>
      </c>
      <c r="J6730" s="4">
        <v>384000</v>
      </c>
    </row>
    <row r="6731" spans="2:10" x14ac:dyDescent="0.3">
      <c r="B6731" s="7">
        <v>44440</v>
      </c>
      <c r="C6731" s="3">
        <f t="shared" si="210"/>
        <v>2021</v>
      </c>
      <c r="D6731" s="3">
        <f t="shared" si="211"/>
        <v>202109</v>
      </c>
      <c r="E6731" s="5" t="s">
        <v>8</v>
      </c>
      <c r="F6731" s="5" t="s">
        <v>12</v>
      </c>
      <c r="G6731" s="5" t="s">
        <v>42</v>
      </c>
      <c r="H6731">
        <v>68</v>
      </c>
      <c r="I6731" s="4">
        <v>857684</v>
      </c>
      <c r="J6731" s="4">
        <v>408000</v>
      </c>
    </row>
    <row r="6732" spans="2:10" x14ac:dyDescent="0.3">
      <c r="B6732" s="7">
        <v>44470</v>
      </c>
      <c r="C6732" s="3">
        <f t="shared" si="210"/>
        <v>2021</v>
      </c>
      <c r="D6732" s="3">
        <f t="shared" si="211"/>
        <v>202110</v>
      </c>
      <c r="E6732" s="5" t="s">
        <v>8</v>
      </c>
      <c r="F6732" s="5" t="s">
        <v>12</v>
      </c>
      <c r="G6732" s="5" t="s">
        <v>42</v>
      </c>
      <c r="H6732">
        <v>56</v>
      </c>
      <c r="I6732" s="4">
        <v>757848</v>
      </c>
      <c r="J6732" s="4">
        <v>336000</v>
      </c>
    </row>
    <row r="6733" spans="2:10" x14ac:dyDescent="0.3">
      <c r="B6733" s="7">
        <v>44501</v>
      </c>
      <c r="C6733" s="3">
        <f t="shared" si="210"/>
        <v>2021</v>
      </c>
      <c r="D6733" s="3">
        <f t="shared" si="211"/>
        <v>202111</v>
      </c>
      <c r="E6733" s="5" t="s">
        <v>8</v>
      </c>
      <c r="F6733" s="5" t="s">
        <v>12</v>
      </c>
      <c r="G6733" s="5" t="s">
        <v>42</v>
      </c>
      <c r="H6733">
        <v>40</v>
      </c>
      <c r="I6733" s="4">
        <v>518600</v>
      </c>
      <c r="J6733" s="4">
        <v>240000</v>
      </c>
    </row>
    <row r="6734" spans="2:10" x14ac:dyDescent="0.3">
      <c r="B6734" s="7">
        <v>44531</v>
      </c>
      <c r="C6734" s="3">
        <f t="shared" si="210"/>
        <v>2021</v>
      </c>
      <c r="D6734" s="3">
        <f t="shared" si="211"/>
        <v>202112</v>
      </c>
      <c r="E6734" s="5" t="s">
        <v>8</v>
      </c>
      <c r="F6734" s="5" t="s">
        <v>12</v>
      </c>
      <c r="G6734" s="5" t="s">
        <v>42</v>
      </c>
      <c r="H6734">
        <v>48</v>
      </c>
      <c r="I6734" s="4">
        <v>611856</v>
      </c>
      <c r="J6734" s="4">
        <v>288000</v>
      </c>
    </row>
    <row r="6735" spans="2:10" x14ac:dyDescent="0.3">
      <c r="B6735" s="7">
        <v>44562</v>
      </c>
      <c r="C6735" s="3">
        <f t="shared" si="210"/>
        <v>2022</v>
      </c>
      <c r="D6735" s="3">
        <f t="shared" si="211"/>
        <v>202201</v>
      </c>
      <c r="E6735" s="5" t="s">
        <v>8</v>
      </c>
      <c r="F6735" s="5" t="s">
        <v>12</v>
      </c>
      <c r="G6735" s="5" t="s">
        <v>42</v>
      </c>
      <c r="H6735">
        <v>70</v>
      </c>
      <c r="I6735" s="4">
        <v>935130</v>
      </c>
      <c r="J6735" s="4">
        <v>420000</v>
      </c>
    </row>
    <row r="6736" spans="2:10" x14ac:dyDescent="0.3">
      <c r="B6736" s="7">
        <v>44593</v>
      </c>
      <c r="C6736" s="3">
        <f t="shared" si="210"/>
        <v>2022</v>
      </c>
      <c r="D6736" s="3">
        <f t="shared" si="211"/>
        <v>202202</v>
      </c>
      <c r="E6736" s="5" t="s">
        <v>8</v>
      </c>
      <c r="F6736" s="5" t="s">
        <v>12</v>
      </c>
      <c r="G6736" s="5" t="s">
        <v>42</v>
      </c>
      <c r="H6736">
        <v>44</v>
      </c>
      <c r="I6736" s="4">
        <v>600204</v>
      </c>
      <c r="J6736" s="4">
        <v>264000</v>
      </c>
    </row>
    <row r="6737" spans="2:10" x14ac:dyDescent="0.3">
      <c r="B6737" s="7">
        <v>44621</v>
      </c>
      <c r="C6737" s="3">
        <f t="shared" si="210"/>
        <v>2022</v>
      </c>
      <c r="D6737" s="3">
        <f t="shared" si="211"/>
        <v>202203</v>
      </c>
      <c r="E6737" s="5" t="s">
        <v>8</v>
      </c>
      <c r="F6737" s="5" t="s">
        <v>12</v>
      </c>
      <c r="G6737" s="5" t="s">
        <v>42</v>
      </c>
      <c r="H6737">
        <v>35</v>
      </c>
      <c r="I6737" s="4">
        <v>438795</v>
      </c>
      <c r="J6737" s="4">
        <v>210000</v>
      </c>
    </row>
    <row r="6738" spans="2:10" x14ac:dyDescent="0.3">
      <c r="B6738" s="7">
        <v>44652</v>
      </c>
      <c r="C6738" s="3">
        <f t="shared" si="210"/>
        <v>2022</v>
      </c>
      <c r="D6738" s="3">
        <f t="shared" si="211"/>
        <v>202204</v>
      </c>
      <c r="E6738" s="5" t="s">
        <v>8</v>
      </c>
      <c r="F6738" s="5" t="s">
        <v>12</v>
      </c>
      <c r="G6738" s="5" t="s">
        <v>42</v>
      </c>
      <c r="H6738">
        <v>66</v>
      </c>
      <c r="I6738" s="4">
        <v>931524</v>
      </c>
      <c r="J6738" s="4">
        <v>396000</v>
      </c>
    </row>
    <row r="6739" spans="2:10" x14ac:dyDescent="0.3">
      <c r="B6739" s="7">
        <v>44682</v>
      </c>
      <c r="C6739" s="3">
        <f t="shared" si="210"/>
        <v>2022</v>
      </c>
      <c r="D6739" s="3">
        <f t="shared" si="211"/>
        <v>202205</v>
      </c>
      <c r="E6739" s="5" t="s">
        <v>8</v>
      </c>
      <c r="F6739" s="5" t="s">
        <v>12</v>
      </c>
      <c r="G6739" s="5" t="s">
        <v>42</v>
      </c>
      <c r="H6739">
        <v>83</v>
      </c>
      <c r="I6739" s="4">
        <v>1115935</v>
      </c>
      <c r="J6739" s="4">
        <v>498000</v>
      </c>
    </row>
    <row r="6740" spans="2:10" x14ac:dyDescent="0.3">
      <c r="B6740" s="7">
        <v>44713</v>
      </c>
      <c r="C6740" s="3">
        <f t="shared" si="210"/>
        <v>2022</v>
      </c>
      <c r="D6740" s="3">
        <f t="shared" si="211"/>
        <v>202206</v>
      </c>
      <c r="E6740" s="5" t="s">
        <v>8</v>
      </c>
      <c r="F6740" s="5" t="s">
        <v>12</v>
      </c>
      <c r="G6740" s="5" t="s">
        <v>42</v>
      </c>
      <c r="H6740">
        <v>79</v>
      </c>
      <c r="I6740" s="4">
        <v>1074795</v>
      </c>
      <c r="J6740" s="4">
        <v>474000</v>
      </c>
    </row>
    <row r="6741" spans="2:10" x14ac:dyDescent="0.3">
      <c r="B6741" s="7">
        <v>44743</v>
      </c>
      <c r="C6741" s="3">
        <f t="shared" si="210"/>
        <v>2022</v>
      </c>
      <c r="D6741" s="3">
        <f t="shared" si="211"/>
        <v>202207</v>
      </c>
      <c r="E6741" s="5" t="s">
        <v>8</v>
      </c>
      <c r="F6741" s="5" t="s">
        <v>12</v>
      </c>
      <c r="G6741" s="5" t="s">
        <v>42</v>
      </c>
      <c r="H6741">
        <v>83</v>
      </c>
      <c r="I6741" s="4">
        <v>951927</v>
      </c>
      <c r="J6741" s="4">
        <v>498000</v>
      </c>
    </row>
    <row r="6742" spans="2:10" x14ac:dyDescent="0.3">
      <c r="B6742" s="7">
        <v>44774</v>
      </c>
      <c r="C6742" s="3">
        <f t="shared" si="210"/>
        <v>2022</v>
      </c>
      <c r="D6742" s="3">
        <f t="shared" si="211"/>
        <v>202208</v>
      </c>
      <c r="E6742" s="5" t="s">
        <v>8</v>
      </c>
      <c r="F6742" s="5" t="s">
        <v>12</v>
      </c>
      <c r="G6742" s="5" t="s">
        <v>42</v>
      </c>
      <c r="H6742">
        <v>70</v>
      </c>
      <c r="I6742" s="4">
        <v>868210</v>
      </c>
      <c r="J6742" s="4">
        <v>420000</v>
      </c>
    </row>
    <row r="6743" spans="2:10" x14ac:dyDescent="0.3">
      <c r="B6743" s="7">
        <v>44805</v>
      </c>
      <c r="C6743" s="3">
        <f t="shared" si="210"/>
        <v>2022</v>
      </c>
      <c r="D6743" s="3">
        <f t="shared" si="211"/>
        <v>202209</v>
      </c>
      <c r="E6743" s="5" t="s">
        <v>8</v>
      </c>
      <c r="F6743" s="5" t="s">
        <v>12</v>
      </c>
      <c r="G6743" s="5" t="s">
        <v>42</v>
      </c>
      <c r="H6743">
        <v>74</v>
      </c>
      <c r="I6743" s="4">
        <v>919080</v>
      </c>
      <c r="J6743" s="4">
        <v>444000</v>
      </c>
    </row>
    <row r="6744" spans="2:10" x14ac:dyDescent="0.3">
      <c r="B6744" s="7">
        <v>44835</v>
      </c>
      <c r="C6744" s="3">
        <f t="shared" si="210"/>
        <v>2022</v>
      </c>
      <c r="D6744" s="3">
        <f t="shared" si="211"/>
        <v>202210</v>
      </c>
      <c r="E6744" s="5" t="s">
        <v>8</v>
      </c>
      <c r="F6744" s="5" t="s">
        <v>12</v>
      </c>
      <c r="G6744" s="5" t="s">
        <v>42</v>
      </c>
      <c r="H6744">
        <v>61</v>
      </c>
      <c r="I6744" s="4">
        <v>807884</v>
      </c>
      <c r="J6744" s="4">
        <v>366000</v>
      </c>
    </row>
    <row r="6745" spans="2:10" x14ac:dyDescent="0.3">
      <c r="B6745" s="7">
        <v>44866</v>
      </c>
      <c r="C6745" s="3">
        <f t="shared" si="210"/>
        <v>2022</v>
      </c>
      <c r="D6745" s="3">
        <f t="shared" si="211"/>
        <v>202211</v>
      </c>
      <c r="E6745" s="5" t="s">
        <v>8</v>
      </c>
      <c r="F6745" s="5" t="s">
        <v>12</v>
      </c>
      <c r="G6745" s="5" t="s">
        <v>42</v>
      </c>
      <c r="H6745">
        <v>44</v>
      </c>
      <c r="I6745" s="4">
        <v>573804</v>
      </c>
      <c r="J6745" s="4">
        <v>264000</v>
      </c>
    </row>
    <row r="6746" spans="2:10" x14ac:dyDescent="0.3">
      <c r="B6746" s="7">
        <v>44896</v>
      </c>
      <c r="C6746" s="3">
        <f t="shared" si="210"/>
        <v>2022</v>
      </c>
      <c r="D6746" s="3">
        <f t="shared" si="211"/>
        <v>202212</v>
      </c>
      <c r="E6746" s="5" t="s">
        <v>8</v>
      </c>
      <c r="F6746" s="5" t="s">
        <v>12</v>
      </c>
      <c r="G6746" s="5" t="s">
        <v>42</v>
      </c>
      <c r="H6746">
        <v>53</v>
      </c>
      <c r="I6746" s="4">
        <v>689371</v>
      </c>
      <c r="J6746" s="4">
        <v>318000</v>
      </c>
    </row>
    <row r="6747" spans="2:10" x14ac:dyDescent="0.3">
      <c r="B6747" s="7">
        <v>44197</v>
      </c>
      <c r="C6747" s="3">
        <f t="shared" si="210"/>
        <v>2021</v>
      </c>
      <c r="D6747" s="3">
        <f t="shared" si="211"/>
        <v>202101</v>
      </c>
      <c r="E6747" s="5" t="s">
        <v>8</v>
      </c>
      <c r="F6747" s="5" t="s">
        <v>12</v>
      </c>
      <c r="G6747" s="5" t="s">
        <v>43</v>
      </c>
      <c r="H6747">
        <v>46</v>
      </c>
      <c r="I6747" s="4">
        <v>500158</v>
      </c>
      <c r="J6747" s="4">
        <v>244260</v>
      </c>
    </row>
    <row r="6748" spans="2:10" x14ac:dyDescent="0.3">
      <c r="B6748" s="7">
        <v>44228</v>
      </c>
      <c r="C6748" s="3">
        <f t="shared" si="210"/>
        <v>2021</v>
      </c>
      <c r="D6748" s="3">
        <f t="shared" si="211"/>
        <v>202102</v>
      </c>
      <c r="E6748" s="5" t="s">
        <v>8</v>
      </c>
      <c r="F6748" s="5" t="s">
        <v>12</v>
      </c>
      <c r="G6748" s="5" t="s">
        <v>43</v>
      </c>
      <c r="H6748">
        <v>29</v>
      </c>
      <c r="I6748" s="4">
        <v>310242</v>
      </c>
      <c r="J6748" s="4">
        <v>153990</v>
      </c>
    </row>
    <row r="6749" spans="2:10" x14ac:dyDescent="0.3">
      <c r="B6749" s="7">
        <v>44256</v>
      </c>
      <c r="C6749" s="3">
        <f t="shared" si="210"/>
        <v>2021</v>
      </c>
      <c r="D6749" s="3">
        <f t="shared" si="211"/>
        <v>202103</v>
      </c>
      <c r="E6749" s="5" t="s">
        <v>8</v>
      </c>
      <c r="F6749" s="5" t="s">
        <v>12</v>
      </c>
      <c r="G6749" s="5" t="s">
        <v>43</v>
      </c>
      <c r="H6749">
        <v>23</v>
      </c>
      <c r="I6749" s="4">
        <v>225009</v>
      </c>
      <c r="J6749" s="4">
        <v>122130</v>
      </c>
    </row>
    <row r="6750" spans="2:10" x14ac:dyDescent="0.3">
      <c r="B6750" s="7">
        <v>44287</v>
      </c>
      <c r="C6750" s="3">
        <f t="shared" si="210"/>
        <v>2021</v>
      </c>
      <c r="D6750" s="3">
        <f t="shared" si="211"/>
        <v>202104</v>
      </c>
      <c r="E6750" s="5" t="s">
        <v>8</v>
      </c>
      <c r="F6750" s="5" t="s">
        <v>12</v>
      </c>
      <c r="G6750" s="5" t="s">
        <v>43</v>
      </c>
      <c r="H6750">
        <v>43</v>
      </c>
      <c r="I6750" s="4">
        <v>470205</v>
      </c>
      <c r="J6750" s="4">
        <v>228330</v>
      </c>
    </row>
    <row r="6751" spans="2:10" x14ac:dyDescent="0.3">
      <c r="B6751" s="7">
        <v>44317</v>
      </c>
      <c r="C6751" s="3">
        <f t="shared" si="210"/>
        <v>2021</v>
      </c>
      <c r="D6751" s="3">
        <f t="shared" si="211"/>
        <v>202105</v>
      </c>
      <c r="E6751" s="5" t="s">
        <v>8</v>
      </c>
      <c r="F6751" s="5" t="s">
        <v>12</v>
      </c>
      <c r="G6751" s="5" t="s">
        <v>43</v>
      </c>
      <c r="H6751">
        <v>55</v>
      </c>
      <c r="I6751" s="4">
        <v>585640</v>
      </c>
      <c r="J6751" s="4">
        <v>292050</v>
      </c>
    </row>
    <row r="6752" spans="2:10" x14ac:dyDescent="0.3">
      <c r="B6752" s="7">
        <v>44348</v>
      </c>
      <c r="C6752" s="3">
        <f t="shared" si="210"/>
        <v>2021</v>
      </c>
      <c r="D6752" s="3">
        <f t="shared" si="211"/>
        <v>202106</v>
      </c>
      <c r="E6752" s="5" t="s">
        <v>8</v>
      </c>
      <c r="F6752" s="5" t="s">
        <v>12</v>
      </c>
      <c r="G6752" s="5" t="s">
        <v>43</v>
      </c>
      <c r="H6752">
        <v>52</v>
      </c>
      <c r="I6752" s="4">
        <v>521820</v>
      </c>
      <c r="J6752" s="4">
        <v>276120</v>
      </c>
    </row>
    <row r="6753" spans="2:10" x14ac:dyDescent="0.3">
      <c r="B6753" s="7">
        <v>44378</v>
      </c>
      <c r="C6753" s="3">
        <f t="shared" si="210"/>
        <v>2021</v>
      </c>
      <c r="D6753" s="3">
        <f t="shared" si="211"/>
        <v>202107</v>
      </c>
      <c r="E6753" s="5" t="s">
        <v>8</v>
      </c>
      <c r="F6753" s="5" t="s">
        <v>12</v>
      </c>
      <c r="G6753" s="5" t="s">
        <v>43</v>
      </c>
      <c r="H6753">
        <v>55</v>
      </c>
      <c r="I6753" s="4">
        <v>468875</v>
      </c>
      <c r="J6753" s="4">
        <v>292050</v>
      </c>
    </row>
    <row r="6754" spans="2:10" x14ac:dyDescent="0.3">
      <c r="B6754" s="7">
        <v>44409</v>
      </c>
      <c r="C6754" s="3">
        <f t="shared" si="210"/>
        <v>2021</v>
      </c>
      <c r="D6754" s="3">
        <f t="shared" si="211"/>
        <v>202108</v>
      </c>
      <c r="E6754" s="5" t="s">
        <v>8</v>
      </c>
      <c r="F6754" s="5" t="s">
        <v>12</v>
      </c>
      <c r="G6754" s="5" t="s">
        <v>43</v>
      </c>
      <c r="H6754">
        <v>46</v>
      </c>
      <c r="I6754" s="4">
        <v>472420</v>
      </c>
      <c r="J6754" s="4">
        <v>244260</v>
      </c>
    </row>
    <row r="6755" spans="2:10" x14ac:dyDescent="0.3">
      <c r="B6755" s="7">
        <v>44440</v>
      </c>
      <c r="C6755" s="3">
        <f t="shared" si="210"/>
        <v>2021</v>
      </c>
      <c r="D6755" s="3">
        <f t="shared" si="211"/>
        <v>202109</v>
      </c>
      <c r="E6755" s="5" t="s">
        <v>8</v>
      </c>
      <c r="F6755" s="5" t="s">
        <v>12</v>
      </c>
      <c r="G6755" s="5" t="s">
        <v>43</v>
      </c>
      <c r="H6755">
        <v>49</v>
      </c>
      <c r="I6755" s="4">
        <v>479024</v>
      </c>
      <c r="J6755" s="4">
        <v>260190</v>
      </c>
    </row>
    <row r="6756" spans="2:10" x14ac:dyDescent="0.3">
      <c r="B6756" s="7">
        <v>44470</v>
      </c>
      <c r="C6756" s="3">
        <f t="shared" si="210"/>
        <v>2021</v>
      </c>
      <c r="D6756" s="3">
        <f t="shared" si="211"/>
        <v>202110</v>
      </c>
      <c r="E6756" s="5" t="s">
        <v>8</v>
      </c>
      <c r="F6756" s="5" t="s">
        <v>12</v>
      </c>
      <c r="G6756" s="5" t="s">
        <v>43</v>
      </c>
      <c r="H6756">
        <v>41</v>
      </c>
      <c r="I6756" s="4">
        <v>407540</v>
      </c>
      <c r="J6756" s="4">
        <v>217710</v>
      </c>
    </row>
    <row r="6757" spans="2:10" x14ac:dyDescent="0.3">
      <c r="B6757" s="7">
        <v>44501</v>
      </c>
      <c r="C6757" s="3">
        <f t="shared" si="210"/>
        <v>2021</v>
      </c>
      <c r="D6757" s="3">
        <f t="shared" si="211"/>
        <v>202111</v>
      </c>
      <c r="E6757" s="5" t="s">
        <v>8</v>
      </c>
      <c r="F6757" s="5" t="s">
        <v>12</v>
      </c>
      <c r="G6757" s="5" t="s">
        <v>43</v>
      </c>
      <c r="H6757">
        <v>29</v>
      </c>
      <c r="I6757" s="4">
        <v>302963</v>
      </c>
      <c r="J6757" s="4">
        <v>153990</v>
      </c>
    </row>
    <row r="6758" spans="2:10" x14ac:dyDescent="0.3">
      <c r="B6758" s="7">
        <v>44531</v>
      </c>
      <c r="C6758" s="3">
        <f t="shared" si="210"/>
        <v>2021</v>
      </c>
      <c r="D6758" s="3">
        <f t="shared" si="211"/>
        <v>202112</v>
      </c>
      <c r="E6758" s="5" t="s">
        <v>8</v>
      </c>
      <c r="F6758" s="5" t="s">
        <v>12</v>
      </c>
      <c r="G6758" s="5" t="s">
        <v>43</v>
      </c>
      <c r="H6758">
        <v>35</v>
      </c>
      <c r="I6758" s="4">
        <v>332360</v>
      </c>
      <c r="J6758" s="4">
        <v>185850</v>
      </c>
    </row>
    <row r="6759" spans="2:10" x14ac:dyDescent="0.3">
      <c r="B6759" s="7">
        <v>44562</v>
      </c>
      <c r="C6759" s="3">
        <f t="shared" si="210"/>
        <v>2022</v>
      </c>
      <c r="D6759" s="3">
        <f t="shared" si="211"/>
        <v>202201</v>
      </c>
      <c r="E6759" s="5" t="s">
        <v>8</v>
      </c>
      <c r="F6759" s="5" t="s">
        <v>12</v>
      </c>
      <c r="G6759" s="5" t="s">
        <v>43</v>
      </c>
      <c r="H6759">
        <v>51</v>
      </c>
      <c r="I6759" s="4">
        <v>545598</v>
      </c>
      <c r="J6759" s="4">
        <v>270810</v>
      </c>
    </row>
    <row r="6760" spans="2:10" x14ac:dyDescent="0.3">
      <c r="B6760" s="7">
        <v>44593</v>
      </c>
      <c r="C6760" s="3">
        <f t="shared" si="210"/>
        <v>2022</v>
      </c>
      <c r="D6760" s="3">
        <f t="shared" si="211"/>
        <v>202202</v>
      </c>
      <c r="E6760" s="5" t="s">
        <v>8</v>
      </c>
      <c r="F6760" s="5" t="s">
        <v>12</v>
      </c>
      <c r="G6760" s="5" t="s">
        <v>43</v>
      </c>
      <c r="H6760">
        <v>32</v>
      </c>
      <c r="I6760" s="4">
        <v>337952</v>
      </c>
      <c r="J6760" s="4">
        <v>169920</v>
      </c>
    </row>
    <row r="6761" spans="2:10" x14ac:dyDescent="0.3">
      <c r="B6761" s="7">
        <v>44621</v>
      </c>
      <c r="C6761" s="3">
        <f t="shared" si="210"/>
        <v>2022</v>
      </c>
      <c r="D6761" s="3">
        <f t="shared" si="211"/>
        <v>202203</v>
      </c>
      <c r="E6761" s="5" t="s">
        <v>8</v>
      </c>
      <c r="F6761" s="5" t="s">
        <v>12</v>
      </c>
      <c r="G6761" s="5" t="s">
        <v>43</v>
      </c>
      <c r="H6761">
        <v>26</v>
      </c>
      <c r="I6761" s="4">
        <v>255190</v>
      </c>
      <c r="J6761" s="4">
        <v>138060</v>
      </c>
    </row>
    <row r="6762" spans="2:10" x14ac:dyDescent="0.3">
      <c r="B6762" s="7">
        <v>44652</v>
      </c>
      <c r="C6762" s="3">
        <f t="shared" si="210"/>
        <v>2022</v>
      </c>
      <c r="D6762" s="3">
        <f t="shared" si="211"/>
        <v>202204</v>
      </c>
      <c r="E6762" s="5" t="s">
        <v>8</v>
      </c>
      <c r="F6762" s="5" t="s">
        <v>12</v>
      </c>
      <c r="G6762" s="5" t="s">
        <v>43</v>
      </c>
      <c r="H6762">
        <v>48</v>
      </c>
      <c r="I6762" s="4">
        <v>509904</v>
      </c>
      <c r="J6762" s="4">
        <v>254880</v>
      </c>
    </row>
    <row r="6763" spans="2:10" x14ac:dyDescent="0.3">
      <c r="B6763" s="7">
        <v>44682</v>
      </c>
      <c r="C6763" s="3">
        <f t="shared" si="210"/>
        <v>2022</v>
      </c>
      <c r="D6763" s="3">
        <f t="shared" si="211"/>
        <v>202205</v>
      </c>
      <c r="E6763" s="5" t="s">
        <v>8</v>
      </c>
      <c r="F6763" s="5" t="s">
        <v>12</v>
      </c>
      <c r="G6763" s="5" t="s">
        <v>43</v>
      </c>
      <c r="H6763">
        <v>60</v>
      </c>
      <c r="I6763" s="4">
        <v>654540</v>
      </c>
      <c r="J6763" s="4">
        <v>318600</v>
      </c>
    </row>
    <row r="6764" spans="2:10" x14ac:dyDescent="0.3">
      <c r="B6764" s="7">
        <v>44713</v>
      </c>
      <c r="C6764" s="3">
        <f t="shared" si="210"/>
        <v>2022</v>
      </c>
      <c r="D6764" s="3">
        <f t="shared" si="211"/>
        <v>202206</v>
      </c>
      <c r="E6764" s="5" t="s">
        <v>8</v>
      </c>
      <c r="F6764" s="5" t="s">
        <v>12</v>
      </c>
      <c r="G6764" s="5" t="s">
        <v>43</v>
      </c>
      <c r="H6764">
        <v>57</v>
      </c>
      <c r="I6764" s="4">
        <v>599868</v>
      </c>
      <c r="J6764" s="4">
        <v>302670</v>
      </c>
    </row>
    <row r="6765" spans="2:10" x14ac:dyDescent="0.3">
      <c r="B6765" s="7">
        <v>44743</v>
      </c>
      <c r="C6765" s="3">
        <f t="shared" si="210"/>
        <v>2022</v>
      </c>
      <c r="D6765" s="3">
        <f t="shared" si="211"/>
        <v>202207</v>
      </c>
      <c r="E6765" s="5" t="s">
        <v>8</v>
      </c>
      <c r="F6765" s="5" t="s">
        <v>12</v>
      </c>
      <c r="G6765" s="5" t="s">
        <v>43</v>
      </c>
      <c r="H6765">
        <v>60</v>
      </c>
      <c r="I6765" s="4">
        <v>500040</v>
      </c>
      <c r="J6765" s="4">
        <v>318600</v>
      </c>
    </row>
    <row r="6766" spans="2:10" x14ac:dyDescent="0.3">
      <c r="B6766" s="7">
        <v>44774</v>
      </c>
      <c r="C6766" s="3">
        <f t="shared" si="210"/>
        <v>2022</v>
      </c>
      <c r="D6766" s="3">
        <f t="shared" si="211"/>
        <v>202208</v>
      </c>
      <c r="E6766" s="5" t="s">
        <v>8</v>
      </c>
      <c r="F6766" s="5" t="s">
        <v>12</v>
      </c>
      <c r="G6766" s="5" t="s">
        <v>43</v>
      </c>
      <c r="H6766">
        <v>51</v>
      </c>
      <c r="I6766" s="4">
        <v>494496</v>
      </c>
      <c r="J6766" s="4">
        <v>270810</v>
      </c>
    </row>
    <row r="6767" spans="2:10" x14ac:dyDescent="0.3">
      <c r="B6767" s="7">
        <v>44805</v>
      </c>
      <c r="C6767" s="3">
        <f t="shared" si="210"/>
        <v>2022</v>
      </c>
      <c r="D6767" s="3">
        <f t="shared" si="211"/>
        <v>202209</v>
      </c>
      <c r="E6767" s="5" t="s">
        <v>8</v>
      </c>
      <c r="F6767" s="5" t="s">
        <v>12</v>
      </c>
      <c r="G6767" s="5" t="s">
        <v>43</v>
      </c>
      <c r="H6767">
        <v>54</v>
      </c>
      <c r="I6767" s="4">
        <v>529200</v>
      </c>
      <c r="J6767" s="4">
        <v>286740</v>
      </c>
    </row>
    <row r="6768" spans="2:10" x14ac:dyDescent="0.3">
      <c r="B6768" s="7">
        <v>44835</v>
      </c>
      <c r="C6768" s="3">
        <f t="shared" si="210"/>
        <v>2022</v>
      </c>
      <c r="D6768" s="3">
        <f t="shared" si="211"/>
        <v>202210</v>
      </c>
      <c r="E6768" s="5" t="s">
        <v>8</v>
      </c>
      <c r="F6768" s="5" t="s">
        <v>12</v>
      </c>
      <c r="G6768" s="5" t="s">
        <v>43</v>
      </c>
      <c r="H6768">
        <v>45</v>
      </c>
      <c r="I6768" s="4">
        <v>472860</v>
      </c>
      <c r="J6768" s="4">
        <v>238950</v>
      </c>
    </row>
    <row r="6769" spans="2:10" x14ac:dyDescent="0.3">
      <c r="B6769" s="7">
        <v>44866</v>
      </c>
      <c r="C6769" s="3">
        <f t="shared" si="210"/>
        <v>2022</v>
      </c>
      <c r="D6769" s="3">
        <f t="shared" si="211"/>
        <v>202211</v>
      </c>
      <c r="E6769" s="5" t="s">
        <v>8</v>
      </c>
      <c r="F6769" s="5" t="s">
        <v>12</v>
      </c>
      <c r="G6769" s="5" t="s">
        <v>43</v>
      </c>
      <c r="H6769">
        <v>32</v>
      </c>
      <c r="I6769" s="4">
        <v>334016</v>
      </c>
      <c r="J6769" s="4">
        <v>169920</v>
      </c>
    </row>
    <row r="6770" spans="2:10" x14ac:dyDescent="0.3">
      <c r="B6770" s="7">
        <v>44896</v>
      </c>
      <c r="C6770" s="3">
        <f t="shared" si="210"/>
        <v>2022</v>
      </c>
      <c r="D6770" s="3">
        <f t="shared" si="211"/>
        <v>202212</v>
      </c>
      <c r="E6770" s="5" t="s">
        <v>8</v>
      </c>
      <c r="F6770" s="5" t="s">
        <v>12</v>
      </c>
      <c r="G6770" s="5" t="s">
        <v>43</v>
      </c>
      <c r="H6770">
        <v>38</v>
      </c>
      <c r="I6770" s="4">
        <v>388398</v>
      </c>
      <c r="J6770" s="4">
        <v>201780</v>
      </c>
    </row>
    <row r="6771" spans="2:10" x14ac:dyDescent="0.3">
      <c r="B6771" s="7">
        <v>44197</v>
      </c>
      <c r="C6771" s="3">
        <f t="shared" si="210"/>
        <v>2021</v>
      </c>
      <c r="D6771" s="3">
        <f t="shared" si="211"/>
        <v>202101</v>
      </c>
      <c r="E6771" s="5" t="s">
        <v>8</v>
      </c>
      <c r="F6771" s="5" t="s">
        <v>12</v>
      </c>
      <c r="G6771" s="5" t="s">
        <v>44</v>
      </c>
      <c r="H6771">
        <v>44</v>
      </c>
      <c r="I6771" s="4">
        <v>358732</v>
      </c>
      <c r="J6771" s="4">
        <v>141680</v>
      </c>
    </row>
    <row r="6772" spans="2:10" x14ac:dyDescent="0.3">
      <c r="B6772" s="7">
        <v>44228</v>
      </c>
      <c r="C6772" s="3">
        <f t="shared" si="210"/>
        <v>2021</v>
      </c>
      <c r="D6772" s="3">
        <f t="shared" si="211"/>
        <v>202102</v>
      </c>
      <c r="E6772" s="5" t="s">
        <v>8</v>
      </c>
      <c r="F6772" s="5" t="s">
        <v>12</v>
      </c>
      <c r="G6772" s="5" t="s">
        <v>44</v>
      </c>
      <c r="H6772">
        <v>28</v>
      </c>
      <c r="I6772" s="4">
        <v>231280</v>
      </c>
      <c r="J6772" s="4">
        <v>90160</v>
      </c>
    </row>
    <row r="6773" spans="2:10" x14ac:dyDescent="0.3">
      <c r="B6773" s="7">
        <v>44256</v>
      </c>
      <c r="C6773" s="3">
        <f t="shared" si="210"/>
        <v>2021</v>
      </c>
      <c r="D6773" s="3">
        <f t="shared" si="211"/>
        <v>202103</v>
      </c>
      <c r="E6773" s="5" t="s">
        <v>8</v>
      </c>
      <c r="F6773" s="5" t="s">
        <v>12</v>
      </c>
      <c r="G6773" s="5" t="s">
        <v>44</v>
      </c>
      <c r="H6773">
        <v>22</v>
      </c>
      <c r="I6773" s="4">
        <v>168278</v>
      </c>
      <c r="J6773" s="4">
        <v>70840</v>
      </c>
    </row>
    <row r="6774" spans="2:10" x14ac:dyDescent="0.3">
      <c r="B6774" s="7">
        <v>44287</v>
      </c>
      <c r="C6774" s="3">
        <f t="shared" si="210"/>
        <v>2021</v>
      </c>
      <c r="D6774" s="3">
        <f t="shared" si="211"/>
        <v>202104</v>
      </c>
      <c r="E6774" s="5" t="s">
        <v>8</v>
      </c>
      <c r="F6774" s="5" t="s">
        <v>12</v>
      </c>
      <c r="G6774" s="5" t="s">
        <v>44</v>
      </c>
      <c r="H6774">
        <v>41</v>
      </c>
      <c r="I6774" s="4">
        <v>355552</v>
      </c>
      <c r="J6774" s="4">
        <v>132020</v>
      </c>
    </row>
    <row r="6775" spans="2:10" x14ac:dyDescent="0.3">
      <c r="B6775" s="7">
        <v>44317</v>
      </c>
      <c r="C6775" s="3">
        <f t="shared" si="210"/>
        <v>2021</v>
      </c>
      <c r="D6775" s="3">
        <f t="shared" si="211"/>
        <v>202105</v>
      </c>
      <c r="E6775" s="5" t="s">
        <v>8</v>
      </c>
      <c r="F6775" s="5" t="s">
        <v>12</v>
      </c>
      <c r="G6775" s="5" t="s">
        <v>44</v>
      </c>
      <c r="H6775">
        <v>52</v>
      </c>
      <c r="I6775" s="4">
        <v>455780</v>
      </c>
      <c r="J6775" s="4">
        <v>167440</v>
      </c>
    </row>
    <row r="6776" spans="2:10" x14ac:dyDescent="0.3">
      <c r="B6776" s="7">
        <v>44348</v>
      </c>
      <c r="C6776" s="3">
        <f t="shared" si="210"/>
        <v>2021</v>
      </c>
      <c r="D6776" s="3">
        <f t="shared" si="211"/>
        <v>202106</v>
      </c>
      <c r="E6776" s="5" t="s">
        <v>8</v>
      </c>
      <c r="F6776" s="5" t="s">
        <v>12</v>
      </c>
      <c r="G6776" s="5" t="s">
        <v>44</v>
      </c>
      <c r="H6776">
        <v>50</v>
      </c>
      <c r="I6776" s="4">
        <v>428300</v>
      </c>
      <c r="J6776" s="4">
        <v>161000</v>
      </c>
    </row>
    <row r="6777" spans="2:10" x14ac:dyDescent="0.3">
      <c r="B6777" s="7">
        <v>44378</v>
      </c>
      <c r="C6777" s="3">
        <f t="shared" si="210"/>
        <v>2021</v>
      </c>
      <c r="D6777" s="3">
        <f t="shared" si="211"/>
        <v>202107</v>
      </c>
      <c r="E6777" s="5" t="s">
        <v>8</v>
      </c>
      <c r="F6777" s="5" t="s">
        <v>12</v>
      </c>
      <c r="G6777" s="5" t="s">
        <v>44</v>
      </c>
      <c r="H6777">
        <v>52</v>
      </c>
      <c r="I6777" s="4">
        <v>333736</v>
      </c>
      <c r="J6777" s="4">
        <v>167440</v>
      </c>
    </row>
    <row r="6778" spans="2:10" x14ac:dyDescent="0.3">
      <c r="B6778" s="7">
        <v>44409</v>
      </c>
      <c r="C6778" s="3">
        <f t="shared" si="210"/>
        <v>2021</v>
      </c>
      <c r="D6778" s="3">
        <f t="shared" si="211"/>
        <v>202108</v>
      </c>
      <c r="E6778" s="5" t="s">
        <v>8</v>
      </c>
      <c r="F6778" s="5" t="s">
        <v>12</v>
      </c>
      <c r="G6778" s="5" t="s">
        <v>44</v>
      </c>
      <c r="H6778">
        <v>44</v>
      </c>
      <c r="I6778" s="4">
        <v>351648</v>
      </c>
      <c r="J6778" s="4">
        <v>141680</v>
      </c>
    </row>
    <row r="6779" spans="2:10" x14ac:dyDescent="0.3">
      <c r="B6779" s="7">
        <v>44440</v>
      </c>
      <c r="C6779" s="3">
        <f t="shared" si="210"/>
        <v>2021</v>
      </c>
      <c r="D6779" s="3">
        <f t="shared" si="211"/>
        <v>202109</v>
      </c>
      <c r="E6779" s="5" t="s">
        <v>8</v>
      </c>
      <c r="F6779" s="5" t="s">
        <v>12</v>
      </c>
      <c r="G6779" s="5" t="s">
        <v>44</v>
      </c>
      <c r="H6779">
        <v>47</v>
      </c>
      <c r="I6779" s="4">
        <v>364955</v>
      </c>
      <c r="J6779" s="4">
        <v>151340</v>
      </c>
    </row>
    <row r="6780" spans="2:10" x14ac:dyDescent="0.3">
      <c r="B6780" s="7">
        <v>44470</v>
      </c>
      <c r="C6780" s="3">
        <f t="shared" si="210"/>
        <v>2021</v>
      </c>
      <c r="D6780" s="3">
        <f t="shared" si="211"/>
        <v>202110</v>
      </c>
      <c r="E6780" s="5" t="s">
        <v>8</v>
      </c>
      <c r="F6780" s="5" t="s">
        <v>12</v>
      </c>
      <c r="G6780" s="5" t="s">
        <v>44</v>
      </c>
      <c r="H6780">
        <v>39</v>
      </c>
      <c r="I6780" s="4">
        <v>338676</v>
      </c>
      <c r="J6780" s="4">
        <v>125580</v>
      </c>
    </row>
    <row r="6781" spans="2:10" x14ac:dyDescent="0.3">
      <c r="B6781" s="7">
        <v>44501</v>
      </c>
      <c r="C6781" s="3">
        <f t="shared" si="210"/>
        <v>2021</v>
      </c>
      <c r="D6781" s="3">
        <f t="shared" si="211"/>
        <v>202111</v>
      </c>
      <c r="E6781" s="5" t="s">
        <v>8</v>
      </c>
      <c r="F6781" s="5" t="s">
        <v>12</v>
      </c>
      <c r="G6781" s="5" t="s">
        <v>44</v>
      </c>
      <c r="H6781">
        <v>28</v>
      </c>
      <c r="I6781" s="4">
        <v>223860</v>
      </c>
      <c r="J6781" s="4">
        <v>90160</v>
      </c>
    </row>
    <row r="6782" spans="2:10" x14ac:dyDescent="0.3">
      <c r="B6782" s="7">
        <v>44531</v>
      </c>
      <c r="C6782" s="3">
        <f t="shared" si="210"/>
        <v>2021</v>
      </c>
      <c r="D6782" s="3">
        <f t="shared" si="211"/>
        <v>202112</v>
      </c>
      <c r="E6782" s="5" t="s">
        <v>8</v>
      </c>
      <c r="F6782" s="5" t="s">
        <v>12</v>
      </c>
      <c r="G6782" s="5" t="s">
        <v>44</v>
      </c>
      <c r="H6782">
        <v>33</v>
      </c>
      <c r="I6782" s="4">
        <v>256542</v>
      </c>
      <c r="J6782" s="4">
        <v>106260</v>
      </c>
    </row>
    <row r="6783" spans="2:10" x14ac:dyDescent="0.3">
      <c r="B6783" s="7">
        <v>44562</v>
      </c>
      <c r="C6783" s="3">
        <f t="shared" si="210"/>
        <v>2022</v>
      </c>
      <c r="D6783" s="3">
        <f t="shared" si="211"/>
        <v>202201</v>
      </c>
      <c r="E6783" s="5" t="s">
        <v>8</v>
      </c>
      <c r="F6783" s="5" t="s">
        <v>12</v>
      </c>
      <c r="G6783" s="5" t="s">
        <v>44</v>
      </c>
      <c r="H6783">
        <v>48</v>
      </c>
      <c r="I6783" s="4">
        <v>399168</v>
      </c>
      <c r="J6783" s="4">
        <v>154560</v>
      </c>
    </row>
    <row r="6784" spans="2:10" x14ac:dyDescent="0.3">
      <c r="B6784" s="7">
        <v>44593</v>
      </c>
      <c r="C6784" s="3">
        <f t="shared" si="210"/>
        <v>2022</v>
      </c>
      <c r="D6784" s="3">
        <f t="shared" si="211"/>
        <v>202202</v>
      </c>
      <c r="E6784" s="5" t="s">
        <v>8</v>
      </c>
      <c r="F6784" s="5" t="s">
        <v>12</v>
      </c>
      <c r="G6784" s="5" t="s">
        <v>44</v>
      </c>
      <c r="H6784">
        <v>30</v>
      </c>
      <c r="I6784" s="4">
        <v>268950</v>
      </c>
      <c r="J6784" s="4">
        <v>96600</v>
      </c>
    </row>
    <row r="6785" spans="2:10" x14ac:dyDescent="0.3">
      <c r="B6785" s="7">
        <v>44621</v>
      </c>
      <c r="C6785" s="3">
        <f t="shared" si="210"/>
        <v>2022</v>
      </c>
      <c r="D6785" s="3">
        <f t="shared" si="211"/>
        <v>202203</v>
      </c>
      <c r="E6785" s="5" t="s">
        <v>8</v>
      </c>
      <c r="F6785" s="5" t="s">
        <v>12</v>
      </c>
      <c r="G6785" s="5" t="s">
        <v>44</v>
      </c>
      <c r="H6785">
        <v>24</v>
      </c>
      <c r="I6785" s="4">
        <v>194952</v>
      </c>
      <c r="J6785" s="4">
        <v>77280</v>
      </c>
    </row>
    <row r="6786" spans="2:10" x14ac:dyDescent="0.3">
      <c r="B6786" s="7">
        <v>44652</v>
      </c>
      <c r="C6786" s="3">
        <f t="shared" si="210"/>
        <v>2022</v>
      </c>
      <c r="D6786" s="3">
        <f t="shared" si="211"/>
        <v>202204</v>
      </c>
      <c r="E6786" s="5" t="s">
        <v>8</v>
      </c>
      <c r="F6786" s="5" t="s">
        <v>12</v>
      </c>
      <c r="G6786" s="5" t="s">
        <v>44</v>
      </c>
      <c r="H6786">
        <v>45</v>
      </c>
      <c r="I6786" s="4">
        <v>380115</v>
      </c>
      <c r="J6786" s="4">
        <v>144900</v>
      </c>
    </row>
    <row r="6787" spans="2:10" x14ac:dyDescent="0.3">
      <c r="B6787" s="7">
        <v>44682</v>
      </c>
      <c r="C6787" s="3">
        <f t="shared" ref="C6787:C6850" si="212">YEAR(B6787)</f>
        <v>2022</v>
      </c>
      <c r="D6787" s="3">
        <f t="shared" ref="D6787:D6850" si="213">VALUE(TEXT(B6787,"ГГГГММ"))</f>
        <v>202205</v>
      </c>
      <c r="E6787" s="5" t="s">
        <v>8</v>
      </c>
      <c r="F6787" s="5" t="s">
        <v>12</v>
      </c>
      <c r="G6787" s="5" t="s">
        <v>44</v>
      </c>
      <c r="H6787">
        <v>57</v>
      </c>
      <c r="I6787" s="4">
        <v>496242</v>
      </c>
      <c r="J6787" s="4">
        <v>183540</v>
      </c>
    </row>
    <row r="6788" spans="2:10" x14ac:dyDescent="0.3">
      <c r="B6788" s="7">
        <v>44713</v>
      </c>
      <c r="C6788" s="3">
        <f t="shared" si="212"/>
        <v>2022</v>
      </c>
      <c r="D6788" s="3">
        <f t="shared" si="213"/>
        <v>202206</v>
      </c>
      <c r="E6788" s="5" t="s">
        <v>8</v>
      </c>
      <c r="F6788" s="5" t="s">
        <v>12</v>
      </c>
      <c r="G6788" s="5" t="s">
        <v>44</v>
      </c>
      <c r="H6788">
        <v>54</v>
      </c>
      <c r="I6788" s="4">
        <v>466020</v>
      </c>
      <c r="J6788" s="4">
        <v>173880</v>
      </c>
    </row>
    <row r="6789" spans="2:10" x14ac:dyDescent="0.3">
      <c r="B6789" s="7">
        <v>44743</v>
      </c>
      <c r="C6789" s="3">
        <f t="shared" si="212"/>
        <v>2022</v>
      </c>
      <c r="D6789" s="3">
        <f t="shared" si="213"/>
        <v>202207</v>
      </c>
      <c r="E6789" s="5" t="s">
        <v>8</v>
      </c>
      <c r="F6789" s="5" t="s">
        <v>12</v>
      </c>
      <c r="G6789" s="5" t="s">
        <v>44</v>
      </c>
      <c r="H6789">
        <v>57</v>
      </c>
      <c r="I6789" s="4">
        <v>386859</v>
      </c>
      <c r="J6789" s="4">
        <v>183540</v>
      </c>
    </row>
    <row r="6790" spans="2:10" x14ac:dyDescent="0.3">
      <c r="B6790" s="7">
        <v>44774</v>
      </c>
      <c r="C6790" s="3">
        <f t="shared" si="212"/>
        <v>2022</v>
      </c>
      <c r="D6790" s="3">
        <f t="shared" si="213"/>
        <v>202208</v>
      </c>
      <c r="E6790" s="5" t="s">
        <v>8</v>
      </c>
      <c r="F6790" s="5" t="s">
        <v>12</v>
      </c>
      <c r="G6790" s="5" t="s">
        <v>44</v>
      </c>
      <c r="H6790">
        <v>48</v>
      </c>
      <c r="I6790" s="4">
        <v>366336</v>
      </c>
      <c r="J6790" s="4">
        <v>154560</v>
      </c>
    </row>
    <row r="6791" spans="2:10" x14ac:dyDescent="0.3">
      <c r="B6791" s="7">
        <v>44805</v>
      </c>
      <c r="C6791" s="3">
        <f t="shared" si="212"/>
        <v>2022</v>
      </c>
      <c r="D6791" s="3">
        <f t="shared" si="213"/>
        <v>202209</v>
      </c>
      <c r="E6791" s="5" t="s">
        <v>8</v>
      </c>
      <c r="F6791" s="5" t="s">
        <v>12</v>
      </c>
      <c r="G6791" s="5" t="s">
        <v>44</v>
      </c>
      <c r="H6791">
        <v>51</v>
      </c>
      <c r="I6791" s="4">
        <v>390915</v>
      </c>
      <c r="J6791" s="4">
        <v>164220</v>
      </c>
    </row>
    <row r="6792" spans="2:10" x14ac:dyDescent="0.3">
      <c r="B6792" s="7">
        <v>44835</v>
      </c>
      <c r="C6792" s="3">
        <f t="shared" si="212"/>
        <v>2022</v>
      </c>
      <c r="D6792" s="3">
        <f t="shared" si="213"/>
        <v>202210</v>
      </c>
      <c r="E6792" s="5" t="s">
        <v>8</v>
      </c>
      <c r="F6792" s="5" t="s">
        <v>12</v>
      </c>
      <c r="G6792" s="5" t="s">
        <v>44</v>
      </c>
      <c r="H6792">
        <v>42</v>
      </c>
      <c r="I6792" s="4">
        <v>344232</v>
      </c>
      <c r="J6792" s="4">
        <v>135240</v>
      </c>
    </row>
    <row r="6793" spans="2:10" x14ac:dyDescent="0.3">
      <c r="B6793" s="7">
        <v>44866</v>
      </c>
      <c r="C6793" s="3">
        <f t="shared" si="212"/>
        <v>2022</v>
      </c>
      <c r="D6793" s="3">
        <f t="shared" si="213"/>
        <v>202211</v>
      </c>
      <c r="E6793" s="5" t="s">
        <v>8</v>
      </c>
      <c r="F6793" s="5" t="s">
        <v>12</v>
      </c>
      <c r="G6793" s="5" t="s">
        <v>44</v>
      </c>
      <c r="H6793">
        <v>30</v>
      </c>
      <c r="I6793" s="4">
        <v>238860</v>
      </c>
      <c r="J6793" s="4">
        <v>96600</v>
      </c>
    </row>
    <row r="6794" spans="2:10" x14ac:dyDescent="0.3">
      <c r="B6794" s="7">
        <v>44896</v>
      </c>
      <c r="C6794" s="3">
        <f t="shared" si="212"/>
        <v>2022</v>
      </c>
      <c r="D6794" s="3">
        <f t="shared" si="213"/>
        <v>202212</v>
      </c>
      <c r="E6794" s="5" t="s">
        <v>8</v>
      </c>
      <c r="F6794" s="5" t="s">
        <v>12</v>
      </c>
      <c r="G6794" s="5" t="s">
        <v>44</v>
      </c>
      <c r="H6794">
        <v>36</v>
      </c>
      <c r="I6794" s="4">
        <v>284400</v>
      </c>
      <c r="J6794" s="4">
        <v>115920</v>
      </c>
    </row>
    <row r="6795" spans="2:10" x14ac:dyDescent="0.3">
      <c r="B6795" s="7">
        <v>44197</v>
      </c>
      <c r="C6795" s="3">
        <f t="shared" si="212"/>
        <v>2021</v>
      </c>
      <c r="D6795" s="3">
        <f t="shared" si="213"/>
        <v>202101</v>
      </c>
      <c r="E6795" s="5" t="s">
        <v>8</v>
      </c>
      <c r="F6795" s="5" t="s">
        <v>12</v>
      </c>
      <c r="G6795" s="5" t="s">
        <v>45</v>
      </c>
      <c r="H6795">
        <v>55</v>
      </c>
      <c r="I6795" s="4">
        <v>418330</v>
      </c>
      <c r="J6795" s="4">
        <v>182325</v>
      </c>
    </row>
    <row r="6796" spans="2:10" x14ac:dyDescent="0.3">
      <c r="B6796" s="7">
        <v>44228</v>
      </c>
      <c r="C6796" s="3">
        <f t="shared" si="212"/>
        <v>2021</v>
      </c>
      <c r="D6796" s="3">
        <f t="shared" si="213"/>
        <v>202102</v>
      </c>
      <c r="E6796" s="5" t="s">
        <v>8</v>
      </c>
      <c r="F6796" s="5" t="s">
        <v>12</v>
      </c>
      <c r="G6796" s="5" t="s">
        <v>45</v>
      </c>
      <c r="H6796">
        <v>34</v>
      </c>
      <c r="I6796" s="4">
        <v>287504</v>
      </c>
      <c r="J6796" s="4">
        <v>112710</v>
      </c>
    </row>
    <row r="6797" spans="2:10" x14ac:dyDescent="0.3">
      <c r="B6797" s="7">
        <v>44256</v>
      </c>
      <c r="C6797" s="3">
        <f t="shared" si="212"/>
        <v>2021</v>
      </c>
      <c r="D6797" s="3">
        <f t="shared" si="213"/>
        <v>202103</v>
      </c>
      <c r="E6797" s="5" t="s">
        <v>8</v>
      </c>
      <c r="F6797" s="5" t="s">
        <v>12</v>
      </c>
      <c r="G6797" s="5" t="s">
        <v>45</v>
      </c>
      <c r="H6797">
        <v>28</v>
      </c>
      <c r="I6797" s="4">
        <v>212128</v>
      </c>
      <c r="J6797" s="4">
        <v>92820</v>
      </c>
    </row>
    <row r="6798" spans="2:10" x14ac:dyDescent="0.3">
      <c r="B6798" s="7">
        <v>44287</v>
      </c>
      <c r="C6798" s="3">
        <f t="shared" si="212"/>
        <v>2021</v>
      </c>
      <c r="D6798" s="3">
        <f t="shared" si="213"/>
        <v>202104</v>
      </c>
      <c r="E6798" s="5" t="s">
        <v>8</v>
      </c>
      <c r="F6798" s="5" t="s">
        <v>12</v>
      </c>
      <c r="G6798" s="5" t="s">
        <v>45</v>
      </c>
      <c r="H6798">
        <v>51</v>
      </c>
      <c r="I6798" s="4">
        <v>424677</v>
      </c>
      <c r="J6798" s="4">
        <v>169065</v>
      </c>
    </row>
    <row r="6799" spans="2:10" x14ac:dyDescent="0.3">
      <c r="B6799" s="7">
        <v>44317</v>
      </c>
      <c r="C6799" s="3">
        <f t="shared" si="212"/>
        <v>2021</v>
      </c>
      <c r="D6799" s="3">
        <f t="shared" si="213"/>
        <v>202105</v>
      </c>
      <c r="E6799" s="5" t="s">
        <v>8</v>
      </c>
      <c r="F6799" s="5" t="s">
        <v>12</v>
      </c>
      <c r="G6799" s="5" t="s">
        <v>45</v>
      </c>
      <c r="H6799">
        <v>65</v>
      </c>
      <c r="I6799" s="4">
        <v>535080</v>
      </c>
      <c r="J6799" s="4">
        <v>215475</v>
      </c>
    </row>
    <row r="6800" spans="2:10" x14ac:dyDescent="0.3">
      <c r="B6800" s="7">
        <v>44348</v>
      </c>
      <c r="C6800" s="3">
        <f t="shared" si="212"/>
        <v>2021</v>
      </c>
      <c r="D6800" s="3">
        <f t="shared" si="213"/>
        <v>202106</v>
      </c>
      <c r="E6800" s="5" t="s">
        <v>8</v>
      </c>
      <c r="F6800" s="5" t="s">
        <v>12</v>
      </c>
      <c r="G6800" s="5" t="s">
        <v>45</v>
      </c>
      <c r="H6800">
        <v>62</v>
      </c>
      <c r="I6800" s="4">
        <v>512492</v>
      </c>
      <c r="J6800" s="4">
        <v>205530</v>
      </c>
    </row>
    <row r="6801" spans="2:10" x14ac:dyDescent="0.3">
      <c r="B6801" s="7">
        <v>44378</v>
      </c>
      <c r="C6801" s="3">
        <f t="shared" si="212"/>
        <v>2021</v>
      </c>
      <c r="D6801" s="3">
        <f t="shared" si="213"/>
        <v>202107</v>
      </c>
      <c r="E6801" s="5" t="s">
        <v>8</v>
      </c>
      <c r="F6801" s="5" t="s">
        <v>12</v>
      </c>
      <c r="G6801" s="5" t="s">
        <v>45</v>
      </c>
      <c r="H6801">
        <v>65</v>
      </c>
      <c r="I6801" s="4">
        <v>404300</v>
      </c>
      <c r="J6801" s="4">
        <v>215475</v>
      </c>
    </row>
    <row r="6802" spans="2:10" x14ac:dyDescent="0.3">
      <c r="B6802" s="7">
        <v>44409</v>
      </c>
      <c r="C6802" s="3">
        <f t="shared" si="212"/>
        <v>2021</v>
      </c>
      <c r="D6802" s="3">
        <f t="shared" si="213"/>
        <v>202108</v>
      </c>
      <c r="E6802" s="5" t="s">
        <v>8</v>
      </c>
      <c r="F6802" s="5" t="s">
        <v>12</v>
      </c>
      <c r="G6802" s="5" t="s">
        <v>45</v>
      </c>
      <c r="H6802">
        <v>55</v>
      </c>
      <c r="I6802" s="4">
        <v>408155</v>
      </c>
      <c r="J6802" s="4">
        <v>182325</v>
      </c>
    </row>
    <row r="6803" spans="2:10" x14ac:dyDescent="0.3">
      <c r="B6803" s="7">
        <v>44440</v>
      </c>
      <c r="C6803" s="3">
        <f t="shared" si="212"/>
        <v>2021</v>
      </c>
      <c r="D6803" s="3">
        <f t="shared" si="213"/>
        <v>202109</v>
      </c>
      <c r="E6803" s="5" t="s">
        <v>8</v>
      </c>
      <c r="F6803" s="5" t="s">
        <v>12</v>
      </c>
      <c r="G6803" s="5" t="s">
        <v>45</v>
      </c>
      <c r="H6803">
        <v>58</v>
      </c>
      <c r="I6803" s="4">
        <v>447180</v>
      </c>
      <c r="J6803" s="4">
        <v>192270</v>
      </c>
    </row>
    <row r="6804" spans="2:10" x14ac:dyDescent="0.3">
      <c r="B6804" s="7">
        <v>44470</v>
      </c>
      <c r="C6804" s="3">
        <f t="shared" si="212"/>
        <v>2021</v>
      </c>
      <c r="D6804" s="3">
        <f t="shared" si="213"/>
        <v>202110</v>
      </c>
      <c r="E6804" s="5" t="s">
        <v>8</v>
      </c>
      <c r="F6804" s="5" t="s">
        <v>12</v>
      </c>
      <c r="G6804" s="5" t="s">
        <v>45</v>
      </c>
      <c r="H6804">
        <v>48</v>
      </c>
      <c r="I6804" s="4">
        <v>386736</v>
      </c>
      <c r="J6804" s="4">
        <v>159120</v>
      </c>
    </row>
    <row r="6805" spans="2:10" x14ac:dyDescent="0.3">
      <c r="B6805" s="7">
        <v>44501</v>
      </c>
      <c r="C6805" s="3">
        <f t="shared" si="212"/>
        <v>2021</v>
      </c>
      <c r="D6805" s="3">
        <f t="shared" si="213"/>
        <v>202111</v>
      </c>
      <c r="E6805" s="5" t="s">
        <v>8</v>
      </c>
      <c r="F6805" s="5" t="s">
        <v>12</v>
      </c>
      <c r="G6805" s="5" t="s">
        <v>45</v>
      </c>
      <c r="H6805">
        <v>34</v>
      </c>
      <c r="I6805" s="4">
        <v>270028</v>
      </c>
      <c r="J6805" s="4">
        <v>112710</v>
      </c>
    </row>
    <row r="6806" spans="2:10" x14ac:dyDescent="0.3">
      <c r="B6806" s="7">
        <v>44531</v>
      </c>
      <c r="C6806" s="3">
        <f t="shared" si="212"/>
        <v>2021</v>
      </c>
      <c r="D6806" s="3">
        <f t="shared" si="213"/>
        <v>202112</v>
      </c>
      <c r="E6806" s="5" t="s">
        <v>8</v>
      </c>
      <c r="F6806" s="5" t="s">
        <v>12</v>
      </c>
      <c r="G6806" s="5" t="s">
        <v>45</v>
      </c>
      <c r="H6806">
        <v>41</v>
      </c>
      <c r="I6806" s="4">
        <v>280153</v>
      </c>
      <c r="J6806" s="4">
        <v>135915</v>
      </c>
    </row>
    <row r="6807" spans="2:10" x14ac:dyDescent="0.3">
      <c r="B6807" s="7">
        <v>44562</v>
      </c>
      <c r="C6807" s="3">
        <f t="shared" si="212"/>
        <v>2022</v>
      </c>
      <c r="D6807" s="3">
        <f t="shared" si="213"/>
        <v>202201</v>
      </c>
      <c r="E6807" s="5" t="s">
        <v>8</v>
      </c>
      <c r="F6807" s="5" t="s">
        <v>12</v>
      </c>
      <c r="G6807" s="5" t="s">
        <v>45</v>
      </c>
      <c r="H6807">
        <v>60</v>
      </c>
      <c r="I6807" s="4">
        <v>473520</v>
      </c>
      <c r="J6807" s="4">
        <v>198900</v>
      </c>
    </row>
    <row r="6808" spans="2:10" x14ac:dyDescent="0.3">
      <c r="B6808" s="7">
        <v>44593</v>
      </c>
      <c r="C6808" s="3">
        <f t="shared" si="212"/>
        <v>2022</v>
      </c>
      <c r="D6808" s="3">
        <f t="shared" si="213"/>
        <v>202202</v>
      </c>
      <c r="E6808" s="5" t="s">
        <v>8</v>
      </c>
      <c r="F6808" s="5" t="s">
        <v>12</v>
      </c>
      <c r="G6808" s="5" t="s">
        <v>45</v>
      </c>
      <c r="H6808">
        <v>38</v>
      </c>
      <c r="I6808" s="4">
        <v>310954</v>
      </c>
      <c r="J6808" s="4">
        <v>125970</v>
      </c>
    </row>
    <row r="6809" spans="2:10" x14ac:dyDescent="0.3">
      <c r="B6809" s="7">
        <v>44621</v>
      </c>
      <c r="C6809" s="3">
        <f t="shared" si="212"/>
        <v>2022</v>
      </c>
      <c r="D6809" s="3">
        <f t="shared" si="213"/>
        <v>202203</v>
      </c>
      <c r="E6809" s="5" t="s">
        <v>8</v>
      </c>
      <c r="F6809" s="5" t="s">
        <v>12</v>
      </c>
      <c r="G6809" s="5" t="s">
        <v>45</v>
      </c>
      <c r="H6809">
        <v>30</v>
      </c>
      <c r="I6809" s="4">
        <v>224040</v>
      </c>
      <c r="J6809" s="4">
        <v>99450</v>
      </c>
    </row>
    <row r="6810" spans="2:10" x14ac:dyDescent="0.3">
      <c r="B6810" s="7">
        <v>44652</v>
      </c>
      <c r="C6810" s="3">
        <f t="shared" si="212"/>
        <v>2022</v>
      </c>
      <c r="D6810" s="3">
        <f t="shared" si="213"/>
        <v>202204</v>
      </c>
      <c r="E6810" s="5" t="s">
        <v>8</v>
      </c>
      <c r="F6810" s="5" t="s">
        <v>12</v>
      </c>
      <c r="G6810" s="5" t="s">
        <v>45</v>
      </c>
      <c r="H6810">
        <v>56</v>
      </c>
      <c r="I6810" s="4">
        <v>421680</v>
      </c>
      <c r="J6810" s="4">
        <v>185640</v>
      </c>
    </row>
    <row r="6811" spans="2:10" x14ac:dyDescent="0.3">
      <c r="B6811" s="7">
        <v>44682</v>
      </c>
      <c r="C6811" s="3">
        <f t="shared" si="212"/>
        <v>2022</v>
      </c>
      <c r="D6811" s="3">
        <f t="shared" si="213"/>
        <v>202205</v>
      </c>
      <c r="E6811" s="5" t="s">
        <v>8</v>
      </c>
      <c r="F6811" s="5" t="s">
        <v>12</v>
      </c>
      <c r="G6811" s="5" t="s">
        <v>45</v>
      </c>
      <c r="H6811">
        <v>71</v>
      </c>
      <c r="I6811" s="4">
        <v>578082</v>
      </c>
      <c r="J6811" s="4">
        <v>235365</v>
      </c>
    </row>
    <row r="6812" spans="2:10" x14ac:dyDescent="0.3">
      <c r="B6812" s="7">
        <v>44713</v>
      </c>
      <c r="C6812" s="3">
        <f t="shared" si="212"/>
        <v>2022</v>
      </c>
      <c r="D6812" s="3">
        <f t="shared" si="213"/>
        <v>202206</v>
      </c>
      <c r="E6812" s="5" t="s">
        <v>8</v>
      </c>
      <c r="F6812" s="5" t="s">
        <v>12</v>
      </c>
      <c r="G6812" s="5" t="s">
        <v>45</v>
      </c>
      <c r="H6812">
        <v>68</v>
      </c>
      <c r="I6812" s="4">
        <v>505648</v>
      </c>
      <c r="J6812" s="4">
        <v>225420</v>
      </c>
    </row>
    <row r="6813" spans="2:10" x14ac:dyDescent="0.3">
      <c r="B6813" s="7">
        <v>44743</v>
      </c>
      <c r="C6813" s="3">
        <f t="shared" si="212"/>
        <v>2022</v>
      </c>
      <c r="D6813" s="3">
        <f t="shared" si="213"/>
        <v>202207</v>
      </c>
      <c r="E6813" s="5" t="s">
        <v>8</v>
      </c>
      <c r="F6813" s="5" t="s">
        <v>12</v>
      </c>
      <c r="G6813" s="5" t="s">
        <v>45</v>
      </c>
      <c r="H6813">
        <v>71</v>
      </c>
      <c r="I6813" s="4">
        <v>420888</v>
      </c>
      <c r="J6813" s="4">
        <v>235365</v>
      </c>
    </row>
    <row r="6814" spans="2:10" x14ac:dyDescent="0.3">
      <c r="B6814" s="7">
        <v>44774</v>
      </c>
      <c r="C6814" s="3">
        <f t="shared" si="212"/>
        <v>2022</v>
      </c>
      <c r="D6814" s="3">
        <f t="shared" si="213"/>
        <v>202208</v>
      </c>
      <c r="E6814" s="5" t="s">
        <v>8</v>
      </c>
      <c r="F6814" s="5" t="s">
        <v>12</v>
      </c>
      <c r="G6814" s="5" t="s">
        <v>45</v>
      </c>
      <c r="H6814">
        <v>60</v>
      </c>
      <c r="I6814" s="4">
        <v>432540</v>
      </c>
      <c r="J6814" s="4">
        <v>198900</v>
      </c>
    </row>
    <row r="6815" spans="2:10" x14ac:dyDescent="0.3">
      <c r="B6815" s="7">
        <v>44805</v>
      </c>
      <c r="C6815" s="3">
        <f t="shared" si="212"/>
        <v>2022</v>
      </c>
      <c r="D6815" s="3">
        <f t="shared" si="213"/>
        <v>202209</v>
      </c>
      <c r="E6815" s="5" t="s">
        <v>8</v>
      </c>
      <c r="F6815" s="5" t="s">
        <v>12</v>
      </c>
      <c r="G6815" s="5" t="s">
        <v>45</v>
      </c>
      <c r="H6815">
        <v>64</v>
      </c>
      <c r="I6815" s="4">
        <v>461440</v>
      </c>
      <c r="J6815" s="4">
        <v>212160</v>
      </c>
    </row>
    <row r="6816" spans="2:10" x14ac:dyDescent="0.3">
      <c r="B6816" s="7">
        <v>44835</v>
      </c>
      <c r="C6816" s="3">
        <f t="shared" si="212"/>
        <v>2022</v>
      </c>
      <c r="D6816" s="3">
        <f t="shared" si="213"/>
        <v>202210</v>
      </c>
      <c r="E6816" s="5" t="s">
        <v>8</v>
      </c>
      <c r="F6816" s="5" t="s">
        <v>12</v>
      </c>
      <c r="G6816" s="5" t="s">
        <v>45</v>
      </c>
      <c r="H6816">
        <v>53</v>
      </c>
      <c r="I6816" s="4">
        <v>420767</v>
      </c>
      <c r="J6816" s="4">
        <v>175695</v>
      </c>
    </row>
    <row r="6817" spans="2:10" x14ac:dyDescent="0.3">
      <c r="B6817" s="7">
        <v>44866</v>
      </c>
      <c r="C6817" s="3">
        <f t="shared" si="212"/>
        <v>2022</v>
      </c>
      <c r="D6817" s="3">
        <f t="shared" si="213"/>
        <v>202211</v>
      </c>
      <c r="E6817" s="5" t="s">
        <v>8</v>
      </c>
      <c r="F6817" s="5" t="s">
        <v>12</v>
      </c>
      <c r="G6817" s="5" t="s">
        <v>45</v>
      </c>
      <c r="H6817">
        <v>38</v>
      </c>
      <c r="I6817" s="4">
        <v>311372</v>
      </c>
      <c r="J6817" s="4">
        <v>125970</v>
      </c>
    </row>
    <row r="6818" spans="2:10" x14ac:dyDescent="0.3">
      <c r="B6818" s="7">
        <v>44896</v>
      </c>
      <c r="C6818" s="3">
        <f t="shared" si="212"/>
        <v>2022</v>
      </c>
      <c r="D6818" s="3">
        <f t="shared" si="213"/>
        <v>202212</v>
      </c>
      <c r="E6818" s="5" t="s">
        <v>8</v>
      </c>
      <c r="F6818" s="5" t="s">
        <v>12</v>
      </c>
      <c r="G6818" s="5" t="s">
        <v>45</v>
      </c>
      <c r="H6818">
        <v>45</v>
      </c>
      <c r="I6818" s="4">
        <v>306180</v>
      </c>
      <c r="J6818" s="4">
        <v>149175</v>
      </c>
    </row>
    <row r="6819" spans="2:10" x14ac:dyDescent="0.3">
      <c r="B6819" s="7">
        <v>44197</v>
      </c>
      <c r="C6819" s="3">
        <f t="shared" si="212"/>
        <v>2021</v>
      </c>
      <c r="D6819" s="3">
        <f t="shared" si="213"/>
        <v>202101</v>
      </c>
      <c r="E6819" s="5" t="s">
        <v>8</v>
      </c>
      <c r="F6819" s="5" t="s">
        <v>12</v>
      </c>
      <c r="G6819" s="5" t="s">
        <v>46</v>
      </c>
      <c r="H6819">
        <v>60</v>
      </c>
      <c r="I6819" s="4">
        <v>672720</v>
      </c>
      <c r="J6819" s="4">
        <v>282000</v>
      </c>
    </row>
    <row r="6820" spans="2:10" x14ac:dyDescent="0.3">
      <c r="B6820" s="7">
        <v>44228</v>
      </c>
      <c r="C6820" s="3">
        <f t="shared" si="212"/>
        <v>2021</v>
      </c>
      <c r="D6820" s="3">
        <f t="shared" si="213"/>
        <v>202102</v>
      </c>
      <c r="E6820" s="5" t="s">
        <v>8</v>
      </c>
      <c r="F6820" s="5" t="s">
        <v>12</v>
      </c>
      <c r="G6820" s="5" t="s">
        <v>46</v>
      </c>
      <c r="H6820">
        <v>38</v>
      </c>
      <c r="I6820" s="4">
        <v>441142</v>
      </c>
      <c r="J6820" s="4">
        <v>178600</v>
      </c>
    </row>
    <row r="6821" spans="2:10" x14ac:dyDescent="0.3">
      <c r="B6821" s="7">
        <v>44256</v>
      </c>
      <c r="C6821" s="3">
        <f t="shared" si="212"/>
        <v>2021</v>
      </c>
      <c r="D6821" s="3">
        <f t="shared" si="213"/>
        <v>202103</v>
      </c>
      <c r="E6821" s="5" t="s">
        <v>8</v>
      </c>
      <c r="F6821" s="5" t="s">
        <v>12</v>
      </c>
      <c r="G6821" s="5" t="s">
        <v>46</v>
      </c>
      <c r="H6821">
        <v>30</v>
      </c>
      <c r="I6821" s="4">
        <v>316230</v>
      </c>
      <c r="J6821" s="4">
        <v>141000</v>
      </c>
    </row>
    <row r="6822" spans="2:10" x14ac:dyDescent="0.3">
      <c r="B6822" s="7">
        <v>44287</v>
      </c>
      <c r="C6822" s="3">
        <f t="shared" si="212"/>
        <v>2021</v>
      </c>
      <c r="D6822" s="3">
        <f t="shared" si="213"/>
        <v>202104</v>
      </c>
      <c r="E6822" s="5" t="s">
        <v>8</v>
      </c>
      <c r="F6822" s="5" t="s">
        <v>12</v>
      </c>
      <c r="G6822" s="5" t="s">
        <v>46</v>
      </c>
      <c r="H6822">
        <v>56</v>
      </c>
      <c r="I6822" s="4">
        <v>674968</v>
      </c>
      <c r="J6822" s="4">
        <v>263200</v>
      </c>
    </row>
    <row r="6823" spans="2:10" x14ac:dyDescent="0.3">
      <c r="B6823" s="7">
        <v>44317</v>
      </c>
      <c r="C6823" s="3">
        <f t="shared" si="212"/>
        <v>2021</v>
      </c>
      <c r="D6823" s="3">
        <f t="shared" si="213"/>
        <v>202105</v>
      </c>
      <c r="E6823" s="5" t="s">
        <v>8</v>
      </c>
      <c r="F6823" s="5" t="s">
        <v>12</v>
      </c>
      <c r="G6823" s="5" t="s">
        <v>46</v>
      </c>
      <c r="H6823">
        <v>71</v>
      </c>
      <c r="I6823" s="4">
        <v>870886</v>
      </c>
      <c r="J6823" s="4">
        <v>333700</v>
      </c>
    </row>
    <row r="6824" spans="2:10" x14ac:dyDescent="0.3">
      <c r="B6824" s="7">
        <v>44348</v>
      </c>
      <c r="C6824" s="3">
        <f t="shared" si="212"/>
        <v>2021</v>
      </c>
      <c r="D6824" s="3">
        <f t="shared" si="213"/>
        <v>202106</v>
      </c>
      <c r="E6824" s="5" t="s">
        <v>8</v>
      </c>
      <c r="F6824" s="5" t="s">
        <v>12</v>
      </c>
      <c r="G6824" s="5" t="s">
        <v>46</v>
      </c>
      <c r="H6824">
        <v>68</v>
      </c>
      <c r="I6824" s="4">
        <v>813824</v>
      </c>
      <c r="J6824" s="4">
        <v>319600</v>
      </c>
    </row>
    <row r="6825" spans="2:10" x14ac:dyDescent="0.3">
      <c r="B6825" s="7">
        <v>44378</v>
      </c>
      <c r="C6825" s="3">
        <f t="shared" si="212"/>
        <v>2021</v>
      </c>
      <c r="D6825" s="3">
        <f t="shared" si="213"/>
        <v>202107</v>
      </c>
      <c r="E6825" s="5" t="s">
        <v>8</v>
      </c>
      <c r="F6825" s="5" t="s">
        <v>12</v>
      </c>
      <c r="G6825" s="5" t="s">
        <v>46</v>
      </c>
      <c r="H6825">
        <v>71</v>
      </c>
      <c r="I6825" s="4">
        <v>707231</v>
      </c>
      <c r="J6825" s="4">
        <v>333700</v>
      </c>
    </row>
    <row r="6826" spans="2:10" x14ac:dyDescent="0.3">
      <c r="B6826" s="7">
        <v>44409</v>
      </c>
      <c r="C6826" s="3">
        <f t="shared" si="212"/>
        <v>2021</v>
      </c>
      <c r="D6826" s="3">
        <f t="shared" si="213"/>
        <v>202108</v>
      </c>
      <c r="E6826" s="5" t="s">
        <v>8</v>
      </c>
      <c r="F6826" s="5" t="s">
        <v>12</v>
      </c>
      <c r="G6826" s="5" t="s">
        <v>46</v>
      </c>
      <c r="H6826">
        <v>60</v>
      </c>
      <c r="I6826" s="4">
        <v>622440</v>
      </c>
      <c r="J6826" s="4">
        <v>282000</v>
      </c>
    </row>
    <row r="6827" spans="2:10" x14ac:dyDescent="0.3">
      <c r="B6827" s="7">
        <v>44440</v>
      </c>
      <c r="C6827" s="3">
        <f t="shared" si="212"/>
        <v>2021</v>
      </c>
      <c r="D6827" s="3">
        <f t="shared" si="213"/>
        <v>202109</v>
      </c>
      <c r="E6827" s="5" t="s">
        <v>8</v>
      </c>
      <c r="F6827" s="5" t="s">
        <v>12</v>
      </c>
      <c r="G6827" s="5" t="s">
        <v>46</v>
      </c>
      <c r="H6827">
        <v>64</v>
      </c>
      <c r="I6827" s="4">
        <v>678592</v>
      </c>
      <c r="J6827" s="4">
        <v>300800</v>
      </c>
    </row>
    <row r="6828" spans="2:10" x14ac:dyDescent="0.3">
      <c r="B6828" s="7">
        <v>44470</v>
      </c>
      <c r="C6828" s="3">
        <f t="shared" si="212"/>
        <v>2021</v>
      </c>
      <c r="D6828" s="3">
        <f t="shared" si="213"/>
        <v>202110</v>
      </c>
      <c r="E6828" s="5" t="s">
        <v>8</v>
      </c>
      <c r="F6828" s="5" t="s">
        <v>12</v>
      </c>
      <c r="G6828" s="5" t="s">
        <v>46</v>
      </c>
      <c r="H6828">
        <v>53</v>
      </c>
      <c r="I6828" s="4">
        <v>607380</v>
      </c>
      <c r="J6828" s="4">
        <v>249100</v>
      </c>
    </row>
    <row r="6829" spans="2:10" x14ac:dyDescent="0.3">
      <c r="B6829" s="7">
        <v>44501</v>
      </c>
      <c r="C6829" s="3">
        <f t="shared" si="212"/>
        <v>2021</v>
      </c>
      <c r="D6829" s="3">
        <f t="shared" si="213"/>
        <v>202111</v>
      </c>
      <c r="E6829" s="5" t="s">
        <v>8</v>
      </c>
      <c r="F6829" s="5" t="s">
        <v>12</v>
      </c>
      <c r="G6829" s="5" t="s">
        <v>46</v>
      </c>
      <c r="H6829">
        <v>38</v>
      </c>
      <c r="I6829" s="4">
        <v>429590</v>
      </c>
      <c r="J6829" s="4">
        <v>178600</v>
      </c>
    </row>
    <row r="6830" spans="2:10" x14ac:dyDescent="0.3">
      <c r="B6830" s="7">
        <v>44531</v>
      </c>
      <c r="C6830" s="3">
        <f t="shared" si="212"/>
        <v>2021</v>
      </c>
      <c r="D6830" s="3">
        <f t="shared" si="213"/>
        <v>202112</v>
      </c>
      <c r="E6830" s="5" t="s">
        <v>8</v>
      </c>
      <c r="F6830" s="5" t="s">
        <v>12</v>
      </c>
      <c r="G6830" s="5" t="s">
        <v>46</v>
      </c>
      <c r="H6830">
        <v>45</v>
      </c>
      <c r="I6830" s="4">
        <v>457200</v>
      </c>
      <c r="J6830" s="4">
        <v>211500</v>
      </c>
    </row>
    <row r="6831" spans="2:10" x14ac:dyDescent="0.3">
      <c r="B6831" s="7">
        <v>44562</v>
      </c>
      <c r="C6831" s="3">
        <f t="shared" si="212"/>
        <v>2022</v>
      </c>
      <c r="D6831" s="3">
        <f t="shared" si="213"/>
        <v>202201</v>
      </c>
      <c r="E6831" s="5" t="s">
        <v>8</v>
      </c>
      <c r="F6831" s="5" t="s">
        <v>12</v>
      </c>
      <c r="G6831" s="5" t="s">
        <v>46</v>
      </c>
      <c r="H6831">
        <v>66</v>
      </c>
      <c r="I6831" s="4">
        <v>761574</v>
      </c>
      <c r="J6831" s="4">
        <v>310200</v>
      </c>
    </row>
    <row r="6832" spans="2:10" x14ac:dyDescent="0.3">
      <c r="B6832" s="7">
        <v>44593</v>
      </c>
      <c r="C6832" s="3">
        <f t="shared" si="212"/>
        <v>2022</v>
      </c>
      <c r="D6832" s="3">
        <f t="shared" si="213"/>
        <v>202202</v>
      </c>
      <c r="E6832" s="5" t="s">
        <v>8</v>
      </c>
      <c r="F6832" s="5" t="s">
        <v>12</v>
      </c>
      <c r="G6832" s="5" t="s">
        <v>46</v>
      </c>
      <c r="H6832">
        <v>41</v>
      </c>
      <c r="I6832" s="4">
        <v>497945</v>
      </c>
      <c r="J6832" s="4">
        <v>192700</v>
      </c>
    </row>
    <row r="6833" spans="2:10" x14ac:dyDescent="0.3">
      <c r="B6833" s="7">
        <v>44621</v>
      </c>
      <c r="C6833" s="3">
        <f t="shared" si="212"/>
        <v>2022</v>
      </c>
      <c r="D6833" s="3">
        <f t="shared" si="213"/>
        <v>202203</v>
      </c>
      <c r="E6833" s="5" t="s">
        <v>8</v>
      </c>
      <c r="F6833" s="5" t="s">
        <v>12</v>
      </c>
      <c r="G6833" s="5" t="s">
        <v>46</v>
      </c>
      <c r="H6833">
        <v>33</v>
      </c>
      <c r="I6833" s="4">
        <v>342474</v>
      </c>
      <c r="J6833" s="4">
        <v>155100</v>
      </c>
    </row>
    <row r="6834" spans="2:10" x14ac:dyDescent="0.3">
      <c r="B6834" s="7">
        <v>44652</v>
      </c>
      <c r="C6834" s="3">
        <f t="shared" si="212"/>
        <v>2022</v>
      </c>
      <c r="D6834" s="3">
        <f t="shared" si="213"/>
        <v>202204</v>
      </c>
      <c r="E6834" s="5" t="s">
        <v>8</v>
      </c>
      <c r="F6834" s="5" t="s">
        <v>12</v>
      </c>
      <c r="G6834" s="5" t="s">
        <v>46</v>
      </c>
      <c r="H6834">
        <v>62</v>
      </c>
      <c r="I6834" s="4">
        <v>727694</v>
      </c>
      <c r="J6834" s="4">
        <v>291400</v>
      </c>
    </row>
    <row r="6835" spans="2:10" x14ac:dyDescent="0.3">
      <c r="B6835" s="7">
        <v>44682</v>
      </c>
      <c r="C6835" s="3">
        <f t="shared" si="212"/>
        <v>2022</v>
      </c>
      <c r="D6835" s="3">
        <f t="shared" si="213"/>
        <v>202205</v>
      </c>
      <c r="E6835" s="5" t="s">
        <v>8</v>
      </c>
      <c r="F6835" s="5" t="s">
        <v>12</v>
      </c>
      <c r="G6835" s="5" t="s">
        <v>46</v>
      </c>
      <c r="H6835">
        <v>78</v>
      </c>
      <c r="I6835" s="4">
        <v>959556</v>
      </c>
      <c r="J6835" s="4">
        <v>366600</v>
      </c>
    </row>
    <row r="6836" spans="2:10" x14ac:dyDescent="0.3">
      <c r="B6836" s="7">
        <v>44713</v>
      </c>
      <c r="C6836" s="3">
        <f t="shared" si="212"/>
        <v>2022</v>
      </c>
      <c r="D6836" s="3">
        <f t="shared" si="213"/>
        <v>202206</v>
      </c>
      <c r="E6836" s="5" t="s">
        <v>8</v>
      </c>
      <c r="F6836" s="5" t="s">
        <v>12</v>
      </c>
      <c r="G6836" s="5" t="s">
        <v>46</v>
      </c>
      <c r="H6836">
        <v>74</v>
      </c>
      <c r="I6836" s="4">
        <v>797350</v>
      </c>
      <c r="J6836" s="4">
        <v>347800</v>
      </c>
    </row>
    <row r="6837" spans="2:10" x14ac:dyDescent="0.3">
      <c r="B6837" s="7">
        <v>44743</v>
      </c>
      <c r="C6837" s="3">
        <f t="shared" si="212"/>
        <v>2022</v>
      </c>
      <c r="D6837" s="3">
        <f t="shared" si="213"/>
        <v>202207</v>
      </c>
      <c r="E6837" s="5" t="s">
        <v>8</v>
      </c>
      <c r="F6837" s="5" t="s">
        <v>12</v>
      </c>
      <c r="G6837" s="5" t="s">
        <v>46</v>
      </c>
      <c r="H6837">
        <v>78</v>
      </c>
      <c r="I6837" s="4">
        <v>762996</v>
      </c>
      <c r="J6837" s="4">
        <v>366600</v>
      </c>
    </row>
    <row r="6838" spans="2:10" x14ac:dyDescent="0.3">
      <c r="B6838" s="7">
        <v>44774</v>
      </c>
      <c r="C6838" s="3">
        <f t="shared" si="212"/>
        <v>2022</v>
      </c>
      <c r="D6838" s="3">
        <f t="shared" si="213"/>
        <v>202208</v>
      </c>
      <c r="E6838" s="5" t="s">
        <v>8</v>
      </c>
      <c r="F6838" s="5" t="s">
        <v>12</v>
      </c>
      <c r="G6838" s="5" t="s">
        <v>46</v>
      </c>
      <c r="H6838">
        <v>66</v>
      </c>
      <c r="I6838" s="4">
        <v>726726</v>
      </c>
      <c r="J6838" s="4">
        <v>310200</v>
      </c>
    </row>
    <row r="6839" spans="2:10" x14ac:dyDescent="0.3">
      <c r="B6839" s="7">
        <v>44805</v>
      </c>
      <c r="C6839" s="3">
        <f t="shared" si="212"/>
        <v>2022</v>
      </c>
      <c r="D6839" s="3">
        <f t="shared" si="213"/>
        <v>202209</v>
      </c>
      <c r="E6839" s="5" t="s">
        <v>8</v>
      </c>
      <c r="F6839" s="5" t="s">
        <v>12</v>
      </c>
      <c r="G6839" s="5" t="s">
        <v>46</v>
      </c>
      <c r="H6839">
        <v>70</v>
      </c>
      <c r="I6839" s="4">
        <v>753060</v>
      </c>
      <c r="J6839" s="4">
        <v>329000</v>
      </c>
    </row>
    <row r="6840" spans="2:10" x14ac:dyDescent="0.3">
      <c r="B6840" s="7">
        <v>44835</v>
      </c>
      <c r="C6840" s="3">
        <f t="shared" si="212"/>
        <v>2022</v>
      </c>
      <c r="D6840" s="3">
        <f t="shared" si="213"/>
        <v>202210</v>
      </c>
      <c r="E6840" s="5" t="s">
        <v>8</v>
      </c>
      <c r="F6840" s="5" t="s">
        <v>12</v>
      </c>
      <c r="G6840" s="5" t="s">
        <v>46</v>
      </c>
      <c r="H6840">
        <v>58</v>
      </c>
      <c r="I6840" s="4">
        <v>644844</v>
      </c>
      <c r="J6840" s="4">
        <v>272600</v>
      </c>
    </row>
    <row r="6841" spans="2:10" x14ac:dyDescent="0.3">
      <c r="B6841" s="7">
        <v>44866</v>
      </c>
      <c r="C6841" s="3">
        <f t="shared" si="212"/>
        <v>2022</v>
      </c>
      <c r="D6841" s="3">
        <f t="shared" si="213"/>
        <v>202211</v>
      </c>
      <c r="E6841" s="5" t="s">
        <v>8</v>
      </c>
      <c r="F6841" s="5" t="s">
        <v>12</v>
      </c>
      <c r="G6841" s="5" t="s">
        <v>46</v>
      </c>
      <c r="H6841">
        <v>41</v>
      </c>
      <c r="I6841" s="4">
        <v>462521</v>
      </c>
      <c r="J6841" s="4">
        <v>192700</v>
      </c>
    </row>
    <row r="6842" spans="2:10" x14ac:dyDescent="0.3">
      <c r="B6842" s="7">
        <v>44896</v>
      </c>
      <c r="C6842" s="3">
        <f t="shared" si="212"/>
        <v>2022</v>
      </c>
      <c r="D6842" s="3">
        <f t="shared" si="213"/>
        <v>202212</v>
      </c>
      <c r="E6842" s="5" t="s">
        <v>8</v>
      </c>
      <c r="F6842" s="5" t="s">
        <v>12</v>
      </c>
      <c r="G6842" s="5" t="s">
        <v>46</v>
      </c>
      <c r="H6842">
        <v>50</v>
      </c>
      <c r="I6842" s="4">
        <v>549350</v>
      </c>
      <c r="J6842" s="4">
        <v>235000</v>
      </c>
    </row>
    <row r="6843" spans="2:10" x14ac:dyDescent="0.3">
      <c r="B6843" s="7">
        <v>44197</v>
      </c>
      <c r="C6843" s="3">
        <f t="shared" si="212"/>
        <v>2021</v>
      </c>
      <c r="D6843" s="3">
        <f t="shared" si="213"/>
        <v>202101</v>
      </c>
      <c r="E6843" s="5" t="s">
        <v>8</v>
      </c>
      <c r="F6843" s="5" t="s">
        <v>12</v>
      </c>
      <c r="G6843" s="5" t="s">
        <v>47</v>
      </c>
      <c r="H6843">
        <v>63</v>
      </c>
      <c r="I6843" s="4">
        <v>617841</v>
      </c>
      <c r="J6843" s="4">
        <v>338247</v>
      </c>
    </row>
    <row r="6844" spans="2:10" x14ac:dyDescent="0.3">
      <c r="B6844" s="7">
        <v>44228</v>
      </c>
      <c r="C6844" s="3">
        <f t="shared" si="212"/>
        <v>2021</v>
      </c>
      <c r="D6844" s="3">
        <f t="shared" si="213"/>
        <v>202102</v>
      </c>
      <c r="E6844" s="5" t="s">
        <v>8</v>
      </c>
      <c r="F6844" s="5" t="s">
        <v>12</v>
      </c>
      <c r="G6844" s="5" t="s">
        <v>47</v>
      </c>
      <c r="H6844">
        <v>40</v>
      </c>
      <c r="I6844" s="4">
        <v>441120</v>
      </c>
      <c r="J6844" s="4">
        <v>214760</v>
      </c>
    </row>
    <row r="6845" spans="2:10" x14ac:dyDescent="0.3">
      <c r="B6845" s="7">
        <v>44256</v>
      </c>
      <c r="C6845" s="3">
        <f t="shared" si="212"/>
        <v>2021</v>
      </c>
      <c r="D6845" s="3">
        <f t="shared" si="213"/>
        <v>202103</v>
      </c>
      <c r="E6845" s="5" t="s">
        <v>8</v>
      </c>
      <c r="F6845" s="5" t="s">
        <v>12</v>
      </c>
      <c r="G6845" s="5" t="s">
        <v>47</v>
      </c>
      <c r="H6845">
        <v>32</v>
      </c>
      <c r="I6845" s="4">
        <v>331296</v>
      </c>
      <c r="J6845" s="4">
        <v>171808</v>
      </c>
    </row>
    <row r="6846" spans="2:10" x14ac:dyDescent="0.3">
      <c r="B6846" s="7">
        <v>44287</v>
      </c>
      <c r="C6846" s="3">
        <f t="shared" si="212"/>
        <v>2021</v>
      </c>
      <c r="D6846" s="3">
        <f t="shared" si="213"/>
        <v>202104</v>
      </c>
      <c r="E6846" s="5" t="s">
        <v>8</v>
      </c>
      <c r="F6846" s="5" t="s">
        <v>12</v>
      </c>
      <c r="G6846" s="5" t="s">
        <v>47</v>
      </c>
      <c r="H6846">
        <v>59</v>
      </c>
      <c r="I6846" s="4">
        <v>660918</v>
      </c>
      <c r="J6846" s="4">
        <v>316771</v>
      </c>
    </row>
    <row r="6847" spans="2:10" x14ac:dyDescent="0.3">
      <c r="B6847" s="7">
        <v>44317</v>
      </c>
      <c r="C6847" s="3">
        <f t="shared" si="212"/>
        <v>2021</v>
      </c>
      <c r="D6847" s="3">
        <f t="shared" si="213"/>
        <v>202105</v>
      </c>
      <c r="E6847" s="5" t="s">
        <v>8</v>
      </c>
      <c r="F6847" s="5" t="s">
        <v>12</v>
      </c>
      <c r="G6847" s="5" t="s">
        <v>47</v>
      </c>
      <c r="H6847">
        <v>75</v>
      </c>
      <c r="I6847" s="4">
        <v>805875</v>
      </c>
      <c r="J6847" s="4">
        <v>402675</v>
      </c>
    </row>
    <row r="6848" spans="2:10" x14ac:dyDescent="0.3">
      <c r="B6848" s="7">
        <v>44348</v>
      </c>
      <c r="C6848" s="3">
        <f t="shared" si="212"/>
        <v>2021</v>
      </c>
      <c r="D6848" s="3">
        <f t="shared" si="213"/>
        <v>202106</v>
      </c>
      <c r="E6848" s="5" t="s">
        <v>8</v>
      </c>
      <c r="F6848" s="5" t="s">
        <v>12</v>
      </c>
      <c r="G6848" s="5" t="s">
        <v>47</v>
      </c>
      <c r="H6848">
        <v>71</v>
      </c>
      <c r="I6848" s="4">
        <v>728957</v>
      </c>
      <c r="J6848" s="4">
        <v>381199</v>
      </c>
    </row>
    <row r="6849" spans="2:10" x14ac:dyDescent="0.3">
      <c r="B6849" s="7">
        <v>44378</v>
      </c>
      <c r="C6849" s="3">
        <f t="shared" si="212"/>
        <v>2021</v>
      </c>
      <c r="D6849" s="3">
        <f t="shared" si="213"/>
        <v>202107</v>
      </c>
      <c r="E6849" s="5" t="s">
        <v>8</v>
      </c>
      <c r="F6849" s="5" t="s">
        <v>12</v>
      </c>
      <c r="G6849" s="5" t="s">
        <v>47</v>
      </c>
      <c r="H6849">
        <v>75</v>
      </c>
      <c r="I6849" s="4">
        <v>660225</v>
      </c>
      <c r="J6849" s="4">
        <v>402675</v>
      </c>
    </row>
    <row r="6850" spans="2:10" x14ac:dyDescent="0.3">
      <c r="B6850" s="7">
        <v>44409</v>
      </c>
      <c r="C6850" s="3">
        <f t="shared" si="212"/>
        <v>2021</v>
      </c>
      <c r="D6850" s="3">
        <f t="shared" si="213"/>
        <v>202108</v>
      </c>
      <c r="E6850" s="5" t="s">
        <v>8</v>
      </c>
      <c r="F6850" s="5" t="s">
        <v>12</v>
      </c>
      <c r="G6850" s="5" t="s">
        <v>47</v>
      </c>
      <c r="H6850">
        <v>63</v>
      </c>
      <c r="I6850" s="4">
        <v>585018</v>
      </c>
      <c r="J6850" s="4">
        <v>338247</v>
      </c>
    </row>
    <row r="6851" spans="2:10" x14ac:dyDescent="0.3">
      <c r="B6851" s="7">
        <v>44440</v>
      </c>
      <c r="C6851" s="3">
        <f t="shared" ref="C6851:C6914" si="214">YEAR(B6851)</f>
        <v>2021</v>
      </c>
      <c r="D6851" s="3">
        <f t="shared" ref="D6851:D6914" si="215">VALUE(TEXT(B6851,"ГГГГММ"))</f>
        <v>202109</v>
      </c>
      <c r="E6851" s="5" t="s">
        <v>8</v>
      </c>
      <c r="F6851" s="5" t="s">
        <v>12</v>
      </c>
      <c r="G6851" s="5" t="s">
        <v>47</v>
      </c>
      <c r="H6851">
        <v>67</v>
      </c>
      <c r="I6851" s="4">
        <v>635428</v>
      </c>
      <c r="J6851" s="4">
        <v>359723</v>
      </c>
    </row>
    <row r="6852" spans="2:10" x14ac:dyDescent="0.3">
      <c r="B6852" s="7">
        <v>44470</v>
      </c>
      <c r="C6852" s="3">
        <f t="shared" si="214"/>
        <v>2021</v>
      </c>
      <c r="D6852" s="3">
        <f t="shared" si="215"/>
        <v>202110</v>
      </c>
      <c r="E6852" s="5" t="s">
        <v>8</v>
      </c>
      <c r="F6852" s="5" t="s">
        <v>12</v>
      </c>
      <c r="G6852" s="5" t="s">
        <v>47</v>
      </c>
      <c r="H6852">
        <v>55</v>
      </c>
      <c r="I6852" s="4">
        <v>593175</v>
      </c>
      <c r="J6852" s="4">
        <v>295295</v>
      </c>
    </row>
    <row r="6853" spans="2:10" x14ac:dyDescent="0.3">
      <c r="B6853" s="7">
        <v>44501</v>
      </c>
      <c r="C6853" s="3">
        <f t="shared" si="214"/>
        <v>2021</v>
      </c>
      <c r="D6853" s="3">
        <f t="shared" si="215"/>
        <v>202111</v>
      </c>
      <c r="E6853" s="5" t="s">
        <v>8</v>
      </c>
      <c r="F6853" s="5" t="s">
        <v>12</v>
      </c>
      <c r="G6853" s="5" t="s">
        <v>47</v>
      </c>
      <c r="H6853">
        <v>40</v>
      </c>
      <c r="I6853" s="4">
        <v>425240</v>
      </c>
      <c r="J6853" s="4">
        <v>214760</v>
      </c>
    </row>
    <row r="6854" spans="2:10" x14ac:dyDescent="0.3">
      <c r="B6854" s="7">
        <v>44531</v>
      </c>
      <c r="C6854" s="3">
        <f t="shared" si="214"/>
        <v>2021</v>
      </c>
      <c r="D6854" s="3">
        <f t="shared" si="215"/>
        <v>202112</v>
      </c>
      <c r="E6854" s="5" t="s">
        <v>8</v>
      </c>
      <c r="F6854" s="5" t="s">
        <v>12</v>
      </c>
      <c r="G6854" s="5" t="s">
        <v>47</v>
      </c>
      <c r="H6854">
        <v>48</v>
      </c>
      <c r="I6854" s="4">
        <v>495984</v>
      </c>
      <c r="J6854" s="4">
        <v>257712</v>
      </c>
    </row>
    <row r="6855" spans="2:10" x14ac:dyDescent="0.3">
      <c r="B6855" s="7">
        <v>44562</v>
      </c>
      <c r="C6855" s="3">
        <f t="shared" si="214"/>
        <v>2022</v>
      </c>
      <c r="D6855" s="3">
        <f t="shared" si="215"/>
        <v>202201</v>
      </c>
      <c r="E6855" s="5" t="s">
        <v>8</v>
      </c>
      <c r="F6855" s="5" t="s">
        <v>12</v>
      </c>
      <c r="G6855" s="5" t="s">
        <v>47</v>
      </c>
      <c r="H6855">
        <v>70</v>
      </c>
      <c r="I6855" s="4">
        <v>770630</v>
      </c>
      <c r="J6855" s="4">
        <v>375830</v>
      </c>
    </row>
    <row r="6856" spans="2:10" x14ac:dyDescent="0.3">
      <c r="B6856" s="7">
        <v>44593</v>
      </c>
      <c r="C6856" s="3">
        <f t="shared" si="214"/>
        <v>2022</v>
      </c>
      <c r="D6856" s="3">
        <f t="shared" si="215"/>
        <v>202202</v>
      </c>
      <c r="E6856" s="5" t="s">
        <v>8</v>
      </c>
      <c r="F6856" s="5" t="s">
        <v>12</v>
      </c>
      <c r="G6856" s="5" t="s">
        <v>47</v>
      </c>
      <c r="H6856">
        <v>44</v>
      </c>
      <c r="I6856" s="4">
        <v>470008</v>
      </c>
      <c r="J6856" s="4">
        <v>236236</v>
      </c>
    </row>
    <row r="6857" spans="2:10" x14ac:dyDescent="0.3">
      <c r="B6857" s="7">
        <v>44621</v>
      </c>
      <c r="C6857" s="3">
        <f t="shared" si="214"/>
        <v>2022</v>
      </c>
      <c r="D6857" s="3">
        <f t="shared" si="215"/>
        <v>202203</v>
      </c>
      <c r="E6857" s="5" t="s">
        <v>8</v>
      </c>
      <c r="F6857" s="5" t="s">
        <v>12</v>
      </c>
      <c r="G6857" s="5" t="s">
        <v>47</v>
      </c>
      <c r="H6857">
        <v>35</v>
      </c>
      <c r="I6857" s="4">
        <v>331730</v>
      </c>
      <c r="J6857" s="4">
        <v>187915</v>
      </c>
    </row>
    <row r="6858" spans="2:10" x14ac:dyDescent="0.3">
      <c r="B6858" s="7">
        <v>44652</v>
      </c>
      <c r="C6858" s="3">
        <f t="shared" si="214"/>
        <v>2022</v>
      </c>
      <c r="D6858" s="3">
        <f t="shared" si="215"/>
        <v>202204</v>
      </c>
      <c r="E6858" s="5" t="s">
        <v>8</v>
      </c>
      <c r="F6858" s="5" t="s">
        <v>12</v>
      </c>
      <c r="G6858" s="5" t="s">
        <v>47</v>
      </c>
      <c r="H6858">
        <v>65</v>
      </c>
      <c r="I6858" s="4">
        <v>706160</v>
      </c>
      <c r="J6858" s="4">
        <v>348985</v>
      </c>
    </row>
    <row r="6859" spans="2:10" x14ac:dyDescent="0.3">
      <c r="B6859" s="7">
        <v>44682</v>
      </c>
      <c r="C6859" s="3">
        <f t="shared" si="214"/>
        <v>2022</v>
      </c>
      <c r="D6859" s="3">
        <f t="shared" si="215"/>
        <v>202205</v>
      </c>
      <c r="E6859" s="5" t="s">
        <v>8</v>
      </c>
      <c r="F6859" s="5" t="s">
        <v>12</v>
      </c>
      <c r="G6859" s="5" t="s">
        <v>47</v>
      </c>
      <c r="H6859">
        <v>83</v>
      </c>
      <c r="I6859" s="4">
        <v>930015</v>
      </c>
      <c r="J6859" s="4">
        <v>445627</v>
      </c>
    </row>
    <row r="6860" spans="2:10" x14ac:dyDescent="0.3">
      <c r="B6860" s="7">
        <v>44713</v>
      </c>
      <c r="C6860" s="3">
        <f t="shared" si="214"/>
        <v>2022</v>
      </c>
      <c r="D6860" s="3">
        <f t="shared" si="215"/>
        <v>202206</v>
      </c>
      <c r="E6860" s="5" t="s">
        <v>8</v>
      </c>
      <c r="F6860" s="5" t="s">
        <v>12</v>
      </c>
      <c r="G6860" s="5" t="s">
        <v>47</v>
      </c>
      <c r="H6860">
        <v>78</v>
      </c>
      <c r="I6860" s="4">
        <v>833664</v>
      </c>
      <c r="J6860" s="4">
        <v>418782</v>
      </c>
    </row>
    <row r="6861" spans="2:10" x14ac:dyDescent="0.3">
      <c r="B6861" s="7">
        <v>44743</v>
      </c>
      <c r="C6861" s="3">
        <f t="shared" si="214"/>
        <v>2022</v>
      </c>
      <c r="D6861" s="3">
        <f t="shared" si="215"/>
        <v>202207</v>
      </c>
      <c r="E6861" s="5" t="s">
        <v>8</v>
      </c>
      <c r="F6861" s="5" t="s">
        <v>12</v>
      </c>
      <c r="G6861" s="5" t="s">
        <v>47</v>
      </c>
      <c r="H6861">
        <v>83</v>
      </c>
      <c r="I6861" s="4">
        <v>751233</v>
      </c>
      <c r="J6861" s="4">
        <v>445627</v>
      </c>
    </row>
    <row r="6862" spans="2:10" x14ac:dyDescent="0.3">
      <c r="B6862" s="7">
        <v>44774</v>
      </c>
      <c r="C6862" s="3">
        <f t="shared" si="214"/>
        <v>2022</v>
      </c>
      <c r="D6862" s="3">
        <f t="shared" si="215"/>
        <v>202208</v>
      </c>
      <c r="E6862" s="5" t="s">
        <v>8</v>
      </c>
      <c r="F6862" s="5" t="s">
        <v>12</v>
      </c>
      <c r="G6862" s="5" t="s">
        <v>47</v>
      </c>
      <c r="H6862">
        <v>70</v>
      </c>
      <c r="I6862" s="4">
        <v>673890</v>
      </c>
      <c r="J6862" s="4">
        <v>375830</v>
      </c>
    </row>
    <row r="6863" spans="2:10" x14ac:dyDescent="0.3">
      <c r="B6863" s="7">
        <v>44805</v>
      </c>
      <c r="C6863" s="3">
        <f t="shared" si="214"/>
        <v>2022</v>
      </c>
      <c r="D6863" s="3">
        <f t="shared" si="215"/>
        <v>202209</v>
      </c>
      <c r="E6863" s="5" t="s">
        <v>8</v>
      </c>
      <c r="F6863" s="5" t="s">
        <v>12</v>
      </c>
      <c r="G6863" s="5" t="s">
        <v>47</v>
      </c>
      <c r="H6863">
        <v>74</v>
      </c>
      <c r="I6863" s="4">
        <v>744366</v>
      </c>
      <c r="J6863" s="4">
        <v>397306</v>
      </c>
    </row>
    <row r="6864" spans="2:10" x14ac:dyDescent="0.3">
      <c r="B6864" s="7">
        <v>44835</v>
      </c>
      <c r="C6864" s="3">
        <f t="shared" si="214"/>
        <v>2022</v>
      </c>
      <c r="D6864" s="3">
        <f t="shared" si="215"/>
        <v>202210</v>
      </c>
      <c r="E6864" s="5" t="s">
        <v>8</v>
      </c>
      <c r="F6864" s="5" t="s">
        <v>12</v>
      </c>
      <c r="G6864" s="5" t="s">
        <v>47</v>
      </c>
      <c r="H6864">
        <v>61</v>
      </c>
      <c r="I6864" s="4">
        <v>664900</v>
      </c>
      <c r="J6864" s="4">
        <v>327509</v>
      </c>
    </row>
    <row r="6865" spans="2:10" x14ac:dyDescent="0.3">
      <c r="B6865" s="7">
        <v>44866</v>
      </c>
      <c r="C6865" s="3">
        <f t="shared" si="214"/>
        <v>2022</v>
      </c>
      <c r="D6865" s="3">
        <f t="shared" si="215"/>
        <v>202211</v>
      </c>
      <c r="E6865" s="5" t="s">
        <v>8</v>
      </c>
      <c r="F6865" s="5" t="s">
        <v>12</v>
      </c>
      <c r="G6865" s="5" t="s">
        <v>47</v>
      </c>
      <c r="H6865">
        <v>44</v>
      </c>
      <c r="I6865" s="4">
        <v>451264</v>
      </c>
      <c r="J6865" s="4">
        <v>236236</v>
      </c>
    </row>
    <row r="6866" spans="2:10" x14ac:dyDescent="0.3">
      <c r="B6866" s="7">
        <v>44896</v>
      </c>
      <c r="C6866" s="3">
        <f t="shared" si="214"/>
        <v>2022</v>
      </c>
      <c r="D6866" s="3">
        <f t="shared" si="215"/>
        <v>202212</v>
      </c>
      <c r="E6866" s="5" t="s">
        <v>8</v>
      </c>
      <c r="F6866" s="5" t="s">
        <v>12</v>
      </c>
      <c r="G6866" s="5" t="s">
        <v>47</v>
      </c>
      <c r="H6866">
        <v>52</v>
      </c>
      <c r="I6866" s="4">
        <v>501384</v>
      </c>
      <c r="J6866" s="4">
        <v>279188</v>
      </c>
    </row>
    <row r="6867" spans="2:10" x14ac:dyDescent="0.3">
      <c r="B6867" s="7">
        <v>44197</v>
      </c>
      <c r="C6867" s="3">
        <f t="shared" si="214"/>
        <v>2021</v>
      </c>
      <c r="D6867" s="3">
        <f t="shared" si="215"/>
        <v>202101</v>
      </c>
      <c r="E6867" s="5" t="s">
        <v>8</v>
      </c>
      <c r="F6867" s="5" t="s">
        <v>12</v>
      </c>
      <c r="G6867" s="5" t="s">
        <v>48</v>
      </c>
      <c r="H6867">
        <v>45</v>
      </c>
      <c r="I6867" s="4">
        <v>545265</v>
      </c>
      <c r="J6867" s="4">
        <v>247500</v>
      </c>
    </row>
    <row r="6868" spans="2:10" x14ac:dyDescent="0.3">
      <c r="B6868" s="7">
        <v>44228</v>
      </c>
      <c r="C6868" s="3">
        <f t="shared" si="214"/>
        <v>2021</v>
      </c>
      <c r="D6868" s="3">
        <f t="shared" si="215"/>
        <v>202102</v>
      </c>
      <c r="E6868" s="5" t="s">
        <v>8</v>
      </c>
      <c r="F6868" s="5" t="s">
        <v>12</v>
      </c>
      <c r="G6868" s="5" t="s">
        <v>48</v>
      </c>
      <c r="H6868">
        <v>28</v>
      </c>
      <c r="I6868" s="4">
        <v>337960</v>
      </c>
      <c r="J6868" s="4">
        <v>154000</v>
      </c>
    </row>
    <row r="6869" spans="2:10" x14ac:dyDescent="0.3">
      <c r="B6869" s="7">
        <v>44256</v>
      </c>
      <c r="C6869" s="3">
        <f t="shared" si="214"/>
        <v>2021</v>
      </c>
      <c r="D6869" s="3">
        <f t="shared" si="215"/>
        <v>202103</v>
      </c>
      <c r="E6869" s="5" t="s">
        <v>8</v>
      </c>
      <c r="F6869" s="5" t="s">
        <v>12</v>
      </c>
      <c r="G6869" s="5" t="s">
        <v>48</v>
      </c>
      <c r="H6869">
        <v>23</v>
      </c>
      <c r="I6869" s="4">
        <v>273976</v>
      </c>
      <c r="J6869" s="4">
        <v>126500</v>
      </c>
    </row>
    <row r="6870" spans="2:10" x14ac:dyDescent="0.3">
      <c r="B6870" s="7">
        <v>44287</v>
      </c>
      <c r="C6870" s="3">
        <f t="shared" si="214"/>
        <v>2021</v>
      </c>
      <c r="D6870" s="3">
        <f t="shared" si="215"/>
        <v>202104</v>
      </c>
      <c r="E6870" s="5" t="s">
        <v>8</v>
      </c>
      <c r="F6870" s="5" t="s">
        <v>12</v>
      </c>
      <c r="G6870" s="5" t="s">
        <v>48</v>
      </c>
      <c r="H6870">
        <v>42</v>
      </c>
      <c r="I6870" s="4">
        <v>527646</v>
      </c>
      <c r="J6870" s="4">
        <v>231000</v>
      </c>
    </row>
    <row r="6871" spans="2:10" x14ac:dyDescent="0.3">
      <c r="B6871" s="7">
        <v>44317</v>
      </c>
      <c r="C6871" s="3">
        <f t="shared" si="214"/>
        <v>2021</v>
      </c>
      <c r="D6871" s="3">
        <f t="shared" si="215"/>
        <v>202105</v>
      </c>
      <c r="E6871" s="5" t="s">
        <v>8</v>
      </c>
      <c r="F6871" s="5" t="s">
        <v>12</v>
      </c>
      <c r="G6871" s="5" t="s">
        <v>48</v>
      </c>
      <c r="H6871">
        <v>54</v>
      </c>
      <c r="I6871" s="4">
        <v>720198</v>
      </c>
      <c r="J6871" s="4">
        <v>297000</v>
      </c>
    </row>
    <row r="6872" spans="2:10" x14ac:dyDescent="0.3">
      <c r="B6872" s="7">
        <v>44348</v>
      </c>
      <c r="C6872" s="3">
        <f t="shared" si="214"/>
        <v>2021</v>
      </c>
      <c r="D6872" s="3">
        <f t="shared" si="215"/>
        <v>202106</v>
      </c>
      <c r="E6872" s="5" t="s">
        <v>8</v>
      </c>
      <c r="F6872" s="5" t="s">
        <v>12</v>
      </c>
      <c r="G6872" s="5" t="s">
        <v>48</v>
      </c>
      <c r="H6872">
        <v>51</v>
      </c>
      <c r="I6872" s="4">
        <v>648975</v>
      </c>
      <c r="J6872" s="4">
        <v>280500</v>
      </c>
    </row>
    <row r="6873" spans="2:10" x14ac:dyDescent="0.3">
      <c r="B6873" s="7">
        <v>44378</v>
      </c>
      <c r="C6873" s="3">
        <f t="shared" si="214"/>
        <v>2021</v>
      </c>
      <c r="D6873" s="3">
        <f t="shared" si="215"/>
        <v>202107</v>
      </c>
      <c r="E6873" s="5" t="s">
        <v>8</v>
      </c>
      <c r="F6873" s="5" t="s">
        <v>12</v>
      </c>
      <c r="G6873" s="5" t="s">
        <v>48</v>
      </c>
      <c r="H6873">
        <v>54</v>
      </c>
      <c r="I6873" s="4">
        <v>597456</v>
      </c>
      <c r="J6873" s="4">
        <v>297000</v>
      </c>
    </row>
    <row r="6874" spans="2:10" x14ac:dyDescent="0.3">
      <c r="B6874" s="7">
        <v>44409</v>
      </c>
      <c r="C6874" s="3">
        <f t="shared" si="214"/>
        <v>2021</v>
      </c>
      <c r="D6874" s="3">
        <f t="shared" si="215"/>
        <v>202108</v>
      </c>
      <c r="E6874" s="5" t="s">
        <v>8</v>
      </c>
      <c r="F6874" s="5" t="s">
        <v>12</v>
      </c>
      <c r="G6874" s="5" t="s">
        <v>48</v>
      </c>
      <c r="H6874">
        <v>45</v>
      </c>
      <c r="I6874" s="4">
        <v>507645</v>
      </c>
      <c r="J6874" s="4">
        <v>247500</v>
      </c>
    </row>
    <row r="6875" spans="2:10" x14ac:dyDescent="0.3">
      <c r="B6875" s="7">
        <v>44440</v>
      </c>
      <c r="C6875" s="3">
        <f t="shared" si="214"/>
        <v>2021</v>
      </c>
      <c r="D6875" s="3">
        <f t="shared" si="215"/>
        <v>202109</v>
      </c>
      <c r="E6875" s="5" t="s">
        <v>8</v>
      </c>
      <c r="F6875" s="5" t="s">
        <v>12</v>
      </c>
      <c r="G6875" s="5" t="s">
        <v>48</v>
      </c>
      <c r="H6875">
        <v>48</v>
      </c>
      <c r="I6875" s="4">
        <v>588048</v>
      </c>
      <c r="J6875" s="4">
        <v>264000</v>
      </c>
    </row>
    <row r="6876" spans="2:10" x14ac:dyDescent="0.3">
      <c r="B6876" s="7">
        <v>44470</v>
      </c>
      <c r="C6876" s="3">
        <f t="shared" si="214"/>
        <v>2021</v>
      </c>
      <c r="D6876" s="3">
        <f t="shared" si="215"/>
        <v>202110</v>
      </c>
      <c r="E6876" s="5" t="s">
        <v>8</v>
      </c>
      <c r="F6876" s="5" t="s">
        <v>12</v>
      </c>
      <c r="G6876" s="5" t="s">
        <v>48</v>
      </c>
      <c r="H6876">
        <v>40</v>
      </c>
      <c r="I6876" s="4">
        <v>519360</v>
      </c>
      <c r="J6876" s="4">
        <v>220000</v>
      </c>
    </row>
    <row r="6877" spans="2:10" x14ac:dyDescent="0.3">
      <c r="B6877" s="7">
        <v>44501</v>
      </c>
      <c r="C6877" s="3">
        <f t="shared" si="214"/>
        <v>2021</v>
      </c>
      <c r="D6877" s="3">
        <f t="shared" si="215"/>
        <v>202111</v>
      </c>
      <c r="E6877" s="5" t="s">
        <v>8</v>
      </c>
      <c r="F6877" s="5" t="s">
        <v>12</v>
      </c>
      <c r="G6877" s="5" t="s">
        <v>48</v>
      </c>
      <c r="H6877">
        <v>28</v>
      </c>
      <c r="I6877" s="4">
        <v>360024</v>
      </c>
      <c r="J6877" s="4">
        <v>154000</v>
      </c>
    </row>
    <row r="6878" spans="2:10" x14ac:dyDescent="0.3">
      <c r="B6878" s="7">
        <v>44531</v>
      </c>
      <c r="C6878" s="3">
        <f t="shared" si="214"/>
        <v>2021</v>
      </c>
      <c r="D6878" s="3">
        <f t="shared" si="215"/>
        <v>202112</v>
      </c>
      <c r="E6878" s="5" t="s">
        <v>8</v>
      </c>
      <c r="F6878" s="5" t="s">
        <v>12</v>
      </c>
      <c r="G6878" s="5" t="s">
        <v>48</v>
      </c>
      <c r="H6878">
        <v>34</v>
      </c>
      <c r="I6878" s="4">
        <v>419084</v>
      </c>
      <c r="J6878" s="4">
        <v>187000</v>
      </c>
    </row>
    <row r="6879" spans="2:10" x14ac:dyDescent="0.3">
      <c r="B6879" s="7">
        <v>44562</v>
      </c>
      <c r="C6879" s="3">
        <f t="shared" si="214"/>
        <v>2022</v>
      </c>
      <c r="D6879" s="3">
        <f t="shared" si="215"/>
        <v>202201</v>
      </c>
      <c r="E6879" s="5" t="s">
        <v>8</v>
      </c>
      <c r="F6879" s="5" t="s">
        <v>12</v>
      </c>
      <c r="G6879" s="5" t="s">
        <v>48</v>
      </c>
      <c r="H6879">
        <v>50</v>
      </c>
      <c r="I6879" s="4">
        <v>603350</v>
      </c>
      <c r="J6879" s="4">
        <v>275000</v>
      </c>
    </row>
    <row r="6880" spans="2:10" x14ac:dyDescent="0.3">
      <c r="B6880" s="7">
        <v>44593</v>
      </c>
      <c r="C6880" s="3">
        <f t="shared" si="214"/>
        <v>2022</v>
      </c>
      <c r="D6880" s="3">
        <f t="shared" si="215"/>
        <v>202202</v>
      </c>
      <c r="E6880" s="5" t="s">
        <v>8</v>
      </c>
      <c r="F6880" s="5" t="s">
        <v>12</v>
      </c>
      <c r="G6880" s="5" t="s">
        <v>48</v>
      </c>
      <c r="H6880">
        <v>31</v>
      </c>
      <c r="I6880" s="4">
        <v>378200</v>
      </c>
      <c r="J6880" s="4">
        <v>170500</v>
      </c>
    </row>
    <row r="6881" spans="2:10" x14ac:dyDescent="0.3">
      <c r="B6881" s="7">
        <v>44621</v>
      </c>
      <c r="C6881" s="3">
        <f t="shared" si="214"/>
        <v>2022</v>
      </c>
      <c r="D6881" s="3">
        <f t="shared" si="215"/>
        <v>202203</v>
      </c>
      <c r="E6881" s="5" t="s">
        <v>8</v>
      </c>
      <c r="F6881" s="5" t="s">
        <v>12</v>
      </c>
      <c r="G6881" s="5" t="s">
        <v>48</v>
      </c>
      <c r="H6881">
        <v>25</v>
      </c>
      <c r="I6881" s="4">
        <v>305625</v>
      </c>
      <c r="J6881" s="4">
        <v>137500</v>
      </c>
    </row>
    <row r="6882" spans="2:10" x14ac:dyDescent="0.3">
      <c r="B6882" s="7">
        <v>44652</v>
      </c>
      <c r="C6882" s="3">
        <f t="shared" si="214"/>
        <v>2022</v>
      </c>
      <c r="D6882" s="3">
        <f t="shared" si="215"/>
        <v>202204</v>
      </c>
      <c r="E6882" s="5" t="s">
        <v>8</v>
      </c>
      <c r="F6882" s="5" t="s">
        <v>12</v>
      </c>
      <c r="G6882" s="5" t="s">
        <v>48</v>
      </c>
      <c r="H6882">
        <v>47</v>
      </c>
      <c r="I6882" s="4">
        <v>588017</v>
      </c>
      <c r="J6882" s="4">
        <v>258500</v>
      </c>
    </row>
    <row r="6883" spans="2:10" x14ac:dyDescent="0.3">
      <c r="B6883" s="7">
        <v>44682</v>
      </c>
      <c r="C6883" s="3">
        <f t="shared" si="214"/>
        <v>2022</v>
      </c>
      <c r="D6883" s="3">
        <f t="shared" si="215"/>
        <v>202205</v>
      </c>
      <c r="E6883" s="5" t="s">
        <v>8</v>
      </c>
      <c r="F6883" s="5" t="s">
        <v>12</v>
      </c>
      <c r="G6883" s="5" t="s">
        <v>48</v>
      </c>
      <c r="H6883">
        <v>59</v>
      </c>
      <c r="I6883" s="4">
        <v>744285</v>
      </c>
      <c r="J6883" s="4">
        <v>324500</v>
      </c>
    </row>
    <row r="6884" spans="2:10" x14ac:dyDescent="0.3">
      <c r="B6884" s="7">
        <v>44713</v>
      </c>
      <c r="C6884" s="3">
        <f t="shared" si="214"/>
        <v>2022</v>
      </c>
      <c r="D6884" s="3">
        <f t="shared" si="215"/>
        <v>202206</v>
      </c>
      <c r="E6884" s="5" t="s">
        <v>8</v>
      </c>
      <c r="F6884" s="5" t="s">
        <v>12</v>
      </c>
      <c r="G6884" s="5" t="s">
        <v>48</v>
      </c>
      <c r="H6884">
        <v>56</v>
      </c>
      <c r="I6884" s="4">
        <v>666232</v>
      </c>
      <c r="J6884" s="4">
        <v>308000</v>
      </c>
    </row>
    <row r="6885" spans="2:10" x14ac:dyDescent="0.3">
      <c r="B6885" s="7">
        <v>44743</v>
      </c>
      <c r="C6885" s="3">
        <f t="shared" si="214"/>
        <v>2022</v>
      </c>
      <c r="D6885" s="3">
        <f t="shared" si="215"/>
        <v>202207</v>
      </c>
      <c r="E6885" s="5" t="s">
        <v>8</v>
      </c>
      <c r="F6885" s="5" t="s">
        <v>12</v>
      </c>
      <c r="G6885" s="5" t="s">
        <v>48</v>
      </c>
      <c r="H6885">
        <v>59</v>
      </c>
      <c r="I6885" s="4">
        <v>611122</v>
      </c>
      <c r="J6885" s="4">
        <v>324500</v>
      </c>
    </row>
    <row r="6886" spans="2:10" x14ac:dyDescent="0.3">
      <c r="B6886" s="7">
        <v>44774</v>
      </c>
      <c r="C6886" s="3">
        <f t="shared" si="214"/>
        <v>2022</v>
      </c>
      <c r="D6886" s="3">
        <f t="shared" si="215"/>
        <v>202208</v>
      </c>
      <c r="E6886" s="5" t="s">
        <v>8</v>
      </c>
      <c r="F6886" s="5" t="s">
        <v>12</v>
      </c>
      <c r="G6886" s="5" t="s">
        <v>48</v>
      </c>
      <c r="H6886">
        <v>50</v>
      </c>
      <c r="I6886" s="4">
        <v>603850</v>
      </c>
      <c r="J6886" s="4">
        <v>275000</v>
      </c>
    </row>
    <row r="6887" spans="2:10" x14ac:dyDescent="0.3">
      <c r="B6887" s="7">
        <v>44805</v>
      </c>
      <c r="C6887" s="3">
        <f t="shared" si="214"/>
        <v>2022</v>
      </c>
      <c r="D6887" s="3">
        <f t="shared" si="215"/>
        <v>202209</v>
      </c>
      <c r="E6887" s="5" t="s">
        <v>8</v>
      </c>
      <c r="F6887" s="5" t="s">
        <v>12</v>
      </c>
      <c r="G6887" s="5" t="s">
        <v>48</v>
      </c>
      <c r="H6887">
        <v>53</v>
      </c>
      <c r="I6887" s="4">
        <v>617185</v>
      </c>
      <c r="J6887" s="4">
        <v>291500</v>
      </c>
    </row>
    <row r="6888" spans="2:10" x14ac:dyDescent="0.3">
      <c r="B6888" s="7">
        <v>44835</v>
      </c>
      <c r="C6888" s="3">
        <f t="shared" si="214"/>
        <v>2022</v>
      </c>
      <c r="D6888" s="3">
        <f t="shared" si="215"/>
        <v>202210</v>
      </c>
      <c r="E6888" s="5" t="s">
        <v>8</v>
      </c>
      <c r="F6888" s="5" t="s">
        <v>12</v>
      </c>
      <c r="G6888" s="5" t="s">
        <v>48</v>
      </c>
      <c r="H6888">
        <v>44</v>
      </c>
      <c r="I6888" s="4">
        <v>532444</v>
      </c>
      <c r="J6888" s="4">
        <v>242000</v>
      </c>
    </row>
    <row r="6889" spans="2:10" x14ac:dyDescent="0.3">
      <c r="B6889" s="7">
        <v>44866</v>
      </c>
      <c r="C6889" s="3">
        <f t="shared" si="214"/>
        <v>2022</v>
      </c>
      <c r="D6889" s="3">
        <f t="shared" si="215"/>
        <v>202211</v>
      </c>
      <c r="E6889" s="5" t="s">
        <v>8</v>
      </c>
      <c r="F6889" s="5" t="s">
        <v>12</v>
      </c>
      <c r="G6889" s="5" t="s">
        <v>48</v>
      </c>
      <c r="H6889">
        <v>31</v>
      </c>
      <c r="I6889" s="4">
        <v>371473</v>
      </c>
      <c r="J6889" s="4">
        <v>170500</v>
      </c>
    </row>
    <row r="6890" spans="2:10" x14ac:dyDescent="0.3">
      <c r="B6890" s="7">
        <v>44896</v>
      </c>
      <c r="C6890" s="3">
        <f t="shared" si="214"/>
        <v>2022</v>
      </c>
      <c r="D6890" s="3">
        <f t="shared" si="215"/>
        <v>202212</v>
      </c>
      <c r="E6890" s="5" t="s">
        <v>8</v>
      </c>
      <c r="F6890" s="5" t="s">
        <v>12</v>
      </c>
      <c r="G6890" s="5" t="s">
        <v>48</v>
      </c>
      <c r="H6890">
        <v>37</v>
      </c>
      <c r="I6890" s="4">
        <v>416435</v>
      </c>
      <c r="J6890" s="4">
        <v>203500</v>
      </c>
    </row>
    <row r="6891" spans="2:10" x14ac:dyDescent="0.3">
      <c r="B6891" s="7">
        <v>44197</v>
      </c>
      <c r="C6891" s="3">
        <f t="shared" si="214"/>
        <v>2021</v>
      </c>
      <c r="D6891" s="3">
        <f t="shared" si="215"/>
        <v>202101</v>
      </c>
      <c r="E6891" s="5" t="s">
        <v>8</v>
      </c>
      <c r="F6891" s="5" t="s">
        <v>13</v>
      </c>
      <c r="G6891" s="5" t="s">
        <v>49</v>
      </c>
      <c r="H6891">
        <v>14</v>
      </c>
      <c r="I6891" s="4">
        <v>54264</v>
      </c>
      <c r="J6891" s="4">
        <v>21168</v>
      </c>
    </row>
    <row r="6892" spans="2:10" x14ac:dyDescent="0.3">
      <c r="B6892" s="7">
        <v>44228</v>
      </c>
      <c r="C6892" s="3">
        <f t="shared" si="214"/>
        <v>2021</v>
      </c>
      <c r="D6892" s="3">
        <f t="shared" si="215"/>
        <v>202102</v>
      </c>
      <c r="E6892" s="5" t="s">
        <v>8</v>
      </c>
      <c r="F6892" s="5" t="s">
        <v>13</v>
      </c>
      <c r="G6892" s="5" t="s">
        <v>49</v>
      </c>
      <c r="H6892">
        <v>9</v>
      </c>
      <c r="I6892" s="4">
        <v>40338</v>
      </c>
      <c r="J6892" s="4">
        <v>13608</v>
      </c>
    </row>
    <row r="6893" spans="2:10" x14ac:dyDescent="0.3">
      <c r="B6893" s="7">
        <v>44256</v>
      </c>
      <c r="C6893" s="3">
        <f t="shared" si="214"/>
        <v>2021</v>
      </c>
      <c r="D6893" s="3">
        <f t="shared" si="215"/>
        <v>202103</v>
      </c>
      <c r="E6893" s="5" t="s">
        <v>8</v>
      </c>
      <c r="F6893" s="5" t="s">
        <v>13</v>
      </c>
      <c r="G6893" s="5" t="s">
        <v>49</v>
      </c>
      <c r="H6893">
        <v>7</v>
      </c>
      <c r="I6893" s="4">
        <v>22022</v>
      </c>
      <c r="J6893" s="4">
        <v>10584</v>
      </c>
    </row>
    <row r="6894" spans="2:10" x14ac:dyDescent="0.3">
      <c r="B6894" s="7">
        <v>44287</v>
      </c>
      <c r="C6894" s="3">
        <f t="shared" si="214"/>
        <v>2021</v>
      </c>
      <c r="D6894" s="3">
        <f t="shared" si="215"/>
        <v>202104</v>
      </c>
      <c r="E6894" s="5" t="s">
        <v>8</v>
      </c>
      <c r="F6894" s="5" t="s">
        <v>13</v>
      </c>
      <c r="G6894" s="5" t="s">
        <v>49</v>
      </c>
      <c r="H6894">
        <v>13</v>
      </c>
      <c r="I6894" s="4">
        <v>58370</v>
      </c>
      <c r="J6894" s="4">
        <v>19656</v>
      </c>
    </row>
    <row r="6895" spans="2:10" x14ac:dyDescent="0.3">
      <c r="B6895" s="7">
        <v>44317</v>
      </c>
      <c r="C6895" s="3">
        <f t="shared" si="214"/>
        <v>2021</v>
      </c>
      <c r="D6895" s="3">
        <f t="shared" si="215"/>
        <v>202105</v>
      </c>
      <c r="E6895" s="5" t="s">
        <v>8</v>
      </c>
      <c r="F6895" s="5" t="s">
        <v>13</v>
      </c>
      <c r="G6895" s="5" t="s">
        <v>49</v>
      </c>
      <c r="H6895">
        <v>17</v>
      </c>
      <c r="I6895" s="4">
        <v>75616</v>
      </c>
      <c r="J6895" s="4">
        <v>25704</v>
      </c>
    </row>
    <row r="6896" spans="2:10" x14ac:dyDescent="0.3">
      <c r="B6896" s="7">
        <v>44348</v>
      </c>
      <c r="C6896" s="3">
        <f t="shared" si="214"/>
        <v>2021</v>
      </c>
      <c r="D6896" s="3">
        <f t="shared" si="215"/>
        <v>202106</v>
      </c>
      <c r="E6896" s="5" t="s">
        <v>8</v>
      </c>
      <c r="F6896" s="5" t="s">
        <v>13</v>
      </c>
      <c r="G6896" s="5" t="s">
        <v>49</v>
      </c>
      <c r="H6896">
        <v>16</v>
      </c>
      <c r="I6896" s="4">
        <v>70096</v>
      </c>
      <c r="J6896" s="4">
        <v>24192</v>
      </c>
    </row>
    <row r="6897" spans="2:10" x14ac:dyDescent="0.3">
      <c r="B6897" s="7">
        <v>44378</v>
      </c>
      <c r="C6897" s="3">
        <f t="shared" si="214"/>
        <v>2021</v>
      </c>
      <c r="D6897" s="3">
        <f t="shared" si="215"/>
        <v>202107</v>
      </c>
      <c r="E6897" s="5" t="s">
        <v>8</v>
      </c>
      <c r="F6897" s="5" t="s">
        <v>13</v>
      </c>
      <c r="G6897" s="5" t="s">
        <v>49</v>
      </c>
      <c r="H6897">
        <v>17</v>
      </c>
      <c r="I6897" s="4">
        <v>43911</v>
      </c>
      <c r="J6897" s="4">
        <v>25704</v>
      </c>
    </row>
    <row r="6898" spans="2:10" x14ac:dyDescent="0.3">
      <c r="B6898" s="7">
        <v>44409</v>
      </c>
      <c r="C6898" s="3">
        <f t="shared" si="214"/>
        <v>2021</v>
      </c>
      <c r="D6898" s="3">
        <f t="shared" si="215"/>
        <v>202108</v>
      </c>
      <c r="E6898" s="5" t="s">
        <v>8</v>
      </c>
      <c r="F6898" s="5" t="s">
        <v>13</v>
      </c>
      <c r="G6898" s="5" t="s">
        <v>49</v>
      </c>
      <c r="H6898">
        <v>14</v>
      </c>
      <c r="I6898" s="4">
        <v>57596</v>
      </c>
      <c r="J6898" s="4">
        <v>21168</v>
      </c>
    </row>
    <row r="6899" spans="2:10" x14ac:dyDescent="0.3">
      <c r="B6899" s="7">
        <v>44440</v>
      </c>
      <c r="C6899" s="3">
        <f t="shared" si="214"/>
        <v>2021</v>
      </c>
      <c r="D6899" s="3">
        <f t="shared" si="215"/>
        <v>202109</v>
      </c>
      <c r="E6899" s="5" t="s">
        <v>8</v>
      </c>
      <c r="F6899" s="5" t="s">
        <v>13</v>
      </c>
      <c r="G6899" s="5" t="s">
        <v>49</v>
      </c>
      <c r="H6899">
        <v>15</v>
      </c>
      <c r="I6899" s="4">
        <v>58275</v>
      </c>
      <c r="J6899" s="4">
        <v>22680</v>
      </c>
    </row>
    <row r="6900" spans="2:10" x14ac:dyDescent="0.3">
      <c r="B6900" s="7">
        <v>44470</v>
      </c>
      <c r="C6900" s="3">
        <f t="shared" si="214"/>
        <v>2021</v>
      </c>
      <c r="D6900" s="3">
        <f t="shared" si="215"/>
        <v>202110</v>
      </c>
      <c r="E6900" s="5" t="s">
        <v>8</v>
      </c>
      <c r="F6900" s="5" t="s">
        <v>13</v>
      </c>
      <c r="G6900" s="5" t="s">
        <v>49</v>
      </c>
      <c r="H6900">
        <v>12</v>
      </c>
      <c r="I6900" s="4">
        <v>50700</v>
      </c>
      <c r="J6900" s="4">
        <v>18144</v>
      </c>
    </row>
    <row r="6901" spans="2:10" x14ac:dyDescent="0.3">
      <c r="B6901" s="7">
        <v>44501</v>
      </c>
      <c r="C6901" s="3">
        <f t="shared" si="214"/>
        <v>2021</v>
      </c>
      <c r="D6901" s="3">
        <f t="shared" si="215"/>
        <v>202111</v>
      </c>
      <c r="E6901" s="5" t="s">
        <v>8</v>
      </c>
      <c r="F6901" s="5" t="s">
        <v>13</v>
      </c>
      <c r="G6901" s="5" t="s">
        <v>49</v>
      </c>
      <c r="H6901">
        <v>9</v>
      </c>
      <c r="I6901" s="4">
        <v>35604</v>
      </c>
      <c r="J6901" s="4">
        <v>13608</v>
      </c>
    </row>
    <row r="6902" spans="2:10" x14ac:dyDescent="0.3">
      <c r="B6902" s="7">
        <v>44531</v>
      </c>
      <c r="C6902" s="3">
        <f t="shared" si="214"/>
        <v>2021</v>
      </c>
      <c r="D6902" s="3">
        <f t="shared" si="215"/>
        <v>202112</v>
      </c>
      <c r="E6902" s="5" t="s">
        <v>8</v>
      </c>
      <c r="F6902" s="5" t="s">
        <v>13</v>
      </c>
      <c r="G6902" s="5" t="s">
        <v>49</v>
      </c>
      <c r="H6902">
        <v>11</v>
      </c>
      <c r="I6902" s="4">
        <v>36113</v>
      </c>
      <c r="J6902" s="4">
        <v>16632</v>
      </c>
    </row>
    <row r="6903" spans="2:10" x14ac:dyDescent="0.3">
      <c r="B6903" s="7">
        <v>44562</v>
      </c>
      <c r="C6903" s="3">
        <f t="shared" si="214"/>
        <v>2022</v>
      </c>
      <c r="D6903" s="3">
        <f t="shared" si="215"/>
        <v>202201</v>
      </c>
      <c r="E6903" s="5" t="s">
        <v>8</v>
      </c>
      <c r="F6903" s="5" t="s">
        <v>13</v>
      </c>
      <c r="G6903" s="5" t="s">
        <v>49</v>
      </c>
      <c r="H6903">
        <v>16</v>
      </c>
      <c r="I6903" s="4">
        <v>65600</v>
      </c>
      <c r="J6903" s="4">
        <v>24192</v>
      </c>
    </row>
    <row r="6904" spans="2:10" x14ac:dyDescent="0.3">
      <c r="B6904" s="7">
        <v>44593</v>
      </c>
      <c r="C6904" s="3">
        <f t="shared" si="214"/>
        <v>2022</v>
      </c>
      <c r="D6904" s="3">
        <f t="shared" si="215"/>
        <v>202202</v>
      </c>
      <c r="E6904" s="5" t="s">
        <v>8</v>
      </c>
      <c r="F6904" s="5" t="s">
        <v>13</v>
      </c>
      <c r="G6904" s="5" t="s">
        <v>49</v>
      </c>
      <c r="H6904">
        <v>10</v>
      </c>
      <c r="I6904" s="4">
        <v>42500</v>
      </c>
      <c r="J6904" s="4">
        <v>15120</v>
      </c>
    </row>
    <row r="6905" spans="2:10" x14ac:dyDescent="0.3">
      <c r="B6905" s="7">
        <v>44621</v>
      </c>
      <c r="C6905" s="3">
        <f t="shared" si="214"/>
        <v>2022</v>
      </c>
      <c r="D6905" s="3">
        <f t="shared" si="215"/>
        <v>202203</v>
      </c>
      <c r="E6905" s="5" t="s">
        <v>8</v>
      </c>
      <c r="F6905" s="5" t="s">
        <v>13</v>
      </c>
      <c r="G6905" s="5" t="s">
        <v>49</v>
      </c>
      <c r="H6905">
        <v>8</v>
      </c>
      <c r="I6905" s="4">
        <v>24816</v>
      </c>
      <c r="J6905" s="4">
        <v>12096</v>
      </c>
    </row>
    <row r="6906" spans="2:10" x14ac:dyDescent="0.3">
      <c r="B6906" s="7">
        <v>44652</v>
      </c>
      <c r="C6906" s="3">
        <f t="shared" si="214"/>
        <v>2022</v>
      </c>
      <c r="D6906" s="3">
        <f t="shared" si="215"/>
        <v>202204</v>
      </c>
      <c r="E6906" s="5" t="s">
        <v>8</v>
      </c>
      <c r="F6906" s="5" t="s">
        <v>13</v>
      </c>
      <c r="G6906" s="5" t="s">
        <v>49</v>
      </c>
      <c r="H6906">
        <v>15</v>
      </c>
      <c r="I6906" s="4">
        <v>71565</v>
      </c>
      <c r="J6906" s="4">
        <v>22680</v>
      </c>
    </row>
    <row r="6907" spans="2:10" x14ac:dyDescent="0.3">
      <c r="B6907" s="7">
        <v>44682</v>
      </c>
      <c r="C6907" s="3">
        <f t="shared" si="214"/>
        <v>2022</v>
      </c>
      <c r="D6907" s="3">
        <f t="shared" si="215"/>
        <v>202205</v>
      </c>
      <c r="E6907" s="5" t="s">
        <v>8</v>
      </c>
      <c r="F6907" s="5" t="s">
        <v>13</v>
      </c>
      <c r="G6907" s="5" t="s">
        <v>49</v>
      </c>
      <c r="H6907">
        <v>18</v>
      </c>
      <c r="I6907" s="4">
        <v>84132</v>
      </c>
      <c r="J6907" s="4">
        <v>27216</v>
      </c>
    </row>
    <row r="6908" spans="2:10" x14ac:dyDescent="0.3">
      <c r="B6908" s="7">
        <v>44713</v>
      </c>
      <c r="C6908" s="3">
        <f t="shared" si="214"/>
        <v>2022</v>
      </c>
      <c r="D6908" s="3">
        <f t="shared" si="215"/>
        <v>202206</v>
      </c>
      <c r="E6908" s="5" t="s">
        <v>8</v>
      </c>
      <c r="F6908" s="5" t="s">
        <v>13</v>
      </c>
      <c r="G6908" s="5" t="s">
        <v>49</v>
      </c>
      <c r="H6908">
        <v>17</v>
      </c>
      <c r="I6908" s="4">
        <v>70482</v>
      </c>
      <c r="J6908" s="4">
        <v>25704</v>
      </c>
    </row>
    <row r="6909" spans="2:10" x14ac:dyDescent="0.3">
      <c r="B6909" s="7">
        <v>44743</v>
      </c>
      <c r="C6909" s="3">
        <f t="shared" si="214"/>
        <v>2022</v>
      </c>
      <c r="D6909" s="3">
        <f t="shared" si="215"/>
        <v>202207</v>
      </c>
      <c r="E6909" s="5" t="s">
        <v>8</v>
      </c>
      <c r="F6909" s="5" t="s">
        <v>13</v>
      </c>
      <c r="G6909" s="5" t="s">
        <v>49</v>
      </c>
      <c r="H6909">
        <v>18</v>
      </c>
      <c r="I6909" s="4">
        <v>55458</v>
      </c>
      <c r="J6909" s="4">
        <v>27216</v>
      </c>
    </row>
    <row r="6910" spans="2:10" x14ac:dyDescent="0.3">
      <c r="B6910" s="7">
        <v>44774</v>
      </c>
      <c r="C6910" s="3">
        <f t="shared" si="214"/>
        <v>2022</v>
      </c>
      <c r="D6910" s="3">
        <f t="shared" si="215"/>
        <v>202208</v>
      </c>
      <c r="E6910" s="5" t="s">
        <v>8</v>
      </c>
      <c r="F6910" s="5" t="s">
        <v>13</v>
      </c>
      <c r="G6910" s="5" t="s">
        <v>49</v>
      </c>
      <c r="H6910">
        <v>16</v>
      </c>
      <c r="I6910" s="4">
        <v>61872</v>
      </c>
      <c r="J6910" s="4">
        <v>24192</v>
      </c>
    </row>
    <row r="6911" spans="2:10" x14ac:dyDescent="0.3">
      <c r="B6911" s="7">
        <v>44805</v>
      </c>
      <c r="C6911" s="3">
        <f t="shared" si="214"/>
        <v>2022</v>
      </c>
      <c r="D6911" s="3">
        <f t="shared" si="215"/>
        <v>202209</v>
      </c>
      <c r="E6911" s="5" t="s">
        <v>8</v>
      </c>
      <c r="F6911" s="5" t="s">
        <v>13</v>
      </c>
      <c r="G6911" s="5" t="s">
        <v>49</v>
      </c>
      <c r="H6911">
        <v>16</v>
      </c>
      <c r="I6911" s="4">
        <v>67184</v>
      </c>
      <c r="J6911" s="4">
        <v>24192</v>
      </c>
    </row>
    <row r="6912" spans="2:10" x14ac:dyDescent="0.3">
      <c r="B6912" s="7">
        <v>44835</v>
      </c>
      <c r="C6912" s="3">
        <f t="shared" si="214"/>
        <v>2022</v>
      </c>
      <c r="D6912" s="3">
        <f t="shared" si="215"/>
        <v>202210</v>
      </c>
      <c r="E6912" s="5" t="s">
        <v>8</v>
      </c>
      <c r="F6912" s="5" t="s">
        <v>13</v>
      </c>
      <c r="G6912" s="5" t="s">
        <v>49</v>
      </c>
      <c r="H6912">
        <v>14</v>
      </c>
      <c r="I6912" s="4">
        <v>59598</v>
      </c>
      <c r="J6912" s="4">
        <v>21168</v>
      </c>
    </row>
    <row r="6913" spans="2:10" x14ac:dyDescent="0.3">
      <c r="B6913" s="7">
        <v>44866</v>
      </c>
      <c r="C6913" s="3">
        <f t="shared" si="214"/>
        <v>2022</v>
      </c>
      <c r="D6913" s="3">
        <f t="shared" si="215"/>
        <v>202211</v>
      </c>
      <c r="E6913" s="5" t="s">
        <v>8</v>
      </c>
      <c r="F6913" s="5" t="s">
        <v>13</v>
      </c>
      <c r="G6913" s="5" t="s">
        <v>49</v>
      </c>
      <c r="H6913">
        <v>10</v>
      </c>
      <c r="I6913" s="4">
        <v>38270</v>
      </c>
      <c r="J6913" s="4">
        <v>15120</v>
      </c>
    </row>
    <row r="6914" spans="2:10" x14ac:dyDescent="0.3">
      <c r="B6914" s="7">
        <v>44896</v>
      </c>
      <c r="C6914" s="3">
        <f t="shared" si="214"/>
        <v>2022</v>
      </c>
      <c r="D6914" s="3">
        <f t="shared" si="215"/>
        <v>202212</v>
      </c>
      <c r="E6914" s="5" t="s">
        <v>8</v>
      </c>
      <c r="F6914" s="5" t="s">
        <v>13</v>
      </c>
      <c r="G6914" s="5" t="s">
        <v>49</v>
      </c>
      <c r="H6914">
        <v>12</v>
      </c>
      <c r="I6914" s="4">
        <v>46968</v>
      </c>
      <c r="J6914" s="4">
        <v>18144</v>
      </c>
    </row>
    <row r="6915" spans="2:10" x14ac:dyDescent="0.3">
      <c r="B6915" s="7">
        <v>44197</v>
      </c>
      <c r="C6915" s="3">
        <f t="shared" ref="C6915:C6978" si="216">YEAR(B6915)</f>
        <v>2021</v>
      </c>
      <c r="D6915" s="3">
        <f t="shared" ref="D6915:D6978" si="217">VALUE(TEXT(B6915,"ГГГГММ"))</f>
        <v>202101</v>
      </c>
      <c r="E6915" s="5" t="s">
        <v>8</v>
      </c>
      <c r="F6915" s="5" t="s">
        <v>13</v>
      </c>
      <c r="G6915" s="5" t="s">
        <v>50</v>
      </c>
      <c r="H6915">
        <v>17</v>
      </c>
      <c r="I6915" s="4">
        <v>48756</v>
      </c>
      <c r="J6915" s="4">
        <v>13294</v>
      </c>
    </row>
    <row r="6916" spans="2:10" x14ac:dyDescent="0.3">
      <c r="B6916" s="7">
        <v>44228</v>
      </c>
      <c r="C6916" s="3">
        <f t="shared" si="216"/>
        <v>2021</v>
      </c>
      <c r="D6916" s="3">
        <f t="shared" si="217"/>
        <v>202102</v>
      </c>
      <c r="E6916" s="5" t="s">
        <v>8</v>
      </c>
      <c r="F6916" s="5" t="s">
        <v>13</v>
      </c>
      <c r="G6916" s="5" t="s">
        <v>50</v>
      </c>
      <c r="H6916">
        <v>11</v>
      </c>
      <c r="I6916" s="4">
        <v>39127</v>
      </c>
      <c r="J6916" s="4">
        <v>8602</v>
      </c>
    </row>
    <row r="6917" spans="2:10" x14ac:dyDescent="0.3">
      <c r="B6917" s="7">
        <v>44256</v>
      </c>
      <c r="C6917" s="3">
        <f t="shared" si="216"/>
        <v>2021</v>
      </c>
      <c r="D6917" s="3">
        <f t="shared" si="217"/>
        <v>202103</v>
      </c>
      <c r="E6917" s="5" t="s">
        <v>8</v>
      </c>
      <c r="F6917" s="5" t="s">
        <v>13</v>
      </c>
      <c r="G6917" s="5" t="s">
        <v>50</v>
      </c>
      <c r="H6917">
        <v>9</v>
      </c>
      <c r="I6917" s="4">
        <v>16695</v>
      </c>
      <c r="J6917" s="4">
        <v>7038</v>
      </c>
    </row>
    <row r="6918" spans="2:10" x14ac:dyDescent="0.3">
      <c r="B6918" s="7">
        <v>44287</v>
      </c>
      <c r="C6918" s="3">
        <f t="shared" si="216"/>
        <v>2021</v>
      </c>
      <c r="D6918" s="3">
        <f t="shared" si="217"/>
        <v>202104</v>
      </c>
      <c r="E6918" s="5" t="s">
        <v>8</v>
      </c>
      <c r="F6918" s="5" t="s">
        <v>13</v>
      </c>
      <c r="G6918" s="5" t="s">
        <v>50</v>
      </c>
      <c r="H6918">
        <v>16</v>
      </c>
      <c r="I6918" s="4">
        <v>61312</v>
      </c>
      <c r="J6918" s="4">
        <v>12512</v>
      </c>
    </row>
    <row r="6919" spans="2:10" x14ac:dyDescent="0.3">
      <c r="B6919" s="7">
        <v>44317</v>
      </c>
      <c r="C6919" s="3">
        <f t="shared" si="216"/>
        <v>2021</v>
      </c>
      <c r="D6919" s="3">
        <f t="shared" si="217"/>
        <v>202105</v>
      </c>
      <c r="E6919" s="5" t="s">
        <v>8</v>
      </c>
      <c r="F6919" s="5" t="s">
        <v>13</v>
      </c>
      <c r="G6919" s="5" t="s">
        <v>50</v>
      </c>
      <c r="H6919">
        <v>21</v>
      </c>
      <c r="I6919" s="4">
        <v>73836</v>
      </c>
      <c r="J6919" s="4">
        <v>16422</v>
      </c>
    </row>
    <row r="6920" spans="2:10" x14ac:dyDescent="0.3">
      <c r="B6920" s="7">
        <v>44348</v>
      </c>
      <c r="C6920" s="3">
        <f t="shared" si="216"/>
        <v>2021</v>
      </c>
      <c r="D6920" s="3">
        <f t="shared" si="217"/>
        <v>202106</v>
      </c>
      <c r="E6920" s="5" t="s">
        <v>8</v>
      </c>
      <c r="F6920" s="5" t="s">
        <v>13</v>
      </c>
      <c r="G6920" s="5" t="s">
        <v>50</v>
      </c>
      <c r="H6920">
        <v>19</v>
      </c>
      <c r="I6920" s="4">
        <v>58615</v>
      </c>
      <c r="J6920" s="4">
        <v>14858</v>
      </c>
    </row>
    <row r="6921" spans="2:10" x14ac:dyDescent="0.3">
      <c r="B6921" s="7">
        <v>44378</v>
      </c>
      <c r="C6921" s="3">
        <f t="shared" si="216"/>
        <v>2021</v>
      </c>
      <c r="D6921" s="3">
        <f t="shared" si="217"/>
        <v>202107</v>
      </c>
      <c r="E6921" s="5" t="s">
        <v>8</v>
      </c>
      <c r="F6921" s="5" t="s">
        <v>13</v>
      </c>
      <c r="G6921" s="5" t="s">
        <v>50</v>
      </c>
      <c r="H6921">
        <v>21</v>
      </c>
      <c r="I6921" s="4">
        <v>37485</v>
      </c>
      <c r="J6921" s="4">
        <v>16422</v>
      </c>
    </row>
    <row r="6922" spans="2:10" x14ac:dyDescent="0.3">
      <c r="B6922" s="7">
        <v>44409</v>
      </c>
      <c r="C6922" s="3">
        <f t="shared" si="216"/>
        <v>2021</v>
      </c>
      <c r="D6922" s="3">
        <f t="shared" si="217"/>
        <v>202108</v>
      </c>
      <c r="E6922" s="5" t="s">
        <v>8</v>
      </c>
      <c r="F6922" s="5" t="s">
        <v>13</v>
      </c>
      <c r="G6922" s="5" t="s">
        <v>50</v>
      </c>
      <c r="H6922">
        <v>17</v>
      </c>
      <c r="I6922" s="4">
        <v>42789</v>
      </c>
      <c r="J6922" s="4">
        <v>13294</v>
      </c>
    </row>
    <row r="6923" spans="2:10" x14ac:dyDescent="0.3">
      <c r="B6923" s="7">
        <v>44440</v>
      </c>
      <c r="C6923" s="3">
        <f t="shared" si="216"/>
        <v>2021</v>
      </c>
      <c r="D6923" s="3">
        <f t="shared" si="217"/>
        <v>202109</v>
      </c>
      <c r="E6923" s="5" t="s">
        <v>8</v>
      </c>
      <c r="F6923" s="5" t="s">
        <v>13</v>
      </c>
      <c r="G6923" s="5" t="s">
        <v>50</v>
      </c>
      <c r="H6923">
        <v>18</v>
      </c>
      <c r="I6923" s="4">
        <v>43380</v>
      </c>
      <c r="J6923" s="4">
        <v>14076</v>
      </c>
    </row>
    <row r="6924" spans="2:10" x14ac:dyDescent="0.3">
      <c r="B6924" s="7">
        <v>44470</v>
      </c>
      <c r="C6924" s="3">
        <f t="shared" si="216"/>
        <v>2021</v>
      </c>
      <c r="D6924" s="3">
        <f t="shared" si="217"/>
        <v>202110</v>
      </c>
      <c r="E6924" s="5" t="s">
        <v>8</v>
      </c>
      <c r="F6924" s="5" t="s">
        <v>13</v>
      </c>
      <c r="G6924" s="5" t="s">
        <v>50</v>
      </c>
      <c r="H6924">
        <v>15</v>
      </c>
      <c r="I6924" s="4">
        <v>48915</v>
      </c>
      <c r="J6924" s="4">
        <v>11730</v>
      </c>
    </row>
    <row r="6925" spans="2:10" x14ac:dyDescent="0.3">
      <c r="B6925" s="7">
        <v>44501</v>
      </c>
      <c r="C6925" s="3">
        <f t="shared" si="216"/>
        <v>2021</v>
      </c>
      <c r="D6925" s="3">
        <f t="shared" si="217"/>
        <v>202111</v>
      </c>
      <c r="E6925" s="5" t="s">
        <v>8</v>
      </c>
      <c r="F6925" s="5" t="s">
        <v>13</v>
      </c>
      <c r="G6925" s="5" t="s">
        <v>50</v>
      </c>
      <c r="H6925">
        <v>11</v>
      </c>
      <c r="I6925" s="4">
        <v>30305</v>
      </c>
      <c r="J6925" s="4">
        <v>8602</v>
      </c>
    </row>
    <row r="6926" spans="2:10" x14ac:dyDescent="0.3">
      <c r="B6926" s="7">
        <v>44531</v>
      </c>
      <c r="C6926" s="3">
        <f t="shared" si="216"/>
        <v>2021</v>
      </c>
      <c r="D6926" s="3">
        <f t="shared" si="217"/>
        <v>202112</v>
      </c>
      <c r="E6926" s="5" t="s">
        <v>8</v>
      </c>
      <c r="F6926" s="5" t="s">
        <v>13</v>
      </c>
      <c r="G6926" s="5" t="s">
        <v>50</v>
      </c>
      <c r="H6926">
        <v>13</v>
      </c>
      <c r="I6926" s="4">
        <v>26455</v>
      </c>
      <c r="J6926" s="4">
        <v>10166</v>
      </c>
    </row>
    <row r="6927" spans="2:10" x14ac:dyDescent="0.3">
      <c r="B6927" s="7">
        <v>44562</v>
      </c>
      <c r="C6927" s="3">
        <f t="shared" si="216"/>
        <v>2022</v>
      </c>
      <c r="D6927" s="3">
        <f t="shared" si="217"/>
        <v>202201</v>
      </c>
      <c r="E6927" s="5" t="s">
        <v>8</v>
      </c>
      <c r="F6927" s="5" t="s">
        <v>13</v>
      </c>
      <c r="G6927" s="5" t="s">
        <v>50</v>
      </c>
      <c r="H6927">
        <v>19</v>
      </c>
      <c r="I6927" s="4">
        <v>62206</v>
      </c>
      <c r="J6927" s="4">
        <v>14858</v>
      </c>
    </row>
    <row r="6928" spans="2:10" x14ac:dyDescent="0.3">
      <c r="B6928" s="7">
        <v>44593</v>
      </c>
      <c r="C6928" s="3">
        <f t="shared" si="216"/>
        <v>2022</v>
      </c>
      <c r="D6928" s="3">
        <f t="shared" si="217"/>
        <v>202202</v>
      </c>
      <c r="E6928" s="5" t="s">
        <v>8</v>
      </c>
      <c r="F6928" s="5" t="s">
        <v>13</v>
      </c>
      <c r="G6928" s="5" t="s">
        <v>50</v>
      </c>
      <c r="H6928">
        <v>12</v>
      </c>
      <c r="I6928" s="4">
        <v>35784</v>
      </c>
      <c r="J6928" s="4">
        <v>9384</v>
      </c>
    </row>
    <row r="6929" spans="2:10" x14ac:dyDescent="0.3">
      <c r="B6929" s="7">
        <v>44621</v>
      </c>
      <c r="C6929" s="3">
        <f t="shared" si="216"/>
        <v>2022</v>
      </c>
      <c r="D6929" s="3">
        <f t="shared" si="217"/>
        <v>202203</v>
      </c>
      <c r="E6929" s="5" t="s">
        <v>8</v>
      </c>
      <c r="F6929" s="5" t="s">
        <v>13</v>
      </c>
      <c r="G6929" s="5" t="s">
        <v>50</v>
      </c>
      <c r="H6929">
        <v>10</v>
      </c>
      <c r="I6929" s="4">
        <v>23380</v>
      </c>
      <c r="J6929" s="4">
        <v>7820</v>
      </c>
    </row>
    <row r="6930" spans="2:10" x14ac:dyDescent="0.3">
      <c r="B6930" s="7">
        <v>44652</v>
      </c>
      <c r="C6930" s="3">
        <f t="shared" si="216"/>
        <v>2022</v>
      </c>
      <c r="D6930" s="3">
        <f t="shared" si="217"/>
        <v>202204</v>
      </c>
      <c r="E6930" s="5" t="s">
        <v>8</v>
      </c>
      <c r="F6930" s="5" t="s">
        <v>13</v>
      </c>
      <c r="G6930" s="5" t="s">
        <v>50</v>
      </c>
      <c r="H6930">
        <v>18</v>
      </c>
      <c r="I6930" s="4">
        <v>57636</v>
      </c>
      <c r="J6930" s="4">
        <v>14076</v>
      </c>
    </row>
    <row r="6931" spans="2:10" x14ac:dyDescent="0.3">
      <c r="B6931" s="7">
        <v>44682</v>
      </c>
      <c r="C6931" s="3">
        <f t="shared" si="216"/>
        <v>2022</v>
      </c>
      <c r="D6931" s="3">
        <f t="shared" si="217"/>
        <v>202205</v>
      </c>
      <c r="E6931" s="5" t="s">
        <v>8</v>
      </c>
      <c r="F6931" s="5" t="s">
        <v>13</v>
      </c>
      <c r="G6931" s="5" t="s">
        <v>50</v>
      </c>
      <c r="H6931">
        <v>23</v>
      </c>
      <c r="I6931" s="4">
        <v>90413</v>
      </c>
      <c r="J6931" s="4">
        <v>17986</v>
      </c>
    </row>
    <row r="6932" spans="2:10" x14ac:dyDescent="0.3">
      <c r="B6932" s="7">
        <v>44713</v>
      </c>
      <c r="C6932" s="3">
        <f t="shared" si="216"/>
        <v>2022</v>
      </c>
      <c r="D6932" s="3">
        <f t="shared" si="217"/>
        <v>202206</v>
      </c>
      <c r="E6932" s="5" t="s">
        <v>8</v>
      </c>
      <c r="F6932" s="5" t="s">
        <v>13</v>
      </c>
      <c r="G6932" s="5" t="s">
        <v>50</v>
      </c>
      <c r="H6932">
        <v>21</v>
      </c>
      <c r="I6932" s="4">
        <v>74004</v>
      </c>
      <c r="J6932" s="4">
        <v>16422</v>
      </c>
    </row>
    <row r="6933" spans="2:10" x14ac:dyDescent="0.3">
      <c r="B6933" s="7">
        <v>44743</v>
      </c>
      <c r="C6933" s="3">
        <f t="shared" si="216"/>
        <v>2022</v>
      </c>
      <c r="D6933" s="3">
        <f t="shared" si="217"/>
        <v>202207</v>
      </c>
      <c r="E6933" s="5" t="s">
        <v>8</v>
      </c>
      <c r="F6933" s="5" t="s">
        <v>13</v>
      </c>
      <c r="G6933" s="5" t="s">
        <v>50</v>
      </c>
      <c r="H6933">
        <v>23</v>
      </c>
      <c r="I6933" s="4">
        <v>29394</v>
      </c>
      <c r="J6933" s="4">
        <v>17986</v>
      </c>
    </row>
    <row r="6934" spans="2:10" x14ac:dyDescent="0.3">
      <c r="B6934" s="7">
        <v>44774</v>
      </c>
      <c r="C6934" s="3">
        <f t="shared" si="216"/>
        <v>2022</v>
      </c>
      <c r="D6934" s="3">
        <f t="shared" si="217"/>
        <v>202208</v>
      </c>
      <c r="E6934" s="5" t="s">
        <v>8</v>
      </c>
      <c r="F6934" s="5" t="s">
        <v>13</v>
      </c>
      <c r="G6934" s="5" t="s">
        <v>50</v>
      </c>
      <c r="H6934">
        <v>19</v>
      </c>
      <c r="I6934" s="4">
        <v>42674</v>
      </c>
      <c r="J6934" s="4">
        <v>14858</v>
      </c>
    </row>
    <row r="6935" spans="2:10" x14ac:dyDescent="0.3">
      <c r="B6935" s="7">
        <v>44805</v>
      </c>
      <c r="C6935" s="3">
        <f t="shared" si="216"/>
        <v>2022</v>
      </c>
      <c r="D6935" s="3">
        <f t="shared" si="217"/>
        <v>202209</v>
      </c>
      <c r="E6935" s="5" t="s">
        <v>8</v>
      </c>
      <c r="F6935" s="5" t="s">
        <v>13</v>
      </c>
      <c r="G6935" s="5" t="s">
        <v>50</v>
      </c>
      <c r="H6935">
        <v>20</v>
      </c>
      <c r="I6935" s="4">
        <v>54920</v>
      </c>
      <c r="J6935" s="4">
        <v>15640</v>
      </c>
    </row>
    <row r="6936" spans="2:10" x14ac:dyDescent="0.3">
      <c r="B6936" s="7">
        <v>44835</v>
      </c>
      <c r="C6936" s="3">
        <f t="shared" si="216"/>
        <v>2022</v>
      </c>
      <c r="D6936" s="3">
        <f t="shared" si="217"/>
        <v>202210</v>
      </c>
      <c r="E6936" s="5" t="s">
        <v>8</v>
      </c>
      <c r="F6936" s="5" t="s">
        <v>13</v>
      </c>
      <c r="G6936" s="5" t="s">
        <v>50</v>
      </c>
      <c r="H6936">
        <v>17</v>
      </c>
      <c r="I6936" s="4">
        <v>53006</v>
      </c>
      <c r="J6936" s="4">
        <v>13294</v>
      </c>
    </row>
    <row r="6937" spans="2:10" x14ac:dyDescent="0.3">
      <c r="B6937" s="7">
        <v>44866</v>
      </c>
      <c r="C6937" s="3">
        <f t="shared" si="216"/>
        <v>2022</v>
      </c>
      <c r="D6937" s="3">
        <f t="shared" si="217"/>
        <v>202211</v>
      </c>
      <c r="E6937" s="5" t="s">
        <v>8</v>
      </c>
      <c r="F6937" s="5" t="s">
        <v>13</v>
      </c>
      <c r="G6937" s="5" t="s">
        <v>50</v>
      </c>
      <c r="H6937">
        <v>12</v>
      </c>
      <c r="I6937" s="4">
        <v>32316</v>
      </c>
      <c r="J6937" s="4">
        <v>9384</v>
      </c>
    </row>
    <row r="6938" spans="2:10" x14ac:dyDescent="0.3">
      <c r="B6938" s="7">
        <v>44896</v>
      </c>
      <c r="C6938" s="3">
        <f t="shared" si="216"/>
        <v>2022</v>
      </c>
      <c r="D6938" s="3">
        <f t="shared" si="217"/>
        <v>202212</v>
      </c>
      <c r="E6938" s="5" t="s">
        <v>8</v>
      </c>
      <c r="F6938" s="5" t="s">
        <v>13</v>
      </c>
      <c r="G6938" s="5" t="s">
        <v>50</v>
      </c>
      <c r="H6938">
        <v>14</v>
      </c>
      <c r="I6938" s="4">
        <v>36764</v>
      </c>
      <c r="J6938" s="4">
        <v>10948</v>
      </c>
    </row>
    <row r="6939" spans="2:10" x14ac:dyDescent="0.3">
      <c r="B6939" s="7">
        <v>44197</v>
      </c>
      <c r="C6939" s="3">
        <f t="shared" si="216"/>
        <v>2021</v>
      </c>
      <c r="D6939" s="3">
        <f t="shared" si="217"/>
        <v>202101</v>
      </c>
      <c r="E6939" s="5" t="s">
        <v>8</v>
      </c>
      <c r="F6939" s="5" t="s">
        <v>13</v>
      </c>
      <c r="G6939" s="5" t="s">
        <v>51</v>
      </c>
      <c r="H6939">
        <v>16</v>
      </c>
      <c r="I6939" s="4">
        <v>79344</v>
      </c>
      <c r="J6939" s="4">
        <v>28000</v>
      </c>
    </row>
    <row r="6940" spans="2:10" x14ac:dyDescent="0.3">
      <c r="B6940" s="7">
        <v>44228</v>
      </c>
      <c r="C6940" s="3">
        <f t="shared" si="216"/>
        <v>2021</v>
      </c>
      <c r="D6940" s="3">
        <f t="shared" si="217"/>
        <v>202102</v>
      </c>
      <c r="E6940" s="5" t="s">
        <v>8</v>
      </c>
      <c r="F6940" s="5" t="s">
        <v>13</v>
      </c>
      <c r="G6940" s="5" t="s">
        <v>51</v>
      </c>
      <c r="H6940">
        <v>10</v>
      </c>
      <c r="I6940" s="4">
        <v>50940</v>
      </c>
      <c r="J6940" s="4">
        <v>17500</v>
      </c>
    </row>
    <row r="6941" spans="2:10" x14ac:dyDescent="0.3">
      <c r="B6941" s="7">
        <v>44256</v>
      </c>
      <c r="C6941" s="3">
        <f t="shared" si="216"/>
        <v>2021</v>
      </c>
      <c r="D6941" s="3">
        <f t="shared" si="217"/>
        <v>202103</v>
      </c>
      <c r="E6941" s="5" t="s">
        <v>8</v>
      </c>
      <c r="F6941" s="5" t="s">
        <v>13</v>
      </c>
      <c r="G6941" s="5" t="s">
        <v>51</v>
      </c>
      <c r="H6941">
        <v>8</v>
      </c>
      <c r="I6941" s="4">
        <v>31792</v>
      </c>
      <c r="J6941" s="4">
        <v>14000</v>
      </c>
    </row>
    <row r="6942" spans="2:10" x14ac:dyDescent="0.3">
      <c r="B6942" s="7">
        <v>44287</v>
      </c>
      <c r="C6942" s="3">
        <f t="shared" si="216"/>
        <v>2021</v>
      </c>
      <c r="D6942" s="3">
        <f t="shared" si="217"/>
        <v>202104</v>
      </c>
      <c r="E6942" s="5" t="s">
        <v>8</v>
      </c>
      <c r="F6942" s="5" t="s">
        <v>13</v>
      </c>
      <c r="G6942" s="5" t="s">
        <v>51</v>
      </c>
      <c r="H6942">
        <v>15</v>
      </c>
      <c r="I6942" s="4">
        <v>84300</v>
      </c>
      <c r="J6942" s="4">
        <v>26250</v>
      </c>
    </row>
    <row r="6943" spans="2:10" x14ac:dyDescent="0.3">
      <c r="B6943" s="7">
        <v>44317</v>
      </c>
      <c r="C6943" s="3">
        <f t="shared" si="216"/>
        <v>2021</v>
      </c>
      <c r="D6943" s="3">
        <f t="shared" si="217"/>
        <v>202105</v>
      </c>
      <c r="E6943" s="5" t="s">
        <v>8</v>
      </c>
      <c r="F6943" s="5" t="s">
        <v>13</v>
      </c>
      <c r="G6943" s="5" t="s">
        <v>51</v>
      </c>
      <c r="H6943">
        <v>19</v>
      </c>
      <c r="I6943" s="4">
        <v>92929</v>
      </c>
      <c r="J6943" s="4">
        <v>33250</v>
      </c>
    </row>
    <row r="6944" spans="2:10" x14ac:dyDescent="0.3">
      <c r="B6944" s="7">
        <v>44348</v>
      </c>
      <c r="C6944" s="3">
        <f t="shared" si="216"/>
        <v>2021</v>
      </c>
      <c r="D6944" s="3">
        <f t="shared" si="217"/>
        <v>202106</v>
      </c>
      <c r="E6944" s="5" t="s">
        <v>8</v>
      </c>
      <c r="F6944" s="5" t="s">
        <v>13</v>
      </c>
      <c r="G6944" s="5" t="s">
        <v>51</v>
      </c>
      <c r="H6944">
        <v>18</v>
      </c>
      <c r="I6944" s="4">
        <v>88740</v>
      </c>
      <c r="J6944" s="4">
        <v>31500</v>
      </c>
    </row>
    <row r="6945" spans="2:10" x14ac:dyDescent="0.3">
      <c r="B6945" s="7">
        <v>44378</v>
      </c>
      <c r="C6945" s="3">
        <f t="shared" si="216"/>
        <v>2021</v>
      </c>
      <c r="D6945" s="3">
        <f t="shared" si="217"/>
        <v>202107</v>
      </c>
      <c r="E6945" s="5" t="s">
        <v>8</v>
      </c>
      <c r="F6945" s="5" t="s">
        <v>13</v>
      </c>
      <c r="G6945" s="5" t="s">
        <v>51</v>
      </c>
      <c r="H6945">
        <v>19</v>
      </c>
      <c r="I6945" s="4">
        <v>54758</v>
      </c>
      <c r="J6945" s="4">
        <v>33250</v>
      </c>
    </row>
    <row r="6946" spans="2:10" x14ac:dyDescent="0.3">
      <c r="B6946" s="7">
        <v>44409</v>
      </c>
      <c r="C6946" s="3">
        <f t="shared" si="216"/>
        <v>2021</v>
      </c>
      <c r="D6946" s="3">
        <f t="shared" si="217"/>
        <v>202108</v>
      </c>
      <c r="E6946" s="5" t="s">
        <v>8</v>
      </c>
      <c r="F6946" s="5" t="s">
        <v>13</v>
      </c>
      <c r="G6946" s="5" t="s">
        <v>51</v>
      </c>
      <c r="H6946">
        <v>16</v>
      </c>
      <c r="I6946" s="4">
        <v>65872</v>
      </c>
      <c r="J6946" s="4">
        <v>28000</v>
      </c>
    </row>
    <row r="6947" spans="2:10" x14ac:dyDescent="0.3">
      <c r="B6947" s="7">
        <v>44440</v>
      </c>
      <c r="C6947" s="3">
        <f t="shared" si="216"/>
        <v>2021</v>
      </c>
      <c r="D6947" s="3">
        <f t="shared" si="217"/>
        <v>202109</v>
      </c>
      <c r="E6947" s="5" t="s">
        <v>8</v>
      </c>
      <c r="F6947" s="5" t="s">
        <v>13</v>
      </c>
      <c r="G6947" s="5" t="s">
        <v>51</v>
      </c>
      <c r="H6947">
        <v>17</v>
      </c>
      <c r="I6947" s="4">
        <v>74783</v>
      </c>
      <c r="J6947" s="4">
        <v>29750</v>
      </c>
    </row>
    <row r="6948" spans="2:10" x14ac:dyDescent="0.3">
      <c r="B6948" s="7">
        <v>44470</v>
      </c>
      <c r="C6948" s="3">
        <f t="shared" si="216"/>
        <v>2021</v>
      </c>
      <c r="D6948" s="3">
        <f t="shared" si="217"/>
        <v>202110</v>
      </c>
      <c r="E6948" s="5" t="s">
        <v>8</v>
      </c>
      <c r="F6948" s="5" t="s">
        <v>13</v>
      </c>
      <c r="G6948" s="5" t="s">
        <v>51</v>
      </c>
      <c r="H6948">
        <v>14</v>
      </c>
      <c r="I6948" s="4">
        <v>64456</v>
      </c>
      <c r="J6948" s="4">
        <v>24500</v>
      </c>
    </row>
    <row r="6949" spans="2:10" x14ac:dyDescent="0.3">
      <c r="B6949" s="7">
        <v>44501</v>
      </c>
      <c r="C6949" s="3">
        <f t="shared" si="216"/>
        <v>2021</v>
      </c>
      <c r="D6949" s="3">
        <f t="shared" si="217"/>
        <v>202111</v>
      </c>
      <c r="E6949" s="5" t="s">
        <v>8</v>
      </c>
      <c r="F6949" s="5" t="s">
        <v>13</v>
      </c>
      <c r="G6949" s="5" t="s">
        <v>51</v>
      </c>
      <c r="H6949">
        <v>10</v>
      </c>
      <c r="I6949" s="4">
        <v>47760</v>
      </c>
      <c r="J6949" s="4">
        <v>17500</v>
      </c>
    </row>
    <row r="6950" spans="2:10" x14ac:dyDescent="0.3">
      <c r="B6950" s="7">
        <v>44531</v>
      </c>
      <c r="C6950" s="3">
        <f t="shared" si="216"/>
        <v>2021</v>
      </c>
      <c r="D6950" s="3">
        <f t="shared" si="217"/>
        <v>202112</v>
      </c>
      <c r="E6950" s="5" t="s">
        <v>8</v>
      </c>
      <c r="F6950" s="5" t="s">
        <v>13</v>
      </c>
      <c r="G6950" s="5" t="s">
        <v>51</v>
      </c>
      <c r="H6950">
        <v>12</v>
      </c>
      <c r="I6950" s="4">
        <v>51444</v>
      </c>
      <c r="J6950" s="4">
        <v>21000</v>
      </c>
    </row>
    <row r="6951" spans="2:10" x14ac:dyDescent="0.3">
      <c r="B6951" s="7">
        <v>44562</v>
      </c>
      <c r="C6951" s="3">
        <f t="shared" si="216"/>
        <v>2022</v>
      </c>
      <c r="D6951" s="3">
        <f t="shared" si="217"/>
        <v>202201</v>
      </c>
      <c r="E6951" s="5" t="s">
        <v>8</v>
      </c>
      <c r="F6951" s="5" t="s">
        <v>13</v>
      </c>
      <c r="G6951" s="5" t="s">
        <v>51</v>
      </c>
      <c r="H6951">
        <v>17</v>
      </c>
      <c r="I6951" s="4">
        <v>74222</v>
      </c>
      <c r="J6951" s="4">
        <v>29750</v>
      </c>
    </row>
    <row r="6952" spans="2:10" x14ac:dyDescent="0.3">
      <c r="B6952" s="7">
        <v>44593</v>
      </c>
      <c r="C6952" s="3">
        <f t="shared" si="216"/>
        <v>2022</v>
      </c>
      <c r="D6952" s="3">
        <f t="shared" si="217"/>
        <v>202202</v>
      </c>
      <c r="E6952" s="5" t="s">
        <v>8</v>
      </c>
      <c r="F6952" s="5" t="s">
        <v>13</v>
      </c>
      <c r="G6952" s="5" t="s">
        <v>51</v>
      </c>
      <c r="H6952">
        <v>11</v>
      </c>
      <c r="I6952" s="4">
        <v>51975</v>
      </c>
      <c r="J6952" s="4">
        <v>19250</v>
      </c>
    </row>
    <row r="6953" spans="2:10" x14ac:dyDescent="0.3">
      <c r="B6953" s="7">
        <v>44621</v>
      </c>
      <c r="C6953" s="3">
        <f t="shared" si="216"/>
        <v>2022</v>
      </c>
      <c r="D6953" s="3">
        <f t="shared" si="217"/>
        <v>202203</v>
      </c>
      <c r="E6953" s="5" t="s">
        <v>8</v>
      </c>
      <c r="F6953" s="5" t="s">
        <v>13</v>
      </c>
      <c r="G6953" s="5" t="s">
        <v>51</v>
      </c>
      <c r="H6953">
        <v>9</v>
      </c>
      <c r="I6953" s="4">
        <v>40680</v>
      </c>
      <c r="J6953" s="4">
        <v>15750</v>
      </c>
    </row>
    <row r="6954" spans="2:10" x14ac:dyDescent="0.3">
      <c r="B6954" s="7">
        <v>44652</v>
      </c>
      <c r="C6954" s="3">
        <f t="shared" si="216"/>
        <v>2022</v>
      </c>
      <c r="D6954" s="3">
        <f t="shared" si="217"/>
        <v>202204</v>
      </c>
      <c r="E6954" s="5" t="s">
        <v>8</v>
      </c>
      <c r="F6954" s="5" t="s">
        <v>13</v>
      </c>
      <c r="G6954" s="5" t="s">
        <v>51</v>
      </c>
      <c r="H6954">
        <v>16</v>
      </c>
      <c r="I6954" s="4">
        <v>82640</v>
      </c>
      <c r="J6954" s="4">
        <v>28000</v>
      </c>
    </row>
    <row r="6955" spans="2:10" x14ac:dyDescent="0.3">
      <c r="B6955" s="7">
        <v>44682</v>
      </c>
      <c r="C6955" s="3">
        <f t="shared" si="216"/>
        <v>2022</v>
      </c>
      <c r="D6955" s="3">
        <f t="shared" si="217"/>
        <v>202205</v>
      </c>
      <c r="E6955" s="5" t="s">
        <v>8</v>
      </c>
      <c r="F6955" s="5" t="s">
        <v>13</v>
      </c>
      <c r="G6955" s="5" t="s">
        <v>51</v>
      </c>
      <c r="H6955">
        <v>20</v>
      </c>
      <c r="I6955" s="4">
        <v>99840</v>
      </c>
      <c r="J6955" s="4">
        <v>35000</v>
      </c>
    </row>
    <row r="6956" spans="2:10" x14ac:dyDescent="0.3">
      <c r="B6956" s="7">
        <v>44713</v>
      </c>
      <c r="C6956" s="3">
        <f t="shared" si="216"/>
        <v>2022</v>
      </c>
      <c r="D6956" s="3">
        <f t="shared" si="217"/>
        <v>202206</v>
      </c>
      <c r="E6956" s="5" t="s">
        <v>8</v>
      </c>
      <c r="F6956" s="5" t="s">
        <v>13</v>
      </c>
      <c r="G6956" s="5" t="s">
        <v>51</v>
      </c>
      <c r="H6956">
        <v>19</v>
      </c>
      <c r="I6956" s="4">
        <v>90554</v>
      </c>
      <c r="J6956" s="4">
        <v>33250</v>
      </c>
    </row>
    <row r="6957" spans="2:10" x14ac:dyDescent="0.3">
      <c r="B6957" s="7">
        <v>44743</v>
      </c>
      <c r="C6957" s="3">
        <f t="shared" si="216"/>
        <v>2022</v>
      </c>
      <c r="D6957" s="3">
        <f t="shared" si="217"/>
        <v>202207</v>
      </c>
      <c r="E6957" s="5" t="s">
        <v>8</v>
      </c>
      <c r="F6957" s="5" t="s">
        <v>13</v>
      </c>
      <c r="G6957" s="5" t="s">
        <v>51</v>
      </c>
      <c r="H6957">
        <v>20</v>
      </c>
      <c r="I6957" s="4">
        <v>68080</v>
      </c>
      <c r="J6957" s="4">
        <v>35000</v>
      </c>
    </row>
    <row r="6958" spans="2:10" x14ac:dyDescent="0.3">
      <c r="B6958" s="7">
        <v>44774</v>
      </c>
      <c r="C6958" s="3">
        <f t="shared" si="216"/>
        <v>2022</v>
      </c>
      <c r="D6958" s="3">
        <f t="shared" si="217"/>
        <v>202208</v>
      </c>
      <c r="E6958" s="5" t="s">
        <v>8</v>
      </c>
      <c r="F6958" s="5" t="s">
        <v>13</v>
      </c>
      <c r="G6958" s="5" t="s">
        <v>51</v>
      </c>
      <c r="H6958">
        <v>17</v>
      </c>
      <c r="I6958" s="4">
        <v>61710</v>
      </c>
      <c r="J6958" s="4">
        <v>29750</v>
      </c>
    </row>
    <row r="6959" spans="2:10" x14ac:dyDescent="0.3">
      <c r="B6959" s="7">
        <v>44805</v>
      </c>
      <c r="C6959" s="3">
        <f t="shared" si="216"/>
        <v>2022</v>
      </c>
      <c r="D6959" s="3">
        <f t="shared" si="217"/>
        <v>202209</v>
      </c>
      <c r="E6959" s="5" t="s">
        <v>8</v>
      </c>
      <c r="F6959" s="5" t="s">
        <v>13</v>
      </c>
      <c r="G6959" s="5" t="s">
        <v>51</v>
      </c>
      <c r="H6959">
        <v>18</v>
      </c>
      <c r="I6959" s="4">
        <v>89982</v>
      </c>
      <c r="J6959" s="4">
        <v>31500</v>
      </c>
    </row>
    <row r="6960" spans="2:10" x14ac:dyDescent="0.3">
      <c r="B6960" s="7">
        <v>44835</v>
      </c>
      <c r="C6960" s="3">
        <f t="shared" si="216"/>
        <v>2022</v>
      </c>
      <c r="D6960" s="3">
        <f t="shared" si="217"/>
        <v>202210</v>
      </c>
      <c r="E6960" s="5" t="s">
        <v>8</v>
      </c>
      <c r="F6960" s="5" t="s">
        <v>13</v>
      </c>
      <c r="G6960" s="5" t="s">
        <v>51</v>
      </c>
      <c r="H6960">
        <v>15</v>
      </c>
      <c r="I6960" s="4">
        <v>74685</v>
      </c>
      <c r="J6960" s="4">
        <v>26250</v>
      </c>
    </row>
    <row r="6961" spans="2:10" x14ac:dyDescent="0.3">
      <c r="B6961" s="7">
        <v>44866</v>
      </c>
      <c r="C6961" s="3">
        <f t="shared" si="216"/>
        <v>2022</v>
      </c>
      <c r="D6961" s="3">
        <f t="shared" si="217"/>
        <v>202211</v>
      </c>
      <c r="E6961" s="5" t="s">
        <v>8</v>
      </c>
      <c r="F6961" s="5" t="s">
        <v>13</v>
      </c>
      <c r="G6961" s="5" t="s">
        <v>51</v>
      </c>
      <c r="H6961">
        <v>11</v>
      </c>
      <c r="I6961" s="4">
        <v>56584</v>
      </c>
      <c r="J6961" s="4">
        <v>19250</v>
      </c>
    </row>
    <row r="6962" spans="2:10" x14ac:dyDescent="0.3">
      <c r="B6962" s="7">
        <v>44896</v>
      </c>
      <c r="C6962" s="3">
        <f t="shared" si="216"/>
        <v>2022</v>
      </c>
      <c r="D6962" s="3">
        <f t="shared" si="217"/>
        <v>202212</v>
      </c>
      <c r="E6962" s="5" t="s">
        <v>8</v>
      </c>
      <c r="F6962" s="5" t="s">
        <v>13</v>
      </c>
      <c r="G6962" s="5" t="s">
        <v>51</v>
      </c>
      <c r="H6962">
        <v>13</v>
      </c>
      <c r="I6962" s="4">
        <v>53573</v>
      </c>
      <c r="J6962" s="4">
        <v>22750</v>
      </c>
    </row>
    <row r="6963" spans="2:10" x14ac:dyDescent="0.3">
      <c r="B6963" s="7">
        <v>44197</v>
      </c>
      <c r="C6963" s="3">
        <f t="shared" si="216"/>
        <v>2021</v>
      </c>
      <c r="D6963" s="3">
        <f t="shared" si="217"/>
        <v>202101</v>
      </c>
      <c r="E6963" s="5" t="s">
        <v>8</v>
      </c>
      <c r="F6963" s="5" t="s">
        <v>13</v>
      </c>
      <c r="G6963" s="5" t="s">
        <v>52</v>
      </c>
      <c r="H6963">
        <v>14</v>
      </c>
      <c r="I6963" s="4">
        <v>81396</v>
      </c>
      <c r="J6963" s="4">
        <v>35280</v>
      </c>
    </row>
    <row r="6964" spans="2:10" x14ac:dyDescent="0.3">
      <c r="B6964" s="7">
        <v>44228</v>
      </c>
      <c r="C6964" s="3">
        <f t="shared" si="216"/>
        <v>2021</v>
      </c>
      <c r="D6964" s="3">
        <f t="shared" si="217"/>
        <v>202102</v>
      </c>
      <c r="E6964" s="5" t="s">
        <v>8</v>
      </c>
      <c r="F6964" s="5" t="s">
        <v>13</v>
      </c>
      <c r="G6964" s="5" t="s">
        <v>52</v>
      </c>
      <c r="H6964">
        <v>9</v>
      </c>
      <c r="I6964" s="4">
        <v>55251</v>
      </c>
      <c r="J6964" s="4">
        <v>22680</v>
      </c>
    </row>
    <row r="6965" spans="2:10" x14ac:dyDescent="0.3">
      <c r="B6965" s="7">
        <v>44256</v>
      </c>
      <c r="C6965" s="3">
        <f t="shared" si="216"/>
        <v>2021</v>
      </c>
      <c r="D6965" s="3">
        <f t="shared" si="217"/>
        <v>202103</v>
      </c>
      <c r="E6965" s="5" t="s">
        <v>8</v>
      </c>
      <c r="F6965" s="5" t="s">
        <v>13</v>
      </c>
      <c r="G6965" s="5" t="s">
        <v>52</v>
      </c>
      <c r="H6965">
        <v>7</v>
      </c>
      <c r="I6965" s="4">
        <v>37135</v>
      </c>
      <c r="J6965" s="4">
        <v>17640</v>
      </c>
    </row>
    <row r="6966" spans="2:10" x14ac:dyDescent="0.3">
      <c r="B6966" s="7">
        <v>44287</v>
      </c>
      <c r="C6966" s="3">
        <f t="shared" si="216"/>
        <v>2021</v>
      </c>
      <c r="D6966" s="3">
        <f t="shared" si="217"/>
        <v>202104</v>
      </c>
      <c r="E6966" s="5" t="s">
        <v>8</v>
      </c>
      <c r="F6966" s="5" t="s">
        <v>13</v>
      </c>
      <c r="G6966" s="5" t="s">
        <v>52</v>
      </c>
      <c r="H6966">
        <v>13</v>
      </c>
      <c r="I6966" s="4">
        <v>81042</v>
      </c>
      <c r="J6966" s="4">
        <v>32760</v>
      </c>
    </row>
    <row r="6967" spans="2:10" x14ac:dyDescent="0.3">
      <c r="B6967" s="7">
        <v>44317</v>
      </c>
      <c r="C6967" s="3">
        <f t="shared" si="216"/>
        <v>2021</v>
      </c>
      <c r="D6967" s="3">
        <f t="shared" si="217"/>
        <v>202105</v>
      </c>
      <c r="E6967" s="5" t="s">
        <v>8</v>
      </c>
      <c r="F6967" s="5" t="s">
        <v>13</v>
      </c>
      <c r="G6967" s="5" t="s">
        <v>52</v>
      </c>
      <c r="H6967">
        <v>17</v>
      </c>
      <c r="I6967" s="4">
        <v>104329</v>
      </c>
      <c r="J6967" s="4">
        <v>42840</v>
      </c>
    </row>
    <row r="6968" spans="2:10" x14ac:dyDescent="0.3">
      <c r="B6968" s="7">
        <v>44348</v>
      </c>
      <c r="C6968" s="3">
        <f t="shared" si="216"/>
        <v>2021</v>
      </c>
      <c r="D6968" s="3">
        <f t="shared" si="217"/>
        <v>202106</v>
      </c>
      <c r="E6968" s="5" t="s">
        <v>8</v>
      </c>
      <c r="F6968" s="5" t="s">
        <v>13</v>
      </c>
      <c r="G6968" s="5" t="s">
        <v>52</v>
      </c>
      <c r="H6968">
        <v>16</v>
      </c>
      <c r="I6968" s="4">
        <v>90192</v>
      </c>
      <c r="J6968" s="4">
        <v>40320</v>
      </c>
    </row>
    <row r="6969" spans="2:10" x14ac:dyDescent="0.3">
      <c r="B6969" s="7">
        <v>44378</v>
      </c>
      <c r="C6969" s="3">
        <f t="shared" si="216"/>
        <v>2021</v>
      </c>
      <c r="D6969" s="3">
        <f t="shared" si="217"/>
        <v>202107</v>
      </c>
      <c r="E6969" s="5" t="s">
        <v>8</v>
      </c>
      <c r="F6969" s="5" t="s">
        <v>13</v>
      </c>
      <c r="G6969" s="5" t="s">
        <v>52</v>
      </c>
      <c r="H6969">
        <v>17</v>
      </c>
      <c r="I6969" s="4">
        <v>76041</v>
      </c>
      <c r="J6969" s="4">
        <v>42840</v>
      </c>
    </row>
    <row r="6970" spans="2:10" x14ac:dyDescent="0.3">
      <c r="B6970" s="7">
        <v>44409</v>
      </c>
      <c r="C6970" s="3">
        <f t="shared" si="216"/>
        <v>2021</v>
      </c>
      <c r="D6970" s="3">
        <f t="shared" si="217"/>
        <v>202108</v>
      </c>
      <c r="E6970" s="5" t="s">
        <v>8</v>
      </c>
      <c r="F6970" s="5" t="s">
        <v>13</v>
      </c>
      <c r="G6970" s="5" t="s">
        <v>52</v>
      </c>
      <c r="H6970">
        <v>14</v>
      </c>
      <c r="I6970" s="4">
        <v>73150</v>
      </c>
      <c r="J6970" s="4">
        <v>35280</v>
      </c>
    </row>
    <row r="6971" spans="2:10" x14ac:dyDescent="0.3">
      <c r="B6971" s="7">
        <v>44440</v>
      </c>
      <c r="C6971" s="3">
        <f t="shared" si="216"/>
        <v>2021</v>
      </c>
      <c r="D6971" s="3">
        <f t="shared" si="217"/>
        <v>202109</v>
      </c>
      <c r="E6971" s="5" t="s">
        <v>8</v>
      </c>
      <c r="F6971" s="5" t="s">
        <v>13</v>
      </c>
      <c r="G6971" s="5" t="s">
        <v>52</v>
      </c>
      <c r="H6971">
        <v>15</v>
      </c>
      <c r="I6971" s="4">
        <v>69645</v>
      </c>
      <c r="J6971" s="4">
        <v>37800</v>
      </c>
    </row>
    <row r="6972" spans="2:10" x14ac:dyDescent="0.3">
      <c r="B6972" s="7">
        <v>44470</v>
      </c>
      <c r="C6972" s="3">
        <f t="shared" si="216"/>
        <v>2021</v>
      </c>
      <c r="D6972" s="3">
        <f t="shared" si="217"/>
        <v>202110</v>
      </c>
      <c r="E6972" s="5" t="s">
        <v>8</v>
      </c>
      <c r="F6972" s="5" t="s">
        <v>13</v>
      </c>
      <c r="G6972" s="5" t="s">
        <v>52</v>
      </c>
      <c r="H6972">
        <v>12</v>
      </c>
      <c r="I6972" s="4">
        <v>69444</v>
      </c>
      <c r="J6972" s="4">
        <v>30240</v>
      </c>
    </row>
    <row r="6973" spans="2:10" x14ac:dyDescent="0.3">
      <c r="B6973" s="7">
        <v>44501</v>
      </c>
      <c r="C6973" s="3">
        <f t="shared" si="216"/>
        <v>2021</v>
      </c>
      <c r="D6973" s="3">
        <f t="shared" si="217"/>
        <v>202111</v>
      </c>
      <c r="E6973" s="5" t="s">
        <v>8</v>
      </c>
      <c r="F6973" s="5" t="s">
        <v>13</v>
      </c>
      <c r="G6973" s="5" t="s">
        <v>52</v>
      </c>
      <c r="H6973">
        <v>9</v>
      </c>
      <c r="I6973" s="4">
        <v>44235</v>
      </c>
      <c r="J6973" s="4">
        <v>22680</v>
      </c>
    </row>
    <row r="6974" spans="2:10" x14ac:dyDescent="0.3">
      <c r="B6974" s="7">
        <v>44531</v>
      </c>
      <c r="C6974" s="3">
        <f t="shared" si="216"/>
        <v>2021</v>
      </c>
      <c r="D6974" s="3">
        <f t="shared" si="217"/>
        <v>202112</v>
      </c>
      <c r="E6974" s="5" t="s">
        <v>8</v>
      </c>
      <c r="F6974" s="5" t="s">
        <v>13</v>
      </c>
      <c r="G6974" s="5" t="s">
        <v>52</v>
      </c>
      <c r="H6974">
        <v>11</v>
      </c>
      <c r="I6974" s="4">
        <v>52228</v>
      </c>
      <c r="J6974" s="4">
        <v>27720</v>
      </c>
    </row>
    <row r="6975" spans="2:10" x14ac:dyDescent="0.3">
      <c r="B6975" s="7">
        <v>44562</v>
      </c>
      <c r="C6975" s="3">
        <f t="shared" si="216"/>
        <v>2022</v>
      </c>
      <c r="D6975" s="3">
        <f t="shared" si="217"/>
        <v>202201</v>
      </c>
      <c r="E6975" s="5" t="s">
        <v>8</v>
      </c>
      <c r="F6975" s="5" t="s">
        <v>13</v>
      </c>
      <c r="G6975" s="5" t="s">
        <v>52</v>
      </c>
      <c r="H6975">
        <v>16</v>
      </c>
      <c r="I6975" s="4">
        <v>81216</v>
      </c>
      <c r="J6975" s="4">
        <v>40320</v>
      </c>
    </row>
    <row r="6976" spans="2:10" x14ac:dyDescent="0.3">
      <c r="B6976" s="7">
        <v>44593</v>
      </c>
      <c r="C6976" s="3">
        <f t="shared" si="216"/>
        <v>2022</v>
      </c>
      <c r="D6976" s="3">
        <f t="shared" si="217"/>
        <v>202202</v>
      </c>
      <c r="E6976" s="5" t="s">
        <v>8</v>
      </c>
      <c r="F6976" s="5" t="s">
        <v>13</v>
      </c>
      <c r="G6976" s="5" t="s">
        <v>52</v>
      </c>
      <c r="H6976">
        <v>10</v>
      </c>
      <c r="I6976" s="4">
        <v>58090</v>
      </c>
      <c r="J6976" s="4">
        <v>25200</v>
      </c>
    </row>
    <row r="6977" spans="2:10" x14ac:dyDescent="0.3">
      <c r="B6977" s="7">
        <v>44621</v>
      </c>
      <c r="C6977" s="3">
        <f t="shared" si="216"/>
        <v>2022</v>
      </c>
      <c r="D6977" s="3">
        <f t="shared" si="217"/>
        <v>202203</v>
      </c>
      <c r="E6977" s="5" t="s">
        <v>8</v>
      </c>
      <c r="F6977" s="5" t="s">
        <v>13</v>
      </c>
      <c r="G6977" s="5" t="s">
        <v>52</v>
      </c>
      <c r="H6977">
        <v>8</v>
      </c>
      <c r="I6977" s="4">
        <v>35400</v>
      </c>
      <c r="J6977" s="4">
        <v>20160</v>
      </c>
    </row>
    <row r="6978" spans="2:10" x14ac:dyDescent="0.3">
      <c r="B6978" s="7">
        <v>44652</v>
      </c>
      <c r="C6978" s="3">
        <f t="shared" si="216"/>
        <v>2022</v>
      </c>
      <c r="D6978" s="3">
        <f t="shared" si="217"/>
        <v>202204</v>
      </c>
      <c r="E6978" s="5" t="s">
        <v>8</v>
      </c>
      <c r="F6978" s="5" t="s">
        <v>13</v>
      </c>
      <c r="G6978" s="5" t="s">
        <v>52</v>
      </c>
      <c r="H6978">
        <v>15</v>
      </c>
      <c r="I6978" s="4">
        <v>84180</v>
      </c>
      <c r="J6978" s="4">
        <v>37800</v>
      </c>
    </row>
    <row r="6979" spans="2:10" x14ac:dyDescent="0.3">
      <c r="B6979" s="7">
        <v>44682</v>
      </c>
      <c r="C6979" s="3">
        <f t="shared" ref="C6979:C7042" si="218">YEAR(B6979)</f>
        <v>2022</v>
      </c>
      <c r="D6979" s="3">
        <f t="shared" ref="D6979:D7042" si="219">VALUE(TEXT(B6979,"ГГГГММ"))</f>
        <v>202205</v>
      </c>
      <c r="E6979" s="5" t="s">
        <v>8</v>
      </c>
      <c r="F6979" s="5" t="s">
        <v>13</v>
      </c>
      <c r="G6979" s="5" t="s">
        <v>52</v>
      </c>
      <c r="H6979">
        <v>18</v>
      </c>
      <c r="I6979" s="4">
        <v>114102</v>
      </c>
      <c r="J6979" s="4">
        <v>45360</v>
      </c>
    </row>
    <row r="6980" spans="2:10" x14ac:dyDescent="0.3">
      <c r="B6980" s="7">
        <v>44713</v>
      </c>
      <c r="C6980" s="3">
        <f t="shared" si="218"/>
        <v>2022</v>
      </c>
      <c r="D6980" s="3">
        <f t="shared" si="219"/>
        <v>202206</v>
      </c>
      <c r="E6980" s="5" t="s">
        <v>8</v>
      </c>
      <c r="F6980" s="5" t="s">
        <v>13</v>
      </c>
      <c r="G6980" s="5" t="s">
        <v>52</v>
      </c>
      <c r="H6980">
        <v>17</v>
      </c>
      <c r="I6980" s="4">
        <v>99552</v>
      </c>
      <c r="J6980" s="4">
        <v>42840</v>
      </c>
    </row>
    <row r="6981" spans="2:10" x14ac:dyDescent="0.3">
      <c r="B6981" s="7">
        <v>44743</v>
      </c>
      <c r="C6981" s="3">
        <f t="shared" si="218"/>
        <v>2022</v>
      </c>
      <c r="D6981" s="3">
        <f t="shared" si="219"/>
        <v>202207</v>
      </c>
      <c r="E6981" s="5" t="s">
        <v>8</v>
      </c>
      <c r="F6981" s="5" t="s">
        <v>13</v>
      </c>
      <c r="G6981" s="5" t="s">
        <v>52</v>
      </c>
      <c r="H6981">
        <v>18</v>
      </c>
      <c r="I6981" s="4">
        <v>63414</v>
      </c>
      <c r="J6981" s="4">
        <v>45360</v>
      </c>
    </row>
    <row r="6982" spans="2:10" x14ac:dyDescent="0.3">
      <c r="B6982" s="7">
        <v>44774</v>
      </c>
      <c r="C6982" s="3">
        <f t="shared" si="218"/>
        <v>2022</v>
      </c>
      <c r="D6982" s="3">
        <f t="shared" si="219"/>
        <v>202208</v>
      </c>
      <c r="E6982" s="5" t="s">
        <v>8</v>
      </c>
      <c r="F6982" s="5" t="s">
        <v>13</v>
      </c>
      <c r="G6982" s="5" t="s">
        <v>52</v>
      </c>
      <c r="H6982">
        <v>16</v>
      </c>
      <c r="I6982" s="4">
        <v>83872</v>
      </c>
      <c r="J6982" s="4">
        <v>40320</v>
      </c>
    </row>
    <row r="6983" spans="2:10" x14ac:dyDescent="0.3">
      <c r="B6983" s="7">
        <v>44805</v>
      </c>
      <c r="C6983" s="3">
        <f t="shared" si="218"/>
        <v>2022</v>
      </c>
      <c r="D6983" s="3">
        <f t="shared" si="219"/>
        <v>202209</v>
      </c>
      <c r="E6983" s="5" t="s">
        <v>8</v>
      </c>
      <c r="F6983" s="5" t="s">
        <v>13</v>
      </c>
      <c r="G6983" s="5" t="s">
        <v>52</v>
      </c>
      <c r="H6983">
        <v>16</v>
      </c>
      <c r="I6983" s="4">
        <v>78512</v>
      </c>
      <c r="J6983" s="4">
        <v>40320</v>
      </c>
    </row>
    <row r="6984" spans="2:10" x14ac:dyDescent="0.3">
      <c r="B6984" s="7">
        <v>44835</v>
      </c>
      <c r="C6984" s="3">
        <f t="shared" si="218"/>
        <v>2022</v>
      </c>
      <c r="D6984" s="3">
        <f t="shared" si="219"/>
        <v>202210</v>
      </c>
      <c r="E6984" s="5" t="s">
        <v>8</v>
      </c>
      <c r="F6984" s="5" t="s">
        <v>13</v>
      </c>
      <c r="G6984" s="5" t="s">
        <v>52</v>
      </c>
      <c r="H6984">
        <v>14</v>
      </c>
      <c r="I6984" s="4">
        <v>72618</v>
      </c>
      <c r="J6984" s="4">
        <v>35280</v>
      </c>
    </row>
    <row r="6985" spans="2:10" x14ac:dyDescent="0.3">
      <c r="B6985" s="7">
        <v>44866</v>
      </c>
      <c r="C6985" s="3">
        <f t="shared" si="218"/>
        <v>2022</v>
      </c>
      <c r="D6985" s="3">
        <f t="shared" si="219"/>
        <v>202211</v>
      </c>
      <c r="E6985" s="5" t="s">
        <v>8</v>
      </c>
      <c r="F6985" s="5" t="s">
        <v>13</v>
      </c>
      <c r="G6985" s="5" t="s">
        <v>52</v>
      </c>
      <c r="H6985">
        <v>10</v>
      </c>
      <c r="I6985" s="4">
        <v>56610</v>
      </c>
      <c r="J6985" s="4">
        <v>25200</v>
      </c>
    </row>
    <row r="6986" spans="2:10" x14ac:dyDescent="0.3">
      <c r="B6986" s="7">
        <v>44896</v>
      </c>
      <c r="C6986" s="3">
        <f t="shared" si="218"/>
        <v>2022</v>
      </c>
      <c r="D6986" s="3">
        <f t="shared" si="219"/>
        <v>202212</v>
      </c>
      <c r="E6986" s="5" t="s">
        <v>8</v>
      </c>
      <c r="F6986" s="5" t="s">
        <v>13</v>
      </c>
      <c r="G6986" s="5" t="s">
        <v>52</v>
      </c>
      <c r="H6986">
        <v>12</v>
      </c>
      <c r="I6986" s="4">
        <v>66240</v>
      </c>
      <c r="J6986" s="4">
        <v>30240</v>
      </c>
    </row>
    <row r="6987" spans="2:10" x14ac:dyDescent="0.3">
      <c r="B6987" s="7">
        <v>44197</v>
      </c>
      <c r="C6987" s="3">
        <f t="shared" si="218"/>
        <v>2021</v>
      </c>
      <c r="D6987" s="3">
        <f t="shared" si="219"/>
        <v>202101</v>
      </c>
      <c r="E6987" s="5" t="s">
        <v>8</v>
      </c>
      <c r="F6987" s="5" t="s">
        <v>13</v>
      </c>
      <c r="G6987" s="5" t="s">
        <v>53</v>
      </c>
      <c r="H6987">
        <v>18</v>
      </c>
      <c r="I6987" s="4">
        <v>56178</v>
      </c>
      <c r="J6987" s="4">
        <v>16632</v>
      </c>
    </row>
    <row r="6988" spans="2:10" x14ac:dyDescent="0.3">
      <c r="B6988" s="7">
        <v>44228</v>
      </c>
      <c r="C6988" s="3">
        <f t="shared" si="218"/>
        <v>2021</v>
      </c>
      <c r="D6988" s="3">
        <f t="shared" si="219"/>
        <v>202102</v>
      </c>
      <c r="E6988" s="5" t="s">
        <v>8</v>
      </c>
      <c r="F6988" s="5" t="s">
        <v>13</v>
      </c>
      <c r="G6988" s="5" t="s">
        <v>53</v>
      </c>
      <c r="H6988">
        <v>11</v>
      </c>
      <c r="I6988" s="4">
        <v>34419</v>
      </c>
      <c r="J6988" s="4">
        <v>10164</v>
      </c>
    </row>
    <row r="6989" spans="2:10" x14ac:dyDescent="0.3">
      <c r="B6989" s="7">
        <v>44256</v>
      </c>
      <c r="C6989" s="3">
        <f t="shared" si="218"/>
        <v>2021</v>
      </c>
      <c r="D6989" s="3">
        <f t="shared" si="219"/>
        <v>202103</v>
      </c>
      <c r="E6989" s="5" t="s">
        <v>8</v>
      </c>
      <c r="F6989" s="5" t="s">
        <v>13</v>
      </c>
      <c r="G6989" s="5" t="s">
        <v>53</v>
      </c>
      <c r="H6989">
        <v>9</v>
      </c>
      <c r="I6989" s="4">
        <v>25641</v>
      </c>
      <c r="J6989" s="4">
        <v>8316</v>
      </c>
    </row>
    <row r="6990" spans="2:10" x14ac:dyDescent="0.3">
      <c r="B6990" s="7">
        <v>44287</v>
      </c>
      <c r="C6990" s="3">
        <f t="shared" si="218"/>
        <v>2021</v>
      </c>
      <c r="D6990" s="3">
        <f t="shared" si="219"/>
        <v>202104</v>
      </c>
      <c r="E6990" s="5" t="s">
        <v>8</v>
      </c>
      <c r="F6990" s="5" t="s">
        <v>13</v>
      </c>
      <c r="G6990" s="5" t="s">
        <v>53</v>
      </c>
      <c r="H6990">
        <v>17</v>
      </c>
      <c r="I6990" s="4">
        <v>61132</v>
      </c>
      <c r="J6990" s="4">
        <v>15708</v>
      </c>
    </row>
    <row r="6991" spans="2:10" x14ac:dyDescent="0.3">
      <c r="B6991" s="7">
        <v>44317</v>
      </c>
      <c r="C6991" s="3">
        <f t="shared" si="218"/>
        <v>2021</v>
      </c>
      <c r="D6991" s="3">
        <f t="shared" si="219"/>
        <v>202105</v>
      </c>
      <c r="E6991" s="5" t="s">
        <v>8</v>
      </c>
      <c r="F6991" s="5" t="s">
        <v>13</v>
      </c>
      <c r="G6991" s="5" t="s">
        <v>53</v>
      </c>
      <c r="H6991">
        <v>21</v>
      </c>
      <c r="I6991" s="4">
        <v>86688</v>
      </c>
      <c r="J6991" s="4">
        <v>19404</v>
      </c>
    </row>
    <row r="6992" spans="2:10" x14ac:dyDescent="0.3">
      <c r="B6992" s="7">
        <v>44348</v>
      </c>
      <c r="C6992" s="3">
        <f t="shared" si="218"/>
        <v>2021</v>
      </c>
      <c r="D6992" s="3">
        <f t="shared" si="219"/>
        <v>202106</v>
      </c>
      <c r="E6992" s="5" t="s">
        <v>8</v>
      </c>
      <c r="F6992" s="5" t="s">
        <v>13</v>
      </c>
      <c r="G6992" s="5" t="s">
        <v>53</v>
      </c>
      <c r="H6992">
        <v>20</v>
      </c>
      <c r="I6992" s="4">
        <v>78580</v>
      </c>
      <c r="J6992" s="4">
        <v>18480</v>
      </c>
    </row>
    <row r="6993" spans="2:10" x14ac:dyDescent="0.3">
      <c r="B6993" s="7">
        <v>44378</v>
      </c>
      <c r="C6993" s="3">
        <f t="shared" si="218"/>
        <v>2021</v>
      </c>
      <c r="D6993" s="3">
        <f t="shared" si="219"/>
        <v>202107</v>
      </c>
      <c r="E6993" s="5" t="s">
        <v>8</v>
      </c>
      <c r="F6993" s="5" t="s">
        <v>13</v>
      </c>
      <c r="G6993" s="5" t="s">
        <v>53</v>
      </c>
      <c r="H6993">
        <v>21</v>
      </c>
      <c r="I6993" s="4">
        <v>43113</v>
      </c>
      <c r="J6993" s="4">
        <v>19404</v>
      </c>
    </row>
    <row r="6994" spans="2:10" x14ac:dyDescent="0.3">
      <c r="B6994" s="7">
        <v>44409</v>
      </c>
      <c r="C6994" s="3">
        <f t="shared" si="218"/>
        <v>2021</v>
      </c>
      <c r="D6994" s="3">
        <f t="shared" si="219"/>
        <v>202108</v>
      </c>
      <c r="E6994" s="5" t="s">
        <v>8</v>
      </c>
      <c r="F6994" s="5" t="s">
        <v>13</v>
      </c>
      <c r="G6994" s="5" t="s">
        <v>53</v>
      </c>
      <c r="H6994">
        <v>18</v>
      </c>
      <c r="I6994" s="4">
        <v>56898</v>
      </c>
      <c r="J6994" s="4">
        <v>16632</v>
      </c>
    </row>
    <row r="6995" spans="2:10" x14ac:dyDescent="0.3">
      <c r="B6995" s="7">
        <v>44440</v>
      </c>
      <c r="C6995" s="3">
        <f t="shared" si="218"/>
        <v>2021</v>
      </c>
      <c r="D6995" s="3">
        <f t="shared" si="219"/>
        <v>202109</v>
      </c>
      <c r="E6995" s="5" t="s">
        <v>8</v>
      </c>
      <c r="F6995" s="5" t="s">
        <v>13</v>
      </c>
      <c r="G6995" s="5" t="s">
        <v>53</v>
      </c>
      <c r="H6995">
        <v>19</v>
      </c>
      <c r="I6995" s="4">
        <v>56335</v>
      </c>
      <c r="J6995" s="4">
        <v>17556</v>
      </c>
    </row>
    <row r="6996" spans="2:10" x14ac:dyDescent="0.3">
      <c r="B6996" s="7">
        <v>44470</v>
      </c>
      <c r="C6996" s="3">
        <f t="shared" si="218"/>
        <v>2021</v>
      </c>
      <c r="D6996" s="3">
        <f t="shared" si="219"/>
        <v>202110</v>
      </c>
      <c r="E6996" s="5" t="s">
        <v>8</v>
      </c>
      <c r="F6996" s="5" t="s">
        <v>13</v>
      </c>
      <c r="G6996" s="5" t="s">
        <v>53</v>
      </c>
      <c r="H6996">
        <v>16</v>
      </c>
      <c r="I6996" s="4">
        <v>52080</v>
      </c>
      <c r="J6996" s="4">
        <v>14784</v>
      </c>
    </row>
    <row r="6997" spans="2:10" x14ac:dyDescent="0.3">
      <c r="B6997" s="7">
        <v>44501</v>
      </c>
      <c r="C6997" s="3">
        <f t="shared" si="218"/>
        <v>2021</v>
      </c>
      <c r="D6997" s="3">
        <f t="shared" si="219"/>
        <v>202111</v>
      </c>
      <c r="E6997" s="5" t="s">
        <v>8</v>
      </c>
      <c r="F6997" s="5" t="s">
        <v>13</v>
      </c>
      <c r="G6997" s="5" t="s">
        <v>53</v>
      </c>
      <c r="H6997">
        <v>11</v>
      </c>
      <c r="I6997" s="4">
        <v>38269</v>
      </c>
      <c r="J6997" s="4">
        <v>10164</v>
      </c>
    </row>
    <row r="6998" spans="2:10" x14ac:dyDescent="0.3">
      <c r="B6998" s="7">
        <v>44531</v>
      </c>
      <c r="C6998" s="3">
        <f t="shared" si="218"/>
        <v>2021</v>
      </c>
      <c r="D6998" s="3">
        <f t="shared" si="219"/>
        <v>202112</v>
      </c>
      <c r="E6998" s="5" t="s">
        <v>8</v>
      </c>
      <c r="F6998" s="5" t="s">
        <v>13</v>
      </c>
      <c r="G6998" s="5" t="s">
        <v>53</v>
      </c>
      <c r="H6998">
        <v>14</v>
      </c>
      <c r="I6998" s="4">
        <v>44338</v>
      </c>
      <c r="J6998" s="4">
        <v>12936</v>
      </c>
    </row>
    <row r="6999" spans="2:10" x14ac:dyDescent="0.3">
      <c r="B6999" s="7">
        <v>44562</v>
      </c>
      <c r="C6999" s="3">
        <f t="shared" si="218"/>
        <v>2022</v>
      </c>
      <c r="D6999" s="3">
        <f t="shared" si="219"/>
        <v>202201</v>
      </c>
      <c r="E6999" s="5" t="s">
        <v>8</v>
      </c>
      <c r="F6999" s="5" t="s">
        <v>13</v>
      </c>
      <c r="G6999" s="5" t="s">
        <v>53</v>
      </c>
      <c r="H6999">
        <v>20</v>
      </c>
      <c r="I6999" s="4">
        <v>59840</v>
      </c>
      <c r="J6999" s="4">
        <v>18480</v>
      </c>
    </row>
    <row r="7000" spans="2:10" x14ac:dyDescent="0.3">
      <c r="B7000" s="7">
        <v>44593</v>
      </c>
      <c r="C7000" s="3">
        <f t="shared" si="218"/>
        <v>2022</v>
      </c>
      <c r="D7000" s="3">
        <f t="shared" si="219"/>
        <v>202202</v>
      </c>
      <c r="E7000" s="5" t="s">
        <v>8</v>
      </c>
      <c r="F7000" s="5" t="s">
        <v>13</v>
      </c>
      <c r="G7000" s="5" t="s">
        <v>53</v>
      </c>
      <c r="H7000">
        <v>13</v>
      </c>
      <c r="I7000" s="4">
        <v>50882</v>
      </c>
      <c r="J7000" s="4">
        <v>12012</v>
      </c>
    </row>
    <row r="7001" spans="2:10" x14ac:dyDescent="0.3">
      <c r="B7001" s="7">
        <v>44621</v>
      </c>
      <c r="C7001" s="3">
        <f t="shared" si="218"/>
        <v>2022</v>
      </c>
      <c r="D7001" s="3">
        <f t="shared" si="219"/>
        <v>202203</v>
      </c>
      <c r="E7001" s="5" t="s">
        <v>8</v>
      </c>
      <c r="F7001" s="5" t="s">
        <v>13</v>
      </c>
      <c r="G7001" s="5" t="s">
        <v>53</v>
      </c>
      <c r="H7001">
        <v>10</v>
      </c>
      <c r="I7001" s="4">
        <v>35770</v>
      </c>
      <c r="J7001" s="4">
        <v>9240</v>
      </c>
    </row>
    <row r="7002" spans="2:10" x14ac:dyDescent="0.3">
      <c r="B7002" s="7">
        <v>44652</v>
      </c>
      <c r="C7002" s="3">
        <f t="shared" si="218"/>
        <v>2022</v>
      </c>
      <c r="D7002" s="3">
        <f t="shared" si="219"/>
        <v>202204</v>
      </c>
      <c r="E7002" s="5" t="s">
        <v>8</v>
      </c>
      <c r="F7002" s="5" t="s">
        <v>13</v>
      </c>
      <c r="G7002" s="5" t="s">
        <v>53</v>
      </c>
      <c r="H7002">
        <v>19</v>
      </c>
      <c r="I7002" s="4">
        <v>74727</v>
      </c>
      <c r="J7002" s="4">
        <v>17556</v>
      </c>
    </row>
    <row r="7003" spans="2:10" x14ac:dyDescent="0.3">
      <c r="B7003" s="7">
        <v>44682</v>
      </c>
      <c r="C7003" s="3">
        <f t="shared" si="218"/>
        <v>2022</v>
      </c>
      <c r="D7003" s="3">
        <f t="shared" si="219"/>
        <v>202205</v>
      </c>
      <c r="E7003" s="5" t="s">
        <v>8</v>
      </c>
      <c r="F7003" s="5" t="s">
        <v>13</v>
      </c>
      <c r="G7003" s="5" t="s">
        <v>53</v>
      </c>
      <c r="H7003">
        <v>23</v>
      </c>
      <c r="I7003" s="4">
        <v>107916</v>
      </c>
      <c r="J7003" s="4">
        <v>21252</v>
      </c>
    </row>
    <row r="7004" spans="2:10" x14ac:dyDescent="0.3">
      <c r="B7004" s="7">
        <v>44713</v>
      </c>
      <c r="C7004" s="3">
        <f t="shared" si="218"/>
        <v>2022</v>
      </c>
      <c r="D7004" s="3">
        <f t="shared" si="219"/>
        <v>202206</v>
      </c>
      <c r="E7004" s="5" t="s">
        <v>8</v>
      </c>
      <c r="F7004" s="5" t="s">
        <v>13</v>
      </c>
      <c r="G7004" s="5" t="s">
        <v>53</v>
      </c>
      <c r="H7004">
        <v>22</v>
      </c>
      <c r="I7004" s="4">
        <v>78628</v>
      </c>
      <c r="J7004" s="4">
        <v>20328</v>
      </c>
    </row>
    <row r="7005" spans="2:10" x14ac:dyDescent="0.3">
      <c r="B7005" s="7">
        <v>44743</v>
      </c>
      <c r="C7005" s="3">
        <f t="shared" si="218"/>
        <v>2022</v>
      </c>
      <c r="D7005" s="3">
        <f t="shared" si="219"/>
        <v>202207</v>
      </c>
      <c r="E7005" s="5" t="s">
        <v>8</v>
      </c>
      <c r="F7005" s="5" t="s">
        <v>13</v>
      </c>
      <c r="G7005" s="5" t="s">
        <v>53</v>
      </c>
      <c r="H7005">
        <v>23</v>
      </c>
      <c r="I7005" s="4">
        <v>34339</v>
      </c>
      <c r="J7005" s="4">
        <v>21252</v>
      </c>
    </row>
    <row r="7006" spans="2:10" x14ac:dyDescent="0.3">
      <c r="B7006" s="7">
        <v>44774</v>
      </c>
      <c r="C7006" s="3">
        <f t="shared" si="218"/>
        <v>2022</v>
      </c>
      <c r="D7006" s="3">
        <f t="shared" si="219"/>
        <v>202208</v>
      </c>
      <c r="E7006" s="5" t="s">
        <v>8</v>
      </c>
      <c r="F7006" s="5" t="s">
        <v>13</v>
      </c>
      <c r="G7006" s="5" t="s">
        <v>53</v>
      </c>
      <c r="H7006">
        <v>20</v>
      </c>
      <c r="I7006" s="4">
        <v>59660</v>
      </c>
      <c r="J7006" s="4">
        <v>18480</v>
      </c>
    </row>
    <row r="7007" spans="2:10" x14ac:dyDescent="0.3">
      <c r="B7007" s="7">
        <v>44805</v>
      </c>
      <c r="C7007" s="3">
        <f t="shared" si="218"/>
        <v>2022</v>
      </c>
      <c r="D7007" s="3">
        <f t="shared" si="219"/>
        <v>202209</v>
      </c>
      <c r="E7007" s="5" t="s">
        <v>8</v>
      </c>
      <c r="F7007" s="5" t="s">
        <v>13</v>
      </c>
      <c r="G7007" s="5" t="s">
        <v>53</v>
      </c>
      <c r="H7007">
        <v>21</v>
      </c>
      <c r="I7007" s="4">
        <v>65037</v>
      </c>
      <c r="J7007" s="4">
        <v>19404</v>
      </c>
    </row>
    <row r="7008" spans="2:10" x14ac:dyDescent="0.3">
      <c r="B7008" s="7">
        <v>44835</v>
      </c>
      <c r="C7008" s="3">
        <f t="shared" si="218"/>
        <v>2022</v>
      </c>
      <c r="D7008" s="3">
        <f t="shared" si="219"/>
        <v>202210</v>
      </c>
      <c r="E7008" s="5" t="s">
        <v>8</v>
      </c>
      <c r="F7008" s="5" t="s">
        <v>13</v>
      </c>
      <c r="G7008" s="5" t="s">
        <v>53</v>
      </c>
      <c r="H7008">
        <v>17</v>
      </c>
      <c r="I7008" s="4">
        <v>60520</v>
      </c>
      <c r="J7008" s="4">
        <v>15708</v>
      </c>
    </row>
    <row r="7009" spans="2:10" x14ac:dyDescent="0.3">
      <c r="B7009" s="7">
        <v>44866</v>
      </c>
      <c r="C7009" s="3">
        <f t="shared" si="218"/>
        <v>2022</v>
      </c>
      <c r="D7009" s="3">
        <f t="shared" si="219"/>
        <v>202211</v>
      </c>
      <c r="E7009" s="5" t="s">
        <v>8</v>
      </c>
      <c r="F7009" s="5" t="s">
        <v>13</v>
      </c>
      <c r="G7009" s="5" t="s">
        <v>53</v>
      </c>
      <c r="H7009">
        <v>13</v>
      </c>
      <c r="I7009" s="4">
        <v>50960</v>
      </c>
      <c r="J7009" s="4">
        <v>12012</v>
      </c>
    </row>
    <row r="7010" spans="2:10" x14ac:dyDescent="0.3">
      <c r="B7010" s="7">
        <v>44896</v>
      </c>
      <c r="C7010" s="3">
        <f t="shared" si="218"/>
        <v>2022</v>
      </c>
      <c r="D7010" s="3">
        <f t="shared" si="219"/>
        <v>202212</v>
      </c>
      <c r="E7010" s="5" t="s">
        <v>8</v>
      </c>
      <c r="F7010" s="5" t="s">
        <v>13</v>
      </c>
      <c r="G7010" s="5" t="s">
        <v>53</v>
      </c>
      <c r="H7010">
        <v>15</v>
      </c>
      <c r="I7010" s="4">
        <v>46050</v>
      </c>
      <c r="J7010" s="4">
        <v>13860</v>
      </c>
    </row>
    <row r="7011" spans="2:10" x14ac:dyDescent="0.3">
      <c r="B7011" s="7">
        <v>44197</v>
      </c>
      <c r="C7011" s="3">
        <f t="shared" si="218"/>
        <v>2021</v>
      </c>
      <c r="D7011" s="3">
        <f t="shared" si="219"/>
        <v>202101</v>
      </c>
      <c r="E7011" s="5" t="s">
        <v>8</v>
      </c>
      <c r="F7011" s="5" t="s">
        <v>13</v>
      </c>
      <c r="G7011" s="5" t="s">
        <v>54</v>
      </c>
      <c r="H7011">
        <v>14</v>
      </c>
      <c r="I7011" s="4">
        <v>60284</v>
      </c>
      <c r="J7011" s="4">
        <v>15288</v>
      </c>
    </row>
    <row r="7012" spans="2:10" x14ac:dyDescent="0.3">
      <c r="B7012" s="7">
        <v>44228</v>
      </c>
      <c r="C7012" s="3">
        <f t="shared" si="218"/>
        <v>2021</v>
      </c>
      <c r="D7012" s="3">
        <f t="shared" si="219"/>
        <v>202102</v>
      </c>
      <c r="E7012" s="5" t="s">
        <v>8</v>
      </c>
      <c r="F7012" s="5" t="s">
        <v>13</v>
      </c>
      <c r="G7012" s="5" t="s">
        <v>54</v>
      </c>
      <c r="H7012">
        <v>9</v>
      </c>
      <c r="I7012" s="4">
        <v>40779</v>
      </c>
      <c r="J7012" s="4">
        <v>9828</v>
      </c>
    </row>
    <row r="7013" spans="2:10" x14ac:dyDescent="0.3">
      <c r="B7013" s="7">
        <v>44256</v>
      </c>
      <c r="C7013" s="3">
        <f t="shared" si="218"/>
        <v>2021</v>
      </c>
      <c r="D7013" s="3">
        <f t="shared" si="219"/>
        <v>202103</v>
      </c>
      <c r="E7013" s="5" t="s">
        <v>8</v>
      </c>
      <c r="F7013" s="5" t="s">
        <v>13</v>
      </c>
      <c r="G7013" s="5" t="s">
        <v>54</v>
      </c>
      <c r="H7013">
        <v>7</v>
      </c>
      <c r="I7013" s="4">
        <v>23758</v>
      </c>
      <c r="J7013" s="4">
        <v>7644</v>
      </c>
    </row>
    <row r="7014" spans="2:10" x14ac:dyDescent="0.3">
      <c r="B7014" s="7">
        <v>44287</v>
      </c>
      <c r="C7014" s="3">
        <f t="shared" si="218"/>
        <v>2021</v>
      </c>
      <c r="D7014" s="3">
        <f t="shared" si="219"/>
        <v>202104</v>
      </c>
      <c r="E7014" s="5" t="s">
        <v>8</v>
      </c>
      <c r="F7014" s="5" t="s">
        <v>13</v>
      </c>
      <c r="G7014" s="5" t="s">
        <v>54</v>
      </c>
      <c r="H7014">
        <v>14</v>
      </c>
      <c r="I7014" s="4">
        <v>56392</v>
      </c>
      <c r="J7014" s="4">
        <v>15288</v>
      </c>
    </row>
    <row r="7015" spans="2:10" x14ac:dyDescent="0.3">
      <c r="B7015" s="7">
        <v>44317</v>
      </c>
      <c r="C7015" s="3">
        <f t="shared" si="218"/>
        <v>2021</v>
      </c>
      <c r="D7015" s="3">
        <f t="shared" si="219"/>
        <v>202105</v>
      </c>
      <c r="E7015" s="5" t="s">
        <v>8</v>
      </c>
      <c r="F7015" s="5" t="s">
        <v>13</v>
      </c>
      <c r="G7015" s="5" t="s">
        <v>54</v>
      </c>
      <c r="H7015">
        <v>17</v>
      </c>
      <c r="I7015" s="4">
        <v>84269</v>
      </c>
      <c r="J7015" s="4">
        <v>18564</v>
      </c>
    </row>
    <row r="7016" spans="2:10" x14ac:dyDescent="0.3">
      <c r="B7016" s="7">
        <v>44348</v>
      </c>
      <c r="C7016" s="3">
        <f t="shared" si="218"/>
        <v>2021</v>
      </c>
      <c r="D7016" s="3">
        <f t="shared" si="219"/>
        <v>202106</v>
      </c>
      <c r="E7016" s="5" t="s">
        <v>8</v>
      </c>
      <c r="F7016" s="5" t="s">
        <v>13</v>
      </c>
      <c r="G7016" s="5" t="s">
        <v>54</v>
      </c>
      <c r="H7016">
        <v>16</v>
      </c>
      <c r="I7016" s="4">
        <v>64208</v>
      </c>
      <c r="J7016" s="4">
        <v>17472</v>
      </c>
    </row>
    <row r="7017" spans="2:10" x14ac:dyDescent="0.3">
      <c r="B7017" s="7">
        <v>44378</v>
      </c>
      <c r="C7017" s="3">
        <f t="shared" si="218"/>
        <v>2021</v>
      </c>
      <c r="D7017" s="3">
        <f t="shared" si="219"/>
        <v>202107</v>
      </c>
      <c r="E7017" s="5" t="s">
        <v>8</v>
      </c>
      <c r="F7017" s="5" t="s">
        <v>13</v>
      </c>
      <c r="G7017" s="5" t="s">
        <v>54</v>
      </c>
      <c r="H7017">
        <v>17</v>
      </c>
      <c r="I7017" s="4">
        <v>47770</v>
      </c>
      <c r="J7017" s="4">
        <v>18564</v>
      </c>
    </row>
    <row r="7018" spans="2:10" x14ac:dyDescent="0.3">
      <c r="B7018" s="7">
        <v>44409</v>
      </c>
      <c r="C7018" s="3">
        <f t="shared" si="218"/>
        <v>2021</v>
      </c>
      <c r="D7018" s="3">
        <f t="shared" si="219"/>
        <v>202108</v>
      </c>
      <c r="E7018" s="5" t="s">
        <v>8</v>
      </c>
      <c r="F7018" s="5" t="s">
        <v>13</v>
      </c>
      <c r="G7018" s="5" t="s">
        <v>54</v>
      </c>
      <c r="H7018">
        <v>14</v>
      </c>
      <c r="I7018" s="4">
        <v>43694</v>
      </c>
      <c r="J7018" s="4">
        <v>15288</v>
      </c>
    </row>
    <row r="7019" spans="2:10" x14ac:dyDescent="0.3">
      <c r="B7019" s="7">
        <v>44440</v>
      </c>
      <c r="C7019" s="3">
        <f t="shared" si="218"/>
        <v>2021</v>
      </c>
      <c r="D7019" s="3">
        <f t="shared" si="219"/>
        <v>202109</v>
      </c>
      <c r="E7019" s="5" t="s">
        <v>8</v>
      </c>
      <c r="F7019" s="5" t="s">
        <v>13</v>
      </c>
      <c r="G7019" s="5" t="s">
        <v>54</v>
      </c>
      <c r="H7019">
        <v>15</v>
      </c>
      <c r="I7019" s="4">
        <v>60720</v>
      </c>
      <c r="J7019" s="4">
        <v>16380</v>
      </c>
    </row>
    <row r="7020" spans="2:10" x14ac:dyDescent="0.3">
      <c r="B7020" s="7">
        <v>44470</v>
      </c>
      <c r="C7020" s="3">
        <f t="shared" si="218"/>
        <v>2021</v>
      </c>
      <c r="D7020" s="3">
        <f t="shared" si="219"/>
        <v>202110</v>
      </c>
      <c r="E7020" s="5" t="s">
        <v>8</v>
      </c>
      <c r="F7020" s="5" t="s">
        <v>13</v>
      </c>
      <c r="G7020" s="5" t="s">
        <v>54</v>
      </c>
      <c r="H7020">
        <v>13</v>
      </c>
      <c r="I7020" s="4">
        <v>44265</v>
      </c>
      <c r="J7020" s="4">
        <v>14196</v>
      </c>
    </row>
    <row r="7021" spans="2:10" x14ac:dyDescent="0.3">
      <c r="B7021" s="7">
        <v>44501</v>
      </c>
      <c r="C7021" s="3">
        <f t="shared" si="218"/>
        <v>2021</v>
      </c>
      <c r="D7021" s="3">
        <f t="shared" si="219"/>
        <v>202111</v>
      </c>
      <c r="E7021" s="5" t="s">
        <v>8</v>
      </c>
      <c r="F7021" s="5" t="s">
        <v>13</v>
      </c>
      <c r="G7021" s="5" t="s">
        <v>54</v>
      </c>
      <c r="H7021">
        <v>9</v>
      </c>
      <c r="I7021" s="4">
        <v>38322</v>
      </c>
      <c r="J7021" s="4">
        <v>9828</v>
      </c>
    </row>
    <row r="7022" spans="2:10" x14ac:dyDescent="0.3">
      <c r="B7022" s="7">
        <v>44531</v>
      </c>
      <c r="C7022" s="3">
        <f t="shared" si="218"/>
        <v>2021</v>
      </c>
      <c r="D7022" s="3">
        <f t="shared" si="219"/>
        <v>202112</v>
      </c>
      <c r="E7022" s="5" t="s">
        <v>8</v>
      </c>
      <c r="F7022" s="5" t="s">
        <v>13</v>
      </c>
      <c r="G7022" s="5" t="s">
        <v>54</v>
      </c>
      <c r="H7022">
        <v>11</v>
      </c>
      <c r="I7022" s="4">
        <v>39303</v>
      </c>
      <c r="J7022" s="4">
        <v>12012</v>
      </c>
    </row>
    <row r="7023" spans="2:10" x14ac:dyDescent="0.3">
      <c r="B7023" s="7">
        <v>44562</v>
      </c>
      <c r="C7023" s="3">
        <f t="shared" si="218"/>
        <v>2022</v>
      </c>
      <c r="D7023" s="3">
        <f t="shared" si="219"/>
        <v>202201</v>
      </c>
      <c r="E7023" s="5" t="s">
        <v>8</v>
      </c>
      <c r="F7023" s="5" t="s">
        <v>13</v>
      </c>
      <c r="G7023" s="5" t="s">
        <v>54</v>
      </c>
      <c r="H7023">
        <v>16</v>
      </c>
      <c r="I7023" s="4">
        <v>67840</v>
      </c>
      <c r="J7023" s="4">
        <v>17472</v>
      </c>
    </row>
    <row r="7024" spans="2:10" x14ac:dyDescent="0.3">
      <c r="B7024" s="7">
        <v>44593</v>
      </c>
      <c r="C7024" s="3">
        <f t="shared" si="218"/>
        <v>2022</v>
      </c>
      <c r="D7024" s="3">
        <f t="shared" si="219"/>
        <v>202202</v>
      </c>
      <c r="E7024" s="5" t="s">
        <v>8</v>
      </c>
      <c r="F7024" s="5" t="s">
        <v>13</v>
      </c>
      <c r="G7024" s="5" t="s">
        <v>54</v>
      </c>
      <c r="H7024">
        <v>10</v>
      </c>
      <c r="I7024" s="4">
        <v>36040</v>
      </c>
      <c r="J7024" s="4">
        <v>10920</v>
      </c>
    </row>
    <row r="7025" spans="2:10" x14ac:dyDescent="0.3">
      <c r="B7025" s="7">
        <v>44621</v>
      </c>
      <c r="C7025" s="3">
        <f t="shared" si="218"/>
        <v>2022</v>
      </c>
      <c r="D7025" s="3">
        <f t="shared" si="219"/>
        <v>202203</v>
      </c>
      <c r="E7025" s="5" t="s">
        <v>8</v>
      </c>
      <c r="F7025" s="5" t="s">
        <v>13</v>
      </c>
      <c r="G7025" s="5" t="s">
        <v>54</v>
      </c>
      <c r="H7025">
        <v>8</v>
      </c>
      <c r="I7025" s="4">
        <v>28296</v>
      </c>
      <c r="J7025" s="4">
        <v>8736</v>
      </c>
    </row>
    <row r="7026" spans="2:10" x14ac:dyDescent="0.3">
      <c r="B7026" s="7">
        <v>44652</v>
      </c>
      <c r="C7026" s="3">
        <f t="shared" si="218"/>
        <v>2022</v>
      </c>
      <c r="D7026" s="3">
        <f t="shared" si="219"/>
        <v>202204</v>
      </c>
      <c r="E7026" s="5" t="s">
        <v>8</v>
      </c>
      <c r="F7026" s="5" t="s">
        <v>13</v>
      </c>
      <c r="G7026" s="5" t="s">
        <v>54</v>
      </c>
      <c r="H7026">
        <v>15</v>
      </c>
      <c r="I7026" s="4">
        <v>63990</v>
      </c>
      <c r="J7026" s="4">
        <v>16380</v>
      </c>
    </row>
    <row r="7027" spans="2:10" x14ac:dyDescent="0.3">
      <c r="B7027" s="7">
        <v>44682</v>
      </c>
      <c r="C7027" s="3">
        <f t="shared" si="218"/>
        <v>2022</v>
      </c>
      <c r="D7027" s="3">
        <f t="shared" si="219"/>
        <v>202205</v>
      </c>
      <c r="E7027" s="5" t="s">
        <v>8</v>
      </c>
      <c r="F7027" s="5" t="s">
        <v>13</v>
      </c>
      <c r="G7027" s="5" t="s">
        <v>54</v>
      </c>
      <c r="H7027">
        <v>19</v>
      </c>
      <c r="I7027" s="4">
        <v>83866</v>
      </c>
      <c r="J7027" s="4">
        <v>20748</v>
      </c>
    </row>
    <row r="7028" spans="2:10" x14ac:dyDescent="0.3">
      <c r="B7028" s="7">
        <v>44713</v>
      </c>
      <c r="C7028" s="3">
        <f t="shared" si="218"/>
        <v>2022</v>
      </c>
      <c r="D7028" s="3">
        <f t="shared" si="219"/>
        <v>202206</v>
      </c>
      <c r="E7028" s="5" t="s">
        <v>8</v>
      </c>
      <c r="F7028" s="5" t="s">
        <v>13</v>
      </c>
      <c r="G7028" s="5" t="s">
        <v>54</v>
      </c>
      <c r="H7028">
        <v>18</v>
      </c>
      <c r="I7028" s="4">
        <v>80388</v>
      </c>
      <c r="J7028" s="4">
        <v>19656</v>
      </c>
    </row>
    <row r="7029" spans="2:10" x14ac:dyDescent="0.3">
      <c r="B7029" s="7">
        <v>44743</v>
      </c>
      <c r="C7029" s="3">
        <f t="shared" si="218"/>
        <v>2022</v>
      </c>
      <c r="D7029" s="3">
        <f t="shared" si="219"/>
        <v>202207</v>
      </c>
      <c r="E7029" s="5" t="s">
        <v>8</v>
      </c>
      <c r="F7029" s="5" t="s">
        <v>13</v>
      </c>
      <c r="G7029" s="5" t="s">
        <v>54</v>
      </c>
      <c r="H7029">
        <v>19</v>
      </c>
      <c r="I7029" s="4">
        <v>51718</v>
      </c>
      <c r="J7029" s="4">
        <v>20748</v>
      </c>
    </row>
    <row r="7030" spans="2:10" x14ac:dyDescent="0.3">
      <c r="B7030" s="7">
        <v>44774</v>
      </c>
      <c r="C7030" s="3">
        <f t="shared" si="218"/>
        <v>2022</v>
      </c>
      <c r="D7030" s="3">
        <f t="shared" si="219"/>
        <v>202208</v>
      </c>
      <c r="E7030" s="5" t="s">
        <v>8</v>
      </c>
      <c r="F7030" s="5" t="s">
        <v>13</v>
      </c>
      <c r="G7030" s="5" t="s">
        <v>54</v>
      </c>
      <c r="H7030">
        <v>16</v>
      </c>
      <c r="I7030" s="4">
        <v>53920</v>
      </c>
      <c r="J7030" s="4">
        <v>17472</v>
      </c>
    </row>
    <row r="7031" spans="2:10" x14ac:dyDescent="0.3">
      <c r="B7031" s="7">
        <v>44805</v>
      </c>
      <c r="C7031" s="3">
        <f t="shared" si="218"/>
        <v>2022</v>
      </c>
      <c r="D7031" s="3">
        <f t="shared" si="219"/>
        <v>202209</v>
      </c>
      <c r="E7031" s="5" t="s">
        <v>8</v>
      </c>
      <c r="F7031" s="5" t="s">
        <v>13</v>
      </c>
      <c r="G7031" s="5" t="s">
        <v>54</v>
      </c>
      <c r="H7031">
        <v>17</v>
      </c>
      <c r="I7031" s="4">
        <v>62628</v>
      </c>
      <c r="J7031" s="4">
        <v>18564</v>
      </c>
    </row>
    <row r="7032" spans="2:10" x14ac:dyDescent="0.3">
      <c r="B7032" s="7">
        <v>44835</v>
      </c>
      <c r="C7032" s="3">
        <f t="shared" si="218"/>
        <v>2022</v>
      </c>
      <c r="D7032" s="3">
        <f t="shared" si="219"/>
        <v>202210</v>
      </c>
      <c r="E7032" s="5" t="s">
        <v>8</v>
      </c>
      <c r="F7032" s="5" t="s">
        <v>13</v>
      </c>
      <c r="G7032" s="5" t="s">
        <v>54</v>
      </c>
      <c r="H7032">
        <v>14</v>
      </c>
      <c r="I7032" s="4">
        <v>50456</v>
      </c>
      <c r="J7032" s="4">
        <v>15288</v>
      </c>
    </row>
    <row r="7033" spans="2:10" x14ac:dyDescent="0.3">
      <c r="B7033" s="7">
        <v>44866</v>
      </c>
      <c r="C7033" s="3">
        <f t="shared" si="218"/>
        <v>2022</v>
      </c>
      <c r="D7033" s="3">
        <f t="shared" si="219"/>
        <v>202211</v>
      </c>
      <c r="E7033" s="5" t="s">
        <v>8</v>
      </c>
      <c r="F7033" s="5" t="s">
        <v>13</v>
      </c>
      <c r="G7033" s="5" t="s">
        <v>54</v>
      </c>
      <c r="H7033">
        <v>10</v>
      </c>
      <c r="I7033" s="4">
        <v>40170</v>
      </c>
      <c r="J7033" s="4">
        <v>10920</v>
      </c>
    </row>
    <row r="7034" spans="2:10" x14ac:dyDescent="0.3">
      <c r="B7034" s="7">
        <v>44896</v>
      </c>
      <c r="C7034" s="3">
        <f t="shared" si="218"/>
        <v>2022</v>
      </c>
      <c r="D7034" s="3">
        <f t="shared" si="219"/>
        <v>202212</v>
      </c>
      <c r="E7034" s="5" t="s">
        <v>8</v>
      </c>
      <c r="F7034" s="5" t="s">
        <v>13</v>
      </c>
      <c r="G7034" s="5" t="s">
        <v>54</v>
      </c>
      <c r="H7034">
        <v>12</v>
      </c>
      <c r="I7034" s="4">
        <v>46236</v>
      </c>
      <c r="J7034" s="4">
        <v>13104</v>
      </c>
    </row>
    <row r="7035" spans="2:10" x14ac:dyDescent="0.3">
      <c r="B7035" s="7">
        <v>44197</v>
      </c>
      <c r="C7035" s="3">
        <f t="shared" si="218"/>
        <v>2021</v>
      </c>
      <c r="D7035" s="3">
        <f t="shared" si="219"/>
        <v>202101</v>
      </c>
      <c r="E7035" s="5" t="s">
        <v>8</v>
      </c>
      <c r="F7035" s="5" t="s">
        <v>13</v>
      </c>
      <c r="G7035" s="5" t="s">
        <v>55</v>
      </c>
      <c r="H7035">
        <v>18</v>
      </c>
      <c r="I7035" s="4">
        <v>53712</v>
      </c>
      <c r="J7035" s="4">
        <v>15732</v>
      </c>
    </row>
    <row r="7036" spans="2:10" x14ac:dyDescent="0.3">
      <c r="B7036" s="7">
        <v>44228</v>
      </c>
      <c r="C7036" s="3">
        <f t="shared" si="218"/>
        <v>2021</v>
      </c>
      <c r="D7036" s="3">
        <f t="shared" si="219"/>
        <v>202102</v>
      </c>
      <c r="E7036" s="5" t="s">
        <v>8</v>
      </c>
      <c r="F7036" s="5" t="s">
        <v>13</v>
      </c>
      <c r="G7036" s="5" t="s">
        <v>55</v>
      </c>
      <c r="H7036">
        <v>12</v>
      </c>
      <c r="I7036" s="4">
        <v>35820</v>
      </c>
      <c r="J7036" s="4">
        <v>10488</v>
      </c>
    </row>
    <row r="7037" spans="2:10" x14ac:dyDescent="0.3">
      <c r="B7037" s="7">
        <v>44256</v>
      </c>
      <c r="C7037" s="3">
        <f t="shared" si="218"/>
        <v>2021</v>
      </c>
      <c r="D7037" s="3">
        <f t="shared" si="219"/>
        <v>202103</v>
      </c>
      <c r="E7037" s="5" t="s">
        <v>8</v>
      </c>
      <c r="F7037" s="5" t="s">
        <v>13</v>
      </c>
      <c r="G7037" s="5" t="s">
        <v>55</v>
      </c>
      <c r="H7037">
        <v>9</v>
      </c>
      <c r="I7037" s="4">
        <v>24840</v>
      </c>
      <c r="J7037" s="4">
        <v>7866</v>
      </c>
    </row>
    <row r="7038" spans="2:10" x14ac:dyDescent="0.3">
      <c r="B7038" s="7">
        <v>44287</v>
      </c>
      <c r="C7038" s="3">
        <f t="shared" si="218"/>
        <v>2021</v>
      </c>
      <c r="D7038" s="3">
        <f t="shared" si="219"/>
        <v>202104</v>
      </c>
      <c r="E7038" s="5" t="s">
        <v>8</v>
      </c>
      <c r="F7038" s="5" t="s">
        <v>13</v>
      </c>
      <c r="G7038" s="5" t="s">
        <v>55</v>
      </c>
      <c r="H7038">
        <v>17</v>
      </c>
      <c r="I7038" s="4">
        <v>71604</v>
      </c>
      <c r="J7038" s="4">
        <v>14858</v>
      </c>
    </row>
    <row r="7039" spans="2:10" x14ac:dyDescent="0.3">
      <c r="B7039" s="7">
        <v>44317</v>
      </c>
      <c r="C7039" s="3">
        <f t="shared" si="218"/>
        <v>2021</v>
      </c>
      <c r="D7039" s="3">
        <f t="shared" si="219"/>
        <v>202105</v>
      </c>
      <c r="E7039" s="5" t="s">
        <v>8</v>
      </c>
      <c r="F7039" s="5" t="s">
        <v>13</v>
      </c>
      <c r="G7039" s="5" t="s">
        <v>55</v>
      </c>
      <c r="H7039">
        <v>22</v>
      </c>
      <c r="I7039" s="4">
        <v>91080</v>
      </c>
      <c r="J7039" s="4">
        <v>19228</v>
      </c>
    </row>
    <row r="7040" spans="2:10" x14ac:dyDescent="0.3">
      <c r="B7040" s="7">
        <v>44348</v>
      </c>
      <c r="C7040" s="3">
        <f t="shared" si="218"/>
        <v>2021</v>
      </c>
      <c r="D7040" s="3">
        <f t="shared" si="219"/>
        <v>202106</v>
      </c>
      <c r="E7040" s="5" t="s">
        <v>8</v>
      </c>
      <c r="F7040" s="5" t="s">
        <v>13</v>
      </c>
      <c r="G7040" s="5" t="s">
        <v>55</v>
      </c>
      <c r="H7040">
        <v>21</v>
      </c>
      <c r="I7040" s="4">
        <v>54999</v>
      </c>
      <c r="J7040" s="4">
        <v>18354</v>
      </c>
    </row>
    <row r="7041" spans="2:10" x14ac:dyDescent="0.3">
      <c r="B7041" s="7">
        <v>44378</v>
      </c>
      <c r="C7041" s="3">
        <f t="shared" si="218"/>
        <v>2021</v>
      </c>
      <c r="D7041" s="3">
        <f t="shared" si="219"/>
        <v>202107</v>
      </c>
      <c r="E7041" s="5" t="s">
        <v>8</v>
      </c>
      <c r="F7041" s="5" t="s">
        <v>13</v>
      </c>
      <c r="G7041" s="5" t="s">
        <v>55</v>
      </c>
      <c r="H7041">
        <v>22</v>
      </c>
      <c r="I7041" s="4">
        <v>41140</v>
      </c>
      <c r="J7041" s="4">
        <v>19228</v>
      </c>
    </row>
    <row r="7042" spans="2:10" x14ac:dyDescent="0.3">
      <c r="B7042" s="7">
        <v>44409</v>
      </c>
      <c r="C7042" s="3">
        <f t="shared" si="218"/>
        <v>2021</v>
      </c>
      <c r="D7042" s="3">
        <f t="shared" si="219"/>
        <v>202108</v>
      </c>
      <c r="E7042" s="5" t="s">
        <v>8</v>
      </c>
      <c r="F7042" s="5" t="s">
        <v>13</v>
      </c>
      <c r="G7042" s="5" t="s">
        <v>55</v>
      </c>
      <c r="H7042">
        <v>18</v>
      </c>
      <c r="I7042" s="4">
        <v>48348</v>
      </c>
      <c r="J7042" s="4">
        <v>15732</v>
      </c>
    </row>
    <row r="7043" spans="2:10" x14ac:dyDescent="0.3">
      <c r="B7043" s="7">
        <v>44440</v>
      </c>
      <c r="C7043" s="3">
        <f t="shared" ref="C7043:C7058" si="220">YEAR(B7043)</f>
        <v>2021</v>
      </c>
      <c r="D7043" s="3">
        <f t="shared" ref="D7043:D7058" si="221">VALUE(TEXT(B7043,"ГГГГММ"))</f>
        <v>202109</v>
      </c>
      <c r="E7043" s="5" t="s">
        <v>8</v>
      </c>
      <c r="F7043" s="5" t="s">
        <v>13</v>
      </c>
      <c r="G7043" s="5" t="s">
        <v>55</v>
      </c>
      <c r="H7043">
        <v>20</v>
      </c>
      <c r="I7043" s="4">
        <v>61540</v>
      </c>
      <c r="J7043" s="4">
        <v>17480</v>
      </c>
    </row>
    <row r="7044" spans="2:10" x14ac:dyDescent="0.3">
      <c r="B7044" s="7">
        <v>44470</v>
      </c>
      <c r="C7044" s="3">
        <f t="shared" si="220"/>
        <v>2021</v>
      </c>
      <c r="D7044" s="3">
        <f t="shared" si="221"/>
        <v>202110</v>
      </c>
      <c r="E7044" s="5" t="s">
        <v>8</v>
      </c>
      <c r="F7044" s="5" t="s">
        <v>13</v>
      </c>
      <c r="G7044" s="5" t="s">
        <v>55</v>
      </c>
      <c r="H7044">
        <v>16</v>
      </c>
      <c r="I7044" s="4">
        <v>57344</v>
      </c>
      <c r="J7044" s="4">
        <v>13984</v>
      </c>
    </row>
    <row r="7045" spans="2:10" x14ac:dyDescent="0.3">
      <c r="B7045" s="7">
        <v>44501</v>
      </c>
      <c r="C7045" s="3">
        <f t="shared" si="220"/>
        <v>2021</v>
      </c>
      <c r="D7045" s="3">
        <f t="shared" si="221"/>
        <v>202111</v>
      </c>
      <c r="E7045" s="5" t="s">
        <v>8</v>
      </c>
      <c r="F7045" s="5" t="s">
        <v>13</v>
      </c>
      <c r="G7045" s="5" t="s">
        <v>55</v>
      </c>
      <c r="H7045">
        <v>12</v>
      </c>
      <c r="I7045" s="4">
        <v>43308</v>
      </c>
      <c r="J7045" s="4">
        <v>10488</v>
      </c>
    </row>
    <row r="7046" spans="2:10" x14ac:dyDescent="0.3">
      <c r="B7046" s="7">
        <v>44531</v>
      </c>
      <c r="C7046" s="3">
        <f t="shared" si="220"/>
        <v>2021</v>
      </c>
      <c r="D7046" s="3">
        <f t="shared" si="221"/>
        <v>202112</v>
      </c>
      <c r="E7046" s="5" t="s">
        <v>8</v>
      </c>
      <c r="F7046" s="5" t="s">
        <v>13</v>
      </c>
      <c r="G7046" s="5" t="s">
        <v>55</v>
      </c>
      <c r="H7046">
        <v>14</v>
      </c>
      <c r="I7046" s="4">
        <v>44772</v>
      </c>
      <c r="J7046" s="4">
        <v>12236</v>
      </c>
    </row>
    <row r="7047" spans="2:10" x14ac:dyDescent="0.3">
      <c r="B7047" s="7">
        <v>44562</v>
      </c>
      <c r="C7047" s="3">
        <f t="shared" si="220"/>
        <v>2022</v>
      </c>
      <c r="D7047" s="3">
        <f t="shared" si="221"/>
        <v>202201</v>
      </c>
      <c r="E7047" s="5" t="s">
        <v>8</v>
      </c>
      <c r="F7047" s="5" t="s">
        <v>13</v>
      </c>
      <c r="G7047" s="5" t="s">
        <v>55</v>
      </c>
      <c r="H7047">
        <v>20</v>
      </c>
      <c r="I7047" s="4">
        <v>68180</v>
      </c>
      <c r="J7047" s="4">
        <v>17480</v>
      </c>
    </row>
    <row r="7048" spans="2:10" x14ac:dyDescent="0.3">
      <c r="B7048" s="7">
        <v>44593</v>
      </c>
      <c r="C7048" s="3">
        <f t="shared" si="220"/>
        <v>2022</v>
      </c>
      <c r="D7048" s="3">
        <f t="shared" si="221"/>
        <v>202202</v>
      </c>
      <c r="E7048" s="5" t="s">
        <v>8</v>
      </c>
      <c r="F7048" s="5" t="s">
        <v>13</v>
      </c>
      <c r="G7048" s="5" t="s">
        <v>55</v>
      </c>
      <c r="H7048">
        <v>13</v>
      </c>
      <c r="I7048" s="4">
        <v>44330</v>
      </c>
      <c r="J7048" s="4">
        <v>11362</v>
      </c>
    </row>
    <row r="7049" spans="2:10" x14ac:dyDescent="0.3">
      <c r="B7049" s="7">
        <v>44621</v>
      </c>
      <c r="C7049" s="3">
        <f t="shared" si="220"/>
        <v>2022</v>
      </c>
      <c r="D7049" s="3">
        <f t="shared" si="221"/>
        <v>202203</v>
      </c>
      <c r="E7049" s="5" t="s">
        <v>8</v>
      </c>
      <c r="F7049" s="5" t="s">
        <v>13</v>
      </c>
      <c r="G7049" s="5" t="s">
        <v>55</v>
      </c>
      <c r="H7049">
        <v>10</v>
      </c>
      <c r="I7049" s="4">
        <v>25050</v>
      </c>
      <c r="J7049" s="4">
        <v>8740</v>
      </c>
    </row>
    <row r="7050" spans="2:10" x14ac:dyDescent="0.3">
      <c r="B7050" s="7">
        <v>44652</v>
      </c>
      <c r="C7050" s="3">
        <f t="shared" si="220"/>
        <v>2022</v>
      </c>
      <c r="D7050" s="3">
        <f t="shared" si="221"/>
        <v>202204</v>
      </c>
      <c r="E7050" s="5" t="s">
        <v>8</v>
      </c>
      <c r="F7050" s="5" t="s">
        <v>13</v>
      </c>
      <c r="G7050" s="5" t="s">
        <v>55</v>
      </c>
      <c r="H7050">
        <v>19</v>
      </c>
      <c r="I7050" s="4">
        <v>80294</v>
      </c>
      <c r="J7050" s="4">
        <v>16606</v>
      </c>
    </row>
    <row r="7051" spans="2:10" x14ac:dyDescent="0.3">
      <c r="B7051" s="7">
        <v>44682</v>
      </c>
      <c r="C7051" s="3">
        <f t="shared" si="220"/>
        <v>2022</v>
      </c>
      <c r="D7051" s="3">
        <f t="shared" si="221"/>
        <v>202205</v>
      </c>
      <c r="E7051" s="5" t="s">
        <v>8</v>
      </c>
      <c r="F7051" s="5" t="s">
        <v>13</v>
      </c>
      <c r="G7051" s="5" t="s">
        <v>55</v>
      </c>
      <c r="H7051">
        <v>24</v>
      </c>
      <c r="I7051" s="4">
        <v>86688</v>
      </c>
      <c r="J7051" s="4">
        <v>20976</v>
      </c>
    </row>
    <row r="7052" spans="2:10" x14ac:dyDescent="0.3">
      <c r="B7052" s="7">
        <v>44713</v>
      </c>
      <c r="C7052" s="3">
        <f t="shared" si="220"/>
        <v>2022</v>
      </c>
      <c r="D7052" s="3">
        <f t="shared" si="221"/>
        <v>202206</v>
      </c>
      <c r="E7052" s="5" t="s">
        <v>8</v>
      </c>
      <c r="F7052" s="5" t="s">
        <v>13</v>
      </c>
      <c r="G7052" s="5" t="s">
        <v>55</v>
      </c>
      <c r="H7052">
        <v>23</v>
      </c>
      <c r="I7052" s="4">
        <v>74336</v>
      </c>
      <c r="J7052" s="4">
        <v>20102</v>
      </c>
    </row>
    <row r="7053" spans="2:10" x14ac:dyDescent="0.3">
      <c r="B7053" s="7">
        <v>44743</v>
      </c>
      <c r="C7053" s="3">
        <f t="shared" si="220"/>
        <v>2022</v>
      </c>
      <c r="D7053" s="3">
        <f t="shared" si="221"/>
        <v>202207</v>
      </c>
      <c r="E7053" s="5" t="s">
        <v>8</v>
      </c>
      <c r="F7053" s="5" t="s">
        <v>13</v>
      </c>
      <c r="G7053" s="5" t="s">
        <v>55</v>
      </c>
      <c r="H7053">
        <v>24</v>
      </c>
      <c r="I7053" s="4">
        <v>40320</v>
      </c>
      <c r="J7053" s="4">
        <v>20976</v>
      </c>
    </row>
    <row r="7054" spans="2:10" x14ac:dyDescent="0.3">
      <c r="B7054" s="7">
        <v>44774</v>
      </c>
      <c r="C7054" s="3">
        <f t="shared" si="220"/>
        <v>2022</v>
      </c>
      <c r="D7054" s="3">
        <f t="shared" si="221"/>
        <v>202208</v>
      </c>
      <c r="E7054" s="5" t="s">
        <v>8</v>
      </c>
      <c r="F7054" s="5" t="s">
        <v>13</v>
      </c>
      <c r="G7054" s="5" t="s">
        <v>55</v>
      </c>
      <c r="H7054">
        <v>20</v>
      </c>
      <c r="I7054" s="4">
        <v>50760</v>
      </c>
      <c r="J7054" s="4">
        <v>17480</v>
      </c>
    </row>
    <row r="7055" spans="2:10" x14ac:dyDescent="0.3">
      <c r="B7055" s="7">
        <v>44805</v>
      </c>
      <c r="C7055" s="3">
        <f t="shared" si="220"/>
        <v>2022</v>
      </c>
      <c r="D7055" s="3">
        <f t="shared" si="221"/>
        <v>202209</v>
      </c>
      <c r="E7055" s="5" t="s">
        <v>8</v>
      </c>
      <c r="F7055" s="5" t="s">
        <v>13</v>
      </c>
      <c r="G7055" s="5" t="s">
        <v>55</v>
      </c>
      <c r="H7055">
        <v>21</v>
      </c>
      <c r="I7055" s="4">
        <v>49476</v>
      </c>
      <c r="J7055" s="4">
        <v>18354</v>
      </c>
    </row>
    <row r="7056" spans="2:10" x14ac:dyDescent="0.3">
      <c r="B7056" s="7">
        <v>44835</v>
      </c>
      <c r="C7056" s="3">
        <f t="shared" si="220"/>
        <v>2022</v>
      </c>
      <c r="D7056" s="3">
        <f t="shared" si="221"/>
        <v>202210</v>
      </c>
      <c r="E7056" s="5" t="s">
        <v>8</v>
      </c>
      <c r="F7056" s="5" t="s">
        <v>13</v>
      </c>
      <c r="G7056" s="5" t="s">
        <v>55</v>
      </c>
      <c r="H7056">
        <v>18</v>
      </c>
      <c r="I7056" s="4">
        <v>61182</v>
      </c>
      <c r="J7056" s="4">
        <v>15732</v>
      </c>
    </row>
    <row r="7057" spans="2:10" x14ac:dyDescent="0.3">
      <c r="B7057" s="7">
        <v>44866</v>
      </c>
      <c r="C7057" s="3">
        <f t="shared" si="220"/>
        <v>2022</v>
      </c>
      <c r="D7057" s="3">
        <f t="shared" si="221"/>
        <v>202211</v>
      </c>
      <c r="E7057" s="5" t="s">
        <v>8</v>
      </c>
      <c r="F7057" s="5" t="s">
        <v>13</v>
      </c>
      <c r="G7057" s="5" t="s">
        <v>55</v>
      </c>
      <c r="H7057">
        <v>13</v>
      </c>
      <c r="I7057" s="4">
        <v>42588</v>
      </c>
      <c r="J7057" s="4">
        <v>11362</v>
      </c>
    </row>
    <row r="7058" spans="2:10" x14ac:dyDescent="0.3">
      <c r="B7058" s="7">
        <v>44896</v>
      </c>
      <c r="C7058" s="3">
        <f t="shared" si="220"/>
        <v>2022</v>
      </c>
      <c r="D7058" s="3">
        <f t="shared" si="221"/>
        <v>202212</v>
      </c>
      <c r="E7058" s="5" t="s">
        <v>8</v>
      </c>
      <c r="F7058" s="5" t="s">
        <v>13</v>
      </c>
      <c r="G7058" s="5" t="s">
        <v>55</v>
      </c>
      <c r="H7058">
        <v>15</v>
      </c>
      <c r="I7058" s="4">
        <v>33480</v>
      </c>
      <c r="J7058" s="4">
        <v>13110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9C25-4E6A-4193-906B-21755EC1D7F6}">
  <dimension ref="A2:W35"/>
  <sheetViews>
    <sheetView workbookViewId="0">
      <selection activeCell="H14" sqref="H14"/>
    </sheetView>
  </sheetViews>
  <sheetFormatPr defaultColWidth="9.109375" defaultRowHeight="13.8" x14ac:dyDescent="0.25"/>
  <cols>
    <col min="1" max="1" width="2.109375" style="11" customWidth="1"/>
    <col min="2" max="2" width="6.33203125" style="31" bestFit="1" customWidth="1"/>
    <col min="3" max="3" width="2.109375" style="31" customWidth="1"/>
    <col min="4" max="4" width="11.33203125" style="31" customWidth="1"/>
    <col min="5" max="5" width="11.5546875" style="31" customWidth="1"/>
    <col min="6" max="6" width="3.109375" style="31" customWidth="1"/>
    <col min="7" max="7" width="9.109375" style="31"/>
    <col min="8" max="10" width="14.88671875" style="31" customWidth="1"/>
    <col min="11" max="11" width="2.109375" style="31" customWidth="1"/>
    <col min="12" max="12" width="12.109375" style="31" bestFit="1" customWidth="1"/>
    <col min="13" max="13" width="2.109375" style="31" customWidth="1"/>
    <col min="14" max="14" width="7.6640625" style="31" customWidth="1"/>
    <col min="15" max="15" width="9.109375" style="31" customWidth="1"/>
    <col min="16" max="23" width="13.33203125" style="31" customWidth="1"/>
    <col min="24" max="16384" width="9.109375" style="31"/>
  </cols>
  <sheetData>
    <row r="2" spans="2:23" x14ac:dyDescent="0.25">
      <c r="B2" s="30" t="s">
        <v>86</v>
      </c>
      <c r="C2" s="30"/>
      <c r="D2" s="30"/>
      <c r="E2" s="30"/>
      <c r="F2" s="30"/>
      <c r="G2" s="30"/>
      <c r="H2" s="30"/>
      <c r="I2" s="30"/>
      <c r="J2" s="30"/>
      <c r="L2" s="32" t="s">
        <v>89</v>
      </c>
      <c r="N2" s="32" t="s">
        <v>88</v>
      </c>
      <c r="O2" s="32"/>
      <c r="P2" s="32"/>
      <c r="Q2" s="32"/>
      <c r="R2" s="32"/>
      <c r="S2" s="32"/>
      <c r="T2" s="32"/>
      <c r="U2" s="32"/>
      <c r="V2" s="32"/>
      <c r="W2" s="32"/>
    </row>
    <row r="3" spans="2:23" x14ac:dyDescent="0.25">
      <c r="S3" s="31" t="s">
        <v>101</v>
      </c>
      <c r="U3" s="31" t="s">
        <v>101</v>
      </c>
      <c r="W3" s="31" t="s">
        <v>101</v>
      </c>
    </row>
    <row r="4" spans="2:23" ht="35.25" customHeight="1" x14ac:dyDescent="0.25">
      <c r="B4" s="102" t="s">
        <v>74</v>
      </c>
      <c r="C4" s="33"/>
      <c r="D4" s="102" t="s">
        <v>76</v>
      </c>
      <c r="E4" s="103" t="s">
        <v>83</v>
      </c>
      <c r="F4" s="33"/>
      <c r="G4" s="102" t="s">
        <v>76</v>
      </c>
      <c r="H4" s="103" t="s">
        <v>83</v>
      </c>
      <c r="I4" s="103" t="s">
        <v>84</v>
      </c>
      <c r="J4" s="103" t="s">
        <v>85</v>
      </c>
      <c r="K4" s="33"/>
      <c r="L4" s="34" t="s">
        <v>91</v>
      </c>
      <c r="M4" s="33"/>
      <c r="N4" s="35" t="s">
        <v>92</v>
      </c>
      <c r="O4" s="36" t="s">
        <v>90</v>
      </c>
      <c r="P4" s="37" t="s">
        <v>87</v>
      </c>
      <c r="Q4" s="64" t="s">
        <v>93</v>
      </c>
      <c r="R4" s="36" t="s">
        <v>60</v>
      </c>
      <c r="S4" s="36" t="s">
        <v>60</v>
      </c>
      <c r="T4" s="38" t="s">
        <v>1</v>
      </c>
      <c r="U4" s="65" t="s">
        <v>1</v>
      </c>
      <c r="V4" s="36" t="s">
        <v>95</v>
      </c>
      <c r="W4" s="36" t="s">
        <v>95</v>
      </c>
    </row>
    <row r="5" spans="2:23" x14ac:dyDescent="0.25">
      <c r="B5" s="106">
        <v>2021</v>
      </c>
      <c r="D5" s="104">
        <v>202101</v>
      </c>
      <c r="E5" s="105">
        <v>139110051</v>
      </c>
      <c r="G5" s="104">
        <v>202101</v>
      </c>
      <c r="H5" s="105">
        <v>68591446</v>
      </c>
      <c r="I5" s="105">
        <v>30789013</v>
      </c>
      <c r="J5" s="105">
        <v>5200</v>
      </c>
      <c r="L5" s="41" t="s">
        <v>62</v>
      </c>
      <c r="N5" s="42" cm="1">
        <f t="array" ref="N5">_xlfn.LET(_xlpm.период, N6-1, IF(RIGHT(_xlpm.период,2)="00",(гггг-1)*100+12,_xlpm.период))</f>
        <v>202110</v>
      </c>
      <c r="O5" s="43" t="str" cm="1">
        <f t="array" ref="O5">INDEX(Мес, RIGHT(N5,2) )</f>
        <v>окт</v>
      </c>
      <c r="P5" s="44">
        <f t="shared" ref="P5:P17" si="0">GETPIVOTDATA("Продажи",$D$4,"Год-мес",$N5)/Дел</f>
        <v>123826.12300000001</v>
      </c>
      <c r="Q5" s="45" t="e">
        <f>NA()</f>
        <v>#N/A</v>
      </c>
      <c r="R5" s="46">
        <f t="shared" ref="R5:R18" si="1">GETPIVOTDATA(R$4&amp;"",$G$4,"Год-мес",$N5)/Дел</f>
        <v>61204.120999999999</v>
      </c>
      <c r="S5" s="46" t="e">
        <f>NA()</f>
        <v>#N/A</v>
      </c>
      <c r="T5" s="44">
        <f t="shared" ref="T5:T18" si="2">GETPIVOTDATA(T$4&amp;"",$G$4,"Год-мес",$N5)</f>
        <v>4559</v>
      </c>
      <c r="U5" s="45" t="e">
        <f>NA()</f>
        <v>#N/A</v>
      </c>
      <c r="V5" s="46">
        <f t="shared" ref="V5:V18" si="3">R5/T5</f>
        <v>13.42490041675806</v>
      </c>
      <c r="W5" s="46" t="e">
        <f>NA()</f>
        <v>#N/A</v>
      </c>
    </row>
    <row r="6" spans="2:23" x14ac:dyDescent="0.25">
      <c r="B6" s="106">
        <v>2022</v>
      </c>
      <c r="D6" s="104">
        <v>202102</v>
      </c>
      <c r="E6" s="105">
        <v>88905941</v>
      </c>
      <c r="G6" s="104">
        <v>202102</v>
      </c>
      <c r="H6" s="105">
        <v>43863301</v>
      </c>
      <c r="I6" s="105">
        <v>19379162</v>
      </c>
      <c r="J6" s="105">
        <v>3272</v>
      </c>
      <c r="L6" s="41" t="s">
        <v>63</v>
      </c>
      <c r="N6" s="47" cm="1">
        <f t="array" ref="N6">_xlfn.LET(_xlpm.период, N7-1, IF(RIGHT(_xlpm.период,2)="00",(гггг-1)*100+12,_xlpm.период))</f>
        <v>202111</v>
      </c>
      <c r="O6" s="48"/>
      <c r="P6" s="49">
        <f t="shared" si="0"/>
        <v>87659.183999999994</v>
      </c>
      <c r="Q6" s="50" t="e">
        <f>NA()</f>
        <v>#N/A</v>
      </c>
      <c r="R6" s="51">
        <f t="shared" si="1"/>
        <v>43157.23</v>
      </c>
      <c r="S6" s="51" t="e">
        <f>NA()</f>
        <v>#N/A</v>
      </c>
      <c r="T6" s="49">
        <f t="shared" si="2"/>
        <v>3272</v>
      </c>
      <c r="U6" s="50" t="e">
        <f>NA()</f>
        <v>#N/A</v>
      </c>
      <c r="V6" s="51">
        <f t="shared" si="3"/>
        <v>13.189862469437653</v>
      </c>
      <c r="W6" s="51" t="e">
        <f>NA()</f>
        <v>#N/A</v>
      </c>
    </row>
    <row r="7" spans="2:23" x14ac:dyDescent="0.25">
      <c r="D7" s="104">
        <v>202103</v>
      </c>
      <c r="E7" s="105">
        <v>67966397</v>
      </c>
      <c r="G7" s="104">
        <v>202103</v>
      </c>
      <c r="H7" s="105">
        <v>33563212</v>
      </c>
      <c r="I7" s="105">
        <v>15619827</v>
      </c>
      <c r="J7" s="105">
        <v>2638</v>
      </c>
      <c r="L7" s="41" t="s">
        <v>64</v>
      </c>
      <c r="N7" s="52" cm="1">
        <f t="array" ref="N7">_xlfn.LET(_xlpm.период, N8-1, IF(RIGHT(_xlpm.период,2)="00",(гггг-1)*100+12,_xlpm.период))</f>
        <v>202112</v>
      </c>
      <c r="O7" s="53"/>
      <c r="P7" s="54">
        <f t="shared" si="0"/>
        <v>100626.306</v>
      </c>
      <c r="Q7" s="55" t="e">
        <f>NA()</f>
        <v>#N/A</v>
      </c>
      <c r="R7" s="56">
        <f t="shared" si="1"/>
        <v>49856.93</v>
      </c>
      <c r="S7" s="56" t="e">
        <f>NA()</f>
        <v>#N/A</v>
      </c>
      <c r="T7" s="54">
        <f t="shared" si="2"/>
        <v>3912</v>
      </c>
      <c r="U7" s="55" t="e">
        <f>NA()</f>
        <v>#N/A</v>
      </c>
      <c r="V7" s="56">
        <f t="shared" si="3"/>
        <v>12.744614008179958</v>
      </c>
      <c r="W7" s="56" t="e">
        <f>NA()</f>
        <v>#N/A</v>
      </c>
    </row>
    <row r="8" spans="2:23" x14ac:dyDescent="0.25">
      <c r="D8" s="104">
        <v>202104</v>
      </c>
      <c r="E8" s="105">
        <v>135437912</v>
      </c>
      <c r="G8" s="104">
        <v>202104</v>
      </c>
      <c r="H8" s="105">
        <v>66858050</v>
      </c>
      <c r="I8" s="105">
        <v>28861743</v>
      </c>
      <c r="J8" s="105">
        <v>4876</v>
      </c>
      <c r="L8" s="41" t="s">
        <v>65</v>
      </c>
      <c r="N8" s="47" cm="1">
        <f t="array" ref="N8">_xlfn.LET(_xlpm.период, N9-1, IF(RIGHT(_xlpm.период,2)="00",(гггг-1)*100+12,_xlpm.период))</f>
        <v>202201</v>
      </c>
      <c r="O8" s="48"/>
      <c r="P8" s="49">
        <f t="shared" si="0"/>
        <v>152784.842</v>
      </c>
      <c r="Q8" s="50" t="e">
        <f>NA()</f>
        <v>#N/A</v>
      </c>
      <c r="R8" s="51">
        <f t="shared" si="1"/>
        <v>75335.456999999995</v>
      </c>
      <c r="S8" s="51" t="e">
        <f>NA()</f>
        <v>#N/A</v>
      </c>
      <c r="T8" s="49">
        <f t="shared" si="2"/>
        <v>5722</v>
      </c>
      <c r="U8" s="50" t="e">
        <f>NA()</f>
        <v>#N/A</v>
      </c>
      <c r="V8" s="51">
        <f t="shared" si="3"/>
        <v>13.165930968192939</v>
      </c>
      <c r="W8" s="51" t="e">
        <f>NA()</f>
        <v>#N/A</v>
      </c>
    </row>
    <row r="9" spans="2:23" x14ac:dyDescent="0.25">
      <c r="D9" s="104">
        <v>202105</v>
      </c>
      <c r="E9" s="105">
        <v>173555079</v>
      </c>
      <c r="G9" s="104">
        <v>202105</v>
      </c>
      <c r="H9" s="105">
        <v>85800622</v>
      </c>
      <c r="I9" s="105">
        <v>36547214</v>
      </c>
      <c r="J9" s="105">
        <v>6171</v>
      </c>
      <c r="L9" s="41" t="s">
        <v>66</v>
      </c>
      <c r="N9" s="47" cm="1">
        <f t="array" ref="N9">_xlfn.LET(_xlpm.период, N10-1, IF(RIGHT(_xlpm.период,2)="00",(гггг-1)*100+12,_xlpm.период))</f>
        <v>202202</v>
      </c>
      <c r="O9" s="48"/>
      <c r="P9" s="49">
        <f t="shared" si="0"/>
        <v>97592.773000000001</v>
      </c>
      <c r="Q9" s="50" t="e">
        <f>NA()</f>
        <v>#N/A</v>
      </c>
      <c r="R9" s="51">
        <f t="shared" si="1"/>
        <v>48225.695</v>
      </c>
      <c r="S9" s="51" t="e">
        <f>NA()</f>
        <v>#N/A</v>
      </c>
      <c r="T9" s="49">
        <f t="shared" si="2"/>
        <v>3596</v>
      </c>
      <c r="U9" s="50" t="e">
        <f>NA()</f>
        <v>#N/A</v>
      </c>
      <c r="V9" s="51">
        <f t="shared" si="3"/>
        <v>13.410927419354838</v>
      </c>
      <c r="W9" s="51" t="e">
        <f>NA()</f>
        <v>#N/A</v>
      </c>
    </row>
    <row r="10" spans="2:23" x14ac:dyDescent="0.25">
      <c r="D10" s="104">
        <v>202106</v>
      </c>
      <c r="E10" s="105">
        <v>157191974</v>
      </c>
      <c r="G10" s="104">
        <v>202106</v>
      </c>
      <c r="H10" s="105">
        <v>77643222</v>
      </c>
      <c r="I10" s="105">
        <v>34586071</v>
      </c>
      <c r="J10" s="105">
        <v>5842</v>
      </c>
      <c r="L10" s="41" t="s">
        <v>67</v>
      </c>
      <c r="N10" s="47" cm="1">
        <f t="array" ref="N10">_xlfn.LET(_xlpm.период, N11-1, IF(RIGHT(_xlpm.период,2)="00",(гггг-1)*100+12,_xlpm.период))</f>
        <v>202203</v>
      </c>
      <c r="O10" s="48"/>
      <c r="P10" s="49">
        <f t="shared" si="0"/>
        <v>74904.627999999997</v>
      </c>
      <c r="Q10" s="50" t="e">
        <f>NA()</f>
        <v>#N/A</v>
      </c>
      <c r="R10" s="51">
        <f t="shared" si="1"/>
        <v>37026.839999999997</v>
      </c>
      <c r="S10" s="51" t="e">
        <f>NA()</f>
        <v>#N/A</v>
      </c>
      <c r="T10" s="49">
        <f t="shared" si="2"/>
        <v>2896</v>
      </c>
      <c r="U10" s="50" t="e">
        <f>NA()</f>
        <v>#N/A</v>
      </c>
      <c r="V10" s="51">
        <f t="shared" si="3"/>
        <v>12.785511049723755</v>
      </c>
      <c r="W10" s="51" t="e">
        <f>NA()</f>
        <v>#N/A</v>
      </c>
    </row>
    <row r="11" spans="2:23" x14ac:dyDescent="0.25">
      <c r="D11" s="104">
        <v>202107</v>
      </c>
      <c r="E11" s="105">
        <v>146481717</v>
      </c>
      <c r="G11" s="104">
        <v>202107</v>
      </c>
      <c r="H11" s="105">
        <v>72568577</v>
      </c>
      <c r="I11" s="105">
        <v>36547214</v>
      </c>
      <c r="J11" s="105">
        <v>6171</v>
      </c>
      <c r="L11" s="41" t="s">
        <v>68</v>
      </c>
      <c r="N11" s="42" cm="1">
        <f t="array" ref="N11">_xlfn.LET(_xlpm.период, N12-1, IF(RIGHT(_xlpm.период,2)="00",(гггг-1)*100+12,_xlpm.период))</f>
        <v>202204</v>
      </c>
      <c r="O11" s="43" t="str" cm="1">
        <f t="array" ref="O11">INDEX(Мес, RIGHT(N11,2) )</f>
        <v>апр</v>
      </c>
      <c r="P11" s="44">
        <f t="shared" si="0"/>
        <v>148365.46799999999</v>
      </c>
      <c r="Q11" s="45" t="e">
        <f>NA()</f>
        <v>#N/A</v>
      </c>
      <c r="R11" s="46">
        <f t="shared" si="1"/>
        <v>73272.968999999997</v>
      </c>
      <c r="S11" s="46" t="e">
        <f>NA()</f>
        <v>#N/A</v>
      </c>
      <c r="T11" s="44">
        <f t="shared" si="2"/>
        <v>5367</v>
      </c>
      <c r="U11" s="45" t="e">
        <f>NA()</f>
        <v>#N/A</v>
      </c>
      <c r="V11" s="46">
        <f t="shared" si="3"/>
        <v>13.652500279485746</v>
      </c>
      <c r="W11" s="46" t="e">
        <f>NA()</f>
        <v>#N/A</v>
      </c>
    </row>
    <row r="12" spans="2:23" x14ac:dyDescent="0.25">
      <c r="D12" s="104">
        <v>202108</v>
      </c>
      <c r="E12" s="105">
        <v>134001221</v>
      </c>
      <c r="G12" s="104">
        <v>202108</v>
      </c>
      <c r="H12" s="105">
        <v>66269722</v>
      </c>
      <c r="I12" s="105">
        <v>30789013</v>
      </c>
      <c r="J12" s="105">
        <v>5200</v>
      </c>
      <c r="L12" s="41" t="s">
        <v>69</v>
      </c>
      <c r="N12" s="47" cm="1">
        <f t="array" ref="N12">_xlfn.LET(_xlpm.период, N13-1, IF(RIGHT(_xlpm.период,2)="00",(гггг-1)*100+12,_xlpm.период))</f>
        <v>202205</v>
      </c>
      <c r="O12" s="48"/>
      <c r="P12" s="49">
        <f t="shared" si="0"/>
        <v>190622.40400000001</v>
      </c>
      <c r="Q12" s="50" t="e">
        <f>NA()</f>
        <v>#N/A</v>
      </c>
      <c r="R12" s="51">
        <f t="shared" si="1"/>
        <v>94390.226999999999</v>
      </c>
      <c r="S12" s="51" t="e">
        <f>NA()</f>
        <v>#N/A</v>
      </c>
      <c r="T12" s="49">
        <f t="shared" si="2"/>
        <v>6785</v>
      </c>
      <c r="U12" s="50" t="e">
        <f>NA()</f>
        <v>#N/A</v>
      </c>
      <c r="V12" s="51">
        <f t="shared" si="3"/>
        <v>13.911603095062638</v>
      </c>
      <c r="W12" s="51" t="e">
        <f>NA()</f>
        <v>#N/A</v>
      </c>
    </row>
    <row r="13" spans="2:23" x14ac:dyDescent="0.25">
      <c r="D13" s="104">
        <v>202109</v>
      </c>
      <c r="E13" s="105">
        <v>142517967</v>
      </c>
      <c r="G13" s="104">
        <v>202109</v>
      </c>
      <c r="H13" s="105">
        <v>70262751</v>
      </c>
      <c r="I13" s="105">
        <v>32739567</v>
      </c>
      <c r="J13" s="105">
        <v>5523</v>
      </c>
      <c r="L13" s="41" t="s">
        <v>70</v>
      </c>
      <c r="N13" s="47" cm="1">
        <f t="array" ref="N13">_xlfn.LET(_xlpm.период, N14-1, IF(RIGHT(_xlpm.период,2)="00",(гггг-1)*100+12,_xlpm.период))</f>
        <v>202206</v>
      </c>
      <c r="O13" s="48"/>
      <c r="P13" s="49">
        <f t="shared" si="0"/>
        <v>173013.93</v>
      </c>
      <c r="Q13" s="50" t="e">
        <f>NA()</f>
        <v>#N/A</v>
      </c>
      <c r="R13" s="51">
        <f t="shared" si="1"/>
        <v>85636.097999999998</v>
      </c>
      <c r="S13" s="51" t="e">
        <f>NA()</f>
        <v>#N/A</v>
      </c>
      <c r="T13" s="49">
        <f t="shared" si="2"/>
        <v>6424</v>
      </c>
      <c r="U13" s="50" t="e">
        <f>NA()</f>
        <v>#N/A</v>
      </c>
      <c r="V13" s="51">
        <f t="shared" si="3"/>
        <v>13.330650373599003</v>
      </c>
      <c r="W13" s="51" t="e">
        <f>NA()</f>
        <v>#N/A</v>
      </c>
    </row>
    <row r="14" spans="2:23" x14ac:dyDescent="0.25">
      <c r="D14" s="104">
        <v>202110</v>
      </c>
      <c r="E14" s="105">
        <v>123826123</v>
      </c>
      <c r="G14" s="104">
        <v>202110</v>
      </c>
      <c r="H14" s="105">
        <v>61204121</v>
      </c>
      <c r="I14" s="105">
        <v>27019756</v>
      </c>
      <c r="J14" s="105">
        <v>4559</v>
      </c>
      <c r="L14" s="41" t="s">
        <v>71</v>
      </c>
      <c r="N14" s="47" cm="1">
        <f t="array" ref="N14">_xlfn.LET(_xlpm.период, N15-1, IF(RIGHT(_xlpm.период,2)="00",(гггг-1)*100+12,_xlpm.период))</f>
        <v>202207</v>
      </c>
      <c r="O14" s="48"/>
      <c r="P14" s="49">
        <f t="shared" si="0"/>
        <v>160302.33799999999</v>
      </c>
      <c r="Q14" s="50" t="e">
        <f>NA()</f>
        <v>#N/A</v>
      </c>
      <c r="R14" s="51">
        <f t="shared" si="1"/>
        <v>79302.53</v>
      </c>
      <c r="S14" s="51" t="e">
        <f>NA()</f>
        <v>#N/A</v>
      </c>
      <c r="T14" s="49">
        <f t="shared" si="2"/>
        <v>6785</v>
      </c>
      <c r="U14" s="50" t="e">
        <f>NA()</f>
        <v>#N/A</v>
      </c>
      <c r="V14" s="51">
        <f t="shared" si="3"/>
        <v>11.687918938835667</v>
      </c>
      <c r="W14" s="51" t="e">
        <f>NA()</f>
        <v>#N/A</v>
      </c>
    </row>
    <row r="15" spans="2:23" x14ac:dyDescent="0.25">
      <c r="D15" s="104">
        <v>202111</v>
      </c>
      <c r="E15" s="105">
        <v>87659184</v>
      </c>
      <c r="G15" s="104">
        <v>202111</v>
      </c>
      <c r="H15" s="105">
        <v>43157230</v>
      </c>
      <c r="I15" s="105">
        <v>19379162</v>
      </c>
      <c r="J15" s="105">
        <v>3272</v>
      </c>
      <c r="L15" s="41" t="s">
        <v>72</v>
      </c>
      <c r="N15" s="47" cm="1">
        <f t="array" ref="N15">_xlfn.LET(_xlpm.период, N16-1, IF(RIGHT(_xlpm.период,2)="00",(гггг-1)*100+12,_xlpm.период))</f>
        <v>202208</v>
      </c>
      <c r="O15" s="48"/>
      <c r="P15" s="49">
        <f t="shared" si="0"/>
        <v>146655.08600000001</v>
      </c>
      <c r="Q15" s="50" t="e">
        <f>NA()</f>
        <v>#N/A</v>
      </c>
      <c r="R15" s="51">
        <f t="shared" si="1"/>
        <v>72425.907000000007</v>
      </c>
      <c r="S15" s="51" t="e">
        <f>NA()</f>
        <v>#N/A</v>
      </c>
      <c r="T15" s="49">
        <f t="shared" si="2"/>
        <v>5722</v>
      </c>
      <c r="U15" s="50" t="e">
        <f>NA()</f>
        <v>#N/A</v>
      </c>
      <c r="V15" s="51">
        <f t="shared" si="3"/>
        <v>12.657446172666901</v>
      </c>
      <c r="W15" s="51" t="e">
        <f>NA()</f>
        <v>#N/A</v>
      </c>
    </row>
    <row r="16" spans="2:23" x14ac:dyDescent="0.25">
      <c r="D16" s="104">
        <v>202112</v>
      </c>
      <c r="E16" s="105">
        <v>100626306</v>
      </c>
      <c r="G16" s="104">
        <v>202112</v>
      </c>
      <c r="H16" s="105">
        <v>49856930</v>
      </c>
      <c r="I16" s="105">
        <v>23170778</v>
      </c>
      <c r="J16" s="105">
        <v>3912</v>
      </c>
      <c r="L16" s="41" t="s">
        <v>73</v>
      </c>
      <c r="N16" s="47" cm="1">
        <f t="array" ref="N16">_xlfn.LET(_xlpm.период, N17-1, IF(RIGHT(_xlpm.период,2)="00",(гггг-1)*100+12,_xlpm.период))</f>
        <v>202209</v>
      </c>
      <c r="O16" s="48"/>
      <c r="P16" s="49">
        <f t="shared" si="0"/>
        <v>157628.49</v>
      </c>
      <c r="Q16" s="50" t="e">
        <f>NA()</f>
        <v>#N/A</v>
      </c>
      <c r="R16" s="51">
        <f t="shared" si="1"/>
        <v>78004.388000000006</v>
      </c>
      <c r="S16" s="51" t="e">
        <f>NA()</f>
        <v>#N/A</v>
      </c>
      <c r="T16" s="49">
        <f t="shared" si="2"/>
        <v>6072</v>
      </c>
      <c r="U16" s="50" t="e">
        <f>NA()</f>
        <v>#N/A</v>
      </c>
      <c r="V16" s="51">
        <f t="shared" si="3"/>
        <v>12.846572463768117</v>
      </c>
      <c r="W16" s="51" t="e">
        <f>NA()</f>
        <v>#N/A</v>
      </c>
    </row>
    <row r="17" spans="4:23" x14ac:dyDescent="0.25">
      <c r="D17" s="104">
        <v>202201</v>
      </c>
      <c r="E17" s="105">
        <v>152784842</v>
      </c>
      <c r="G17" s="104">
        <v>202201</v>
      </c>
      <c r="H17" s="105">
        <v>75335457</v>
      </c>
      <c r="I17" s="105">
        <v>33896306</v>
      </c>
      <c r="J17" s="105">
        <v>5722</v>
      </c>
      <c r="N17" s="42" cm="1">
        <f t="array" ref="N17">_xlfn.LET(_xlpm.период, N18-1, IF(RIGHT(_xlpm.период,2)="00",(гггг-1)*100+12,_xlpm.период))</f>
        <v>202210</v>
      </c>
      <c r="O17" s="43" t="str" cm="1">
        <f t="array" ref="O17">INDEX(Мес, RIGHT(N17,2) )</f>
        <v>окт</v>
      </c>
      <c r="P17" s="44">
        <f t="shared" si="0"/>
        <v>136203.12700000001</v>
      </c>
      <c r="Q17" s="45" t="e">
        <f>NA()</f>
        <v>#N/A</v>
      </c>
      <c r="R17" s="46">
        <f t="shared" si="1"/>
        <v>67319.41</v>
      </c>
      <c r="S17" s="46" t="e">
        <f>NA()</f>
        <v>#N/A</v>
      </c>
      <c r="T17" s="44">
        <f t="shared" si="2"/>
        <v>5009</v>
      </c>
      <c r="U17" s="45" t="e">
        <f>NA()</f>
        <v>#N/A</v>
      </c>
      <c r="V17" s="46">
        <f t="shared" si="3"/>
        <v>13.439690556997405</v>
      </c>
      <c r="W17" s="46" t="e">
        <f>NA()</f>
        <v>#N/A</v>
      </c>
    </row>
    <row r="18" spans="4:23" x14ac:dyDescent="0.25">
      <c r="D18" s="104">
        <v>202202</v>
      </c>
      <c r="E18" s="105">
        <v>97592773</v>
      </c>
      <c r="G18" s="104">
        <v>202202</v>
      </c>
      <c r="H18" s="105">
        <v>48225695</v>
      </c>
      <c r="I18" s="105">
        <v>21336352</v>
      </c>
      <c r="J18" s="105">
        <v>3596</v>
      </c>
      <c r="L18" s="34" t="s">
        <v>113</v>
      </c>
      <c r="N18" s="47" cm="1">
        <f t="array" ref="N18">_xlfn.LET(_xlpm.период, N19-1, IF(RIGHT(_xlpm.период,2)="00",(гггг-1)*100+12,_xlpm.период))</f>
        <v>202211</v>
      </c>
      <c r="O18" s="48"/>
      <c r="P18" s="49">
        <f>GETPIVOTDATA("Продажи",$D$4,"Год-мес",$N18)/Дел</f>
        <v>96517.691000000006</v>
      </c>
      <c r="Q18" s="50" t="e">
        <f>NA()</f>
        <v>#N/A</v>
      </c>
      <c r="R18" s="51">
        <f t="shared" si="1"/>
        <v>47706.889000000003</v>
      </c>
      <c r="S18" s="51" t="e">
        <f>NA()</f>
        <v>#N/A</v>
      </c>
      <c r="T18" s="49">
        <f t="shared" si="2"/>
        <v>3596</v>
      </c>
      <c r="U18" s="50" t="e">
        <f>NA()</f>
        <v>#N/A</v>
      </c>
      <c r="V18" s="51">
        <f t="shared" si="3"/>
        <v>13.266654338153504</v>
      </c>
      <c r="W18" s="51" t="e">
        <f>NA()</f>
        <v>#N/A</v>
      </c>
    </row>
    <row r="19" spans="4:23" x14ac:dyDescent="0.25">
      <c r="D19" s="104">
        <v>202203</v>
      </c>
      <c r="E19" s="105">
        <v>74904628</v>
      </c>
      <c r="G19" s="104">
        <v>202203</v>
      </c>
      <c r="H19" s="105">
        <v>37026840</v>
      </c>
      <c r="I19" s="105">
        <v>17172330</v>
      </c>
      <c r="J19" s="105">
        <v>2896</v>
      </c>
      <c r="L19" s="41" t="s">
        <v>114</v>
      </c>
      <c r="N19" s="57" cm="1">
        <f t="array" ref="N19">ггггмм</f>
        <v>202212</v>
      </c>
      <c r="O19" s="58"/>
      <c r="P19" s="59" t="e">
        <f>NA()</f>
        <v>#N/A</v>
      </c>
      <c r="Q19" s="60">
        <f>GETPIVOTDATA("Продажи",$D$4,"Год-мес",$N19)/Дел</f>
        <v>110354.526</v>
      </c>
      <c r="R19" s="61" t="e">
        <f>NA()</f>
        <v>#N/A</v>
      </c>
      <c r="S19" s="61">
        <f>GETPIVOTDATA(S$4&amp;"",$G$4,"Год-мес",$N19)/Дел</f>
        <v>54496.190999999999</v>
      </c>
      <c r="T19" s="59" t="e">
        <f>NA()</f>
        <v>#N/A</v>
      </c>
      <c r="U19" s="60">
        <f>GETPIVOTDATA(U$4&amp;"",$G$4,"Год-мес",$N19)</f>
        <v>4307</v>
      </c>
      <c r="V19" s="61" t="e">
        <f>NA()</f>
        <v>#N/A</v>
      </c>
      <c r="W19" s="61">
        <f>S19/U19</f>
        <v>12.652934989551891</v>
      </c>
    </row>
    <row r="20" spans="4:23" x14ac:dyDescent="0.25">
      <c r="D20" s="104">
        <v>202204</v>
      </c>
      <c r="E20" s="105">
        <v>148365468</v>
      </c>
      <c r="G20" s="104">
        <v>202204</v>
      </c>
      <c r="H20" s="105">
        <v>73272969</v>
      </c>
      <c r="I20" s="105">
        <v>31794966</v>
      </c>
      <c r="J20" s="105">
        <v>5367</v>
      </c>
      <c r="L20" s="41" t="s">
        <v>115</v>
      </c>
    </row>
    <row r="21" spans="4:23" x14ac:dyDescent="0.25">
      <c r="D21" s="104">
        <v>202205</v>
      </c>
      <c r="E21" s="105">
        <v>190622404</v>
      </c>
      <c r="G21" s="104">
        <v>202205</v>
      </c>
      <c r="H21" s="105">
        <v>94390227</v>
      </c>
      <c r="I21" s="105">
        <v>40191845</v>
      </c>
      <c r="J21" s="105">
        <v>6785</v>
      </c>
      <c r="L21" s="41" t="s">
        <v>116</v>
      </c>
    </row>
    <row r="22" spans="4:23" x14ac:dyDescent="0.25">
      <c r="D22" s="104">
        <v>202206</v>
      </c>
      <c r="E22" s="105">
        <v>173013930</v>
      </c>
      <c r="G22" s="104">
        <v>202206</v>
      </c>
      <c r="H22" s="105">
        <v>85636098</v>
      </c>
      <c r="I22" s="105">
        <v>38019696</v>
      </c>
      <c r="J22" s="105">
        <v>6424</v>
      </c>
      <c r="L22" s="99" t="s">
        <v>117</v>
      </c>
      <c r="N22" s="62" t="s">
        <v>98</v>
      </c>
      <c r="O22" s="36"/>
      <c r="P22" s="36"/>
      <c r="Q22" s="36"/>
      <c r="R22" s="36"/>
      <c r="S22" s="36"/>
      <c r="T22" s="36"/>
      <c r="U22" s="36"/>
      <c r="V22" s="36"/>
      <c r="W22" s="36"/>
    </row>
    <row r="23" spans="4:23" x14ac:dyDescent="0.25">
      <c r="D23" s="104">
        <v>202207</v>
      </c>
      <c r="E23" s="105">
        <v>160302338</v>
      </c>
      <c r="G23" s="104">
        <v>202207</v>
      </c>
      <c r="H23" s="105">
        <v>79302530</v>
      </c>
      <c r="I23" s="105">
        <v>40191845</v>
      </c>
      <c r="J23" s="105">
        <v>6785</v>
      </c>
      <c r="N23" s="31" t="s">
        <v>96</v>
      </c>
      <c r="P23" s="40">
        <f>CHOOSE(Вариант[[#Totals],[№]],P18,P7)</f>
        <v>100626.306</v>
      </c>
      <c r="Q23" s="40">
        <f>Q19</f>
        <v>110354.526</v>
      </c>
      <c r="R23" s="40">
        <f>CHOOSE(Вариант[[#Totals],[№]],R18,R7)</f>
        <v>49856.93</v>
      </c>
      <c r="S23" s="40">
        <f>S19</f>
        <v>54496.190999999999</v>
      </c>
      <c r="T23" s="40">
        <f>CHOOSE(Вариант[[#Totals],[№]],T18,T7)</f>
        <v>3912</v>
      </c>
      <c r="U23" s="40">
        <f>U19</f>
        <v>4307</v>
      </c>
      <c r="V23" s="97">
        <f>CHOOSE(Вариант[[#Totals],[№]],V18,V7)</f>
        <v>12.744614008179958</v>
      </c>
      <c r="W23" s="97">
        <f>W19</f>
        <v>12.652934989551891</v>
      </c>
    </row>
    <row r="24" spans="4:23" ht="14.4" x14ac:dyDescent="0.3">
      <c r="D24" s="104">
        <v>202208</v>
      </c>
      <c r="E24" s="105">
        <v>146655086</v>
      </c>
      <c r="G24" s="104">
        <v>202208</v>
      </c>
      <c r="H24" s="105">
        <v>72425907</v>
      </c>
      <c r="I24" s="105">
        <v>33896306</v>
      </c>
      <c r="J24" s="105">
        <v>5722</v>
      </c>
      <c r="L24" s="89">
        <v>2</v>
      </c>
      <c r="N24" s="31" t="s">
        <v>97</v>
      </c>
      <c r="P24" s="72" t="str">
        <f>IF(Q24&gt;0,"↑","↓")</f>
        <v>↑</v>
      </c>
      <c r="Q24" s="63">
        <f>IFERROR((Q23-P23)/P23,"Нужно выбрать одно сравнение!")</f>
        <v>9.6676707977335477E-2</v>
      </c>
      <c r="R24" s="72" t="str">
        <f>IF(S24&gt;0,"↑","↓")</f>
        <v>↑</v>
      </c>
      <c r="S24" s="63">
        <f>IFERROR((S23-R23)/R23,"Нужно выбрать одно сравнение!")</f>
        <v>9.3051477497711921E-2</v>
      </c>
      <c r="T24" s="72" t="str">
        <f>IF(U24&gt;0,"↑","↓")</f>
        <v>↑</v>
      </c>
      <c r="U24" s="63">
        <f>IFERROR((U23-T23)/T23,"Нужно выбрать одно сравнение!")</f>
        <v>0.10097137014314929</v>
      </c>
      <c r="V24" s="72" t="str">
        <f>IF(W24&gt;0,"↑","↓")</f>
        <v>↓</v>
      </c>
      <c r="W24" s="63">
        <f>IFERROR((W23-V23)/V23,"Нужно выбрать одно сравнение!")</f>
        <v>-7.1935500415488624E-3</v>
      </c>
    </row>
    <row r="25" spans="4:23" x14ac:dyDescent="0.25">
      <c r="D25" s="104">
        <v>202209</v>
      </c>
      <c r="E25" s="105">
        <v>157628490</v>
      </c>
      <c r="G25" s="104">
        <v>202209</v>
      </c>
      <c r="H25" s="105">
        <v>78004388</v>
      </c>
      <c r="I25" s="105">
        <v>35938061</v>
      </c>
      <c r="J25" s="105">
        <v>6072</v>
      </c>
    </row>
    <row r="26" spans="4:23" x14ac:dyDescent="0.25">
      <c r="D26" s="104">
        <v>202210</v>
      </c>
      <c r="E26" s="105">
        <v>136203127</v>
      </c>
      <c r="G26" s="104">
        <v>202210</v>
      </c>
      <c r="H26" s="105">
        <v>67319410</v>
      </c>
      <c r="I26" s="105">
        <v>29674379</v>
      </c>
      <c r="J26" s="105">
        <v>5009</v>
      </c>
    </row>
    <row r="27" spans="4:23" x14ac:dyDescent="0.25">
      <c r="D27" s="104">
        <v>202211</v>
      </c>
      <c r="E27" s="105">
        <v>96517691</v>
      </c>
      <c r="G27" s="104">
        <v>202211</v>
      </c>
      <c r="H27" s="105">
        <v>47706889</v>
      </c>
      <c r="I27" s="105">
        <v>21336352</v>
      </c>
      <c r="J27" s="105">
        <v>3596</v>
      </c>
    </row>
    <row r="28" spans="4:23" x14ac:dyDescent="0.25">
      <c r="D28" s="104">
        <v>202212</v>
      </c>
      <c r="E28" s="105">
        <v>110354526</v>
      </c>
      <c r="G28" s="104">
        <v>202212</v>
      </c>
      <c r="H28" s="105">
        <v>54496191</v>
      </c>
      <c r="I28" s="105">
        <v>25548164</v>
      </c>
      <c r="J28" s="105">
        <v>4307</v>
      </c>
    </row>
    <row r="35" spans="15:15" x14ac:dyDescent="0.25">
      <c r="O35" s="39"/>
    </row>
  </sheetData>
  <phoneticPr fontId="2" type="noConversion"/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FD59-F90E-47E5-BE77-A2463107ADFD}">
  <dimension ref="A2:AE5044"/>
  <sheetViews>
    <sheetView topLeftCell="G1" workbookViewId="0">
      <selection activeCell="N5" sqref="N5"/>
    </sheetView>
  </sheetViews>
  <sheetFormatPr defaultColWidth="9.109375" defaultRowHeight="13.8" x14ac:dyDescent="0.25"/>
  <cols>
    <col min="1" max="1" width="2.109375" style="11" customWidth="1"/>
    <col min="2" max="2" width="9.109375" style="31"/>
    <col min="3" max="4" width="13.6640625" style="31" customWidth="1"/>
    <col min="5" max="6" width="17.5546875" style="31" customWidth="1"/>
    <col min="7" max="7" width="2.109375" style="11" customWidth="1"/>
    <col min="8" max="8" width="9.109375" style="31"/>
    <col min="9" max="10" width="13.6640625" style="31" customWidth="1"/>
    <col min="11" max="12" width="17.5546875" style="31" customWidth="1"/>
    <col min="13" max="13" width="2.109375" style="31" customWidth="1"/>
    <col min="14" max="14" width="13.44140625" style="31" customWidth="1"/>
    <col min="15" max="15" width="14.5546875" style="31" customWidth="1"/>
    <col min="16" max="16" width="15.33203125" style="31" customWidth="1"/>
    <col min="17" max="17" width="2.109375" style="31" customWidth="1"/>
    <col min="18" max="18" width="6" style="31" bestFit="1" customWidth="1"/>
    <col min="19" max="19" width="12.109375" style="31" customWidth="1"/>
    <col min="20" max="20" width="12.88671875" style="31" customWidth="1"/>
    <col min="21" max="21" width="13.5546875" style="31" customWidth="1"/>
    <col min="22" max="22" width="10.6640625" style="31" customWidth="1"/>
    <col min="23" max="24" width="11.6640625" style="31" customWidth="1"/>
    <col min="25" max="25" width="10.33203125" style="31" bestFit="1" customWidth="1"/>
    <col min="26" max="26" width="10.88671875" style="31" customWidth="1"/>
    <col min="27" max="27" width="12.88671875" style="31" customWidth="1"/>
    <col min="28" max="28" width="9.5546875" style="31" bestFit="1" customWidth="1"/>
    <col min="29" max="29" width="9.109375" style="97"/>
    <col min="30" max="30" width="9.109375" style="31"/>
    <col min="31" max="31" width="11.6640625" style="31" bestFit="1" customWidth="1"/>
    <col min="32" max="16384" width="9.109375" style="31"/>
  </cols>
  <sheetData>
    <row r="2" spans="2:31" x14ac:dyDescent="0.25">
      <c r="B2" s="30" t="s">
        <v>102</v>
      </c>
      <c r="C2" s="30"/>
      <c r="D2" s="30"/>
      <c r="E2" s="30"/>
      <c r="F2" s="30"/>
      <c r="G2" s="30"/>
      <c r="H2" s="30"/>
      <c r="I2" s="30"/>
      <c r="J2" s="30"/>
      <c r="K2" s="30"/>
      <c r="L2" s="30"/>
      <c r="N2" s="30" t="s">
        <v>106</v>
      </c>
      <c r="O2" s="30"/>
      <c r="P2" s="30"/>
      <c r="S2" s="31">
        <v>100000</v>
      </c>
      <c r="T2" s="70" t="s">
        <v>87</v>
      </c>
      <c r="U2" s="30"/>
      <c r="W2" s="70" t="s">
        <v>110</v>
      </c>
      <c r="X2" s="30"/>
      <c r="Z2" s="70" t="s">
        <v>110</v>
      </c>
      <c r="AA2" s="30"/>
    </row>
    <row r="3" spans="2:31" x14ac:dyDescent="0.25">
      <c r="V3" s="96">
        <f ca="1" xml:space="preserve"> MAX(OFFSET(T5,0,0,COUNT(T:T),2)) / Маркер</f>
        <v>0.45557156999999998</v>
      </c>
      <c r="W3" s="96"/>
      <c r="X3" s="96"/>
      <c r="Y3" s="96">
        <f ca="1" xml:space="preserve"> MAX(OFFSET(W5,0,0,COUNT(W:W),2)) / Маркер</f>
        <v>0.22410694</v>
      </c>
      <c r="Z3" s="96"/>
      <c r="AA3" s="96"/>
      <c r="AB3" s="96">
        <f ca="1" xml:space="preserve"> MAX(OFFSET(Z5,0,0,COUNT(Z:Z),2)) / Маркер</f>
        <v>1.2880000000000001E-2</v>
      </c>
      <c r="AD3" s="96"/>
      <c r="AE3" s="96">
        <f ca="1" xml:space="preserve"> MAX(OFFSET(AC5,0,0,COUNT(AC:AC),2)) / Маркер</f>
        <v>3.4727449848024315E-4</v>
      </c>
    </row>
    <row r="4" spans="2:31" ht="39.6" x14ac:dyDescent="0.25">
      <c r="B4" s="102" t="s">
        <v>76</v>
      </c>
      <c r="C4" s="102" t="s">
        <v>59</v>
      </c>
      <c r="D4" s="103" t="s">
        <v>83</v>
      </c>
      <c r="E4" s="103" t="s">
        <v>84</v>
      </c>
      <c r="F4" s="103" t="s">
        <v>85</v>
      </c>
      <c r="H4" s="102" t="s">
        <v>76</v>
      </c>
      <c r="I4" s="102" t="s">
        <v>59</v>
      </c>
      <c r="J4" s="103" t="s">
        <v>83</v>
      </c>
      <c r="K4" s="103" t="s">
        <v>84</v>
      </c>
      <c r="L4" s="103" t="s">
        <v>85</v>
      </c>
      <c r="N4" s="34" t="s">
        <v>103</v>
      </c>
      <c r="O4" s="34" t="s">
        <v>104</v>
      </c>
      <c r="P4" s="34" t="s">
        <v>107</v>
      </c>
      <c r="R4" s="34" t="s">
        <v>105</v>
      </c>
      <c r="S4" s="34" t="s">
        <v>108</v>
      </c>
      <c r="T4" s="37" t="s">
        <v>60</v>
      </c>
      <c r="U4" s="66">
        <f>CHOOSE(Вариант[[#Totals],[№]],Динамика!$N$18,Динамика!$N$7)</f>
        <v>202112</v>
      </c>
      <c r="V4" s="64" t="s">
        <v>109</v>
      </c>
      <c r="W4" s="37" t="s">
        <v>60</v>
      </c>
      <c r="X4" s="66" t="s">
        <v>111</v>
      </c>
      <c r="Y4" s="64" t="s">
        <v>109</v>
      </c>
      <c r="Z4" s="37" t="s">
        <v>1</v>
      </c>
      <c r="AA4" s="66" t="s">
        <v>111</v>
      </c>
      <c r="AB4" s="64" t="s">
        <v>109</v>
      </c>
      <c r="AC4" s="100" t="s">
        <v>80</v>
      </c>
      <c r="AD4" s="66" t="s">
        <v>111</v>
      </c>
      <c r="AE4" s="64" t="s">
        <v>109</v>
      </c>
    </row>
    <row r="5" spans="2:31" x14ac:dyDescent="0.25">
      <c r="B5" s="104">
        <v>202101</v>
      </c>
      <c r="C5" s="107" t="s">
        <v>10</v>
      </c>
      <c r="D5" s="105">
        <v>31248335</v>
      </c>
      <c r="E5" s="105">
        <v>14966420</v>
      </c>
      <c r="F5" s="105">
        <v>888</v>
      </c>
      <c r="H5" s="104">
        <v>202101</v>
      </c>
      <c r="I5" s="107" t="s">
        <v>10</v>
      </c>
      <c r="J5" s="105">
        <v>15376009</v>
      </c>
      <c r="K5" s="105">
        <v>7366380</v>
      </c>
      <c r="L5" s="105">
        <v>437</v>
      </c>
      <c r="N5" s="31" t="str" cm="1">
        <f t="array" aca="1" ref="N5:N10" ca="1">_xlfn.UNIQUE(OFFSET($I$4,1,0,COUNTA(I:I)-1,1))</f>
        <v>Asic</v>
      </c>
      <c r="O5" s="40" cm="1">
        <f t="array" aca="1" ref="O5:O10" ca="1">IFERROR(GETPIVOTDATA("_Продажи",$B$4,"Год-мес",ггггмм,"бренд",_xlfn.ANCHORARRAY(N5)),"")</f>
        <v>25420504</v>
      </c>
      <c r="P5" s="31" cm="1">
        <f t="array" aca="1" ref="P5:P10" ca="1">_xlfn.RANK.EQ(_xlfn.ANCHORARRAY(O5),_xlfn.ANCHORARRAY($O$5))</f>
        <v>2</v>
      </c>
      <c r="R5" s="31" cm="1">
        <f t="array" aca="1" ref="R5:R10" ca="1">_xlfn._xlws.SORT(_xlfn.ANCHORARRAY(P5),,-1)</f>
        <v>6</v>
      </c>
      <c r="S5" s="31" t="str" cm="1">
        <f t="array" aca="1" ref="S5:S10" ca="1">INDEX(_xlfn.ANCHORARRAY(N5),_xlfn.XMATCH(_xlfn.ANCHORARRAY(R5),_xlfn.ANCHORARRAY(P5)))</f>
        <v>Rubok</v>
      </c>
      <c r="T5" s="68" cm="1">
        <f t="array" aca="1" ref="T5:T10" ca="1">IFERROR(GETPIVOTDATA(T4&amp;"",$B$4,"Год-мес",ггггмм,"бренд",_xlfn.ANCHORARRAY($S$5)),"")/Дел</f>
        <v>1757.366</v>
      </c>
      <c r="U5" s="67" cm="1">
        <f t="array" aca="1" ref="U5:U10" ca="1">IFERROR(GETPIVOTDATA(T4&amp;"",$B$4,"Год-мес",U4,"бренд",_xlfn.ANCHORARRAY($S$5)),"")/Дел</f>
        <v>1608.0640000000001</v>
      </c>
      <c r="V5" s="69" cm="1">
        <f t="array" aca="1" ref="V5:V10" ca="1">_xlfn.ANCHORARRAY(T5)*0+V$3</f>
        <v>0.45557156999999998</v>
      </c>
      <c r="W5" s="68" cm="1">
        <f t="array" aca="1" ref="W5:W10" ca="1">IFERROR(GETPIVOTDATA(W4&amp;"",$H$4,"Год-мес",ггггмм,"бренд",_xlfn.ANCHORARRAY($S$5)),"")/Дел</f>
        <v>856.28499999999997</v>
      </c>
      <c r="X5" s="67" cm="1">
        <f t="array" aca="1" ref="X5:X10" ca="1">IFERROR(GETPIVOTDATA(W4&amp;"",$H$4,"Год-мес",$U$4,"бренд",_xlfn.ANCHORARRAY($S$5)),"")/Дел</f>
        <v>772.59400000000005</v>
      </c>
      <c r="Y5" s="94" cm="1">
        <f t="array" aca="1" ref="Y5:Y10" ca="1">_xlfn.ANCHORARRAY(W5)*0+Y$3</f>
        <v>0.22410694</v>
      </c>
      <c r="Z5" s="68" cm="1">
        <f t="array" aca="1" ref="Z5:Z10" ca="1">IFERROR(GETPIVOTDATA(Z4&amp;"",$H$4,"Год-мес",ггггмм,"бренд",_xlfn.ANCHORARRAY($S$5)),"")</f>
        <v>256</v>
      </c>
      <c r="AA5" s="67" cm="1">
        <f t="array" aca="1" ref="AA5:AA10" ca="1">IFERROR(GETPIVOTDATA(Z4&amp;"",$H$4,"Год-мес",$U$4,"бренд",_xlfn.ANCHORARRAY($S$5)),"")</f>
        <v>231</v>
      </c>
      <c r="AB5" s="94" cm="1">
        <f t="array" aca="1" ref="AB5:AB10" ca="1">_xlfn.ANCHORARRAY(Z5)*0+AB$3</f>
        <v>1.2880000000000001E-2</v>
      </c>
      <c r="AC5" s="101" cm="1">
        <f t="array" aca="1" ref="AC5:AC10" ca="1">_xlfn.ANCHORARRAY(W5)/_xlfn.ANCHORARRAY(Z5)</f>
        <v>3.3448632812499999</v>
      </c>
      <c r="AD5" s="67" cm="1">
        <f t="array" aca="1" ref="AD5:AD10" ca="1">_xlfn.ANCHORARRAY(X5)/_xlfn.ANCHORARRAY(AA5)</f>
        <v>3.3445627705627707</v>
      </c>
      <c r="AE5" s="94" cm="1">
        <f t="array" aca="1" ref="AE5:AE10" ca="1">_xlfn.ANCHORARRAY(AC5)*0+AE$3</f>
        <v>3.4727449848024315E-4</v>
      </c>
    </row>
    <row r="6" spans="2:31" x14ac:dyDescent="0.25">
      <c r="B6" s="104">
        <v>202101</v>
      </c>
      <c r="C6" s="107" t="s">
        <v>9</v>
      </c>
      <c r="D6" s="105">
        <v>6920836</v>
      </c>
      <c r="E6" s="105">
        <v>2400722</v>
      </c>
      <c r="F6" s="105">
        <v>1508</v>
      </c>
      <c r="H6" s="104">
        <v>202101</v>
      </c>
      <c r="I6" s="107" t="s">
        <v>9</v>
      </c>
      <c r="J6" s="105">
        <v>3410242</v>
      </c>
      <c r="K6" s="105">
        <v>1184119</v>
      </c>
      <c r="L6" s="105">
        <v>744</v>
      </c>
      <c r="N6" s="31" t="str">
        <f ca="1"/>
        <v>Babidas</v>
      </c>
      <c r="O6" s="40">
        <f ca="1"/>
        <v>5017050</v>
      </c>
      <c r="P6" s="31">
        <f ca="1"/>
        <v>5</v>
      </c>
      <c r="R6" s="31">
        <f ca="1"/>
        <v>5</v>
      </c>
      <c r="S6" s="31" t="str">
        <f ca="1"/>
        <v>Babidas</v>
      </c>
      <c r="T6" s="68">
        <f ca="1"/>
        <v>5017.05</v>
      </c>
      <c r="U6" s="67">
        <f ca="1"/>
        <v>4749.2290000000003</v>
      </c>
      <c r="V6" s="69">
        <f ca="1"/>
        <v>0.45557156999999998</v>
      </c>
      <c r="W6" s="68">
        <f ca="1"/>
        <v>2494.0219999999999</v>
      </c>
      <c r="X6" s="67">
        <f ca="1"/>
        <v>2349.2069999999999</v>
      </c>
      <c r="Y6" s="94">
        <f ca="1"/>
        <v>0.22410694</v>
      </c>
      <c r="Z6" s="68">
        <f ca="1"/>
        <v>616</v>
      </c>
      <c r="AA6" s="67">
        <f ca="1"/>
        <v>562</v>
      </c>
      <c r="AB6" s="69">
        <f ca="1"/>
        <v>1.2880000000000001E-2</v>
      </c>
      <c r="AC6" s="101">
        <f ca="1"/>
        <v>4.0487370129870133</v>
      </c>
      <c r="AD6" s="67">
        <f ca="1"/>
        <v>4.1800836298932378</v>
      </c>
      <c r="AE6" s="69">
        <f ca="1"/>
        <v>3.4727449848024315E-4</v>
      </c>
    </row>
    <row r="7" spans="2:31" x14ac:dyDescent="0.25">
      <c r="B7" s="104">
        <v>202101</v>
      </c>
      <c r="C7" s="107" t="s">
        <v>56</v>
      </c>
      <c r="D7" s="105">
        <v>56594206</v>
      </c>
      <c r="E7" s="105">
        <v>25609560</v>
      </c>
      <c r="F7" s="105">
        <v>3145</v>
      </c>
      <c r="H7" s="104">
        <v>202101</v>
      </c>
      <c r="I7" s="107" t="s">
        <v>56</v>
      </c>
      <c r="J7" s="105">
        <v>27933273</v>
      </c>
      <c r="K7" s="105">
        <v>12650580</v>
      </c>
      <c r="L7" s="105">
        <v>1555</v>
      </c>
      <c r="N7" s="31" t="str">
        <f ca="1"/>
        <v>Galosha</v>
      </c>
      <c r="O7" s="40">
        <f ca="1"/>
        <v>45557157</v>
      </c>
      <c r="P7" s="31">
        <f ca="1"/>
        <v>1</v>
      </c>
      <c r="R7" s="31">
        <f ca="1"/>
        <v>4</v>
      </c>
      <c r="S7" s="31" t="str">
        <f ca="1"/>
        <v>Gunverse</v>
      </c>
      <c r="T7" s="68">
        <f ca="1"/>
        <v>15203.313</v>
      </c>
      <c r="U7" s="67">
        <f ca="1"/>
        <v>13884.063</v>
      </c>
      <c r="V7" s="69">
        <f ca="1"/>
        <v>0.45557156999999998</v>
      </c>
      <c r="W7" s="68">
        <f ca="1"/>
        <v>7452.5730000000003</v>
      </c>
      <c r="X7" s="67">
        <f ca="1"/>
        <v>6922.8779999999997</v>
      </c>
      <c r="Y7" s="94">
        <f ca="1"/>
        <v>0.22410694</v>
      </c>
      <c r="Z7" s="68">
        <f ca="1"/>
        <v>928</v>
      </c>
      <c r="AA7" s="67">
        <f ca="1"/>
        <v>844</v>
      </c>
      <c r="AB7" s="69">
        <f ca="1"/>
        <v>1.2880000000000001E-2</v>
      </c>
      <c r="AC7" s="101">
        <f ca="1"/>
        <v>8.0307898706896559</v>
      </c>
      <c r="AD7" s="67">
        <f ca="1"/>
        <v>8.2024620853080563</v>
      </c>
      <c r="AE7" s="69">
        <f ca="1"/>
        <v>3.4727449848024315E-4</v>
      </c>
    </row>
    <row r="8" spans="2:31" x14ac:dyDescent="0.25">
      <c r="B8" s="104">
        <v>202101</v>
      </c>
      <c r="C8" s="107" t="s">
        <v>11</v>
      </c>
      <c r="D8" s="105">
        <v>19869537</v>
      </c>
      <c r="E8" s="105">
        <v>8480915</v>
      </c>
      <c r="F8" s="105">
        <v>2271</v>
      </c>
      <c r="H8" s="104">
        <v>202101</v>
      </c>
      <c r="I8" s="107" t="s">
        <v>11</v>
      </c>
      <c r="J8" s="105">
        <v>9789383</v>
      </c>
      <c r="K8" s="105">
        <v>4193780</v>
      </c>
      <c r="L8" s="105">
        <v>1123</v>
      </c>
      <c r="N8" s="31" t="str">
        <f ca="1"/>
        <v>Gunverse</v>
      </c>
      <c r="O8" s="40">
        <f ca="1"/>
        <v>15203313</v>
      </c>
      <c r="P8" s="31">
        <f ca="1"/>
        <v>4</v>
      </c>
      <c r="R8" s="31">
        <f ca="1"/>
        <v>3</v>
      </c>
      <c r="S8" s="31" t="str">
        <f ca="1"/>
        <v>Nuke</v>
      </c>
      <c r="T8" s="68">
        <f ca="1"/>
        <v>17399.135999999999</v>
      </c>
      <c r="U8" s="67">
        <f ca="1"/>
        <v>15804.525</v>
      </c>
      <c r="V8" s="69">
        <f ca="1"/>
        <v>0.45557156999999998</v>
      </c>
      <c r="W8" s="68">
        <f ca="1"/>
        <v>8652.3070000000007</v>
      </c>
      <c r="X8" s="67">
        <f ca="1"/>
        <v>7849.6049999999996</v>
      </c>
      <c r="Y8" s="94">
        <f ca="1"/>
        <v>0.22410694</v>
      </c>
      <c r="Z8" s="68">
        <f ca="1"/>
        <v>854</v>
      </c>
      <c r="AA8" s="67">
        <f ca="1"/>
        <v>776</v>
      </c>
      <c r="AB8" s="69">
        <f ca="1"/>
        <v>1.2880000000000001E-2</v>
      </c>
      <c r="AC8" s="101">
        <f ca="1"/>
        <v>10.131507025761126</v>
      </c>
      <c r="AD8" s="67">
        <f ca="1"/>
        <v>10.115470360824741</v>
      </c>
      <c r="AE8" s="69">
        <f ca="1"/>
        <v>3.4727449848024315E-4</v>
      </c>
    </row>
    <row r="9" spans="2:31" x14ac:dyDescent="0.25">
      <c r="B9" s="104">
        <v>202101</v>
      </c>
      <c r="C9" s="107" t="s">
        <v>12</v>
      </c>
      <c r="D9" s="105">
        <v>22037587</v>
      </c>
      <c r="E9" s="105">
        <v>10097414</v>
      </c>
      <c r="F9" s="105">
        <v>2091</v>
      </c>
      <c r="H9" s="104">
        <v>202101</v>
      </c>
      <c r="I9" s="107" t="s">
        <v>12</v>
      </c>
      <c r="J9" s="105">
        <v>10865343</v>
      </c>
      <c r="K9" s="105">
        <v>4992246</v>
      </c>
      <c r="L9" s="105">
        <v>1034</v>
      </c>
      <c r="N9" s="31" t="str">
        <f ca="1"/>
        <v>Nuke</v>
      </c>
      <c r="O9" s="40">
        <f ca="1"/>
        <v>17399136</v>
      </c>
      <c r="P9" s="31">
        <f ca="1"/>
        <v>3</v>
      </c>
      <c r="R9" s="31">
        <f ca="1"/>
        <v>2</v>
      </c>
      <c r="S9" s="31" t="str">
        <f ca="1"/>
        <v>Asic</v>
      </c>
      <c r="T9" s="68">
        <f ca="1"/>
        <v>25420.504000000001</v>
      </c>
      <c r="U9" s="67">
        <f ca="1"/>
        <v>23095.626</v>
      </c>
      <c r="V9" s="69">
        <f ca="1"/>
        <v>0.45557156999999998</v>
      </c>
      <c r="W9" s="68">
        <f ca="1"/>
        <v>12630.31</v>
      </c>
      <c r="X9" s="67">
        <f ca="1"/>
        <v>11425.331</v>
      </c>
      <c r="Y9" s="94">
        <f ca="1"/>
        <v>0.22410694</v>
      </c>
      <c r="Z9" s="68">
        <f ca="1"/>
        <v>365</v>
      </c>
      <c r="AA9" s="67">
        <f ca="1"/>
        <v>329</v>
      </c>
      <c r="AB9" s="69">
        <f ca="1"/>
        <v>1.2880000000000001E-2</v>
      </c>
      <c r="AC9" s="101">
        <f ca="1"/>
        <v>34.603589041095887</v>
      </c>
      <c r="AD9" s="67">
        <f ca="1"/>
        <v>34.727449848024314</v>
      </c>
      <c r="AE9" s="69">
        <f ca="1"/>
        <v>3.4727449848024315E-4</v>
      </c>
    </row>
    <row r="10" spans="2:31" x14ac:dyDescent="0.25">
      <c r="B10" s="104">
        <v>202101</v>
      </c>
      <c r="C10" s="107" t="s">
        <v>13</v>
      </c>
      <c r="D10" s="105">
        <v>2439550</v>
      </c>
      <c r="E10" s="105">
        <v>814758</v>
      </c>
      <c r="F10" s="105">
        <v>623</v>
      </c>
      <c r="H10" s="104">
        <v>202101</v>
      </c>
      <c r="I10" s="107" t="s">
        <v>13</v>
      </c>
      <c r="J10" s="105">
        <v>1217196</v>
      </c>
      <c r="K10" s="105">
        <v>401908</v>
      </c>
      <c r="L10" s="105">
        <v>307</v>
      </c>
      <c r="N10" s="31" t="str">
        <f ca="1"/>
        <v>Rubok</v>
      </c>
      <c r="O10" s="40">
        <f ca="1"/>
        <v>1757366</v>
      </c>
      <c r="P10" s="31">
        <f ca="1"/>
        <v>6</v>
      </c>
      <c r="R10" s="31">
        <f ca="1"/>
        <v>1</v>
      </c>
      <c r="S10" s="31" t="str">
        <f ca="1"/>
        <v>Galosha</v>
      </c>
      <c r="T10" s="68">
        <f ca="1"/>
        <v>45557.156999999999</v>
      </c>
      <c r="U10" s="67">
        <f ca="1"/>
        <v>41484.798999999999</v>
      </c>
      <c r="V10" s="69">
        <f ca="1"/>
        <v>0.45557156999999998</v>
      </c>
      <c r="W10" s="68">
        <f ca="1"/>
        <v>22410.694</v>
      </c>
      <c r="X10" s="67">
        <f ca="1"/>
        <v>20537.314999999999</v>
      </c>
      <c r="Y10" s="94">
        <f ca="1"/>
        <v>0.22410694</v>
      </c>
      <c r="Z10" s="68">
        <f ca="1"/>
        <v>1288</v>
      </c>
      <c r="AA10" s="67">
        <f ca="1"/>
        <v>1170</v>
      </c>
      <c r="AB10" s="69">
        <f ca="1"/>
        <v>1.2880000000000001E-2</v>
      </c>
      <c r="AC10" s="101">
        <f ca="1"/>
        <v>17.399607142857143</v>
      </c>
      <c r="AD10" s="67">
        <f ca="1"/>
        <v>17.553260683760683</v>
      </c>
      <c r="AE10" s="69">
        <f ca="1"/>
        <v>3.4727449848024315E-4</v>
      </c>
    </row>
    <row r="11" spans="2:31" x14ac:dyDescent="0.25">
      <c r="B11" s="104">
        <v>202102</v>
      </c>
      <c r="C11" s="107" t="s">
        <v>10</v>
      </c>
      <c r="D11" s="105">
        <v>20034276</v>
      </c>
      <c r="E11" s="105">
        <v>9531690</v>
      </c>
      <c r="F11" s="105">
        <v>566</v>
      </c>
      <c r="H11" s="104">
        <v>202102</v>
      </c>
      <c r="I11" s="107" t="s">
        <v>10</v>
      </c>
      <c r="J11" s="105">
        <v>9847285</v>
      </c>
      <c r="K11" s="105">
        <v>4682300</v>
      </c>
      <c r="L11" s="105">
        <v>278</v>
      </c>
      <c r="O11" s="40"/>
      <c r="T11" s="68"/>
      <c r="U11" s="67"/>
      <c r="V11" s="69"/>
      <c r="W11" s="68"/>
      <c r="X11" s="67"/>
      <c r="Y11" s="94"/>
      <c r="Z11" s="68"/>
      <c r="AA11" s="67"/>
      <c r="AB11" s="69"/>
      <c r="AC11" s="101"/>
      <c r="AD11" s="67"/>
      <c r="AE11" s="69"/>
    </row>
    <row r="12" spans="2:31" x14ac:dyDescent="0.25">
      <c r="B12" s="104">
        <v>202102</v>
      </c>
      <c r="C12" s="107" t="s">
        <v>9</v>
      </c>
      <c r="D12" s="105">
        <v>4534777</v>
      </c>
      <c r="E12" s="105">
        <v>1508843</v>
      </c>
      <c r="F12" s="105">
        <v>948</v>
      </c>
      <c r="H12" s="104">
        <v>202102</v>
      </c>
      <c r="I12" s="107" t="s">
        <v>9</v>
      </c>
      <c r="J12" s="105">
        <v>2233942</v>
      </c>
      <c r="K12" s="105">
        <v>744440</v>
      </c>
      <c r="L12" s="105">
        <v>468</v>
      </c>
      <c r="O12" s="40"/>
      <c r="T12" s="68"/>
      <c r="U12" s="67"/>
      <c r="V12" s="69"/>
      <c r="W12" s="68"/>
      <c r="X12" s="67"/>
      <c r="Y12" s="94"/>
      <c r="Z12" s="68"/>
      <c r="AA12" s="67"/>
      <c r="AB12" s="69"/>
      <c r="AC12" s="101"/>
      <c r="AD12" s="67"/>
      <c r="AE12" s="69"/>
    </row>
    <row r="13" spans="2:31" x14ac:dyDescent="0.25">
      <c r="B13" s="104">
        <v>202102</v>
      </c>
      <c r="C13" s="107" t="s">
        <v>56</v>
      </c>
      <c r="D13" s="105">
        <v>35920335</v>
      </c>
      <c r="E13" s="105">
        <v>16051880</v>
      </c>
      <c r="F13" s="105">
        <v>1972</v>
      </c>
      <c r="H13" s="104">
        <v>202102</v>
      </c>
      <c r="I13" s="107" t="s">
        <v>56</v>
      </c>
      <c r="J13" s="105">
        <v>17739379</v>
      </c>
      <c r="K13" s="105">
        <v>7915270</v>
      </c>
      <c r="L13" s="105">
        <v>973</v>
      </c>
      <c r="O13" s="40"/>
      <c r="T13" s="68"/>
      <c r="U13" s="67"/>
      <c r="V13" s="69"/>
      <c r="W13" s="68"/>
      <c r="X13" s="67"/>
      <c r="Y13" s="94"/>
      <c r="Z13" s="68"/>
      <c r="AA13" s="67"/>
      <c r="AB13" s="69"/>
      <c r="AC13" s="101"/>
      <c r="AD13" s="67"/>
      <c r="AE13" s="69"/>
    </row>
    <row r="14" spans="2:31" x14ac:dyDescent="0.25">
      <c r="B14" s="104">
        <v>202102</v>
      </c>
      <c r="C14" s="107" t="s">
        <v>11</v>
      </c>
      <c r="D14" s="105">
        <v>12555520</v>
      </c>
      <c r="E14" s="105">
        <v>5329115</v>
      </c>
      <c r="F14" s="105">
        <v>1427</v>
      </c>
      <c r="H14" s="104">
        <v>202102</v>
      </c>
      <c r="I14" s="107" t="s">
        <v>11</v>
      </c>
      <c r="J14" s="105">
        <v>6218031</v>
      </c>
      <c r="K14" s="105">
        <v>2632003</v>
      </c>
      <c r="L14" s="105">
        <v>705</v>
      </c>
      <c r="O14" s="40"/>
      <c r="T14" s="68"/>
      <c r="U14" s="67"/>
      <c r="V14" s="69"/>
      <c r="W14" s="68"/>
      <c r="X14" s="67"/>
      <c r="Y14" s="94"/>
      <c r="Z14" s="68"/>
      <c r="AA14" s="67"/>
      <c r="AB14" s="69"/>
      <c r="AC14" s="101"/>
      <c r="AD14" s="67"/>
      <c r="AE14" s="69"/>
    </row>
    <row r="15" spans="2:31" x14ac:dyDescent="0.25">
      <c r="B15" s="104">
        <v>202102</v>
      </c>
      <c r="C15" s="107" t="s">
        <v>12</v>
      </c>
      <c r="D15" s="105">
        <v>14227652</v>
      </c>
      <c r="E15" s="105">
        <v>6365619</v>
      </c>
      <c r="F15" s="105">
        <v>1318</v>
      </c>
      <c r="H15" s="104">
        <v>202102</v>
      </c>
      <c r="I15" s="107" t="s">
        <v>12</v>
      </c>
      <c r="J15" s="105">
        <v>7026648</v>
      </c>
      <c r="K15" s="105">
        <v>3149461</v>
      </c>
      <c r="L15" s="105">
        <v>652</v>
      </c>
      <c r="O15" s="40"/>
      <c r="T15" s="40"/>
      <c r="U15" s="40"/>
      <c r="V15" s="40"/>
      <c r="Y15" s="95"/>
    </row>
    <row r="16" spans="2:31" x14ac:dyDescent="0.25">
      <c r="B16" s="104">
        <v>202102</v>
      </c>
      <c r="C16" s="107" t="s">
        <v>13</v>
      </c>
      <c r="D16" s="105">
        <v>1633381</v>
      </c>
      <c r="E16" s="105">
        <v>518814</v>
      </c>
      <c r="F16" s="105">
        <v>397</v>
      </c>
      <c r="H16" s="104">
        <v>202102</v>
      </c>
      <c r="I16" s="107" t="s">
        <v>13</v>
      </c>
      <c r="J16" s="105">
        <v>798016</v>
      </c>
      <c r="K16" s="105">
        <v>255688</v>
      </c>
      <c r="L16" s="105">
        <v>196</v>
      </c>
      <c r="O16" s="40"/>
      <c r="T16" s="40"/>
      <c r="U16" s="40"/>
      <c r="V16" s="40"/>
      <c r="Y16" s="95"/>
    </row>
    <row r="17" spans="2:25" x14ac:dyDescent="0.25">
      <c r="B17" s="104">
        <v>202103</v>
      </c>
      <c r="C17" s="107" t="s">
        <v>10</v>
      </c>
      <c r="D17" s="105">
        <v>15926824</v>
      </c>
      <c r="E17" s="105">
        <v>7725270</v>
      </c>
      <c r="F17" s="105">
        <v>459</v>
      </c>
      <c r="H17" s="104">
        <v>202103</v>
      </c>
      <c r="I17" s="107" t="s">
        <v>10</v>
      </c>
      <c r="J17" s="105">
        <v>7813009</v>
      </c>
      <c r="K17" s="105">
        <v>3784480</v>
      </c>
      <c r="L17" s="105">
        <v>225</v>
      </c>
      <c r="O17" s="40"/>
      <c r="T17" s="40"/>
      <c r="U17" s="40"/>
      <c r="V17" s="40"/>
      <c r="Y17" s="95"/>
    </row>
    <row r="18" spans="2:25" x14ac:dyDescent="0.25">
      <c r="B18" s="104">
        <v>202103</v>
      </c>
      <c r="C18" s="107" t="s">
        <v>9</v>
      </c>
      <c r="D18" s="105">
        <v>3196301</v>
      </c>
      <c r="E18" s="105">
        <v>1223382</v>
      </c>
      <c r="F18" s="105">
        <v>768</v>
      </c>
      <c r="H18" s="104">
        <v>202103</v>
      </c>
      <c r="I18" s="107" t="s">
        <v>9</v>
      </c>
      <c r="J18" s="105">
        <v>1601931</v>
      </c>
      <c r="K18" s="105">
        <v>603510</v>
      </c>
      <c r="L18" s="105">
        <v>379</v>
      </c>
      <c r="O18" s="40"/>
      <c r="T18" s="40"/>
      <c r="U18" s="40"/>
      <c r="V18" s="40"/>
      <c r="Y18" s="95"/>
    </row>
    <row r="19" spans="2:25" x14ac:dyDescent="0.25">
      <c r="B19" s="104">
        <v>202103</v>
      </c>
      <c r="C19" s="107" t="s">
        <v>56</v>
      </c>
      <c r="D19" s="105">
        <v>27727315</v>
      </c>
      <c r="E19" s="105">
        <v>12918600</v>
      </c>
      <c r="F19" s="105">
        <v>1586</v>
      </c>
      <c r="H19" s="104">
        <v>202103</v>
      </c>
      <c r="I19" s="107" t="s">
        <v>56</v>
      </c>
      <c r="J19" s="105">
        <v>13745442</v>
      </c>
      <c r="K19" s="105">
        <v>6380760</v>
      </c>
      <c r="L19" s="105">
        <v>784</v>
      </c>
      <c r="O19" s="40"/>
      <c r="T19" s="40"/>
      <c r="U19" s="40"/>
      <c r="V19" s="40"/>
    </row>
    <row r="20" spans="2:25" x14ac:dyDescent="0.25">
      <c r="B20" s="104">
        <v>202103</v>
      </c>
      <c r="C20" s="107" t="s">
        <v>11</v>
      </c>
      <c r="D20" s="105">
        <v>9345640</v>
      </c>
      <c r="E20" s="105">
        <v>4296881</v>
      </c>
      <c r="F20" s="105">
        <v>1151</v>
      </c>
      <c r="H20" s="104">
        <v>202103</v>
      </c>
      <c r="I20" s="107" t="s">
        <v>11</v>
      </c>
      <c r="J20" s="105">
        <v>4610722</v>
      </c>
      <c r="K20" s="105">
        <v>2117500</v>
      </c>
      <c r="L20" s="105">
        <v>567</v>
      </c>
      <c r="O20" s="40"/>
      <c r="T20" s="40"/>
      <c r="U20" s="40"/>
      <c r="V20" s="40"/>
    </row>
    <row r="21" spans="2:25" x14ac:dyDescent="0.25">
      <c r="B21" s="104">
        <v>202103</v>
      </c>
      <c r="C21" s="107" t="s">
        <v>12</v>
      </c>
      <c r="D21" s="105">
        <v>10725828</v>
      </c>
      <c r="E21" s="105">
        <v>5108557</v>
      </c>
      <c r="F21" s="105">
        <v>1058</v>
      </c>
      <c r="H21" s="104">
        <v>202103</v>
      </c>
      <c r="I21" s="107" t="s">
        <v>12</v>
      </c>
      <c r="J21" s="105">
        <v>5277777</v>
      </c>
      <c r="K21" s="105">
        <v>2521957</v>
      </c>
      <c r="L21" s="105">
        <v>522</v>
      </c>
      <c r="O21" s="40"/>
      <c r="T21" s="40"/>
      <c r="U21" s="40"/>
      <c r="V21" s="40"/>
    </row>
    <row r="22" spans="2:25" x14ac:dyDescent="0.25">
      <c r="B22" s="104">
        <v>202103</v>
      </c>
      <c r="C22" s="107" t="s">
        <v>13</v>
      </c>
      <c r="D22" s="105">
        <v>1044489</v>
      </c>
      <c r="E22" s="105">
        <v>421430</v>
      </c>
      <c r="F22" s="105">
        <v>322</v>
      </c>
      <c r="H22" s="104">
        <v>202103</v>
      </c>
      <c r="I22" s="107" t="s">
        <v>13</v>
      </c>
      <c r="J22" s="105">
        <v>514331</v>
      </c>
      <c r="K22" s="105">
        <v>211620</v>
      </c>
      <c r="L22" s="105">
        <v>161</v>
      </c>
      <c r="O22" s="40"/>
      <c r="T22" s="40"/>
      <c r="U22" s="40"/>
      <c r="V22" s="40"/>
    </row>
    <row r="23" spans="2:25" x14ac:dyDescent="0.25">
      <c r="B23" s="104">
        <v>202104</v>
      </c>
      <c r="C23" s="107" t="s">
        <v>10</v>
      </c>
      <c r="D23" s="105">
        <v>29534094</v>
      </c>
      <c r="E23" s="105">
        <v>13957580</v>
      </c>
      <c r="F23" s="105">
        <v>828</v>
      </c>
      <c r="H23" s="104">
        <v>202104</v>
      </c>
      <c r="I23" s="107" t="s">
        <v>10</v>
      </c>
      <c r="J23" s="105">
        <v>14635460</v>
      </c>
      <c r="K23" s="105">
        <v>6910120</v>
      </c>
      <c r="L23" s="105">
        <v>410</v>
      </c>
      <c r="O23" s="40"/>
      <c r="T23" s="40"/>
      <c r="U23" s="40"/>
      <c r="V23" s="40"/>
    </row>
    <row r="24" spans="2:25" x14ac:dyDescent="0.25">
      <c r="B24" s="104">
        <v>202104</v>
      </c>
      <c r="C24" s="107" t="s">
        <v>9</v>
      </c>
      <c r="D24" s="105">
        <v>7267925</v>
      </c>
      <c r="E24" s="105">
        <v>2258567</v>
      </c>
      <c r="F24" s="105">
        <v>1418</v>
      </c>
      <c r="H24" s="104">
        <v>202104</v>
      </c>
      <c r="I24" s="107" t="s">
        <v>9</v>
      </c>
      <c r="J24" s="105">
        <v>3560290</v>
      </c>
      <c r="K24" s="105">
        <v>1116804</v>
      </c>
      <c r="L24" s="105">
        <v>701</v>
      </c>
      <c r="O24" s="40"/>
      <c r="T24" s="40"/>
      <c r="U24" s="40"/>
      <c r="V24" s="40"/>
    </row>
    <row r="25" spans="2:25" x14ac:dyDescent="0.25">
      <c r="B25" s="104">
        <v>202104</v>
      </c>
      <c r="C25" s="107" t="s">
        <v>56</v>
      </c>
      <c r="D25" s="105">
        <v>54723973</v>
      </c>
      <c r="E25" s="105">
        <v>23983680</v>
      </c>
      <c r="F25" s="105">
        <v>2946</v>
      </c>
      <c r="H25" s="104">
        <v>202104</v>
      </c>
      <c r="I25" s="107" t="s">
        <v>56</v>
      </c>
      <c r="J25" s="105">
        <v>27044484</v>
      </c>
      <c r="K25" s="105">
        <v>11848350</v>
      </c>
      <c r="L25" s="105">
        <v>1455</v>
      </c>
      <c r="O25" s="40"/>
      <c r="T25" s="40"/>
      <c r="U25" s="40"/>
      <c r="V25" s="40"/>
    </row>
    <row r="26" spans="2:25" x14ac:dyDescent="0.25">
      <c r="B26" s="104">
        <v>202104</v>
      </c>
      <c r="C26" s="107" t="s">
        <v>11</v>
      </c>
      <c r="D26" s="105">
        <v>19591155</v>
      </c>
      <c r="E26" s="105">
        <v>7942450</v>
      </c>
      <c r="F26" s="105">
        <v>2126</v>
      </c>
      <c r="H26" s="104">
        <v>202104</v>
      </c>
      <c r="I26" s="107" t="s">
        <v>11</v>
      </c>
      <c r="J26" s="105">
        <v>9641010</v>
      </c>
      <c r="K26" s="105">
        <v>3926004</v>
      </c>
      <c r="L26" s="105">
        <v>1051</v>
      </c>
      <c r="O26" s="40"/>
      <c r="T26" s="40"/>
      <c r="U26" s="40"/>
      <c r="V26" s="40"/>
    </row>
    <row r="27" spans="2:25" x14ac:dyDescent="0.25">
      <c r="B27" s="104">
        <v>202104</v>
      </c>
      <c r="C27" s="107" t="s">
        <v>12</v>
      </c>
      <c r="D27" s="105">
        <v>21784208</v>
      </c>
      <c r="E27" s="105">
        <v>9462333</v>
      </c>
      <c r="F27" s="105">
        <v>1960</v>
      </c>
      <c r="H27" s="104">
        <v>202104</v>
      </c>
      <c r="I27" s="107" t="s">
        <v>12</v>
      </c>
      <c r="J27" s="105">
        <v>10733639</v>
      </c>
      <c r="K27" s="105">
        <v>4681963</v>
      </c>
      <c r="L27" s="105">
        <v>970</v>
      </c>
      <c r="O27" s="40"/>
      <c r="T27" s="40"/>
      <c r="U27" s="40"/>
      <c r="V27" s="40"/>
    </row>
    <row r="28" spans="2:25" x14ac:dyDescent="0.25">
      <c r="B28" s="104">
        <v>202104</v>
      </c>
      <c r="C28" s="107" t="s">
        <v>13</v>
      </c>
      <c r="D28" s="105">
        <v>2536557</v>
      </c>
      <c r="E28" s="105">
        <v>764250</v>
      </c>
      <c r="F28" s="105">
        <v>585</v>
      </c>
      <c r="H28" s="104">
        <v>202104</v>
      </c>
      <c r="I28" s="107" t="s">
        <v>13</v>
      </c>
      <c r="J28" s="105">
        <v>1243167</v>
      </c>
      <c r="K28" s="105">
        <v>378502</v>
      </c>
      <c r="L28" s="105">
        <v>289</v>
      </c>
      <c r="O28" s="40"/>
      <c r="T28" s="40"/>
      <c r="U28" s="40"/>
      <c r="V28" s="40"/>
    </row>
    <row r="29" spans="2:25" x14ac:dyDescent="0.25">
      <c r="B29" s="104">
        <v>202105</v>
      </c>
      <c r="C29" s="107" t="s">
        <v>10</v>
      </c>
      <c r="D29" s="105">
        <v>37663452</v>
      </c>
      <c r="E29" s="105">
        <v>17659040</v>
      </c>
      <c r="F29" s="105">
        <v>1048</v>
      </c>
      <c r="H29" s="104">
        <v>202105</v>
      </c>
      <c r="I29" s="107" t="s">
        <v>10</v>
      </c>
      <c r="J29" s="105">
        <v>18626927</v>
      </c>
      <c r="K29" s="105">
        <v>8744330</v>
      </c>
      <c r="L29" s="105">
        <v>519</v>
      </c>
      <c r="O29" s="40"/>
      <c r="T29" s="40"/>
      <c r="U29" s="40"/>
      <c r="V29" s="40"/>
    </row>
    <row r="30" spans="2:25" x14ac:dyDescent="0.25">
      <c r="B30" s="104">
        <v>202105</v>
      </c>
      <c r="C30" s="107" t="s">
        <v>9</v>
      </c>
      <c r="D30" s="105">
        <v>9637653</v>
      </c>
      <c r="E30" s="105">
        <v>2847609</v>
      </c>
      <c r="F30" s="105">
        <v>1789</v>
      </c>
      <c r="H30" s="104">
        <v>202105</v>
      </c>
      <c r="I30" s="107" t="s">
        <v>9</v>
      </c>
      <c r="J30" s="105">
        <v>4750371</v>
      </c>
      <c r="K30" s="105">
        <v>1405945</v>
      </c>
      <c r="L30" s="105">
        <v>883</v>
      </c>
      <c r="O30" s="40"/>
      <c r="T30" s="40"/>
      <c r="U30" s="40"/>
      <c r="V30" s="40"/>
    </row>
    <row r="31" spans="2:25" x14ac:dyDescent="0.25">
      <c r="B31" s="104">
        <v>202105</v>
      </c>
      <c r="C31" s="107" t="s">
        <v>56</v>
      </c>
      <c r="D31" s="105">
        <v>69722386</v>
      </c>
      <c r="E31" s="105">
        <v>30393600</v>
      </c>
      <c r="F31" s="105">
        <v>3733</v>
      </c>
      <c r="H31" s="104">
        <v>202105</v>
      </c>
      <c r="I31" s="107" t="s">
        <v>56</v>
      </c>
      <c r="J31" s="105">
        <v>34454473</v>
      </c>
      <c r="K31" s="105">
        <v>15016520</v>
      </c>
      <c r="L31" s="105">
        <v>1845</v>
      </c>
      <c r="O31" s="40"/>
      <c r="T31" s="40"/>
      <c r="U31" s="40"/>
      <c r="V31" s="40"/>
    </row>
    <row r="32" spans="2:25" x14ac:dyDescent="0.25">
      <c r="B32" s="104">
        <v>202105</v>
      </c>
      <c r="C32" s="107" t="s">
        <v>11</v>
      </c>
      <c r="D32" s="105">
        <v>25189095</v>
      </c>
      <c r="E32" s="105">
        <v>10044904</v>
      </c>
      <c r="F32" s="105">
        <v>2690</v>
      </c>
      <c r="H32" s="104">
        <v>202105</v>
      </c>
      <c r="I32" s="107" t="s">
        <v>11</v>
      </c>
      <c r="J32" s="105">
        <v>12389745</v>
      </c>
      <c r="K32" s="105">
        <v>4970644</v>
      </c>
      <c r="L32" s="105">
        <v>1331</v>
      </c>
      <c r="O32" s="40"/>
      <c r="T32" s="40"/>
      <c r="U32" s="40"/>
      <c r="V32" s="40"/>
    </row>
    <row r="33" spans="2:22" x14ac:dyDescent="0.25">
      <c r="B33" s="104">
        <v>202105</v>
      </c>
      <c r="C33" s="107" t="s">
        <v>12</v>
      </c>
      <c r="D33" s="105">
        <v>27966612</v>
      </c>
      <c r="E33" s="105">
        <v>11979575</v>
      </c>
      <c r="F33" s="105">
        <v>2481</v>
      </c>
      <c r="H33" s="104">
        <v>202105</v>
      </c>
      <c r="I33" s="107" t="s">
        <v>12</v>
      </c>
      <c r="J33" s="105">
        <v>13914864</v>
      </c>
      <c r="K33" s="105">
        <v>5933905</v>
      </c>
      <c r="L33" s="105">
        <v>1229</v>
      </c>
      <c r="O33" s="40"/>
      <c r="T33" s="40"/>
      <c r="U33" s="40"/>
      <c r="V33" s="40"/>
    </row>
    <row r="34" spans="2:22" x14ac:dyDescent="0.25">
      <c r="B34" s="104">
        <v>202105</v>
      </c>
      <c r="C34" s="107" t="s">
        <v>13</v>
      </c>
      <c r="D34" s="105">
        <v>3375881</v>
      </c>
      <c r="E34" s="105">
        <v>962634</v>
      </c>
      <c r="F34" s="105">
        <v>736</v>
      </c>
      <c r="H34" s="104">
        <v>202105</v>
      </c>
      <c r="I34" s="107" t="s">
        <v>13</v>
      </c>
      <c r="J34" s="105">
        <v>1664242</v>
      </c>
      <c r="K34" s="105">
        <v>475870</v>
      </c>
      <c r="L34" s="105">
        <v>364</v>
      </c>
      <c r="O34" s="40"/>
      <c r="T34" s="40"/>
      <c r="U34" s="40"/>
      <c r="V34" s="40"/>
    </row>
    <row r="35" spans="2:22" x14ac:dyDescent="0.25">
      <c r="B35" s="104">
        <v>202106</v>
      </c>
      <c r="C35" s="107" t="s">
        <v>10</v>
      </c>
      <c r="D35" s="105">
        <v>34962602</v>
      </c>
      <c r="E35" s="105">
        <v>16712220</v>
      </c>
      <c r="F35" s="105">
        <v>992</v>
      </c>
      <c r="H35" s="104">
        <v>202106</v>
      </c>
      <c r="I35" s="107" t="s">
        <v>10</v>
      </c>
      <c r="J35" s="105">
        <v>17247196</v>
      </c>
      <c r="K35" s="105">
        <v>8254050</v>
      </c>
      <c r="L35" s="105">
        <v>490</v>
      </c>
      <c r="O35" s="40"/>
      <c r="T35" s="40"/>
      <c r="U35" s="40"/>
      <c r="V35" s="40"/>
    </row>
    <row r="36" spans="2:22" x14ac:dyDescent="0.25">
      <c r="B36" s="104">
        <v>202106</v>
      </c>
      <c r="C36" s="107" t="s">
        <v>9</v>
      </c>
      <c r="D36" s="105">
        <v>8013715</v>
      </c>
      <c r="E36" s="105">
        <v>2703321</v>
      </c>
      <c r="F36" s="105">
        <v>1698</v>
      </c>
      <c r="H36" s="104">
        <v>202106</v>
      </c>
      <c r="I36" s="107" t="s">
        <v>9</v>
      </c>
      <c r="J36" s="105">
        <v>3933221</v>
      </c>
      <c r="K36" s="105">
        <v>1335592</v>
      </c>
      <c r="L36" s="105">
        <v>839</v>
      </c>
      <c r="O36" s="40"/>
      <c r="T36" s="40"/>
      <c r="U36" s="40"/>
      <c r="V36" s="40"/>
    </row>
    <row r="37" spans="2:22" x14ac:dyDescent="0.25">
      <c r="B37" s="104">
        <v>202106</v>
      </c>
      <c r="C37" s="107" t="s">
        <v>56</v>
      </c>
      <c r="D37" s="105">
        <v>63919180</v>
      </c>
      <c r="E37" s="105">
        <v>28767530</v>
      </c>
      <c r="F37" s="105">
        <v>3536</v>
      </c>
      <c r="H37" s="104">
        <v>202106</v>
      </c>
      <c r="I37" s="107" t="s">
        <v>56</v>
      </c>
      <c r="J37" s="105">
        <v>31578448</v>
      </c>
      <c r="K37" s="105">
        <v>14243050</v>
      </c>
      <c r="L37" s="105">
        <v>1750</v>
      </c>
    </row>
    <row r="38" spans="2:22" x14ac:dyDescent="0.25">
      <c r="B38" s="104">
        <v>202106</v>
      </c>
      <c r="C38" s="107" t="s">
        <v>11</v>
      </c>
      <c r="D38" s="105">
        <v>22279343</v>
      </c>
      <c r="E38" s="105">
        <v>9505015</v>
      </c>
      <c r="F38" s="105">
        <v>2546</v>
      </c>
      <c r="H38" s="104">
        <v>202106</v>
      </c>
      <c r="I38" s="107" t="s">
        <v>11</v>
      </c>
      <c r="J38" s="105">
        <v>11036507</v>
      </c>
      <c r="K38" s="105">
        <v>4696806</v>
      </c>
      <c r="L38" s="105">
        <v>1258</v>
      </c>
    </row>
    <row r="39" spans="2:22" x14ac:dyDescent="0.25">
      <c r="B39" s="104">
        <v>202106</v>
      </c>
      <c r="C39" s="107" t="s">
        <v>12</v>
      </c>
      <c r="D39" s="105">
        <v>25189308</v>
      </c>
      <c r="E39" s="105">
        <v>11350081</v>
      </c>
      <c r="F39" s="105">
        <v>2351</v>
      </c>
      <c r="H39" s="104">
        <v>202106</v>
      </c>
      <c r="I39" s="107" t="s">
        <v>12</v>
      </c>
      <c r="J39" s="105">
        <v>12437894</v>
      </c>
      <c r="K39" s="105">
        <v>5605815</v>
      </c>
      <c r="L39" s="105">
        <v>1161</v>
      </c>
    </row>
    <row r="40" spans="2:22" x14ac:dyDescent="0.25">
      <c r="B40" s="104">
        <v>202106</v>
      </c>
      <c r="C40" s="107" t="s">
        <v>13</v>
      </c>
      <c r="D40" s="105">
        <v>2827826</v>
      </c>
      <c r="E40" s="105">
        <v>914736</v>
      </c>
      <c r="F40" s="105">
        <v>698</v>
      </c>
      <c r="H40" s="104">
        <v>202106</v>
      </c>
      <c r="I40" s="107" t="s">
        <v>13</v>
      </c>
      <c r="J40" s="105">
        <v>1409956</v>
      </c>
      <c r="K40" s="105">
        <v>450758</v>
      </c>
      <c r="L40" s="105">
        <v>344</v>
      </c>
    </row>
    <row r="41" spans="2:22" x14ac:dyDescent="0.25">
      <c r="B41" s="104">
        <v>202107</v>
      </c>
      <c r="C41" s="107" t="s">
        <v>10</v>
      </c>
      <c r="D41" s="105">
        <v>35381168</v>
      </c>
      <c r="E41" s="105">
        <v>17659040</v>
      </c>
      <c r="F41" s="105">
        <v>1048</v>
      </c>
      <c r="H41" s="104">
        <v>202107</v>
      </c>
      <c r="I41" s="107" t="s">
        <v>10</v>
      </c>
      <c r="J41" s="105">
        <v>17551516</v>
      </c>
      <c r="K41" s="105">
        <v>8744330</v>
      </c>
      <c r="L41" s="105">
        <v>519</v>
      </c>
    </row>
    <row r="42" spans="2:22" x14ac:dyDescent="0.25">
      <c r="B42" s="104">
        <v>202107</v>
      </c>
      <c r="C42" s="107" t="s">
        <v>9</v>
      </c>
      <c r="D42" s="105">
        <v>5407993</v>
      </c>
      <c r="E42" s="105">
        <v>2847609</v>
      </c>
      <c r="F42" s="105">
        <v>1789</v>
      </c>
      <c r="H42" s="104">
        <v>202107</v>
      </c>
      <c r="I42" s="107" t="s">
        <v>9</v>
      </c>
      <c r="J42" s="105">
        <v>2638856</v>
      </c>
      <c r="K42" s="105">
        <v>1405945</v>
      </c>
      <c r="L42" s="105">
        <v>883</v>
      </c>
    </row>
    <row r="43" spans="2:22" x14ac:dyDescent="0.25">
      <c r="B43" s="104">
        <v>202107</v>
      </c>
      <c r="C43" s="107" t="s">
        <v>56</v>
      </c>
      <c r="D43" s="105">
        <v>62118099</v>
      </c>
      <c r="E43" s="105">
        <v>30393600</v>
      </c>
      <c r="F43" s="105">
        <v>3733</v>
      </c>
      <c r="H43" s="104">
        <v>202107</v>
      </c>
      <c r="I43" s="107" t="s">
        <v>56</v>
      </c>
      <c r="J43" s="105">
        <v>30755698</v>
      </c>
      <c r="K43" s="105">
        <v>15016520</v>
      </c>
      <c r="L43" s="105">
        <v>1845</v>
      </c>
    </row>
    <row r="44" spans="2:22" x14ac:dyDescent="0.25">
      <c r="B44" s="104">
        <v>202107</v>
      </c>
      <c r="C44" s="107" t="s">
        <v>11</v>
      </c>
      <c r="D44" s="105">
        <v>19214754</v>
      </c>
      <c r="E44" s="105">
        <v>10044904</v>
      </c>
      <c r="F44" s="105">
        <v>2690</v>
      </c>
      <c r="H44" s="104">
        <v>202107</v>
      </c>
      <c r="I44" s="107" t="s">
        <v>11</v>
      </c>
      <c r="J44" s="105">
        <v>9561478</v>
      </c>
      <c r="K44" s="105">
        <v>4970644</v>
      </c>
      <c r="L44" s="105">
        <v>1331</v>
      </c>
    </row>
    <row r="45" spans="2:22" x14ac:dyDescent="0.25">
      <c r="B45" s="104">
        <v>202107</v>
      </c>
      <c r="C45" s="107" t="s">
        <v>12</v>
      </c>
      <c r="D45" s="105">
        <v>22556291</v>
      </c>
      <c r="E45" s="105">
        <v>11979575</v>
      </c>
      <c r="F45" s="105">
        <v>2481</v>
      </c>
      <c r="H45" s="104">
        <v>202107</v>
      </c>
      <c r="I45" s="107" t="s">
        <v>12</v>
      </c>
      <c r="J45" s="105">
        <v>11173144</v>
      </c>
      <c r="K45" s="105">
        <v>5933905</v>
      </c>
      <c r="L45" s="105">
        <v>1229</v>
      </c>
    </row>
    <row r="46" spans="2:22" x14ac:dyDescent="0.25">
      <c r="B46" s="104">
        <v>202107</v>
      </c>
      <c r="C46" s="107" t="s">
        <v>13</v>
      </c>
      <c r="D46" s="105">
        <v>1803412</v>
      </c>
      <c r="E46" s="105">
        <v>962634</v>
      </c>
      <c r="F46" s="105">
        <v>736</v>
      </c>
      <c r="H46" s="104">
        <v>202107</v>
      </c>
      <c r="I46" s="107" t="s">
        <v>13</v>
      </c>
      <c r="J46" s="105">
        <v>887885</v>
      </c>
      <c r="K46" s="105">
        <v>475870</v>
      </c>
      <c r="L46" s="105">
        <v>364</v>
      </c>
    </row>
    <row r="47" spans="2:22" x14ac:dyDescent="0.25">
      <c r="B47" s="104">
        <v>202108</v>
      </c>
      <c r="C47" s="107" t="s">
        <v>10</v>
      </c>
      <c r="D47" s="105">
        <v>30819800</v>
      </c>
      <c r="E47" s="105">
        <v>14966420</v>
      </c>
      <c r="F47" s="105">
        <v>888</v>
      </c>
      <c r="H47" s="104">
        <v>202108</v>
      </c>
      <c r="I47" s="107" t="s">
        <v>10</v>
      </c>
      <c r="J47" s="105">
        <v>15172751</v>
      </c>
      <c r="K47" s="105">
        <v>7366380</v>
      </c>
      <c r="L47" s="105">
        <v>437</v>
      </c>
    </row>
    <row r="48" spans="2:22" x14ac:dyDescent="0.25">
      <c r="B48" s="104">
        <v>202108</v>
      </c>
      <c r="C48" s="107" t="s">
        <v>9</v>
      </c>
      <c r="D48" s="105">
        <v>6156011</v>
      </c>
      <c r="E48" s="105">
        <v>2400722</v>
      </c>
      <c r="F48" s="105">
        <v>1508</v>
      </c>
      <c r="H48" s="104">
        <v>202108</v>
      </c>
      <c r="I48" s="107" t="s">
        <v>9</v>
      </c>
      <c r="J48" s="105">
        <v>3013339</v>
      </c>
      <c r="K48" s="105">
        <v>1184119</v>
      </c>
      <c r="L48" s="105">
        <v>744</v>
      </c>
    </row>
    <row r="49" spans="2:12" x14ac:dyDescent="0.25">
      <c r="B49" s="104">
        <v>202108</v>
      </c>
      <c r="C49" s="107" t="s">
        <v>56</v>
      </c>
      <c r="D49" s="105">
        <v>55324002</v>
      </c>
      <c r="E49" s="105">
        <v>25609560</v>
      </c>
      <c r="F49" s="105">
        <v>3145</v>
      </c>
      <c r="H49" s="104">
        <v>202108</v>
      </c>
      <c r="I49" s="107" t="s">
        <v>56</v>
      </c>
      <c r="J49" s="105">
        <v>27460230</v>
      </c>
      <c r="K49" s="105">
        <v>12650580</v>
      </c>
      <c r="L49" s="105">
        <v>1555</v>
      </c>
    </row>
    <row r="50" spans="2:12" x14ac:dyDescent="0.25">
      <c r="B50" s="104">
        <v>202108</v>
      </c>
      <c r="C50" s="107" t="s">
        <v>11</v>
      </c>
      <c r="D50" s="105">
        <v>18452903</v>
      </c>
      <c r="E50" s="105">
        <v>8480915</v>
      </c>
      <c r="F50" s="105">
        <v>2271</v>
      </c>
      <c r="H50" s="104">
        <v>202108</v>
      </c>
      <c r="I50" s="107" t="s">
        <v>11</v>
      </c>
      <c r="J50" s="105">
        <v>9140396</v>
      </c>
      <c r="K50" s="105">
        <v>4193780</v>
      </c>
      <c r="L50" s="105">
        <v>1123</v>
      </c>
    </row>
    <row r="51" spans="2:12" x14ac:dyDescent="0.25">
      <c r="B51" s="104">
        <v>202108</v>
      </c>
      <c r="C51" s="107" t="s">
        <v>12</v>
      </c>
      <c r="D51" s="105">
        <v>21156999</v>
      </c>
      <c r="E51" s="105">
        <v>10097414</v>
      </c>
      <c r="F51" s="105">
        <v>2091</v>
      </c>
      <c r="H51" s="104">
        <v>202108</v>
      </c>
      <c r="I51" s="107" t="s">
        <v>12</v>
      </c>
      <c r="J51" s="105">
        <v>10460689</v>
      </c>
      <c r="K51" s="105">
        <v>4992246</v>
      </c>
      <c r="L51" s="105">
        <v>1034</v>
      </c>
    </row>
    <row r="52" spans="2:12" x14ac:dyDescent="0.25">
      <c r="B52" s="104">
        <v>202108</v>
      </c>
      <c r="C52" s="107" t="s">
        <v>13</v>
      </c>
      <c r="D52" s="105">
        <v>2091506</v>
      </c>
      <c r="E52" s="105">
        <v>814758</v>
      </c>
      <c r="F52" s="105">
        <v>623</v>
      </c>
      <c r="H52" s="104">
        <v>202108</v>
      </c>
      <c r="I52" s="107" t="s">
        <v>13</v>
      </c>
      <c r="J52" s="105">
        <v>1022317</v>
      </c>
      <c r="K52" s="105">
        <v>401908</v>
      </c>
      <c r="L52" s="105">
        <v>307</v>
      </c>
    </row>
    <row r="53" spans="2:12" x14ac:dyDescent="0.25">
      <c r="B53" s="104">
        <v>202109</v>
      </c>
      <c r="C53" s="107" t="s">
        <v>10</v>
      </c>
      <c r="D53" s="105">
        <v>32700523</v>
      </c>
      <c r="E53" s="105">
        <v>15854860</v>
      </c>
      <c r="F53" s="105">
        <v>941</v>
      </c>
      <c r="H53" s="104">
        <v>202109</v>
      </c>
      <c r="I53" s="107" t="s">
        <v>10</v>
      </c>
      <c r="J53" s="105">
        <v>16155043</v>
      </c>
      <c r="K53" s="105">
        <v>7856450</v>
      </c>
      <c r="L53" s="105">
        <v>466</v>
      </c>
    </row>
    <row r="54" spans="2:12" x14ac:dyDescent="0.25">
      <c r="B54" s="104">
        <v>202109</v>
      </c>
      <c r="C54" s="107" t="s">
        <v>9</v>
      </c>
      <c r="D54" s="105">
        <v>6786336</v>
      </c>
      <c r="E54" s="105">
        <v>2547097</v>
      </c>
      <c r="F54" s="105">
        <v>1600</v>
      </c>
      <c r="H54" s="104">
        <v>202109</v>
      </c>
      <c r="I54" s="107" t="s">
        <v>9</v>
      </c>
      <c r="J54" s="105">
        <v>3261150</v>
      </c>
      <c r="K54" s="105">
        <v>1255785</v>
      </c>
      <c r="L54" s="105">
        <v>789</v>
      </c>
    </row>
    <row r="55" spans="2:12" x14ac:dyDescent="0.25">
      <c r="B55" s="104">
        <v>202109</v>
      </c>
      <c r="C55" s="107" t="s">
        <v>56</v>
      </c>
      <c r="D55" s="105">
        <v>58604602</v>
      </c>
      <c r="E55" s="105">
        <v>27173950</v>
      </c>
      <c r="F55" s="105">
        <v>3339</v>
      </c>
      <c r="H55" s="104">
        <v>202109</v>
      </c>
      <c r="I55" s="107" t="s">
        <v>56</v>
      </c>
      <c r="J55" s="105">
        <v>28966185</v>
      </c>
      <c r="K55" s="105">
        <v>13452550</v>
      </c>
      <c r="L55" s="105">
        <v>1652</v>
      </c>
    </row>
    <row r="56" spans="2:12" x14ac:dyDescent="0.25">
      <c r="B56" s="104">
        <v>202109</v>
      </c>
      <c r="C56" s="107" t="s">
        <v>11</v>
      </c>
      <c r="D56" s="105">
        <v>19741601</v>
      </c>
      <c r="E56" s="105">
        <v>9003326</v>
      </c>
      <c r="F56" s="105">
        <v>2412</v>
      </c>
      <c r="H56" s="104">
        <v>202109</v>
      </c>
      <c r="I56" s="107" t="s">
        <v>11</v>
      </c>
      <c r="J56" s="105">
        <v>9757982</v>
      </c>
      <c r="K56" s="105">
        <v>4457478</v>
      </c>
      <c r="L56" s="105">
        <v>1194</v>
      </c>
    </row>
    <row r="57" spans="2:12" x14ac:dyDescent="0.25">
      <c r="B57" s="104">
        <v>202109</v>
      </c>
      <c r="C57" s="107" t="s">
        <v>12</v>
      </c>
      <c r="D57" s="105">
        <v>22314509</v>
      </c>
      <c r="E57" s="105">
        <v>10712556</v>
      </c>
      <c r="F57" s="105">
        <v>2219</v>
      </c>
      <c r="H57" s="104">
        <v>202109</v>
      </c>
      <c r="I57" s="107" t="s">
        <v>12</v>
      </c>
      <c r="J57" s="105">
        <v>10929294</v>
      </c>
      <c r="K57" s="105">
        <v>5292160</v>
      </c>
      <c r="L57" s="105">
        <v>1096</v>
      </c>
    </row>
    <row r="58" spans="2:12" x14ac:dyDescent="0.25">
      <c r="B58" s="104">
        <v>202109</v>
      </c>
      <c r="C58" s="107" t="s">
        <v>13</v>
      </c>
      <c r="D58" s="105">
        <v>2370396</v>
      </c>
      <c r="E58" s="105">
        <v>867180</v>
      </c>
      <c r="F58" s="105">
        <v>664</v>
      </c>
      <c r="H58" s="104">
        <v>202109</v>
      </c>
      <c r="I58" s="107" t="s">
        <v>13</v>
      </c>
      <c r="J58" s="105">
        <v>1193097</v>
      </c>
      <c r="K58" s="105">
        <v>425144</v>
      </c>
      <c r="L58" s="105">
        <v>326</v>
      </c>
    </row>
    <row r="59" spans="2:12" x14ac:dyDescent="0.25">
      <c r="B59" s="104">
        <v>202110</v>
      </c>
      <c r="C59" s="107" t="s">
        <v>10</v>
      </c>
      <c r="D59" s="105">
        <v>27688306</v>
      </c>
      <c r="E59" s="105">
        <v>13187370</v>
      </c>
      <c r="F59" s="105">
        <v>783</v>
      </c>
      <c r="H59" s="104">
        <v>202110</v>
      </c>
      <c r="I59" s="107" t="s">
        <v>10</v>
      </c>
      <c r="J59" s="105">
        <v>13654014</v>
      </c>
      <c r="K59" s="105">
        <v>6504680</v>
      </c>
      <c r="L59" s="105">
        <v>386</v>
      </c>
    </row>
    <row r="60" spans="2:12" x14ac:dyDescent="0.25">
      <c r="B60" s="104">
        <v>202110</v>
      </c>
      <c r="C60" s="107" t="s">
        <v>9</v>
      </c>
      <c r="D60" s="105">
        <v>6417772</v>
      </c>
      <c r="E60" s="105">
        <v>2106877</v>
      </c>
      <c r="F60" s="105">
        <v>1324</v>
      </c>
      <c r="H60" s="104">
        <v>202110</v>
      </c>
      <c r="I60" s="107" t="s">
        <v>9</v>
      </c>
      <c r="J60" s="105">
        <v>3241467</v>
      </c>
      <c r="K60" s="105">
        <v>1044312</v>
      </c>
      <c r="L60" s="105">
        <v>656</v>
      </c>
    </row>
    <row r="61" spans="2:12" x14ac:dyDescent="0.25">
      <c r="B61" s="104">
        <v>202110</v>
      </c>
      <c r="C61" s="107" t="s">
        <v>56</v>
      </c>
      <c r="D61" s="105">
        <v>50131760</v>
      </c>
      <c r="E61" s="105">
        <v>22381260</v>
      </c>
      <c r="F61" s="105">
        <v>2749</v>
      </c>
      <c r="H61" s="104">
        <v>202110</v>
      </c>
      <c r="I61" s="107" t="s">
        <v>56</v>
      </c>
      <c r="J61" s="105">
        <v>24845757</v>
      </c>
      <c r="K61" s="105">
        <v>11076210</v>
      </c>
      <c r="L61" s="105">
        <v>1360</v>
      </c>
    </row>
    <row r="62" spans="2:12" x14ac:dyDescent="0.25">
      <c r="B62" s="104">
        <v>202110</v>
      </c>
      <c r="C62" s="107" t="s">
        <v>11</v>
      </c>
      <c r="D62" s="105">
        <v>17511323</v>
      </c>
      <c r="E62" s="105">
        <v>7431944</v>
      </c>
      <c r="F62" s="105">
        <v>1990</v>
      </c>
      <c r="H62" s="104">
        <v>202110</v>
      </c>
      <c r="I62" s="107" t="s">
        <v>11</v>
      </c>
      <c r="J62" s="105">
        <v>8622738</v>
      </c>
      <c r="K62" s="105">
        <v>3668034</v>
      </c>
      <c r="L62" s="105">
        <v>982</v>
      </c>
    </row>
    <row r="63" spans="2:12" x14ac:dyDescent="0.25">
      <c r="B63" s="104">
        <v>202110</v>
      </c>
      <c r="C63" s="107" t="s">
        <v>12</v>
      </c>
      <c r="D63" s="105">
        <v>19795063</v>
      </c>
      <c r="E63" s="105">
        <v>8851318</v>
      </c>
      <c r="F63" s="105">
        <v>1833</v>
      </c>
      <c r="H63" s="104">
        <v>202110</v>
      </c>
      <c r="I63" s="107" t="s">
        <v>12</v>
      </c>
      <c r="J63" s="105">
        <v>9709041</v>
      </c>
      <c r="K63" s="105">
        <v>4375288</v>
      </c>
      <c r="L63" s="105">
        <v>906</v>
      </c>
    </row>
    <row r="64" spans="2:12" x14ac:dyDescent="0.25">
      <c r="B64" s="104">
        <v>202110</v>
      </c>
      <c r="C64" s="107" t="s">
        <v>13</v>
      </c>
      <c r="D64" s="105">
        <v>2281899</v>
      </c>
      <c r="E64" s="105">
        <v>720448</v>
      </c>
      <c r="F64" s="105">
        <v>551</v>
      </c>
      <c r="H64" s="104">
        <v>202110</v>
      </c>
      <c r="I64" s="107" t="s">
        <v>13</v>
      </c>
      <c r="J64" s="105">
        <v>1131104</v>
      </c>
      <c r="K64" s="105">
        <v>351232</v>
      </c>
      <c r="L64" s="105">
        <v>269</v>
      </c>
    </row>
    <row r="65" spans="2:12" x14ac:dyDescent="0.25">
      <c r="B65" s="104">
        <v>202111</v>
      </c>
      <c r="C65" s="107" t="s">
        <v>10</v>
      </c>
      <c r="D65" s="105">
        <v>19986687</v>
      </c>
      <c r="E65" s="105">
        <v>9531690</v>
      </c>
      <c r="F65" s="105">
        <v>566</v>
      </c>
      <c r="H65" s="104">
        <v>202111</v>
      </c>
      <c r="I65" s="107" t="s">
        <v>10</v>
      </c>
      <c r="J65" s="105">
        <v>9847378</v>
      </c>
      <c r="K65" s="105">
        <v>4682300</v>
      </c>
      <c r="L65" s="105">
        <v>278</v>
      </c>
    </row>
    <row r="66" spans="2:12" x14ac:dyDescent="0.25">
      <c r="B66" s="104">
        <v>202111</v>
      </c>
      <c r="C66" s="107" t="s">
        <v>9</v>
      </c>
      <c r="D66" s="105">
        <v>4444467</v>
      </c>
      <c r="E66" s="105">
        <v>1508843</v>
      </c>
      <c r="F66" s="105">
        <v>948</v>
      </c>
      <c r="H66" s="104">
        <v>202111</v>
      </c>
      <c r="I66" s="107" t="s">
        <v>9</v>
      </c>
      <c r="J66" s="105">
        <v>2175239</v>
      </c>
      <c r="K66" s="105">
        <v>744440</v>
      </c>
      <c r="L66" s="105">
        <v>468</v>
      </c>
    </row>
    <row r="67" spans="2:12" x14ac:dyDescent="0.25">
      <c r="B67" s="104">
        <v>202111</v>
      </c>
      <c r="C67" s="107" t="s">
        <v>56</v>
      </c>
      <c r="D67" s="105">
        <v>35553329</v>
      </c>
      <c r="E67" s="105">
        <v>16051880</v>
      </c>
      <c r="F67" s="105">
        <v>1972</v>
      </c>
      <c r="H67" s="104">
        <v>202111</v>
      </c>
      <c r="I67" s="107" t="s">
        <v>56</v>
      </c>
      <c r="J67" s="105">
        <v>17502150</v>
      </c>
      <c r="K67" s="105">
        <v>7915270</v>
      </c>
      <c r="L67" s="105">
        <v>973</v>
      </c>
    </row>
    <row r="68" spans="2:12" x14ac:dyDescent="0.25">
      <c r="B68" s="104">
        <v>202111</v>
      </c>
      <c r="C68" s="107" t="s">
        <v>11</v>
      </c>
      <c r="D68" s="105">
        <v>12231525</v>
      </c>
      <c r="E68" s="105">
        <v>5329115</v>
      </c>
      <c r="F68" s="105">
        <v>1427</v>
      </c>
      <c r="H68" s="104">
        <v>202111</v>
      </c>
      <c r="I68" s="107" t="s">
        <v>11</v>
      </c>
      <c r="J68" s="105">
        <v>6026181</v>
      </c>
      <c r="K68" s="105">
        <v>2632003</v>
      </c>
      <c r="L68" s="105">
        <v>705</v>
      </c>
    </row>
    <row r="69" spans="2:12" x14ac:dyDescent="0.25">
      <c r="B69" s="104">
        <v>202111</v>
      </c>
      <c r="C69" s="107" t="s">
        <v>12</v>
      </c>
      <c r="D69" s="105">
        <v>13923620</v>
      </c>
      <c r="E69" s="105">
        <v>6365619</v>
      </c>
      <c r="F69" s="105">
        <v>1318</v>
      </c>
      <c r="H69" s="104">
        <v>202111</v>
      </c>
      <c r="I69" s="107" t="s">
        <v>12</v>
      </c>
      <c r="J69" s="105">
        <v>6864083</v>
      </c>
      <c r="K69" s="105">
        <v>3149461</v>
      </c>
      <c r="L69" s="105">
        <v>652</v>
      </c>
    </row>
    <row r="70" spans="2:12" x14ac:dyDescent="0.25">
      <c r="B70" s="104">
        <v>202111</v>
      </c>
      <c r="C70" s="107" t="s">
        <v>13</v>
      </c>
      <c r="D70" s="105">
        <v>1519556</v>
      </c>
      <c r="E70" s="105">
        <v>518814</v>
      </c>
      <c r="F70" s="105">
        <v>397</v>
      </c>
      <c r="H70" s="104">
        <v>202111</v>
      </c>
      <c r="I70" s="107" t="s">
        <v>13</v>
      </c>
      <c r="J70" s="105">
        <v>742199</v>
      </c>
      <c r="K70" s="105">
        <v>255688</v>
      </c>
      <c r="L70" s="105">
        <v>196</v>
      </c>
    </row>
    <row r="71" spans="2:12" x14ac:dyDescent="0.25">
      <c r="B71" s="104">
        <v>202112</v>
      </c>
      <c r="C71" s="107" t="s">
        <v>10</v>
      </c>
      <c r="D71" s="105">
        <v>23095626</v>
      </c>
      <c r="E71" s="105">
        <v>11205670</v>
      </c>
      <c r="F71" s="105">
        <v>665</v>
      </c>
      <c r="H71" s="104">
        <v>202112</v>
      </c>
      <c r="I71" s="107" t="s">
        <v>10</v>
      </c>
      <c r="J71" s="105">
        <v>11425331</v>
      </c>
      <c r="K71" s="105">
        <v>5545680</v>
      </c>
      <c r="L71" s="105">
        <v>329</v>
      </c>
    </row>
    <row r="72" spans="2:12" x14ac:dyDescent="0.25">
      <c r="B72" s="104">
        <v>202112</v>
      </c>
      <c r="C72" s="107" t="s">
        <v>9</v>
      </c>
      <c r="D72" s="105">
        <v>4749229</v>
      </c>
      <c r="E72" s="105">
        <v>1812316</v>
      </c>
      <c r="F72" s="105">
        <v>1138</v>
      </c>
      <c r="H72" s="104">
        <v>202112</v>
      </c>
      <c r="I72" s="107" t="s">
        <v>9</v>
      </c>
      <c r="J72" s="105">
        <v>2349207</v>
      </c>
      <c r="K72" s="105">
        <v>894600</v>
      </c>
      <c r="L72" s="105">
        <v>562</v>
      </c>
    </row>
    <row r="73" spans="2:12" x14ac:dyDescent="0.25">
      <c r="B73" s="104">
        <v>202112</v>
      </c>
      <c r="C73" s="107" t="s">
        <v>56</v>
      </c>
      <c r="D73" s="105">
        <v>41484799</v>
      </c>
      <c r="E73" s="105">
        <v>19245810</v>
      </c>
      <c r="F73" s="105">
        <v>2364</v>
      </c>
      <c r="H73" s="104">
        <v>202112</v>
      </c>
      <c r="I73" s="107" t="s">
        <v>56</v>
      </c>
      <c r="J73" s="105">
        <v>20537315</v>
      </c>
      <c r="K73" s="105">
        <v>9531750</v>
      </c>
      <c r="L73" s="105">
        <v>1170</v>
      </c>
    </row>
    <row r="74" spans="2:12" x14ac:dyDescent="0.25">
      <c r="B74" s="104">
        <v>202112</v>
      </c>
      <c r="C74" s="107" t="s">
        <v>11</v>
      </c>
      <c r="D74" s="105">
        <v>13884063</v>
      </c>
      <c r="E74" s="105">
        <v>6375827</v>
      </c>
      <c r="F74" s="105">
        <v>1707</v>
      </c>
      <c r="H74" s="104">
        <v>202112</v>
      </c>
      <c r="I74" s="107" t="s">
        <v>11</v>
      </c>
      <c r="J74" s="105">
        <v>6922878</v>
      </c>
      <c r="K74" s="105">
        <v>3151178</v>
      </c>
      <c r="L74" s="105">
        <v>844</v>
      </c>
    </row>
    <row r="75" spans="2:12" x14ac:dyDescent="0.25">
      <c r="B75" s="104">
        <v>202112</v>
      </c>
      <c r="C75" s="107" t="s">
        <v>12</v>
      </c>
      <c r="D75" s="105">
        <v>15804525</v>
      </c>
      <c r="E75" s="105">
        <v>7582987</v>
      </c>
      <c r="F75" s="105">
        <v>1571</v>
      </c>
      <c r="H75" s="104">
        <v>202112</v>
      </c>
      <c r="I75" s="107" t="s">
        <v>12</v>
      </c>
      <c r="J75" s="105">
        <v>7849605</v>
      </c>
      <c r="K75" s="105">
        <v>3746330</v>
      </c>
      <c r="L75" s="105">
        <v>776</v>
      </c>
    </row>
    <row r="76" spans="2:12" x14ac:dyDescent="0.25">
      <c r="B76" s="104">
        <v>202112</v>
      </c>
      <c r="C76" s="107" t="s">
        <v>13</v>
      </c>
      <c r="D76" s="105">
        <v>1608064</v>
      </c>
      <c r="E76" s="105">
        <v>617764</v>
      </c>
      <c r="F76" s="105">
        <v>473</v>
      </c>
      <c r="H76" s="104">
        <v>202112</v>
      </c>
      <c r="I76" s="107" t="s">
        <v>13</v>
      </c>
      <c r="J76" s="105">
        <v>772594</v>
      </c>
      <c r="K76" s="105">
        <v>301240</v>
      </c>
      <c r="L76" s="105">
        <v>231</v>
      </c>
    </row>
    <row r="77" spans="2:12" x14ac:dyDescent="0.25">
      <c r="B77" s="104">
        <v>202201</v>
      </c>
      <c r="C77" s="107" t="s">
        <v>10</v>
      </c>
      <c r="D77" s="105">
        <v>34313287</v>
      </c>
      <c r="E77" s="105">
        <v>16445380</v>
      </c>
      <c r="F77" s="105">
        <v>976</v>
      </c>
      <c r="H77" s="104">
        <v>202201</v>
      </c>
      <c r="I77" s="107" t="s">
        <v>10</v>
      </c>
      <c r="J77" s="105">
        <v>16865094</v>
      </c>
      <c r="K77" s="105">
        <v>8106490</v>
      </c>
      <c r="L77" s="105">
        <v>481</v>
      </c>
    </row>
    <row r="78" spans="2:12" x14ac:dyDescent="0.25">
      <c r="B78" s="104">
        <v>202201</v>
      </c>
      <c r="C78" s="107" t="s">
        <v>9</v>
      </c>
      <c r="D78" s="105">
        <v>7534960</v>
      </c>
      <c r="E78" s="105">
        <v>2640615</v>
      </c>
      <c r="F78" s="105">
        <v>1658</v>
      </c>
      <c r="H78" s="104">
        <v>202201</v>
      </c>
      <c r="I78" s="107" t="s">
        <v>9</v>
      </c>
      <c r="J78" s="105">
        <v>3742747</v>
      </c>
      <c r="K78" s="105">
        <v>1306336</v>
      </c>
      <c r="L78" s="105">
        <v>820</v>
      </c>
    </row>
    <row r="79" spans="2:12" x14ac:dyDescent="0.25">
      <c r="B79" s="104">
        <v>202201</v>
      </c>
      <c r="C79" s="107" t="s">
        <v>56</v>
      </c>
      <c r="D79" s="105">
        <v>62468491</v>
      </c>
      <c r="E79" s="105">
        <v>28222590</v>
      </c>
      <c r="F79" s="105">
        <v>3464</v>
      </c>
      <c r="H79" s="104">
        <v>202201</v>
      </c>
      <c r="I79" s="107" t="s">
        <v>56</v>
      </c>
      <c r="J79" s="105">
        <v>30924424</v>
      </c>
      <c r="K79" s="105">
        <v>13947540</v>
      </c>
      <c r="L79" s="105">
        <v>1712</v>
      </c>
    </row>
    <row r="80" spans="2:12" x14ac:dyDescent="0.25">
      <c r="B80" s="104">
        <v>202201</v>
      </c>
      <c r="C80" s="107" t="s">
        <v>11</v>
      </c>
      <c r="D80" s="105">
        <v>21514574</v>
      </c>
      <c r="E80" s="105">
        <v>9324225</v>
      </c>
      <c r="F80" s="105">
        <v>2497</v>
      </c>
      <c r="H80" s="104">
        <v>202201</v>
      </c>
      <c r="I80" s="107" t="s">
        <v>11</v>
      </c>
      <c r="J80" s="105">
        <v>10641300</v>
      </c>
      <c r="K80" s="105">
        <v>4611892</v>
      </c>
      <c r="L80" s="105">
        <v>1235</v>
      </c>
    </row>
    <row r="81" spans="2:12" x14ac:dyDescent="0.25">
      <c r="B81" s="104">
        <v>202201</v>
      </c>
      <c r="C81" s="107" t="s">
        <v>12</v>
      </c>
      <c r="D81" s="105">
        <v>24347699</v>
      </c>
      <c r="E81" s="105">
        <v>11100629</v>
      </c>
      <c r="F81" s="105">
        <v>2299</v>
      </c>
      <c r="H81" s="104">
        <v>202201</v>
      </c>
      <c r="I81" s="107" t="s">
        <v>12</v>
      </c>
      <c r="J81" s="105">
        <v>11874752</v>
      </c>
      <c r="K81" s="105">
        <v>5480820</v>
      </c>
      <c r="L81" s="105">
        <v>1135</v>
      </c>
    </row>
    <row r="82" spans="2:12" x14ac:dyDescent="0.25">
      <c r="B82" s="104">
        <v>202201</v>
      </c>
      <c r="C82" s="107" t="s">
        <v>13</v>
      </c>
      <c r="D82" s="105">
        <v>2605831</v>
      </c>
      <c r="E82" s="105">
        <v>899458</v>
      </c>
      <c r="F82" s="105">
        <v>688</v>
      </c>
      <c r="H82" s="104">
        <v>202201</v>
      </c>
      <c r="I82" s="107" t="s">
        <v>13</v>
      </c>
      <c r="J82" s="105">
        <v>1287140</v>
      </c>
      <c r="K82" s="105">
        <v>443228</v>
      </c>
      <c r="L82" s="105">
        <v>339</v>
      </c>
    </row>
    <row r="83" spans="2:12" x14ac:dyDescent="0.25">
      <c r="B83" s="104">
        <v>202202</v>
      </c>
      <c r="C83" s="107" t="s">
        <v>10</v>
      </c>
      <c r="D83" s="105">
        <v>21976326</v>
      </c>
      <c r="E83" s="105">
        <v>10443860</v>
      </c>
      <c r="F83" s="105">
        <v>620</v>
      </c>
      <c r="H83" s="104">
        <v>202202</v>
      </c>
      <c r="I83" s="107" t="s">
        <v>10</v>
      </c>
      <c r="J83" s="105">
        <v>10811210</v>
      </c>
      <c r="K83" s="105">
        <v>5136250</v>
      </c>
      <c r="L83" s="105">
        <v>305</v>
      </c>
    </row>
    <row r="84" spans="2:12" x14ac:dyDescent="0.25">
      <c r="B84" s="104">
        <v>202202</v>
      </c>
      <c r="C84" s="107" t="s">
        <v>9</v>
      </c>
      <c r="D84" s="105">
        <v>5022030</v>
      </c>
      <c r="E84" s="105">
        <v>1663540</v>
      </c>
      <c r="F84" s="105">
        <v>1044</v>
      </c>
      <c r="H84" s="104">
        <v>202202</v>
      </c>
      <c r="I84" s="107" t="s">
        <v>9</v>
      </c>
      <c r="J84" s="105">
        <v>2504725</v>
      </c>
      <c r="K84" s="105">
        <v>820401</v>
      </c>
      <c r="L84" s="105">
        <v>515</v>
      </c>
    </row>
    <row r="85" spans="2:12" x14ac:dyDescent="0.25">
      <c r="B85" s="104">
        <v>202202</v>
      </c>
      <c r="C85" s="107" t="s">
        <v>56</v>
      </c>
      <c r="D85" s="105">
        <v>39532916</v>
      </c>
      <c r="E85" s="105">
        <v>17706510</v>
      </c>
      <c r="F85" s="105">
        <v>2172</v>
      </c>
      <c r="H85" s="104">
        <v>202202</v>
      </c>
      <c r="I85" s="107" t="s">
        <v>56</v>
      </c>
      <c r="J85" s="105">
        <v>19592717</v>
      </c>
      <c r="K85" s="105">
        <v>8757500</v>
      </c>
      <c r="L85" s="105">
        <v>1074</v>
      </c>
    </row>
    <row r="86" spans="2:12" x14ac:dyDescent="0.25">
      <c r="B86" s="104">
        <v>202202</v>
      </c>
      <c r="C86" s="107" t="s">
        <v>11</v>
      </c>
      <c r="D86" s="105">
        <v>13728979</v>
      </c>
      <c r="E86" s="105">
        <v>5864692</v>
      </c>
      <c r="F86" s="105">
        <v>1570</v>
      </c>
      <c r="H86" s="104">
        <v>202202</v>
      </c>
      <c r="I86" s="107" t="s">
        <v>11</v>
      </c>
      <c r="J86" s="105">
        <v>6804939</v>
      </c>
      <c r="K86" s="105">
        <v>2890908</v>
      </c>
      <c r="L86" s="105">
        <v>774</v>
      </c>
    </row>
    <row r="87" spans="2:12" x14ac:dyDescent="0.25">
      <c r="B87" s="104">
        <v>202202</v>
      </c>
      <c r="C87" s="107" t="s">
        <v>12</v>
      </c>
      <c r="D87" s="105">
        <v>15578422</v>
      </c>
      <c r="E87" s="105">
        <v>6981308</v>
      </c>
      <c r="F87" s="105">
        <v>1446</v>
      </c>
      <c r="H87" s="104">
        <v>202202</v>
      </c>
      <c r="I87" s="107" t="s">
        <v>12</v>
      </c>
      <c r="J87" s="105">
        <v>7656004</v>
      </c>
      <c r="K87" s="105">
        <v>3456231</v>
      </c>
      <c r="L87" s="105">
        <v>716</v>
      </c>
    </row>
    <row r="88" spans="2:12" x14ac:dyDescent="0.25">
      <c r="B88" s="104">
        <v>202202</v>
      </c>
      <c r="C88" s="107" t="s">
        <v>13</v>
      </c>
      <c r="D88" s="105">
        <v>1754100</v>
      </c>
      <c r="E88" s="105">
        <v>564050</v>
      </c>
      <c r="F88" s="105">
        <v>435</v>
      </c>
      <c r="H88" s="104">
        <v>202202</v>
      </c>
      <c r="I88" s="107" t="s">
        <v>13</v>
      </c>
      <c r="J88" s="105">
        <v>856100</v>
      </c>
      <c r="K88" s="105">
        <v>275062</v>
      </c>
      <c r="L88" s="105">
        <v>212</v>
      </c>
    </row>
    <row r="89" spans="2:12" x14ac:dyDescent="0.25">
      <c r="B89" s="104">
        <v>202203</v>
      </c>
      <c r="C89" s="107" t="s">
        <v>10</v>
      </c>
      <c r="D89" s="105">
        <v>17392316</v>
      </c>
      <c r="E89" s="105">
        <v>8439900</v>
      </c>
      <c r="F89" s="105">
        <v>501</v>
      </c>
      <c r="H89" s="104">
        <v>202203</v>
      </c>
      <c r="I89" s="107" t="s">
        <v>10</v>
      </c>
      <c r="J89" s="105">
        <v>8560482</v>
      </c>
      <c r="K89" s="105">
        <v>4156180</v>
      </c>
      <c r="L89" s="105">
        <v>247</v>
      </c>
    </row>
    <row r="90" spans="2:12" x14ac:dyDescent="0.25">
      <c r="B90" s="104">
        <v>202203</v>
      </c>
      <c r="C90" s="107" t="s">
        <v>9</v>
      </c>
      <c r="D90" s="105">
        <v>3461757</v>
      </c>
      <c r="E90" s="105">
        <v>1339856</v>
      </c>
      <c r="F90" s="105">
        <v>841</v>
      </c>
      <c r="H90" s="104">
        <v>202203</v>
      </c>
      <c r="I90" s="107" t="s">
        <v>9</v>
      </c>
      <c r="J90" s="105">
        <v>1734702</v>
      </c>
      <c r="K90" s="105">
        <v>661269</v>
      </c>
      <c r="L90" s="105">
        <v>415</v>
      </c>
    </row>
    <row r="91" spans="2:12" x14ac:dyDescent="0.25">
      <c r="B91" s="104">
        <v>202203</v>
      </c>
      <c r="C91" s="107" t="s">
        <v>56</v>
      </c>
      <c r="D91" s="105">
        <v>30789086</v>
      </c>
      <c r="E91" s="105">
        <v>14254790</v>
      </c>
      <c r="F91" s="105">
        <v>1748</v>
      </c>
      <c r="H91" s="104">
        <v>202203</v>
      </c>
      <c r="I91" s="107" t="s">
        <v>56</v>
      </c>
      <c r="J91" s="105">
        <v>15197062</v>
      </c>
      <c r="K91" s="105">
        <v>7034730</v>
      </c>
      <c r="L91" s="105">
        <v>863</v>
      </c>
    </row>
    <row r="92" spans="2:12" x14ac:dyDescent="0.25">
      <c r="B92" s="104">
        <v>202203</v>
      </c>
      <c r="C92" s="107" t="s">
        <v>11</v>
      </c>
      <c r="D92" s="105">
        <v>10318693</v>
      </c>
      <c r="E92" s="105">
        <v>4715789</v>
      </c>
      <c r="F92" s="105">
        <v>1263</v>
      </c>
      <c r="H92" s="104">
        <v>202203</v>
      </c>
      <c r="I92" s="107" t="s">
        <v>11</v>
      </c>
      <c r="J92" s="105">
        <v>5128263</v>
      </c>
      <c r="K92" s="105">
        <v>2325948</v>
      </c>
      <c r="L92" s="105">
        <v>623</v>
      </c>
    </row>
    <row r="93" spans="2:12" x14ac:dyDescent="0.25">
      <c r="B93" s="104">
        <v>202203</v>
      </c>
      <c r="C93" s="107" t="s">
        <v>12</v>
      </c>
      <c r="D93" s="105">
        <v>11741844</v>
      </c>
      <c r="E93" s="105">
        <v>5605125</v>
      </c>
      <c r="F93" s="105">
        <v>1161</v>
      </c>
      <c r="H93" s="104">
        <v>202203</v>
      </c>
      <c r="I93" s="107" t="s">
        <v>12</v>
      </c>
      <c r="J93" s="105">
        <v>5823893</v>
      </c>
      <c r="K93" s="105">
        <v>2765909</v>
      </c>
      <c r="L93" s="105">
        <v>573</v>
      </c>
    </row>
    <row r="94" spans="2:12" x14ac:dyDescent="0.25">
      <c r="B94" s="104">
        <v>202203</v>
      </c>
      <c r="C94" s="107" t="s">
        <v>13</v>
      </c>
      <c r="D94" s="105">
        <v>1200932</v>
      </c>
      <c r="E94" s="105">
        <v>467792</v>
      </c>
      <c r="F94" s="105">
        <v>358</v>
      </c>
      <c r="H94" s="104">
        <v>202203</v>
      </c>
      <c r="I94" s="107" t="s">
        <v>13</v>
      </c>
      <c r="J94" s="105">
        <v>582438</v>
      </c>
      <c r="K94" s="105">
        <v>228294</v>
      </c>
      <c r="L94" s="105">
        <v>175</v>
      </c>
    </row>
    <row r="95" spans="2:12" x14ac:dyDescent="0.25">
      <c r="B95" s="104">
        <v>202204</v>
      </c>
      <c r="C95" s="107" t="s">
        <v>10</v>
      </c>
      <c r="D95" s="105">
        <v>32602473</v>
      </c>
      <c r="E95" s="105">
        <v>15379490</v>
      </c>
      <c r="F95" s="105">
        <v>913</v>
      </c>
      <c r="H95" s="104">
        <v>202204</v>
      </c>
      <c r="I95" s="107" t="s">
        <v>10</v>
      </c>
      <c r="J95" s="105">
        <v>16145346</v>
      </c>
      <c r="K95" s="105">
        <v>7611240</v>
      </c>
      <c r="L95" s="105">
        <v>452</v>
      </c>
    </row>
    <row r="96" spans="2:12" x14ac:dyDescent="0.25">
      <c r="B96" s="104">
        <v>202204</v>
      </c>
      <c r="C96" s="107" t="s">
        <v>9</v>
      </c>
      <c r="D96" s="105">
        <v>7906272</v>
      </c>
      <c r="E96" s="105">
        <v>2469986</v>
      </c>
      <c r="F96" s="105">
        <v>1552</v>
      </c>
      <c r="H96" s="104">
        <v>202204</v>
      </c>
      <c r="I96" s="107" t="s">
        <v>9</v>
      </c>
      <c r="J96" s="105">
        <v>3848795</v>
      </c>
      <c r="K96" s="105">
        <v>1222314</v>
      </c>
      <c r="L96" s="105">
        <v>768</v>
      </c>
    </row>
    <row r="97" spans="2:12" x14ac:dyDescent="0.25">
      <c r="B97" s="104">
        <v>202204</v>
      </c>
      <c r="C97" s="107" t="s">
        <v>56</v>
      </c>
      <c r="D97" s="105">
        <v>60028562</v>
      </c>
      <c r="E97" s="105">
        <v>26427960</v>
      </c>
      <c r="F97" s="105">
        <v>3245</v>
      </c>
      <c r="H97" s="104">
        <v>202204</v>
      </c>
      <c r="I97" s="107" t="s">
        <v>56</v>
      </c>
      <c r="J97" s="105">
        <v>29572109</v>
      </c>
      <c r="K97" s="105">
        <v>13076880</v>
      </c>
      <c r="L97" s="105">
        <v>1606</v>
      </c>
    </row>
    <row r="98" spans="2:12" x14ac:dyDescent="0.25">
      <c r="B98" s="104">
        <v>202204</v>
      </c>
      <c r="C98" s="107" t="s">
        <v>11</v>
      </c>
      <c r="D98" s="105">
        <v>21210857</v>
      </c>
      <c r="E98" s="105">
        <v>8744979</v>
      </c>
      <c r="F98" s="105">
        <v>2341</v>
      </c>
      <c r="H98" s="104">
        <v>202204</v>
      </c>
      <c r="I98" s="107" t="s">
        <v>11</v>
      </c>
      <c r="J98" s="105">
        <v>10524440</v>
      </c>
      <c r="K98" s="105">
        <v>4325414</v>
      </c>
      <c r="L98" s="105">
        <v>1158</v>
      </c>
    </row>
    <row r="99" spans="2:12" x14ac:dyDescent="0.25">
      <c r="B99" s="104">
        <v>202204</v>
      </c>
      <c r="C99" s="107" t="s">
        <v>12</v>
      </c>
      <c r="D99" s="105">
        <v>23806975</v>
      </c>
      <c r="E99" s="105">
        <v>10401023</v>
      </c>
      <c r="F99" s="105">
        <v>2154</v>
      </c>
      <c r="H99" s="104">
        <v>202204</v>
      </c>
      <c r="I99" s="107" t="s">
        <v>12</v>
      </c>
      <c r="J99" s="105">
        <v>11791841</v>
      </c>
      <c r="K99" s="105">
        <v>5145176</v>
      </c>
      <c r="L99" s="105">
        <v>1066</v>
      </c>
    </row>
    <row r="100" spans="2:12" x14ac:dyDescent="0.25">
      <c r="B100" s="104">
        <v>202204</v>
      </c>
      <c r="C100" s="107" t="s">
        <v>13</v>
      </c>
      <c r="D100" s="105">
        <v>2810329</v>
      </c>
      <c r="E100" s="105">
        <v>841886</v>
      </c>
      <c r="F100" s="105">
        <v>645</v>
      </c>
      <c r="H100" s="104">
        <v>202204</v>
      </c>
      <c r="I100" s="107" t="s">
        <v>13</v>
      </c>
      <c r="J100" s="105">
        <v>1390438</v>
      </c>
      <c r="K100" s="105">
        <v>413942</v>
      </c>
      <c r="L100" s="105">
        <v>317</v>
      </c>
    </row>
    <row r="101" spans="2:12" x14ac:dyDescent="0.25">
      <c r="B101" s="104">
        <v>202205</v>
      </c>
      <c r="C101" s="107" t="s">
        <v>10</v>
      </c>
      <c r="D101" s="105">
        <v>41380321</v>
      </c>
      <c r="E101" s="105">
        <v>19415130</v>
      </c>
      <c r="F101" s="105">
        <v>1152</v>
      </c>
      <c r="H101" s="104">
        <v>202205</v>
      </c>
      <c r="I101" s="107" t="s">
        <v>10</v>
      </c>
      <c r="J101" s="105">
        <v>20484490</v>
      </c>
      <c r="K101" s="105">
        <v>9621570</v>
      </c>
      <c r="L101" s="105">
        <v>571</v>
      </c>
    </row>
    <row r="102" spans="2:12" x14ac:dyDescent="0.25">
      <c r="B102" s="104">
        <v>202205</v>
      </c>
      <c r="C102" s="107" t="s">
        <v>9</v>
      </c>
      <c r="D102" s="105">
        <v>10443894</v>
      </c>
      <c r="E102" s="105">
        <v>3140480</v>
      </c>
      <c r="F102" s="105">
        <v>1971</v>
      </c>
      <c r="H102" s="104">
        <v>202205</v>
      </c>
      <c r="I102" s="107" t="s">
        <v>9</v>
      </c>
      <c r="J102" s="105">
        <v>5173932</v>
      </c>
      <c r="K102" s="105">
        <v>1552238</v>
      </c>
      <c r="L102" s="105">
        <v>974</v>
      </c>
    </row>
    <row r="103" spans="2:12" x14ac:dyDescent="0.25">
      <c r="B103" s="104">
        <v>202205</v>
      </c>
      <c r="C103" s="107" t="s">
        <v>56</v>
      </c>
      <c r="D103" s="105">
        <v>77049199</v>
      </c>
      <c r="E103" s="105">
        <v>33424540</v>
      </c>
      <c r="F103" s="105">
        <v>4105</v>
      </c>
      <c r="H103" s="104">
        <v>202205</v>
      </c>
      <c r="I103" s="107" t="s">
        <v>56</v>
      </c>
      <c r="J103" s="105">
        <v>38143648</v>
      </c>
      <c r="K103" s="105">
        <v>16525250</v>
      </c>
      <c r="L103" s="105">
        <v>2030</v>
      </c>
    </row>
    <row r="104" spans="2:12" x14ac:dyDescent="0.25">
      <c r="B104" s="104">
        <v>202205</v>
      </c>
      <c r="C104" s="107" t="s">
        <v>11</v>
      </c>
      <c r="D104" s="105">
        <v>27473239</v>
      </c>
      <c r="E104" s="105">
        <v>11050134</v>
      </c>
      <c r="F104" s="105">
        <v>2959</v>
      </c>
      <c r="H104" s="104">
        <v>202205</v>
      </c>
      <c r="I104" s="107" t="s">
        <v>11</v>
      </c>
      <c r="J104" s="105">
        <v>13595536</v>
      </c>
      <c r="K104" s="105">
        <v>5466445</v>
      </c>
      <c r="L104" s="105">
        <v>1464</v>
      </c>
    </row>
    <row r="105" spans="2:12" x14ac:dyDescent="0.25">
      <c r="B105" s="104">
        <v>202205</v>
      </c>
      <c r="C105" s="107" t="s">
        <v>12</v>
      </c>
      <c r="D105" s="105">
        <v>30559013</v>
      </c>
      <c r="E105" s="105">
        <v>13145167</v>
      </c>
      <c r="F105" s="105">
        <v>2721</v>
      </c>
      <c r="H105" s="104">
        <v>202205</v>
      </c>
      <c r="I105" s="107" t="s">
        <v>12</v>
      </c>
      <c r="J105" s="105">
        <v>15162670</v>
      </c>
      <c r="K105" s="105">
        <v>6506404</v>
      </c>
      <c r="L105" s="105">
        <v>1347</v>
      </c>
    </row>
    <row r="106" spans="2:12" x14ac:dyDescent="0.25">
      <c r="B106" s="104">
        <v>202205</v>
      </c>
      <c r="C106" s="107" t="s">
        <v>13</v>
      </c>
      <c r="D106" s="105">
        <v>3716738</v>
      </c>
      <c r="E106" s="105">
        <v>1056818</v>
      </c>
      <c r="F106" s="105">
        <v>810</v>
      </c>
      <c r="H106" s="104">
        <v>202205</v>
      </c>
      <c r="I106" s="107" t="s">
        <v>13</v>
      </c>
      <c r="J106" s="105">
        <v>1829951</v>
      </c>
      <c r="K106" s="105">
        <v>519938</v>
      </c>
      <c r="L106" s="105">
        <v>399</v>
      </c>
    </row>
    <row r="107" spans="2:12" x14ac:dyDescent="0.25">
      <c r="B107" s="104">
        <v>202206</v>
      </c>
      <c r="C107" s="107" t="s">
        <v>10</v>
      </c>
      <c r="D107" s="105">
        <v>38565682</v>
      </c>
      <c r="E107" s="105">
        <v>18398940</v>
      </c>
      <c r="F107" s="105">
        <v>1092</v>
      </c>
      <c r="H107" s="104">
        <v>202206</v>
      </c>
      <c r="I107" s="107" t="s">
        <v>10</v>
      </c>
      <c r="J107" s="105">
        <v>18952361</v>
      </c>
      <c r="K107" s="105">
        <v>9044980</v>
      </c>
      <c r="L107" s="105">
        <v>537</v>
      </c>
    </row>
    <row r="108" spans="2:12" x14ac:dyDescent="0.25">
      <c r="B108" s="104">
        <v>202206</v>
      </c>
      <c r="C108" s="107" t="s">
        <v>9</v>
      </c>
      <c r="D108" s="105">
        <v>8767975</v>
      </c>
      <c r="E108" s="105">
        <v>2968308</v>
      </c>
      <c r="F108" s="105">
        <v>1864</v>
      </c>
      <c r="H108" s="104">
        <v>202206</v>
      </c>
      <c r="I108" s="107" t="s">
        <v>9</v>
      </c>
      <c r="J108" s="105">
        <v>4277818</v>
      </c>
      <c r="K108" s="105">
        <v>1465525</v>
      </c>
      <c r="L108" s="105">
        <v>921</v>
      </c>
    </row>
    <row r="109" spans="2:12" x14ac:dyDescent="0.25">
      <c r="B109" s="104">
        <v>202206</v>
      </c>
      <c r="C109" s="107" t="s">
        <v>56</v>
      </c>
      <c r="D109" s="105">
        <v>70760532</v>
      </c>
      <c r="E109" s="105">
        <v>31667280</v>
      </c>
      <c r="F109" s="105">
        <v>3888</v>
      </c>
      <c r="H109" s="104">
        <v>202206</v>
      </c>
      <c r="I109" s="107" t="s">
        <v>56</v>
      </c>
      <c r="J109" s="105">
        <v>35203485</v>
      </c>
      <c r="K109" s="105">
        <v>15670760</v>
      </c>
      <c r="L109" s="105">
        <v>1924</v>
      </c>
    </row>
    <row r="110" spans="2:12" x14ac:dyDescent="0.25">
      <c r="B110" s="104">
        <v>202206</v>
      </c>
      <c r="C110" s="107" t="s">
        <v>11</v>
      </c>
      <c r="D110" s="105">
        <v>24487301</v>
      </c>
      <c r="E110" s="105">
        <v>10466472</v>
      </c>
      <c r="F110" s="105">
        <v>2803</v>
      </c>
      <c r="H110" s="104">
        <v>202206</v>
      </c>
      <c r="I110" s="107" t="s">
        <v>11</v>
      </c>
      <c r="J110" s="105">
        <v>12176402</v>
      </c>
      <c r="K110" s="105">
        <v>5182548</v>
      </c>
      <c r="L110" s="105">
        <v>1388</v>
      </c>
    </row>
    <row r="111" spans="2:12" x14ac:dyDescent="0.25">
      <c r="B111" s="104">
        <v>202206</v>
      </c>
      <c r="C111" s="107" t="s">
        <v>12</v>
      </c>
      <c r="D111" s="105">
        <v>27371586</v>
      </c>
      <c r="E111" s="105">
        <v>12457103</v>
      </c>
      <c r="F111" s="105">
        <v>2580</v>
      </c>
      <c r="H111" s="104">
        <v>202206</v>
      </c>
      <c r="I111" s="107" t="s">
        <v>12</v>
      </c>
      <c r="J111" s="105">
        <v>13557627</v>
      </c>
      <c r="K111" s="105">
        <v>6161981</v>
      </c>
      <c r="L111" s="105">
        <v>1276</v>
      </c>
    </row>
    <row r="112" spans="2:12" x14ac:dyDescent="0.25">
      <c r="B112" s="104">
        <v>202206</v>
      </c>
      <c r="C112" s="107" t="s">
        <v>13</v>
      </c>
      <c r="D112" s="105">
        <v>3060854</v>
      </c>
      <c r="E112" s="105">
        <v>1000198</v>
      </c>
      <c r="F112" s="105">
        <v>766</v>
      </c>
      <c r="H112" s="104">
        <v>202206</v>
      </c>
      <c r="I112" s="107" t="s">
        <v>13</v>
      </c>
      <c r="J112" s="105">
        <v>1468405</v>
      </c>
      <c r="K112" s="105">
        <v>493902</v>
      </c>
      <c r="L112" s="105">
        <v>378</v>
      </c>
    </row>
    <row r="113" spans="2:12" x14ac:dyDescent="0.25">
      <c r="B113" s="104">
        <v>202207</v>
      </c>
      <c r="C113" s="107" t="s">
        <v>10</v>
      </c>
      <c r="D113" s="105">
        <v>38852052</v>
      </c>
      <c r="E113" s="105">
        <v>19415130</v>
      </c>
      <c r="F113" s="105">
        <v>1152</v>
      </c>
      <c r="H113" s="104">
        <v>202207</v>
      </c>
      <c r="I113" s="107" t="s">
        <v>10</v>
      </c>
      <c r="J113" s="105">
        <v>19226742</v>
      </c>
      <c r="K113" s="105">
        <v>9621570</v>
      </c>
      <c r="L113" s="105">
        <v>571</v>
      </c>
    </row>
    <row r="114" spans="2:12" x14ac:dyDescent="0.25">
      <c r="B114" s="104">
        <v>202207</v>
      </c>
      <c r="C114" s="107" t="s">
        <v>9</v>
      </c>
      <c r="D114" s="105">
        <v>6148646</v>
      </c>
      <c r="E114" s="105">
        <v>3140480</v>
      </c>
      <c r="F114" s="105">
        <v>1971</v>
      </c>
      <c r="H114" s="104">
        <v>202207</v>
      </c>
      <c r="I114" s="107" t="s">
        <v>9</v>
      </c>
      <c r="J114" s="105">
        <v>3016119</v>
      </c>
      <c r="K114" s="105">
        <v>1552238</v>
      </c>
      <c r="L114" s="105">
        <v>974</v>
      </c>
    </row>
    <row r="115" spans="2:12" x14ac:dyDescent="0.25">
      <c r="B115" s="104">
        <v>202207</v>
      </c>
      <c r="C115" s="107" t="s">
        <v>56</v>
      </c>
      <c r="D115" s="105">
        <v>67644467</v>
      </c>
      <c r="E115" s="105">
        <v>33424540</v>
      </c>
      <c r="F115" s="105">
        <v>4105</v>
      </c>
      <c r="H115" s="104">
        <v>202207</v>
      </c>
      <c r="I115" s="107" t="s">
        <v>56</v>
      </c>
      <c r="J115" s="105">
        <v>33446571</v>
      </c>
      <c r="K115" s="105">
        <v>16525250</v>
      </c>
      <c r="L115" s="105">
        <v>2030</v>
      </c>
    </row>
    <row r="116" spans="2:12" x14ac:dyDescent="0.25">
      <c r="B116" s="104">
        <v>202207</v>
      </c>
      <c r="C116" s="107" t="s">
        <v>11</v>
      </c>
      <c r="D116" s="105">
        <v>21149864</v>
      </c>
      <c r="E116" s="105">
        <v>11050134</v>
      </c>
      <c r="F116" s="105">
        <v>2959</v>
      </c>
      <c r="H116" s="104">
        <v>202207</v>
      </c>
      <c r="I116" s="107" t="s">
        <v>11</v>
      </c>
      <c r="J116" s="105">
        <v>10499336</v>
      </c>
      <c r="K116" s="105">
        <v>5466445</v>
      </c>
      <c r="L116" s="105">
        <v>1464</v>
      </c>
    </row>
    <row r="117" spans="2:12" x14ac:dyDescent="0.25">
      <c r="B117" s="104">
        <v>202207</v>
      </c>
      <c r="C117" s="107" t="s">
        <v>12</v>
      </c>
      <c r="D117" s="105">
        <v>24618737</v>
      </c>
      <c r="E117" s="105">
        <v>13145167</v>
      </c>
      <c r="F117" s="105">
        <v>2721</v>
      </c>
      <c r="H117" s="104">
        <v>202207</v>
      </c>
      <c r="I117" s="107" t="s">
        <v>12</v>
      </c>
      <c r="J117" s="105">
        <v>12197746</v>
      </c>
      <c r="K117" s="105">
        <v>6506404</v>
      </c>
      <c r="L117" s="105">
        <v>1347</v>
      </c>
    </row>
    <row r="118" spans="2:12" x14ac:dyDescent="0.25">
      <c r="B118" s="104">
        <v>202207</v>
      </c>
      <c r="C118" s="107" t="s">
        <v>13</v>
      </c>
      <c r="D118" s="105">
        <v>1888572</v>
      </c>
      <c r="E118" s="105">
        <v>1056818</v>
      </c>
      <c r="F118" s="105">
        <v>810</v>
      </c>
      <c r="H118" s="104">
        <v>202207</v>
      </c>
      <c r="I118" s="107" t="s">
        <v>13</v>
      </c>
      <c r="J118" s="105">
        <v>916016</v>
      </c>
      <c r="K118" s="105">
        <v>519938</v>
      </c>
      <c r="L118" s="105">
        <v>399</v>
      </c>
    </row>
    <row r="119" spans="2:12" x14ac:dyDescent="0.25">
      <c r="B119" s="104">
        <v>202208</v>
      </c>
      <c r="C119" s="107" t="s">
        <v>10</v>
      </c>
      <c r="D119" s="105">
        <v>33821425</v>
      </c>
      <c r="E119" s="105">
        <v>16445380</v>
      </c>
      <c r="F119" s="105">
        <v>976</v>
      </c>
      <c r="H119" s="104">
        <v>202208</v>
      </c>
      <c r="I119" s="107" t="s">
        <v>10</v>
      </c>
      <c r="J119" s="105">
        <v>16668565</v>
      </c>
      <c r="K119" s="105">
        <v>8106490</v>
      </c>
      <c r="L119" s="105">
        <v>481</v>
      </c>
    </row>
    <row r="120" spans="2:12" x14ac:dyDescent="0.25">
      <c r="B120" s="104">
        <v>202208</v>
      </c>
      <c r="C120" s="107" t="s">
        <v>9</v>
      </c>
      <c r="D120" s="105">
        <v>6811859</v>
      </c>
      <c r="E120" s="105">
        <v>2640615</v>
      </c>
      <c r="F120" s="105">
        <v>1658</v>
      </c>
      <c r="H120" s="104">
        <v>202208</v>
      </c>
      <c r="I120" s="107" t="s">
        <v>9</v>
      </c>
      <c r="J120" s="105">
        <v>3361416</v>
      </c>
      <c r="K120" s="105">
        <v>1306336</v>
      </c>
      <c r="L120" s="105">
        <v>820</v>
      </c>
    </row>
    <row r="121" spans="2:12" x14ac:dyDescent="0.25">
      <c r="B121" s="104">
        <v>202208</v>
      </c>
      <c r="C121" s="107" t="s">
        <v>56</v>
      </c>
      <c r="D121" s="105">
        <v>60357579</v>
      </c>
      <c r="E121" s="105">
        <v>28222590</v>
      </c>
      <c r="F121" s="105">
        <v>3464</v>
      </c>
      <c r="H121" s="104">
        <v>202208</v>
      </c>
      <c r="I121" s="107" t="s">
        <v>56</v>
      </c>
      <c r="J121" s="105">
        <v>29774633</v>
      </c>
      <c r="K121" s="105">
        <v>13947540</v>
      </c>
      <c r="L121" s="105">
        <v>1712</v>
      </c>
    </row>
    <row r="122" spans="2:12" x14ac:dyDescent="0.25">
      <c r="B122" s="104">
        <v>202208</v>
      </c>
      <c r="C122" s="107" t="s">
        <v>11</v>
      </c>
      <c r="D122" s="105">
        <v>20217098</v>
      </c>
      <c r="E122" s="105">
        <v>9324225</v>
      </c>
      <c r="F122" s="105">
        <v>2497</v>
      </c>
      <c r="H122" s="104">
        <v>202208</v>
      </c>
      <c r="I122" s="107" t="s">
        <v>11</v>
      </c>
      <c r="J122" s="105">
        <v>9991750</v>
      </c>
      <c r="K122" s="105">
        <v>4611892</v>
      </c>
      <c r="L122" s="105">
        <v>1235</v>
      </c>
    </row>
    <row r="123" spans="2:12" x14ac:dyDescent="0.25">
      <c r="B123" s="104">
        <v>202208</v>
      </c>
      <c r="C123" s="107" t="s">
        <v>12</v>
      </c>
      <c r="D123" s="105">
        <v>23199181</v>
      </c>
      <c r="E123" s="105">
        <v>11100629</v>
      </c>
      <c r="F123" s="105">
        <v>2299</v>
      </c>
      <c r="H123" s="104">
        <v>202208</v>
      </c>
      <c r="I123" s="107" t="s">
        <v>12</v>
      </c>
      <c r="J123" s="105">
        <v>11536042</v>
      </c>
      <c r="K123" s="105">
        <v>5480820</v>
      </c>
      <c r="L123" s="105">
        <v>1135</v>
      </c>
    </row>
    <row r="124" spans="2:12" x14ac:dyDescent="0.25">
      <c r="B124" s="104">
        <v>202208</v>
      </c>
      <c r="C124" s="107" t="s">
        <v>13</v>
      </c>
      <c r="D124" s="105">
        <v>2247944</v>
      </c>
      <c r="E124" s="105">
        <v>899458</v>
      </c>
      <c r="F124" s="105">
        <v>688</v>
      </c>
      <c r="H124" s="104">
        <v>202208</v>
      </c>
      <c r="I124" s="107" t="s">
        <v>13</v>
      </c>
      <c r="J124" s="105">
        <v>1093501</v>
      </c>
      <c r="K124" s="105">
        <v>443228</v>
      </c>
      <c r="L124" s="105">
        <v>339</v>
      </c>
    </row>
    <row r="125" spans="2:12" x14ac:dyDescent="0.25">
      <c r="B125" s="104">
        <v>202209</v>
      </c>
      <c r="C125" s="107" t="s">
        <v>10</v>
      </c>
      <c r="D125" s="105">
        <v>36031471</v>
      </c>
      <c r="E125" s="105">
        <v>17411380</v>
      </c>
      <c r="F125" s="105">
        <v>1033</v>
      </c>
      <c r="H125" s="104">
        <v>202209</v>
      </c>
      <c r="I125" s="107" t="s">
        <v>10</v>
      </c>
      <c r="J125" s="105">
        <v>17797295</v>
      </c>
      <c r="K125" s="105">
        <v>8579830</v>
      </c>
      <c r="L125" s="105">
        <v>509</v>
      </c>
    </row>
    <row r="126" spans="2:12" x14ac:dyDescent="0.25">
      <c r="B126" s="104">
        <v>202209</v>
      </c>
      <c r="C126" s="107" t="s">
        <v>9</v>
      </c>
      <c r="D126" s="105">
        <v>7445283</v>
      </c>
      <c r="E126" s="105">
        <v>2802957</v>
      </c>
      <c r="F126" s="105">
        <v>1760</v>
      </c>
      <c r="H126" s="104">
        <v>202209</v>
      </c>
      <c r="I126" s="107" t="s">
        <v>9</v>
      </c>
      <c r="J126" s="105">
        <v>3721940</v>
      </c>
      <c r="K126" s="105">
        <v>1385852</v>
      </c>
      <c r="L126" s="105">
        <v>870</v>
      </c>
    </row>
    <row r="127" spans="2:12" x14ac:dyDescent="0.25">
      <c r="B127" s="104">
        <v>202209</v>
      </c>
      <c r="C127" s="107" t="s">
        <v>56</v>
      </c>
      <c r="D127" s="105">
        <v>64985102</v>
      </c>
      <c r="E127" s="105">
        <v>29877170</v>
      </c>
      <c r="F127" s="105">
        <v>3670</v>
      </c>
      <c r="H127" s="104">
        <v>202209</v>
      </c>
      <c r="I127" s="107" t="s">
        <v>56</v>
      </c>
      <c r="J127" s="105">
        <v>32281292</v>
      </c>
      <c r="K127" s="105">
        <v>14776370</v>
      </c>
      <c r="L127" s="105">
        <v>1815</v>
      </c>
    </row>
    <row r="128" spans="2:12" x14ac:dyDescent="0.25">
      <c r="B128" s="104">
        <v>202209</v>
      </c>
      <c r="C128" s="107" t="s">
        <v>11</v>
      </c>
      <c r="D128" s="105">
        <v>21895809</v>
      </c>
      <c r="E128" s="105">
        <v>9894059</v>
      </c>
      <c r="F128" s="105">
        <v>2649</v>
      </c>
      <c r="H128" s="104">
        <v>202209</v>
      </c>
      <c r="I128" s="107" t="s">
        <v>11</v>
      </c>
      <c r="J128" s="105">
        <v>10697900</v>
      </c>
      <c r="K128" s="105">
        <v>4899245</v>
      </c>
      <c r="L128" s="105">
        <v>1312</v>
      </c>
    </row>
    <row r="129" spans="2:12" x14ac:dyDescent="0.25">
      <c r="B129" s="104">
        <v>202209</v>
      </c>
      <c r="C129" s="107" t="s">
        <v>12</v>
      </c>
      <c r="D129" s="105">
        <v>24729663</v>
      </c>
      <c r="E129" s="105">
        <v>11773011</v>
      </c>
      <c r="F129" s="105">
        <v>2438</v>
      </c>
      <c r="H129" s="104">
        <v>202209</v>
      </c>
      <c r="I129" s="107" t="s">
        <v>12</v>
      </c>
      <c r="J129" s="105">
        <v>12257598</v>
      </c>
      <c r="K129" s="105">
        <v>5828332</v>
      </c>
      <c r="L129" s="105">
        <v>1207</v>
      </c>
    </row>
    <row r="130" spans="2:12" x14ac:dyDescent="0.25">
      <c r="B130" s="104">
        <v>202209</v>
      </c>
      <c r="C130" s="107" t="s">
        <v>13</v>
      </c>
      <c r="D130" s="105">
        <v>2541162</v>
      </c>
      <c r="E130" s="105">
        <v>946008</v>
      </c>
      <c r="F130" s="105">
        <v>725</v>
      </c>
      <c r="H130" s="104">
        <v>202209</v>
      </c>
      <c r="I130" s="107" t="s">
        <v>13</v>
      </c>
      <c r="J130" s="105">
        <v>1248363</v>
      </c>
      <c r="K130" s="105">
        <v>468432</v>
      </c>
      <c r="L130" s="105">
        <v>359</v>
      </c>
    </row>
    <row r="131" spans="2:12" x14ac:dyDescent="0.25">
      <c r="B131" s="104">
        <v>202210</v>
      </c>
      <c r="C131" s="107" t="s">
        <v>10</v>
      </c>
      <c r="D131" s="105">
        <v>30261028</v>
      </c>
      <c r="E131" s="105">
        <v>14405650</v>
      </c>
      <c r="F131" s="105">
        <v>856</v>
      </c>
      <c r="H131" s="104">
        <v>202210</v>
      </c>
      <c r="I131" s="107" t="s">
        <v>10</v>
      </c>
      <c r="J131" s="105">
        <v>14881328</v>
      </c>
      <c r="K131" s="105">
        <v>7086940</v>
      </c>
      <c r="L131" s="105">
        <v>421</v>
      </c>
    </row>
    <row r="132" spans="2:12" x14ac:dyDescent="0.25">
      <c r="B132" s="104">
        <v>202210</v>
      </c>
      <c r="C132" s="107" t="s">
        <v>9</v>
      </c>
      <c r="D132" s="105">
        <v>7081951</v>
      </c>
      <c r="E132" s="105">
        <v>2311947</v>
      </c>
      <c r="F132" s="105">
        <v>1452</v>
      </c>
      <c r="H132" s="104">
        <v>202210</v>
      </c>
      <c r="I132" s="107" t="s">
        <v>9</v>
      </c>
      <c r="J132" s="105">
        <v>3553618</v>
      </c>
      <c r="K132" s="105">
        <v>1142271</v>
      </c>
      <c r="L132" s="105">
        <v>718</v>
      </c>
    </row>
    <row r="133" spans="2:12" x14ac:dyDescent="0.25">
      <c r="B133" s="104">
        <v>202210</v>
      </c>
      <c r="C133" s="107" t="s">
        <v>56</v>
      </c>
      <c r="D133" s="105">
        <v>55330861</v>
      </c>
      <c r="E133" s="105">
        <v>24722000</v>
      </c>
      <c r="F133" s="105">
        <v>3034</v>
      </c>
      <c r="H133" s="104">
        <v>202210</v>
      </c>
      <c r="I133" s="107" t="s">
        <v>56</v>
      </c>
      <c r="J133" s="105">
        <v>27343395</v>
      </c>
      <c r="K133" s="105">
        <v>12223450</v>
      </c>
      <c r="L133" s="105">
        <v>1500</v>
      </c>
    </row>
    <row r="134" spans="2:12" x14ac:dyDescent="0.25">
      <c r="B134" s="104">
        <v>202210</v>
      </c>
      <c r="C134" s="107" t="s">
        <v>11</v>
      </c>
      <c r="D134" s="105">
        <v>19313051</v>
      </c>
      <c r="E134" s="105">
        <v>8153183</v>
      </c>
      <c r="F134" s="105">
        <v>2184</v>
      </c>
      <c r="H134" s="104">
        <v>202210</v>
      </c>
      <c r="I134" s="107" t="s">
        <v>11</v>
      </c>
      <c r="J134" s="105">
        <v>9532191</v>
      </c>
      <c r="K134" s="105">
        <v>4031939</v>
      </c>
      <c r="L134" s="105">
        <v>1080</v>
      </c>
    </row>
    <row r="135" spans="2:12" x14ac:dyDescent="0.25">
      <c r="B135" s="104">
        <v>202210</v>
      </c>
      <c r="C135" s="107" t="s">
        <v>12</v>
      </c>
      <c r="D135" s="105">
        <v>21788519</v>
      </c>
      <c r="E135" s="105">
        <v>9731998</v>
      </c>
      <c r="F135" s="105">
        <v>2015</v>
      </c>
      <c r="H135" s="104">
        <v>202210</v>
      </c>
      <c r="I135" s="107" t="s">
        <v>12</v>
      </c>
      <c r="J135" s="105">
        <v>10825215</v>
      </c>
      <c r="K135" s="105">
        <v>4805123</v>
      </c>
      <c r="L135" s="105">
        <v>995</v>
      </c>
    </row>
    <row r="136" spans="2:12" x14ac:dyDescent="0.25">
      <c r="B136" s="104">
        <v>202210</v>
      </c>
      <c r="C136" s="107" t="s">
        <v>13</v>
      </c>
      <c r="D136" s="105">
        <v>2427717</v>
      </c>
      <c r="E136" s="105">
        <v>787438</v>
      </c>
      <c r="F136" s="105">
        <v>603</v>
      </c>
      <c r="H136" s="104">
        <v>202210</v>
      </c>
      <c r="I136" s="107" t="s">
        <v>13</v>
      </c>
      <c r="J136" s="105">
        <v>1183663</v>
      </c>
      <c r="K136" s="105">
        <v>384656</v>
      </c>
      <c r="L136" s="105">
        <v>295</v>
      </c>
    </row>
    <row r="137" spans="2:12" x14ac:dyDescent="0.25">
      <c r="B137" s="104">
        <v>202211</v>
      </c>
      <c r="C137" s="107" t="s">
        <v>10</v>
      </c>
      <c r="D137" s="105">
        <v>21867354</v>
      </c>
      <c r="E137" s="105">
        <v>10443860</v>
      </c>
      <c r="F137" s="105">
        <v>620</v>
      </c>
      <c r="H137" s="104">
        <v>202211</v>
      </c>
      <c r="I137" s="107" t="s">
        <v>10</v>
      </c>
      <c r="J137" s="105">
        <v>10781272</v>
      </c>
      <c r="K137" s="105">
        <v>5136250</v>
      </c>
      <c r="L137" s="105">
        <v>305</v>
      </c>
    </row>
    <row r="138" spans="2:12" x14ac:dyDescent="0.25">
      <c r="B138" s="104">
        <v>202211</v>
      </c>
      <c r="C138" s="107" t="s">
        <v>9</v>
      </c>
      <c r="D138" s="105">
        <v>4877697</v>
      </c>
      <c r="E138" s="105">
        <v>1663540</v>
      </c>
      <c r="F138" s="105">
        <v>1044</v>
      </c>
      <c r="H138" s="104">
        <v>202211</v>
      </c>
      <c r="I138" s="107" t="s">
        <v>9</v>
      </c>
      <c r="J138" s="105">
        <v>2407044</v>
      </c>
      <c r="K138" s="105">
        <v>820401</v>
      </c>
      <c r="L138" s="105">
        <v>515</v>
      </c>
    </row>
    <row r="139" spans="2:12" x14ac:dyDescent="0.25">
      <c r="B139" s="104">
        <v>202211</v>
      </c>
      <c r="C139" s="107" t="s">
        <v>56</v>
      </c>
      <c r="D139" s="105">
        <v>39228988</v>
      </c>
      <c r="E139" s="105">
        <v>17706510</v>
      </c>
      <c r="F139" s="105">
        <v>2172</v>
      </c>
      <c r="H139" s="104">
        <v>202211</v>
      </c>
      <c r="I139" s="107" t="s">
        <v>56</v>
      </c>
      <c r="J139" s="105">
        <v>19420020</v>
      </c>
      <c r="K139" s="105">
        <v>8757500</v>
      </c>
      <c r="L139" s="105">
        <v>1074</v>
      </c>
    </row>
    <row r="140" spans="2:12" x14ac:dyDescent="0.25">
      <c r="B140" s="104">
        <v>202211</v>
      </c>
      <c r="C140" s="107" t="s">
        <v>11</v>
      </c>
      <c r="D140" s="105">
        <v>13600594</v>
      </c>
      <c r="E140" s="105">
        <v>5864692</v>
      </c>
      <c r="F140" s="105">
        <v>1570</v>
      </c>
      <c r="H140" s="104">
        <v>202211</v>
      </c>
      <c r="I140" s="107" t="s">
        <v>11</v>
      </c>
      <c r="J140" s="105">
        <v>6752695</v>
      </c>
      <c r="K140" s="105">
        <v>2890908</v>
      </c>
      <c r="L140" s="105">
        <v>774</v>
      </c>
    </row>
    <row r="141" spans="2:12" x14ac:dyDescent="0.25">
      <c r="B141" s="104">
        <v>202211</v>
      </c>
      <c r="C141" s="107" t="s">
        <v>12</v>
      </c>
      <c r="D141" s="105">
        <v>15269323</v>
      </c>
      <c r="E141" s="105">
        <v>6981308</v>
      </c>
      <c r="F141" s="105">
        <v>1446</v>
      </c>
      <c r="H141" s="104">
        <v>202211</v>
      </c>
      <c r="I141" s="107" t="s">
        <v>12</v>
      </c>
      <c r="J141" s="105">
        <v>7543805</v>
      </c>
      <c r="K141" s="105">
        <v>3456231</v>
      </c>
      <c r="L141" s="105">
        <v>716</v>
      </c>
    </row>
    <row r="142" spans="2:12" x14ac:dyDescent="0.25">
      <c r="B142" s="104">
        <v>202211</v>
      </c>
      <c r="C142" s="107" t="s">
        <v>13</v>
      </c>
      <c r="D142" s="105">
        <v>1673735</v>
      </c>
      <c r="E142" s="105">
        <v>564050</v>
      </c>
      <c r="F142" s="105">
        <v>435</v>
      </c>
      <c r="H142" s="104">
        <v>202211</v>
      </c>
      <c r="I142" s="107" t="s">
        <v>13</v>
      </c>
      <c r="J142" s="105">
        <v>802053</v>
      </c>
      <c r="K142" s="105">
        <v>275062</v>
      </c>
      <c r="L142" s="105">
        <v>212</v>
      </c>
    </row>
    <row r="143" spans="2:12" x14ac:dyDescent="0.25">
      <c r="B143" s="104">
        <v>202212</v>
      </c>
      <c r="C143" s="107" t="s">
        <v>10</v>
      </c>
      <c r="D143" s="105">
        <v>25420504</v>
      </c>
      <c r="E143" s="105">
        <v>12384050</v>
      </c>
      <c r="F143" s="105">
        <v>735</v>
      </c>
      <c r="H143" s="104">
        <v>202212</v>
      </c>
      <c r="I143" s="107" t="s">
        <v>10</v>
      </c>
      <c r="J143" s="105">
        <v>12630310</v>
      </c>
      <c r="K143" s="105">
        <v>6147470</v>
      </c>
      <c r="L143" s="105">
        <v>365</v>
      </c>
    </row>
    <row r="144" spans="2:12" x14ac:dyDescent="0.25">
      <c r="B144" s="104">
        <v>202212</v>
      </c>
      <c r="C144" s="107" t="s">
        <v>9</v>
      </c>
      <c r="D144" s="105">
        <v>5017050</v>
      </c>
      <c r="E144" s="105">
        <v>1989383</v>
      </c>
      <c r="F144" s="105">
        <v>1249</v>
      </c>
      <c r="H144" s="104">
        <v>202212</v>
      </c>
      <c r="I144" s="107" t="s">
        <v>9</v>
      </c>
      <c r="J144" s="105">
        <v>2494022</v>
      </c>
      <c r="K144" s="105">
        <v>981106</v>
      </c>
      <c r="L144" s="105">
        <v>616</v>
      </c>
    </row>
    <row r="145" spans="2:12" x14ac:dyDescent="0.25">
      <c r="B145" s="104">
        <v>202212</v>
      </c>
      <c r="C145" s="107" t="s">
        <v>56</v>
      </c>
      <c r="D145" s="105">
        <v>45557157</v>
      </c>
      <c r="E145" s="105">
        <v>21211360</v>
      </c>
      <c r="F145" s="105">
        <v>2602</v>
      </c>
      <c r="H145" s="104">
        <v>202212</v>
      </c>
      <c r="I145" s="107" t="s">
        <v>56</v>
      </c>
      <c r="J145" s="105">
        <v>22410694</v>
      </c>
      <c r="K145" s="105">
        <v>10496550</v>
      </c>
      <c r="L145" s="105">
        <v>1288</v>
      </c>
    </row>
    <row r="146" spans="2:12" x14ac:dyDescent="0.25">
      <c r="B146" s="104">
        <v>202212</v>
      </c>
      <c r="C146" s="107" t="s">
        <v>11</v>
      </c>
      <c r="D146" s="105">
        <v>15203313</v>
      </c>
      <c r="E146" s="105">
        <v>7013602</v>
      </c>
      <c r="F146" s="105">
        <v>1878</v>
      </c>
      <c r="H146" s="104">
        <v>202212</v>
      </c>
      <c r="I146" s="107" t="s">
        <v>11</v>
      </c>
      <c r="J146" s="105">
        <v>7452573</v>
      </c>
      <c r="K146" s="105">
        <v>3466470</v>
      </c>
      <c r="L146" s="105">
        <v>928</v>
      </c>
    </row>
    <row r="147" spans="2:12" x14ac:dyDescent="0.25">
      <c r="B147" s="104">
        <v>202212</v>
      </c>
      <c r="C147" s="107" t="s">
        <v>12</v>
      </c>
      <c r="D147" s="105">
        <v>17399136</v>
      </c>
      <c r="E147" s="105">
        <v>8328300</v>
      </c>
      <c r="F147" s="105">
        <v>1725</v>
      </c>
      <c r="H147" s="104">
        <v>202212</v>
      </c>
      <c r="I147" s="107" t="s">
        <v>12</v>
      </c>
      <c r="J147" s="105">
        <v>8652307</v>
      </c>
      <c r="K147" s="105">
        <v>4122636</v>
      </c>
      <c r="L147" s="105">
        <v>854</v>
      </c>
    </row>
    <row r="148" spans="2:12" x14ac:dyDescent="0.25">
      <c r="B148" s="104">
        <v>202212</v>
      </c>
      <c r="C148" s="107" t="s">
        <v>13</v>
      </c>
      <c r="D148" s="105">
        <v>1757366</v>
      </c>
      <c r="E148" s="105">
        <v>677460</v>
      </c>
      <c r="F148" s="105">
        <v>519</v>
      </c>
      <c r="H148" s="104">
        <v>202212</v>
      </c>
      <c r="I148" s="107" t="s">
        <v>13</v>
      </c>
      <c r="J148" s="105">
        <v>856285</v>
      </c>
      <c r="K148" s="105">
        <v>333932</v>
      </c>
      <c r="L148" s="105">
        <v>256</v>
      </c>
    </row>
    <row r="149" spans="2:12" ht="14.4" x14ac:dyDescent="0.3">
      <c r="B149"/>
      <c r="C149"/>
      <c r="D149"/>
      <c r="E149"/>
      <c r="F149"/>
      <c r="H149"/>
      <c r="I149"/>
      <c r="J149"/>
      <c r="K149"/>
      <c r="L149"/>
    </row>
    <row r="150" spans="2:12" ht="14.4" x14ac:dyDescent="0.3">
      <c r="B150"/>
      <c r="C150"/>
      <c r="D150"/>
      <c r="E150"/>
      <c r="F150"/>
      <c r="H150"/>
      <c r="I150"/>
      <c r="J150"/>
      <c r="K150"/>
      <c r="L150"/>
    </row>
    <row r="151" spans="2:12" ht="14.4" x14ac:dyDescent="0.3">
      <c r="B151"/>
      <c r="C151"/>
      <c r="D151"/>
      <c r="E151"/>
      <c r="F151"/>
      <c r="H151"/>
      <c r="I151"/>
      <c r="J151"/>
      <c r="K151"/>
      <c r="L151"/>
    </row>
    <row r="152" spans="2:12" ht="14.4" x14ac:dyDescent="0.3">
      <c r="B152"/>
      <c r="C152"/>
      <c r="D152"/>
      <c r="E152"/>
      <c r="F152"/>
      <c r="H152"/>
      <c r="I152"/>
      <c r="J152"/>
      <c r="K152"/>
      <c r="L152"/>
    </row>
    <row r="153" spans="2:12" ht="14.4" x14ac:dyDescent="0.3">
      <c r="B153"/>
      <c r="C153"/>
      <c r="D153"/>
      <c r="E153"/>
      <c r="F153"/>
      <c r="H153"/>
      <c r="I153"/>
      <c r="J153"/>
      <c r="K153"/>
      <c r="L153"/>
    </row>
    <row r="154" spans="2:12" ht="14.4" x14ac:dyDescent="0.3">
      <c r="B154"/>
      <c r="C154"/>
      <c r="D154"/>
      <c r="E154"/>
      <c r="F154"/>
      <c r="H154"/>
      <c r="I154"/>
      <c r="J154"/>
      <c r="K154"/>
      <c r="L154"/>
    </row>
    <row r="155" spans="2:12" ht="14.4" x14ac:dyDescent="0.3">
      <c r="B155"/>
      <c r="C155"/>
      <c r="D155"/>
      <c r="E155"/>
      <c r="F155"/>
      <c r="H155"/>
      <c r="I155"/>
      <c r="J155"/>
      <c r="K155"/>
      <c r="L155"/>
    </row>
    <row r="156" spans="2:12" ht="14.4" x14ac:dyDescent="0.3">
      <c r="B156"/>
      <c r="C156"/>
      <c r="D156"/>
      <c r="E156"/>
      <c r="F156"/>
      <c r="H156"/>
      <c r="I156"/>
      <c r="J156"/>
      <c r="K156"/>
      <c r="L156"/>
    </row>
    <row r="157" spans="2:12" ht="14.4" x14ac:dyDescent="0.3">
      <c r="B157"/>
      <c r="C157"/>
      <c r="D157"/>
      <c r="E157"/>
      <c r="F157"/>
      <c r="H157"/>
      <c r="I157"/>
      <c r="J157"/>
      <c r="K157"/>
      <c r="L157"/>
    </row>
    <row r="158" spans="2:12" ht="14.4" x14ac:dyDescent="0.3">
      <c r="B158"/>
      <c r="C158"/>
      <c r="D158"/>
      <c r="E158"/>
      <c r="F158"/>
      <c r="H158"/>
      <c r="I158"/>
      <c r="J158"/>
      <c r="K158"/>
      <c r="L158"/>
    </row>
    <row r="159" spans="2:12" ht="14.4" x14ac:dyDescent="0.3">
      <c r="B159"/>
      <c r="C159"/>
      <c r="D159"/>
      <c r="E159"/>
      <c r="F159"/>
      <c r="H159"/>
      <c r="I159"/>
      <c r="J159"/>
      <c r="K159"/>
      <c r="L159"/>
    </row>
    <row r="160" spans="2:12" ht="14.4" x14ac:dyDescent="0.3">
      <c r="B160"/>
      <c r="C160"/>
      <c r="D160"/>
      <c r="E160"/>
      <c r="F160"/>
      <c r="H160"/>
      <c r="I160"/>
      <c r="J160"/>
      <c r="K160"/>
      <c r="L160"/>
    </row>
    <row r="161" spans="2:12" ht="14.4" x14ac:dyDescent="0.3">
      <c r="B161"/>
      <c r="C161"/>
      <c r="D161"/>
      <c r="E161"/>
      <c r="F161"/>
      <c r="H161"/>
      <c r="I161"/>
      <c r="J161"/>
      <c r="K161"/>
      <c r="L161"/>
    </row>
    <row r="162" spans="2:12" ht="14.4" x14ac:dyDescent="0.3">
      <c r="B162"/>
      <c r="C162"/>
      <c r="D162"/>
      <c r="E162"/>
      <c r="F162"/>
      <c r="H162"/>
      <c r="I162"/>
      <c r="J162"/>
      <c r="K162"/>
      <c r="L162"/>
    </row>
    <row r="163" spans="2:12" ht="14.4" x14ac:dyDescent="0.3">
      <c r="B163"/>
      <c r="C163"/>
      <c r="D163"/>
      <c r="E163"/>
      <c r="F163"/>
      <c r="H163"/>
      <c r="I163"/>
      <c r="J163"/>
      <c r="K163"/>
      <c r="L163"/>
    </row>
    <row r="164" spans="2:12" ht="14.4" x14ac:dyDescent="0.3">
      <c r="B164"/>
      <c r="C164"/>
      <c r="D164"/>
      <c r="E164"/>
      <c r="F164"/>
      <c r="H164"/>
      <c r="I164"/>
      <c r="J164"/>
      <c r="K164"/>
      <c r="L164"/>
    </row>
    <row r="165" spans="2:12" ht="14.4" x14ac:dyDescent="0.3">
      <c r="B165"/>
      <c r="C165"/>
      <c r="D165"/>
      <c r="E165"/>
      <c r="F165"/>
      <c r="H165"/>
      <c r="I165"/>
      <c r="J165"/>
      <c r="K165"/>
      <c r="L165"/>
    </row>
    <row r="166" spans="2:12" ht="14.4" x14ac:dyDescent="0.3">
      <c r="B166"/>
      <c r="C166"/>
      <c r="D166"/>
      <c r="E166"/>
      <c r="F166"/>
      <c r="H166"/>
      <c r="I166"/>
      <c r="J166"/>
      <c r="K166"/>
      <c r="L166"/>
    </row>
    <row r="167" spans="2:12" ht="14.4" x14ac:dyDescent="0.3">
      <c r="B167"/>
      <c r="C167"/>
      <c r="D167"/>
      <c r="E167"/>
      <c r="F167"/>
      <c r="H167"/>
      <c r="I167"/>
      <c r="J167"/>
      <c r="K167"/>
      <c r="L167"/>
    </row>
    <row r="168" spans="2:12" ht="14.4" x14ac:dyDescent="0.3">
      <c r="B168"/>
      <c r="C168"/>
      <c r="D168"/>
      <c r="E168"/>
      <c r="F168"/>
      <c r="H168"/>
      <c r="I168"/>
      <c r="J168"/>
      <c r="K168"/>
      <c r="L168"/>
    </row>
    <row r="169" spans="2:12" ht="14.4" x14ac:dyDescent="0.3">
      <c r="B169"/>
      <c r="C169"/>
      <c r="D169"/>
      <c r="E169"/>
      <c r="F169"/>
      <c r="H169"/>
      <c r="I169"/>
      <c r="J169"/>
      <c r="K169"/>
      <c r="L169"/>
    </row>
    <row r="170" spans="2:12" ht="14.4" x14ac:dyDescent="0.3">
      <c r="B170"/>
      <c r="C170"/>
      <c r="D170"/>
      <c r="E170"/>
      <c r="F170"/>
      <c r="H170"/>
      <c r="I170"/>
      <c r="J170"/>
      <c r="K170"/>
      <c r="L170"/>
    </row>
    <row r="171" spans="2:12" ht="14.4" x14ac:dyDescent="0.3">
      <c r="B171"/>
      <c r="C171"/>
      <c r="D171"/>
      <c r="E171"/>
      <c r="F171"/>
      <c r="H171"/>
      <c r="I171"/>
      <c r="J171"/>
      <c r="K171"/>
      <c r="L171"/>
    </row>
    <row r="172" spans="2:12" ht="14.4" x14ac:dyDescent="0.3">
      <c r="B172"/>
      <c r="C172"/>
      <c r="D172"/>
      <c r="E172"/>
      <c r="F172"/>
      <c r="H172"/>
      <c r="I172"/>
      <c r="J172"/>
      <c r="K172"/>
      <c r="L172"/>
    </row>
    <row r="173" spans="2:12" ht="14.4" x14ac:dyDescent="0.3">
      <c r="B173"/>
      <c r="C173"/>
      <c r="D173"/>
      <c r="E173"/>
      <c r="F173"/>
      <c r="H173"/>
      <c r="I173"/>
      <c r="J173"/>
      <c r="K173"/>
      <c r="L173"/>
    </row>
    <row r="174" spans="2:12" ht="14.4" x14ac:dyDescent="0.3">
      <c r="B174"/>
      <c r="C174"/>
      <c r="D174"/>
      <c r="E174"/>
      <c r="F174"/>
      <c r="H174"/>
      <c r="I174"/>
      <c r="J174"/>
      <c r="K174"/>
      <c r="L174"/>
    </row>
    <row r="175" spans="2:12" ht="14.4" x14ac:dyDescent="0.3">
      <c r="B175"/>
      <c r="C175"/>
      <c r="D175"/>
      <c r="E175"/>
      <c r="F175"/>
      <c r="H175"/>
      <c r="I175"/>
      <c r="J175"/>
      <c r="K175"/>
      <c r="L175"/>
    </row>
    <row r="176" spans="2:12" ht="14.4" x14ac:dyDescent="0.3">
      <c r="B176"/>
      <c r="C176"/>
      <c r="D176"/>
      <c r="E176"/>
      <c r="F176"/>
      <c r="H176"/>
      <c r="I176"/>
      <c r="J176"/>
      <c r="K176"/>
      <c r="L176"/>
    </row>
    <row r="177" spans="2:12" ht="14.4" x14ac:dyDescent="0.3">
      <c r="B177"/>
      <c r="C177"/>
      <c r="D177"/>
      <c r="E177"/>
      <c r="F177"/>
      <c r="H177"/>
      <c r="I177"/>
      <c r="J177"/>
      <c r="K177"/>
      <c r="L177"/>
    </row>
    <row r="178" spans="2:12" ht="14.4" x14ac:dyDescent="0.3">
      <c r="B178"/>
      <c r="C178"/>
      <c r="D178"/>
      <c r="E178"/>
      <c r="F178"/>
      <c r="H178"/>
      <c r="I178"/>
      <c r="J178"/>
      <c r="K178"/>
      <c r="L178"/>
    </row>
    <row r="179" spans="2:12" ht="14.4" x14ac:dyDescent="0.3">
      <c r="B179"/>
      <c r="C179"/>
      <c r="D179"/>
      <c r="E179"/>
      <c r="F179"/>
      <c r="H179"/>
      <c r="I179"/>
      <c r="J179"/>
      <c r="K179"/>
      <c r="L179"/>
    </row>
    <row r="180" spans="2:12" ht="14.4" x14ac:dyDescent="0.3">
      <c r="B180"/>
      <c r="C180"/>
      <c r="D180"/>
      <c r="E180"/>
      <c r="F180"/>
      <c r="H180"/>
      <c r="I180"/>
      <c r="J180"/>
      <c r="K180"/>
      <c r="L180"/>
    </row>
    <row r="181" spans="2:12" ht="14.4" x14ac:dyDescent="0.3">
      <c r="B181"/>
      <c r="C181"/>
      <c r="D181"/>
      <c r="E181"/>
      <c r="F181"/>
      <c r="H181"/>
      <c r="I181"/>
      <c r="J181"/>
      <c r="K181"/>
      <c r="L181"/>
    </row>
    <row r="182" spans="2:12" ht="14.4" x14ac:dyDescent="0.3">
      <c r="B182"/>
      <c r="C182"/>
      <c r="D182"/>
      <c r="E182"/>
      <c r="F182"/>
      <c r="H182"/>
      <c r="I182"/>
      <c r="J182"/>
      <c r="K182"/>
      <c r="L182"/>
    </row>
    <row r="183" spans="2:12" ht="14.4" x14ac:dyDescent="0.3">
      <c r="B183"/>
      <c r="C183"/>
      <c r="D183"/>
      <c r="E183"/>
      <c r="F183"/>
      <c r="H183"/>
      <c r="I183"/>
      <c r="J183"/>
      <c r="K183"/>
      <c r="L183"/>
    </row>
    <row r="184" spans="2:12" ht="14.4" x14ac:dyDescent="0.3">
      <c r="B184"/>
      <c r="C184"/>
      <c r="D184"/>
      <c r="E184"/>
      <c r="F184"/>
      <c r="H184"/>
      <c r="I184"/>
      <c r="J184"/>
      <c r="K184"/>
      <c r="L184"/>
    </row>
    <row r="185" spans="2:12" ht="14.4" x14ac:dyDescent="0.3">
      <c r="B185"/>
      <c r="C185"/>
      <c r="D185"/>
      <c r="E185"/>
      <c r="F185"/>
      <c r="H185"/>
      <c r="I185"/>
      <c r="J185"/>
      <c r="K185"/>
      <c r="L185"/>
    </row>
    <row r="186" spans="2:12" ht="14.4" x14ac:dyDescent="0.3">
      <c r="B186"/>
      <c r="C186"/>
      <c r="D186"/>
      <c r="E186"/>
      <c r="F186"/>
      <c r="H186"/>
      <c r="I186"/>
      <c r="J186"/>
      <c r="K186"/>
      <c r="L186"/>
    </row>
    <row r="187" spans="2:12" ht="14.4" x14ac:dyDescent="0.3">
      <c r="B187"/>
      <c r="C187"/>
      <c r="D187"/>
      <c r="E187"/>
      <c r="F187"/>
      <c r="H187"/>
      <c r="I187"/>
      <c r="J187"/>
      <c r="K187"/>
      <c r="L187"/>
    </row>
    <row r="188" spans="2:12" ht="14.4" x14ac:dyDescent="0.3">
      <c r="B188"/>
      <c r="C188"/>
      <c r="D188"/>
      <c r="E188"/>
      <c r="F188"/>
      <c r="H188"/>
      <c r="I188"/>
      <c r="J188"/>
      <c r="K188"/>
      <c r="L188"/>
    </row>
    <row r="189" spans="2:12" ht="14.4" x14ac:dyDescent="0.3">
      <c r="B189"/>
      <c r="C189"/>
      <c r="D189"/>
      <c r="E189"/>
      <c r="F189"/>
      <c r="H189"/>
      <c r="I189"/>
      <c r="J189"/>
      <c r="K189"/>
      <c r="L189"/>
    </row>
    <row r="190" spans="2:12" ht="14.4" x14ac:dyDescent="0.3">
      <c r="B190"/>
      <c r="C190"/>
      <c r="D190"/>
      <c r="E190"/>
      <c r="F190"/>
      <c r="H190"/>
      <c r="I190"/>
      <c r="J190"/>
      <c r="K190"/>
      <c r="L190"/>
    </row>
    <row r="191" spans="2:12" ht="14.4" x14ac:dyDescent="0.3">
      <c r="B191"/>
      <c r="C191"/>
      <c r="D191"/>
      <c r="E191"/>
      <c r="F191"/>
      <c r="H191"/>
      <c r="I191"/>
      <c r="J191"/>
      <c r="K191"/>
      <c r="L191"/>
    </row>
    <row r="192" spans="2:12" ht="14.4" x14ac:dyDescent="0.3">
      <c r="B192"/>
      <c r="C192"/>
      <c r="D192"/>
      <c r="E192"/>
      <c r="F192"/>
      <c r="H192"/>
      <c r="I192"/>
      <c r="J192"/>
      <c r="K192"/>
      <c r="L192"/>
    </row>
    <row r="193" spans="2:12" ht="14.4" x14ac:dyDescent="0.3">
      <c r="B193"/>
      <c r="C193"/>
      <c r="D193"/>
      <c r="E193"/>
      <c r="F193"/>
      <c r="H193"/>
      <c r="I193"/>
      <c r="J193"/>
      <c r="K193"/>
      <c r="L193"/>
    </row>
    <row r="194" spans="2:12" ht="14.4" x14ac:dyDescent="0.3">
      <c r="B194"/>
      <c r="C194"/>
      <c r="D194"/>
      <c r="E194"/>
      <c r="F194"/>
      <c r="H194"/>
      <c r="I194"/>
      <c r="J194"/>
      <c r="K194"/>
      <c r="L194"/>
    </row>
    <row r="195" spans="2:12" ht="14.4" x14ac:dyDescent="0.3">
      <c r="B195"/>
      <c r="C195"/>
      <c r="D195"/>
      <c r="E195"/>
      <c r="F195"/>
      <c r="H195"/>
      <c r="I195"/>
      <c r="J195"/>
      <c r="K195"/>
      <c r="L195"/>
    </row>
    <row r="196" spans="2:12" ht="14.4" x14ac:dyDescent="0.3">
      <c r="B196"/>
      <c r="C196"/>
      <c r="D196"/>
      <c r="E196"/>
      <c r="F196"/>
      <c r="H196"/>
      <c r="I196"/>
      <c r="J196"/>
      <c r="K196"/>
      <c r="L196"/>
    </row>
    <row r="197" spans="2:12" ht="14.4" x14ac:dyDescent="0.3">
      <c r="B197"/>
      <c r="C197"/>
      <c r="D197"/>
      <c r="E197"/>
      <c r="F197"/>
      <c r="H197"/>
      <c r="I197"/>
      <c r="J197"/>
      <c r="K197"/>
      <c r="L197"/>
    </row>
    <row r="198" spans="2:12" ht="14.4" x14ac:dyDescent="0.3">
      <c r="B198"/>
      <c r="C198"/>
      <c r="D198"/>
      <c r="E198"/>
      <c r="F198"/>
      <c r="H198"/>
      <c r="I198"/>
      <c r="J198"/>
      <c r="K198"/>
      <c r="L198"/>
    </row>
    <row r="199" spans="2:12" ht="14.4" x14ac:dyDescent="0.3">
      <c r="B199"/>
      <c r="C199"/>
      <c r="D199"/>
      <c r="E199"/>
      <c r="F199"/>
      <c r="H199"/>
      <c r="I199"/>
      <c r="J199"/>
      <c r="K199"/>
      <c r="L199"/>
    </row>
    <row r="200" spans="2:12" ht="14.4" x14ac:dyDescent="0.3">
      <c r="B200"/>
      <c r="C200"/>
      <c r="D200"/>
      <c r="E200"/>
      <c r="F200"/>
      <c r="H200"/>
      <c r="I200"/>
      <c r="J200"/>
      <c r="K200"/>
      <c r="L200"/>
    </row>
    <row r="201" spans="2:12" ht="14.4" x14ac:dyDescent="0.3">
      <c r="B201"/>
      <c r="C201"/>
      <c r="D201"/>
      <c r="E201"/>
      <c r="F201"/>
      <c r="H201"/>
      <c r="I201"/>
      <c r="J201"/>
      <c r="K201"/>
      <c r="L201"/>
    </row>
    <row r="202" spans="2:12" ht="14.4" x14ac:dyDescent="0.3">
      <c r="B202"/>
      <c r="C202"/>
      <c r="D202"/>
      <c r="E202"/>
      <c r="F202"/>
      <c r="H202"/>
      <c r="I202"/>
      <c r="J202"/>
      <c r="K202"/>
      <c r="L202"/>
    </row>
    <row r="203" spans="2:12" ht="14.4" x14ac:dyDescent="0.3">
      <c r="B203"/>
      <c r="C203"/>
      <c r="D203"/>
      <c r="E203"/>
      <c r="F203"/>
      <c r="H203"/>
      <c r="I203"/>
      <c r="J203"/>
      <c r="K203"/>
      <c r="L203"/>
    </row>
    <row r="204" spans="2:12" ht="14.4" x14ac:dyDescent="0.3">
      <c r="B204"/>
      <c r="C204"/>
      <c r="D204"/>
      <c r="E204"/>
      <c r="F204"/>
      <c r="H204"/>
      <c r="I204"/>
      <c r="J204"/>
      <c r="K204"/>
      <c r="L204"/>
    </row>
    <row r="205" spans="2:12" ht="14.4" x14ac:dyDescent="0.3">
      <c r="B205"/>
      <c r="C205"/>
      <c r="D205"/>
      <c r="E205"/>
      <c r="F205"/>
      <c r="H205"/>
      <c r="I205"/>
      <c r="J205"/>
      <c r="K205"/>
      <c r="L205"/>
    </row>
    <row r="206" spans="2:12" ht="14.4" x14ac:dyDescent="0.3">
      <c r="B206"/>
      <c r="C206"/>
      <c r="D206"/>
      <c r="E206"/>
      <c r="F206"/>
      <c r="H206"/>
      <c r="I206"/>
      <c r="J206"/>
      <c r="K206"/>
      <c r="L206"/>
    </row>
    <row r="207" spans="2:12" ht="14.4" x14ac:dyDescent="0.3">
      <c r="B207"/>
      <c r="C207"/>
      <c r="D207"/>
      <c r="E207"/>
      <c r="F207"/>
      <c r="H207"/>
      <c r="I207"/>
      <c r="J207"/>
      <c r="K207"/>
      <c r="L207"/>
    </row>
    <row r="208" spans="2:12" ht="14.4" x14ac:dyDescent="0.3">
      <c r="B208"/>
      <c r="C208"/>
      <c r="D208"/>
      <c r="E208"/>
      <c r="F208"/>
      <c r="H208"/>
      <c r="I208"/>
      <c r="J208"/>
      <c r="K208"/>
      <c r="L208"/>
    </row>
    <row r="209" spans="2:12" ht="14.4" x14ac:dyDescent="0.3">
      <c r="B209"/>
      <c r="C209"/>
      <c r="D209"/>
      <c r="E209"/>
      <c r="F209"/>
      <c r="H209"/>
      <c r="I209"/>
      <c r="J209"/>
      <c r="K209"/>
      <c r="L209"/>
    </row>
    <row r="210" spans="2:12" ht="14.4" x14ac:dyDescent="0.3">
      <c r="B210"/>
      <c r="C210"/>
      <c r="D210"/>
      <c r="E210"/>
      <c r="F210"/>
      <c r="H210"/>
      <c r="I210"/>
      <c r="J210"/>
      <c r="K210"/>
      <c r="L210"/>
    </row>
    <row r="211" spans="2:12" ht="14.4" x14ac:dyDescent="0.3">
      <c r="B211"/>
      <c r="C211"/>
      <c r="D211"/>
      <c r="E211"/>
      <c r="F211"/>
      <c r="H211"/>
      <c r="I211"/>
      <c r="J211"/>
      <c r="K211"/>
      <c r="L211"/>
    </row>
    <row r="212" spans="2:12" ht="14.4" x14ac:dyDescent="0.3">
      <c r="B212"/>
      <c r="C212"/>
      <c r="D212"/>
      <c r="E212"/>
      <c r="F212"/>
      <c r="H212"/>
      <c r="I212"/>
      <c r="J212"/>
      <c r="K212"/>
      <c r="L212"/>
    </row>
    <row r="213" spans="2:12" ht="14.4" x14ac:dyDescent="0.3">
      <c r="B213"/>
      <c r="C213"/>
      <c r="D213"/>
      <c r="E213"/>
      <c r="F213"/>
      <c r="H213"/>
      <c r="I213"/>
      <c r="J213"/>
      <c r="K213"/>
      <c r="L213"/>
    </row>
    <row r="214" spans="2:12" ht="14.4" x14ac:dyDescent="0.3">
      <c r="B214"/>
      <c r="C214"/>
      <c r="D214"/>
      <c r="E214"/>
      <c r="F214"/>
      <c r="H214"/>
      <c r="I214"/>
      <c r="J214"/>
      <c r="K214"/>
      <c r="L214"/>
    </row>
    <row r="215" spans="2:12" ht="14.4" x14ac:dyDescent="0.3">
      <c r="B215"/>
      <c r="C215"/>
      <c r="D215"/>
      <c r="E215"/>
      <c r="F215"/>
      <c r="H215"/>
      <c r="I215"/>
      <c r="J215"/>
      <c r="K215"/>
      <c r="L215"/>
    </row>
    <row r="216" spans="2:12" ht="14.4" x14ac:dyDescent="0.3">
      <c r="B216"/>
      <c r="C216"/>
      <c r="D216"/>
      <c r="E216"/>
      <c r="F216"/>
      <c r="H216"/>
      <c r="I216"/>
      <c r="J216"/>
      <c r="K216"/>
      <c r="L216"/>
    </row>
    <row r="217" spans="2:12" ht="14.4" x14ac:dyDescent="0.3">
      <c r="B217"/>
      <c r="C217"/>
      <c r="D217"/>
      <c r="E217"/>
      <c r="F217"/>
      <c r="H217"/>
      <c r="I217"/>
      <c r="J217"/>
      <c r="K217"/>
      <c r="L217"/>
    </row>
    <row r="218" spans="2:12" ht="14.4" x14ac:dyDescent="0.3">
      <c r="B218"/>
      <c r="C218"/>
      <c r="D218"/>
      <c r="E218"/>
      <c r="F218"/>
      <c r="H218"/>
      <c r="I218"/>
      <c r="J218"/>
      <c r="K218"/>
      <c r="L218"/>
    </row>
    <row r="219" spans="2:12" ht="14.4" x14ac:dyDescent="0.3">
      <c r="B219"/>
      <c r="C219"/>
      <c r="D219"/>
      <c r="E219"/>
      <c r="F219"/>
      <c r="H219"/>
      <c r="I219"/>
      <c r="J219"/>
      <c r="K219"/>
      <c r="L219"/>
    </row>
    <row r="220" spans="2:12" ht="14.4" x14ac:dyDescent="0.3">
      <c r="B220"/>
      <c r="C220"/>
      <c r="D220"/>
      <c r="E220"/>
      <c r="F220"/>
      <c r="H220"/>
      <c r="I220"/>
      <c r="J220"/>
      <c r="K220"/>
      <c r="L220"/>
    </row>
    <row r="221" spans="2:12" ht="14.4" x14ac:dyDescent="0.3">
      <c r="B221"/>
      <c r="C221"/>
      <c r="D221"/>
      <c r="E221"/>
      <c r="F221"/>
      <c r="H221"/>
      <c r="I221"/>
      <c r="J221"/>
      <c r="K221"/>
      <c r="L221"/>
    </row>
    <row r="222" spans="2:12" ht="14.4" x14ac:dyDescent="0.3">
      <c r="B222"/>
      <c r="C222"/>
      <c r="D222"/>
      <c r="E222"/>
      <c r="F222"/>
      <c r="H222"/>
      <c r="I222"/>
      <c r="J222"/>
      <c r="K222"/>
      <c r="L222"/>
    </row>
    <row r="223" spans="2:12" ht="14.4" x14ac:dyDescent="0.3">
      <c r="B223"/>
      <c r="C223"/>
      <c r="D223"/>
      <c r="E223"/>
      <c r="F223"/>
      <c r="H223"/>
      <c r="I223"/>
      <c r="J223"/>
      <c r="K223"/>
      <c r="L223"/>
    </row>
    <row r="224" spans="2:12" ht="14.4" x14ac:dyDescent="0.3">
      <c r="B224"/>
      <c r="C224"/>
      <c r="D224"/>
      <c r="E224"/>
      <c r="F224"/>
      <c r="H224"/>
      <c r="I224"/>
      <c r="J224"/>
      <c r="K224"/>
      <c r="L224"/>
    </row>
    <row r="225" spans="2:12" ht="14.4" x14ac:dyDescent="0.3">
      <c r="B225"/>
      <c r="C225"/>
      <c r="D225"/>
      <c r="E225"/>
      <c r="F225"/>
      <c r="H225"/>
      <c r="I225"/>
      <c r="J225"/>
      <c r="K225"/>
      <c r="L225"/>
    </row>
    <row r="226" spans="2:12" ht="14.4" x14ac:dyDescent="0.3">
      <c r="B226"/>
      <c r="C226"/>
      <c r="D226"/>
      <c r="E226"/>
      <c r="F226"/>
      <c r="H226"/>
      <c r="I226"/>
      <c r="J226"/>
      <c r="K226"/>
      <c r="L226"/>
    </row>
    <row r="227" spans="2:12" ht="14.4" x14ac:dyDescent="0.3">
      <c r="B227"/>
      <c r="C227"/>
      <c r="D227"/>
      <c r="E227"/>
      <c r="F227"/>
      <c r="H227"/>
      <c r="I227"/>
      <c r="J227"/>
      <c r="K227"/>
      <c r="L227"/>
    </row>
    <row r="228" spans="2:12" ht="14.4" x14ac:dyDescent="0.3">
      <c r="B228"/>
      <c r="C228"/>
      <c r="D228"/>
      <c r="E228"/>
      <c r="F228"/>
      <c r="H228"/>
      <c r="I228"/>
      <c r="J228"/>
      <c r="K228"/>
      <c r="L228"/>
    </row>
    <row r="229" spans="2:12" ht="14.4" x14ac:dyDescent="0.3">
      <c r="B229"/>
      <c r="C229"/>
      <c r="D229"/>
      <c r="E229"/>
      <c r="F229"/>
      <c r="H229"/>
      <c r="I229"/>
      <c r="J229"/>
      <c r="K229"/>
      <c r="L229"/>
    </row>
    <row r="230" spans="2:12" ht="14.4" x14ac:dyDescent="0.3">
      <c r="B230"/>
      <c r="C230"/>
      <c r="D230"/>
      <c r="E230"/>
      <c r="F230"/>
      <c r="H230"/>
      <c r="I230"/>
      <c r="J230"/>
      <c r="K230"/>
      <c r="L230"/>
    </row>
    <row r="231" spans="2:12" ht="14.4" x14ac:dyDescent="0.3">
      <c r="B231"/>
      <c r="C231"/>
      <c r="D231"/>
      <c r="E231"/>
      <c r="F231"/>
      <c r="H231"/>
      <c r="I231"/>
      <c r="J231"/>
      <c r="K231"/>
      <c r="L231"/>
    </row>
    <row r="232" spans="2:12" ht="14.4" x14ac:dyDescent="0.3">
      <c r="B232"/>
      <c r="C232"/>
      <c r="D232"/>
      <c r="E232"/>
      <c r="F232"/>
      <c r="H232"/>
      <c r="I232"/>
      <c r="J232"/>
      <c r="K232"/>
      <c r="L232"/>
    </row>
    <row r="233" spans="2:12" ht="14.4" x14ac:dyDescent="0.3">
      <c r="B233"/>
      <c r="C233"/>
      <c r="D233"/>
      <c r="E233"/>
      <c r="F233"/>
      <c r="H233"/>
      <c r="I233"/>
      <c r="J233"/>
      <c r="K233"/>
      <c r="L233"/>
    </row>
    <row r="234" spans="2:12" ht="14.4" x14ac:dyDescent="0.3">
      <c r="B234"/>
      <c r="C234"/>
      <c r="D234"/>
      <c r="E234"/>
      <c r="F234"/>
      <c r="H234"/>
      <c r="I234"/>
      <c r="J234"/>
      <c r="K234"/>
      <c r="L234"/>
    </row>
    <row r="235" spans="2:12" ht="14.4" x14ac:dyDescent="0.3">
      <c r="B235"/>
      <c r="C235"/>
      <c r="D235"/>
      <c r="E235"/>
      <c r="F235"/>
      <c r="H235"/>
      <c r="I235"/>
      <c r="J235"/>
      <c r="K235"/>
      <c r="L235"/>
    </row>
    <row r="236" spans="2:12" ht="14.4" x14ac:dyDescent="0.3">
      <c r="B236"/>
      <c r="C236"/>
      <c r="D236"/>
      <c r="E236"/>
      <c r="F236"/>
      <c r="H236"/>
      <c r="I236"/>
      <c r="J236"/>
      <c r="K236"/>
      <c r="L236"/>
    </row>
    <row r="237" spans="2:12" ht="14.4" x14ac:dyDescent="0.3">
      <c r="B237"/>
      <c r="C237"/>
      <c r="D237"/>
      <c r="E237"/>
      <c r="F237"/>
      <c r="H237"/>
      <c r="I237"/>
      <c r="J237"/>
      <c r="K237"/>
      <c r="L237"/>
    </row>
    <row r="238" spans="2:12" ht="14.4" x14ac:dyDescent="0.3">
      <c r="B238"/>
      <c r="C238"/>
      <c r="D238"/>
      <c r="E238"/>
      <c r="F238"/>
      <c r="H238"/>
      <c r="I238"/>
      <c r="J238"/>
      <c r="K238"/>
      <c r="L238"/>
    </row>
    <row r="239" spans="2:12" ht="14.4" x14ac:dyDescent="0.3">
      <c r="B239"/>
      <c r="C239"/>
      <c r="D239"/>
      <c r="E239"/>
      <c r="F239"/>
      <c r="H239"/>
      <c r="I239"/>
      <c r="J239"/>
      <c r="K239"/>
      <c r="L239"/>
    </row>
    <row r="240" spans="2:12" ht="14.4" x14ac:dyDescent="0.3">
      <c r="B240"/>
      <c r="C240"/>
      <c r="D240"/>
      <c r="E240"/>
      <c r="F240"/>
      <c r="H240"/>
      <c r="I240"/>
      <c r="J240"/>
      <c r="K240"/>
      <c r="L240"/>
    </row>
    <row r="241" spans="2:12" ht="14.4" x14ac:dyDescent="0.3">
      <c r="B241"/>
      <c r="C241"/>
      <c r="D241"/>
      <c r="E241"/>
      <c r="F241"/>
      <c r="H241"/>
      <c r="I241"/>
      <c r="J241"/>
      <c r="K241"/>
      <c r="L241"/>
    </row>
    <row r="242" spans="2:12" ht="14.4" x14ac:dyDescent="0.3">
      <c r="B242"/>
      <c r="C242"/>
      <c r="D242"/>
      <c r="E242"/>
      <c r="F242"/>
      <c r="H242"/>
      <c r="I242"/>
      <c r="J242"/>
      <c r="K242"/>
      <c r="L242"/>
    </row>
    <row r="243" spans="2:12" ht="14.4" x14ac:dyDescent="0.3">
      <c r="B243"/>
      <c r="C243"/>
      <c r="D243"/>
      <c r="E243"/>
      <c r="F243"/>
      <c r="H243"/>
      <c r="I243"/>
      <c r="J243"/>
      <c r="K243"/>
      <c r="L243"/>
    </row>
    <row r="244" spans="2:12" ht="14.4" x14ac:dyDescent="0.3">
      <c r="B244"/>
      <c r="C244"/>
      <c r="D244"/>
      <c r="E244"/>
      <c r="F244"/>
      <c r="H244"/>
      <c r="I244"/>
      <c r="J244"/>
      <c r="K244"/>
      <c r="L244"/>
    </row>
    <row r="245" spans="2:12" ht="14.4" x14ac:dyDescent="0.3">
      <c r="B245"/>
      <c r="C245"/>
      <c r="D245"/>
      <c r="E245"/>
      <c r="F245"/>
      <c r="H245"/>
      <c r="I245"/>
      <c r="J245"/>
      <c r="K245"/>
      <c r="L245"/>
    </row>
    <row r="246" spans="2:12" ht="14.4" x14ac:dyDescent="0.3">
      <c r="B246"/>
      <c r="C246"/>
      <c r="D246"/>
      <c r="E246"/>
      <c r="F246"/>
      <c r="H246"/>
      <c r="I246"/>
      <c r="J246"/>
      <c r="K246"/>
      <c r="L246"/>
    </row>
    <row r="247" spans="2:12" ht="14.4" x14ac:dyDescent="0.3">
      <c r="B247"/>
      <c r="C247"/>
      <c r="D247"/>
      <c r="E247"/>
      <c r="F247"/>
      <c r="H247"/>
      <c r="I247"/>
      <c r="J247"/>
      <c r="K247"/>
      <c r="L247"/>
    </row>
    <row r="248" spans="2:12" ht="14.4" x14ac:dyDescent="0.3">
      <c r="B248"/>
      <c r="C248"/>
      <c r="D248"/>
      <c r="E248"/>
      <c r="F248"/>
      <c r="H248"/>
      <c r="I248"/>
      <c r="J248"/>
      <c r="K248"/>
      <c r="L248"/>
    </row>
    <row r="249" spans="2:12" ht="14.4" x14ac:dyDescent="0.3">
      <c r="B249"/>
      <c r="C249"/>
      <c r="D249"/>
      <c r="E249"/>
      <c r="F249"/>
      <c r="H249"/>
      <c r="I249"/>
      <c r="J249"/>
      <c r="K249"/>
      <c r="L249"/>
    </row>
    <row r="250" spans="2:12" ht="14.4" x14ac:dyDescent="0.3">
      <c r="B250"/>
      <c r="C250"/>
      <c r="D250"/>
      <c r="E250"/>
      <c r="F250"/>
      <c r="H250"/>
      <c r="I250"/>
      <c r="J250"/>
      <c r="K250"/>
      <c r="L250"/>
    </row>
    <row r="251" spans="2:12" ht="14.4" x14ac:dyDescent="0.3">
      <c r="B251"/>
      <c r="C251"/>
      <c r="D251"/>
      <c r="E251"/>
      <c r="F251"/>
      <c r="H251"/>
      <c r="I251"/>
      <c r="J251"/>
      <c r="K251"/>
      <c r="L251"/>
    </row>
    <row r="252" spans="2:12" ht="14.4" x14ac:dyDescent="0.3">
      <c r="B252"/>
      <c r="C252"/>
      <c r="D252"/>
      <c r="E252"/>
      <c r="F252"/>
      <c r="H252"/>
      <c r="I252"/>
      <c r="J252"/>
      <c r="K252"/>
      <c r="L252"/>
    </row>
    <row r="253" spans="2:12" ht="14.4" x14ac:dyDescent="0.3">
      <c r="B253"/>
      <c r="C253"/>
      <c r="D253"/>
      <c r="E253"/>
      <c r="F253"/>
      <c r="H253"/>
      <c r="I253"/>
      <c r="J253"/>
      <c r="K253"/>
      <c r="L253"/>
    </row>
    <row r="254" spans="2:12" ht="14.4" x14ac:dyDescent="0.3">
      <c r="B254"/>
      <c r="C254"/>
      <c r="D254"/>
      <c r="E254"/>
      <c r="F254"/>
      <c r="H254"/>
      <c r="I254"/>
      <c r="J254"/>
      <c r="K254"/>
      <c r="L254"/>
    </row>
    <row r="255" spans="2:12" ht="14.4" x14ac:dyDescent="0.3">
      <c r="B255"/>
      <c r="C255"/>
      <c r="D255"/>
      <c r="E255"/>
      <c r="F255"/>
      <c r="H255"/>
      <c r="I255"/>
      <c r="J255"/>
      <c r="K255"/>
      <c r="L255"/>
    </row>
    <row r="256" spans="2:12" ht="14.4" x14ac:dyDescent="0.3">
      <c r="B256"/>
      <c r="C256"/>
      <c r="D256"/>
      <c r="E256"/>
      <c r="F256"/>
      <c r="H256"/>
      <c r="I256"/>
      <c r="J256"/>
      <c r="K256"/>
      <c r="L256"/>
    </row>
    <row r="257" spans="2:12" ht="14.4" x14ac:dyDescent="0.3">
      <c r="B257"/>
      <c r="C257"/>
      <c r="D257"/>
      <c r="E257"/>
      <c r="F257"/>
      <c r="H257"/>
      <c r="I257"/>
      <c r="J257"/>
      <c r="K257"/>
      <c r="L257"/>
    </row>
    <row r="258" spans="2:12" ht="14.4" x14ac:dyDescent="0.3">
      <c r="B258"/>
      <c r="C258"/>
      <c r="D258"/>
      <c r="E258"/>
      <c r="F258"/>
      <c r="H258"/>
      <c r="I258"/>
      <c r="J258"/>
      <c r="K258"/>
      <c r="L258"/>
    </row>
    <row r="259" spans="2:12" ht="14.4" x14ac:dyDescent="0.3">
      <c r="B259"/>
      <c r="C259"/>
      <c r="D259"/>
      <c r="E259"/>
      <c r="F259"/>
      <c r="H259"/>
      <c r="I259"/>
      <c r="J259"/>
      <c r="K259"/>
      <c r="L259"/>
    </row>
    <row r="260" spans="2:12" ht="14.4" x14ac:dyDescent="0.3">
      <c r="B260"/>
      <c r="C260"/>
      <c r="D260"/>
      <c r="E260"/>
      <c r="F260"/>
      <c r="H260"/>
      <c r="I260"/>
      <c r="J260"/>
      <c r="K260"/>
      <c r="L260"/>
    </row>
    <row r="261" spans="2:12" ht="14.4" x14ac:dyDescent="0.3">
      <c r="B261"/>
      <c r="C261"/>
      <c r="D261"/>
      <c r="E261"/>
      <c r="F261"/>
      <c r="H261"/>
      <c r="I261"/>
      <c r="J261"/>
      <c r="K261"/>
      <c r="L261"/>
    </row>
    <row r="262" spans="2:12" ht="14.4" x14ac:dyDescent="0.3">
      <c r="B262"/>
      <c r="C262"/>
      <c r="D262"/>
      <c r="E262"/>
      <c r="F262"/>
      <c r="H262"/>
      <c r="I262"/>
      <c r="J262"/>
      <c r="K262"/>
      <c r="L262"/>
    </row>
    <row r="263" spans="2:12" ht="14.4" x14ac:dyDescent="0.3">
      <c r="B263"/>
      <c r="C263"/>
      <c r="D263"/>
      <c r="E263"/>
      <c r="F263"/>
      <c r="H263"/>
      <c r="I263"/>
      <c r="J263"/>
      <c r="K263"/>
      <c r="L263"/>
    </row>
    <row r="264" spans="2:12" ht="14.4" x14ac:dyDescent="0.3">
      <c r="B264"/>
      <c r="C264"/>
      <c r="D264"/>
      <c r="E264"/>
      <c r="F264"/>
      <c r="H264"/>
      <c r="I264"/>
      <c r="J264"/>
      <c r="K264"/>
      <c r="L264"/>
    </row>
    <row r="265" spans="2:12" ht="14.4" x14ac:dyDescent="0.3">
      <c r="B265"/>
      <c r="C265"/>
      <c r="D265"/>
      <c r="E265"/>
      <c r="F265"/>
      <c r="H265"/>
      <c r="I265"/>
      <c r="J265"/>
      <c r="K265"/>
      <c r="L265"/>
    </row>
    <row r="266" spans="2:12" ht="14.4" x14ac:dyDescent="0.3">
      <c r="B266"/>
      <c r="C266"/>
      <c r="D266"/>
      <c r="E266"/>
      <c r="F266"/>
      <c r="H266"/>
      <c r="I266"/>
      <c r="J266"/>
      <c r="K266"/>
      <c r="L266"/>
    </row>
    <row r="267" spans="2:12" ht="14.4" x14ac:dyDescent="0.3">
      <c r="B267"/>
      <c r="C267"/>
      <c r="D267"/>
      <c r="E267"/>
      <c r="F267"/>
      <c r="H267"/>
      <c r="I267"/>
      <c r="J267"/>
      <c r="K267"/>
      <c r="L267"/>
    </row>
    <row r="268" spans="2:12" ht="14.4" x14ac:dyDescent="0.3">
      <c r="B268"/>
      <c r="C268"/>
      <c r="D268"/>
      <c r="E268"/>
      <c r="F268"/>
      <c r="H268"/>
      <c r="I268"/>
      <c r="J268"/>
      <c r="K268"/>
      <c r="L268"/>
    </row>
    <row r="269" spans="2:12" ht="14.4" x14ac:dyDescent="0.3">
      <c r="B269"/>
      <c r="C269"/>
      <c r="D269"/>
      <c r="E269"/>
      <c r="F269"/>
      <c r="H269"/>
      <c r="I269"/>
      <c r="J269"/>
      <c r="K269"/>
      <c r="L269"/>
    </row>
    <row r="270" spans="2:12" ht="14.4" x14ac:dyDescent="0.3">
      <c r="B270"/>
      <c r="C270"/>
      <c r="D270"/>
      <c r="E270"/>
      <c r="F270"/>
      <c r="H270"/>
      <c r="I270"/>
      <c r="J270"/>
      <c r="K270"/>
      <c r="L270"/>
    </row>
    <row r="271" spans="2:12" ht="14.4" x14ac:dyDescent="0.3">
      <c r="B271"/>
      <c r="C271"/>
      <c r="D271"/>
      <c r="E271"/>
      <c r="F271"/>
      <c r="H271"/>
      <c r="I271"/>
      <c r="J271"/>
      <c r="K271"/>
      <c r="L271"/>
    </row>
    <row r="272" spans="2:12" ht="14.4" x14ac:dyDescent="0.3">
      <c r="B272"/>
      <c r="C272"/>
      <c r="D272"/>
      <c r="E272"/>
      <c r="F272"/>
      <c r="H272"/>
      <c r="I272"/>
      <c r="J272"/>
      <c r="K272"/>
      <c r="L272"/>
    </row>
    <row r="273" spans="2:12" ht="14.4" x14ac:dyDescent="0.3">
      <c r="B273"/>
      <c r="C273"/>
      <c r="D273"/>
      <c r="E273"/>
      <c r="F273"/>
      <c r="H273"/>
      <c r="I273"/>
      <c r="J273"/>
      <c r="K273"/>
      <c r="L273"/>
    </row>
    <row r="274" spans="2:12" ht="14.4" x14ac:dyDescent="0.3">
      <c r="B274"/>
      <c r="C274"/>
      <c r="D274"/>
      <c r="E274"/>
      <c r="F274"/>
      <c r="H274"/>
      <c r="I274"/>
      <c r="J274"/>
      <c r="K274"/>
      <c r="L274"/>
    </row>
    <row r="275" spans="2:12" ht="14.4" x14ac:dyDescent="0.3">
      <c r="B275"/>
      <c r="C275"/>
      <c r="D275"/>
      <c r="E275"/>
      <c r="F275"/>
      <c r="H275"/>
      <c r="I275"/>
      <c r="J275"/>
      <c r="K275"/>
      <c r="L275"/>
    </row>
    <row r="276" spans="2:12" ht="14.4" x14ac:dyDescent="0.3">
      <c r="B276"/>
      <c r="C276"/>
      <c r="D276"/>
      <c r="E276"/>
      <c r="F276"/>
      <c r="H276"/>
      <c r="I276"/>
      <c r="J276"/>
      <c r="K276"/>
      <c r="L276"/>
    </row>
    <row r="277" spans="2:12" ht="14.4" x14ac:dyDescent="0.3">
      <c r="B277"/>
      <c r="C277"/>
      <c r="D277"/>
      <c r="E277"/>
      <c r="F277"/>
      <c r="H277"/>
      <c r="I277"/>
      <c r="J277"/>
      <c r="K277"/>
      <c r="L277"/>
    </row>
    <row r="278" spans="2:12" ht="14.4" x14ac:dyDescent="0.3">
      <c r="B278"/>
      <c r="C278"/>
      <c r="D278"/>
      <c r="E278"/>
      <c r="F278"/>
      <c r="H278"/>
      <c r="I278"/>
      <c r="J278"/>
      <c r="K278"/>
      <c r="L278"/>
    </row>
    <row r="279" spans="2:12" ht="14.4" x14ac:dyDescent="0.3">
      <c r="B279"/>
      <c r="C279"/>
      <c r="D279"/>
      <c r="E279"/>
      <c r="F279"/>
      <c r="H279"/>
      <c r="I279"/>
      <c r="J279"/>
      <c r="K279"/>
      <c r="L279"/>
    </row>
    <row r="280" spans="2:12" ht="14.4" x14ac:dyDescent="0.3">
      <c r="B280"/>
      <c r="C280"/>
      <c r="D280"/>
      <c r="E280"/>
      <c r="F280"/>
      <c r="H280"/>
      <c r="I280"/>
      <c r="J280"/>
      <c r="K280"/>
      <c r="L280"/>
    </row>
    <row r="281" spans="2:12" ht="14.4" x14ac:dyDescent="0.3">
      <c r="B281"/>
      <c r="C281"/>
      <c r="D281"/>
      <c r="E281"/>
      <c r="F281"/>
      <c r="H281"/>
      <c r="I281"/>
      <c r="J281"/>
      <c r="K281"/>
      <c r="L281"/>
    </row>
    <row r="282" spans="2:12" ht="14.4" x14ac:dyDescent="0.3">
      <c r="B282"/>
      <c r="C282"/>
      <c r="D282"/>
      <c r="E282"/>
      <c r="F282"/>
      <c r="H282"/>
      <c r="I282"/>
      <c r="J282"/>
      <c r="K282"/>
      <c r="L282"/>
    </row>
    <row r="283" spans="2:12" ht="14.4" x14ac:dyDescent="0.3">
      <c r="B283"/>
      <c r="C283"/>
      <c r="D283"/>
      <c r="E283"/>
      <c r="F283"/>
      <c r="H283"/>
      <c r="I283"/>
      <c r="J283"/>
      <c r="K283"/>
      <c r="L283"/>
    </row>
    <row r="284" spans="2:12" ht="14.4" x14ac:dyDescent="0.3">
      <c r="B284"/>
      <c r="C284"/>
      <c r="D284"/>
      <c r="E284"/>
      <c r="F284"/>
      <c r="H284"/>
      <c r="I284"/>
      <c r="J284"/>
      <c r="K284"/>
      <c r="L284"/>
    </row>
    <row r="285" spans="2:12" ht="14.4" x14ac:dyDescent="0.3">
      <c r="B285"/>
      <c r="C285"/>
      <c r="D285"/>
      <c r="E285"/>
      <c r="F285"/>
      <c r="H285"/>
      <c r="I285"/>
      <c r="J285"/>
      <c r="K285"/>
      <c r="L285"/>
    </row>
    <row r="286" spans="2:12" ht="14.4" x14ac:dyDescent="0.3">
      <c r="B286"/>
      <c r="C286"/>
      <c r="D286"/>
      <c r="E286"/>
      <c r="F286"/>
      <c r="H286"/>
      <c r="I286"/>
      <c r="J286"/>
      <c r="K286"/>
      <c r="L286"/>
    </row>
    <row r="287" spans="2:12" ht="14.4" x14ac:dyDescent="0.3">
      <c r="B287"/>
      <c r="C287"/>
      <c r="D287"/>
      <c r="E287"/>
      <c r="F287"/>
      <c r="H287"/>
      <c r="I287"/>
      <c r="J287"/>
      <c r="K287"/>
      <c r="L287"/>
    </row>
    <row r="288" spans="2:12" ht="14.4" x14ac:dyDescent="0.3">
      <c r="B288"/>
      <c r="C288"/>
      <c r="D288"/>
      <c r="E288"/>
      <c r="F288"/>
      <c r="H288"/>
      <c r="I288"/>
      <c r="J288"/>
      <c r="K288"/>
      <c r="L288"/>
    </row>
    <row r="289" spans="2:12" ht="14.4" x14ac:dyDescent="0.3">
      <c r="B289"/>
      <c r="C289"/>
      <c r="D289"/>
      <c r="E289"/>
      <c r="F289"/>
      <c r="H289"/>
      <c r="I289"/>
      <c r="J289"/>
      <c r="K289"/>
      <c r="L289"/>
    </row>
    <row r="290" spans="2:12" ht="14.4" x14ac:dyDescent="0.3">
      <c r="B290"/>
      <c r="C290"/>
      <c r="D290"/>
      <c r="E290"/>
      <c r="F290"/>
      <c r="H290"/>
      <c r="I290"/>
      <c r="J290"/>
      <c r="K290"/>
      <c r="L290"/>
    </row>
    <row r="291" spans="2:12" ht="14.4" x14ac:dyDescent="0.3">
      <c r="B291"/>
      <c r="C291"/>
      <c r="D291"/>
      <c r="E291"/>
      <c r="F291"/>
      <c r="H291"/>
      <c r="I291"/>
      <c r="J291"/>
      <c r="K291"/>
      <c r="L291"/>
    </row>
    <row r="292" spans="2:12" ht="14.4" x14ac:dyDescent="0.3">
      <c r="B292"/>
      <c r="C292"/>
      <c r="D292"/>
      <c r="E292"/>
      <c r="F292"/>
      <c r="H292"/>
      <c r="I292"/>
      <c r="J292"/>
      <c r="K292"/>
      <c r="L292"/>
    </row>
    <row r="293" spans="2:12" ht="14.4" x14ac:dyDescent="0.3">
      <c r="B293"/>
      <c r="C293"/>
      <c r="D293"/>
      <c r="E293"/>
      <c r="F293"/>
      <c r="H293"/>
      <c r="I293"/>
      <c r="J293"/>
      <c r="K293"/>
      <c r="L293"/>
    </row>
    <row r="294" spans="2:12" ht="14.4" x14ac:dyDescent="0.3">
      <c r="B294"/>
      <c r="C294"/>
      <c r="D294"/>
      <c r="E294"/>
      <c r="F294"/>
      <c r="H294"/>
      <c r="I294"/>
      <c r="J294"/>
      <c r="K294"/>
      <c r="L294"/>
    </row>
    <row r="295" spans="2:12" ht="14.4" x14ac:dyDescent="0.3">
      <c r="B295"/>
      <c r="C295"/>
      <c r="D295"/>
      <c r="E295"/>
      <c r="F295"/>
      <c r="H295"/>
      <c r="I295"/>
      <c r="J295"/>
      <c r="K295"/>
      <c r="L295"/>
    </row>
    <row r="296" spans="2:12" ht="14.4" x14ac:dyDescent="0.3">
      <c r="B296"/>
      <c r="C296"/>
      <c r="D296"/>
      <c r="E296"/>
      <c r="F296"/>
      <c r="H296"/>
      <c r="I296"/>
      <c r="J296"/>
      <c r="K296"/>
      <c r="L296"/>
    </row>
    <row r="297" spans="2:12" ht="14.4" x14ac:dyDescent="0.3">
      <c r="B297"/>
      <c r="C297"/>
      <c r="D297"/>
      <c r="E297"/>
      <c r="F297"/>
      <c r="H297"/>
      <c r="I297"/>
      <c r="J297"/>
      <c r="K297"/>
      <c r="L297"/>
    </row>
    <row r="298" spans="2:12" ht="14.4" x14ac:dyDescent="0.3">
      <c r="B298"/>
      <c r="C298"/>
      <c r="D298"/>
      <c r="E298"/>
      <c r="F298"/>
      <c r="H298"/>
      <c r="I298"/>
      <c r="J298"/>
      <c r="K298"/>
      <c r="L298"/>
    </row>
    <row r="299" spans="2:12" ht="14.4" x14ac:dyDescent="0.3">
      <c r="B299"/>
      <c r="C299"/>
      <c r="D299"/>
      <c r="E299"/>
      <c r="F299"/>
      <c r="H299"/>
      <c r="I299"/>
      <c r="J299"/>
      <c r="K299"/>
      <c r="L299"/>
    </row>
    <row r="300" spans="2:12" ht="14.4" x14ac:dyDescent="0.3">
      <c r="B300"/>
      <c r="C300"/>
      <c r="D300"/>
      <c r="E300"/>
      <c r="F300"/>
      <c r="H300"/>
      <c r="I300"/>
      <c r="J300"/>
      <c r="K300"/>
      <c r="L300"/>
    </row>
    <row r="301" spans="2:12" ht="14.4" x14ac:dyDescent="0.3">
      <c r="B301"/>
      <c r="C301"/>
      <c r="D301"/>
      <c r="E301"/>
      <c r="F301"/>
      <c r="H301"/>
      <c r="I301"/>
      <c r="J301"/>
      <c r="K301"/>
      <c r="L301"/>
    </row>
    <row r="302" spans="2:12" ht="14.4" x14ac:dyDescent="0.3">
      <c r="B302"/>
      <c r="C302"/>
      <c r="D302"/>
      <c r="E302"/>
      <c r="F302"/>
      <c r="H302"/>
      <c r="I302"/>
      <c r="J302"/>
      <c r="K302"/>
      <c r="L302"/>
    </row>
    <row r="303" spans="2:12" ht="14.4" x14ac:dyDescent="0.3">
      <c r="B303"/>
      <c r="C303"/>
      <c r="D303"/>
      <c r="E303"/>
      <c r="F303"/>
      <c r="H303"/>
      <c r="I303"/>
      <c r="J303"/>
      <c r="K303"/>
      <c r="L303"/>
    </row>
    <row r="304" spans="2:12" ht="14.4" x14ac:dyDescent="0.3">
      <c r="B304"/>
      <c r="C304"/>
      <c r="D304"/>
      <c r="E304"/>
      <c r="F304"/>
      <c r="H304"/>
      <c r="I304"/>
      <c r="J304"/>
      <c r="K304"/>
      <c r="L304"/>
    </row>
    <row r="305" spans="2:12" ht="14.4" x14ac:dyDescent="0.3">
      <c r="B305"/>
      <c r="C305"/>
      <c r="D305"/>
      <c r="E305"/>
      <c r="F305"/>
      <c r="H305"/>
      <c r="I305"/>
      <c r="J305"/>
      <c r="K305"/>
      <c r="L305"/>
    </row>
    <row r="306" spans="2:12" ht="14.4" x14ac:dyDescent="0.3">
      <c r="B306"/>
      <c r="C306"/>
      <c r="D306"/>
      <c r="E306"/>
      <c r="F306"/>
      <c r="H306"/>
      <c r="I306"/>
      <c r="J306"/>
      <c r="K306"/>
      <c r="L306"/>
    </row>
    <row r="307" spans="2:12" ht="14.4" x14ac:dyDescent="0.3">
      <c r="B307"/>
      <c r="C307"/>
      <c r="D307"/>
      <c r="E307"/>
      <c r="F307"/>
      <c r="H307"/>
      <c r="I307"/>
      <c r="J307"/>
      <c r="K307"/>
      <c r="L307"/>
    </row>
    <row r="308" spans="2:12" ht="14.4" x14ac:dyDescent="0.3">
      <c r="B308"/>
      <c r="C308"/>
      <c r="D308"/>
      <c r="E308"/>
      <c r="F308"/>
      <c r="H308"/>
      <c r="I308"/>
      <c r="J308"/>
      <c r="K308"/>
      <c r="L308"/>
    </row>
    <row r="309" spans="2:12" ht="14.4" x14ac:dyDescent="0.3">
      <c r="B309"/>
      <c r="C309"/>
      <c r="D309"/>
      <c r="E309"/>
      <c r="F309"/>
      <c r="H309"/>
      <c r="I309"/>
      <c r="J309"/>
      <c r="K309"/>
      <c r="L309"/>
    </row>
    <row r="310" spans="2:12" ht="14.4" x14ac:dyDescent="0.3">
      <c r="B310"/>
      <c r="C310"/>
      <c r="D310"/>
      <c r="E310"/>
      <c r="F310"/>
      <c r="H310"/>
      <c r="I310"/>
      <c r="J310"/>
      <c r="K310"/>
      <c r="L310"/>
    </row>
    <row r="311" spans="2:12" ht="14.4" x14ac:dyDescent="0.3">
      <c r="B311"/>
      <c r="C311"/>
      <c r="D311"/>
      <c r="E311"/>
      <c r="F311"/>
      <c r="H311"/>
      <c r="I311"/>
      <c r="J311"/>
      <c r="K311"/>
      <c r="L311"/>
    </row>
    <row r="312" spans="2:12" ht="14.4" x14ac:dyDescent="0.3">
      <c r="B312"/>
      <c r="C312"/>
      <c r="D312"/>
      <c r="E312"/>
      <c r="F312"/>
      <c r="H312"/>
      <c r="I312"/>
      <c r="J312"/>
      <c r="K312"/>
      <c r="L312"/>
    </row>
    <row r="313" spans="2:12" ht="14.4" x14ac:dyDescent="0.3">
      <c r="B313"/>
      <c r="C313"/>
      <c r="D313"/>
      <c r="E313"/>
      <c r="F313"/>
      <c r="H313"/>
      <c r="I313"/>
      <c r="J313"/>
      <c r="K313"/>
      <c r="L313"/>
    </row>
    <row r="314" spans="2:12" ht="14.4" x14ac:dyDescent="0.3">
      <c r="B314"/>
      <c r="C314"/>
      <c r="D314"/>
      <c r="E314"/>
      <c r="F314"/>
      <c r="H314"/>
      <c r="I314"/>
      <c r="J314"/>
      <c r="K314"/>
      <c r="L314"/>
    </row>
    <row r="315" spans="2:12" ht="14.4" x14ac:dyDescent="0.3">
      <c r="B315"/>
      <c r="C315"/>
      <c r="D315"/>
      <c r="E315"/>
      <c r="F315"/>
      <c r="H315"/>
      <c r="I315"/>
      <c r="J315"/>
      <c r="K315"/>
      <c r="L315"/>
    </row>
    <row r="316" spans="2:12" ht="14.4" x14ac:dyDescent="0.3">
      <c r="B316"/>
      <c r="C316"/>
      <c r="D316"/>
      <c r="E316"/>
      <c r="F316"/>
      <c r="H316"/>
      <c r="I316"/>
      <c r="J316"/>
      <c r="K316"/>
      <c r="L316"/>
    </row>
    <row r="317" spans="2:12" ht="14.4" x14ac:dyDescent="0.3">
      <c r="B317"/>
      <c r="C317"/>
      <c r="D317"/>
      <c r="E317"/>
      <c r="F317"/>
      <c r="H317"/>
      <c r="I317"/>
      <c r="J317"/>
      <c r="K317"/>
      <c r="L317"/>
    </row>
    <row r="318" spans="2:12" ht="14.4" x14ac:dyDescent="0.3">
      <c r="B318"/>
      <c r="C318"/>
      <c r="D318"/>
      <c r="E318"/>
      <c r="F318"/>
      <c r="H318"/>
      <c r="I318"/>
      <c r="J318"/>
      <c r="K318"/>
      <c r="L318"/>
    </row>
    <row r="319" spans="2:12" ht="14.4" x14ac:dyDescent="0.3">
      <c r="B319"/>
      <c r="C319"/>
      <c r="D319"/>
      <c r="E319"/>
      <c r="F319"/>
      <c r="H319"/>
      <c r="I319"/>
      <c r="J319"/>
      <c r="K319"/>
      <c r="L319"/>
    </row>
    <row r="320" spans="2:12" ht="14.4" x14ac:dyDescent="0.3">
      <c r="B320"/>
      <c r="C320"/>
      <c r="D320"/>
      <c r="E320"/>
      <c r="F320"/>
      <c r="H320"/>
      <c r="I320"/>
      <c r="J320"/>
      <c r="K320"/>
      <c r="L320"/>
    </row>
    <row r="321" spans="2:12" ht="14.4" x14ac:dyDescent="0.3">
      <c r="B321"/>
      <c r="C321"/>
      <c r="D321"/>
      <c r="E321"/>
      <c r="F321"/>
      <c r="H321"/>
      <c r="I321"/>
      <c r="J321"/>
      <c r="K321"/>
      <c r="L321"/>
    </row>
    <row r="322" spans="2:12" ht="14.4" x14ac:dyDescent="0.3">
      <c r="B322"/>
      <c r="C322"/>
      <c r="D322"/>
      <c r="E322"/>
      <c r="F322"/>
      <c r="H322"/>
      <c r="I322"/>
      <c r="J322"/>
      <c r="K322"/>
      <c r="L322"/>
    </row>
    <row r="323" spans="2:12" ht="14.4" x14ac:dyDescent="0.3">
      <c r="B323"/>
      <c r="C323"/>
      <c r="D323"/>
      <c r="E323"/>
      <c r="F323"/>
      <c r="H323"/>
      <c r="I323"/>
      <c r="J323"/>
      <c r="K323"/>
      <c r="L323"/>
    </row>
    <row r="324" spans="2:12" ht="14.4" x14ac:dyDescent="0.3">
      <c r="B324"/>
      <c r="C324"/>
      <c r="D324"/>
      <c r="E324"/>
      <c r="F324"/>
      <c r="H324"/>
      <c r="I324"/>
      <c r="J324"/>
      <c r="K324"/>
      <c r="L324"/>
    </row>
    <row r="325" spans="2:12" ht="14.4" x14ac:dyDescent="0.3">
      <c r="B325"/>
      <c r="C325"/>
      <c r="D325"/>
      <c r="E325"/>
      <c r="F325"/>
      <c r="H325"/>
      <c r="I325"/>
      <c r="J325"/>
      <c r="K325"/>
      <c r="L325"/>
    </row>
    <row r="326" spans="2:12" ht="14.4" x14ac:dyDescent="0.3">
      <c r="B326"/>
      <c r="C326"/>
      <c r="D326"/>
      <c r="E326"/>
      <c r="F326"/>
      <c r="H326"/>
      <c r="I326"/>
      <c r="J326"/>
      <c r="K326"/>
      <c r="L326"/>
    </row>
    <row r="327" spans="2:12" ht="14.4" x14ac:dyDescent="0.3">
      <c r="B327"/>
      <c r="C327"/>
      <c r="D327"/>
      <c r="E327"/>
      <c r="F327"/>
      <c r="H327"/>
      <c r="I327"/>
      <c r="J327"/>
      <c r="K327"/>
      <c r="L327"/>
    </row>
    <row r="328" spans="2:12" ht="14.4" x14ac:dyDescent="0.3">
      <c r="B328"/>
      <c r="C328"/>
      <c r="D328"/>
      <c r="E328"/>
      <c r="F328"/>
      <c r="H328"/>
      <c r="I328"/>
      <c r="J328"/>
      <c r="K328"/>
      <c r="L328"/>
    </row>
    <row r="329" spans="2:12" ht="14.4" x14ac:dyDescent="0.3">
      <c r="B329"/>
      <c r="C329"/>
      <c r="D329"/>
      <c r="E329"/>
      <c r="F329"/>
      <c r="H329"/>
      <c r="I329"/>
      <c r="J329"/>
      <c r="K329"/>
      <c r="L329"/>
    </row>
    <row r="330" spans="2:12" ht="14.4" x14ac:dyDescent="0.3">
      <c r="B330"/>
      <c r="C330"/>
      <c r="D330"/>
      <c r="E330"/>
      <c r="F330"/>
      <c r="H330"/>
      <c r="I330"/>
      <c r="J330"/>
      <c r="K330"/>
      <c r="L330"/>
    </row>
    <row r="331" spans="2:12" ht="14.4" x14ac:dyDescent="0.3">
      <c r="B331"/>
      <c r="C331"/>
      <c r="D331"/>
      <c r="E331"/>
      <c r="F331"/>
      <c r="H331"/>
      <c r="I331"/>
      <c r="J331"/>
      <c r="K331"/>
      <c r="L331"/>
    </row>
    <row r="332" spans="2:12" ht="14.4" x14ac:dyDescent="0.3">
      <c r="B332"/>
      <c r="C332"/>
      <c r="D332"/>
      <c r="E332"/>
      <c r="F332"/>
      <c r="H332"/>
      <c r="I332"/>
      <c r="J332"/>
      <c r="K332"/>
      <c r="L332"/>
    </row>
    <row r="333" spans="2:12" ht="14.4" x14ac:dyDescent="0.3">
      <c r="B333"/>
      <c r="C333"/>
      <c r="D333"/>
      <c r="E333"/>
      <c r="F333"/>
      <c r="H333"/>
      <c r="I333"/>
      <c r="J333"/>
      <c r="K333"/>
      <c r="L333"/>
    </row>
    <row r="334" spans="2:12" ht="14.4" x14ac:dyDescent="0.3">
      <c r="B334"/>
      <c r="C334"/>
      <c r="D334"/>
      <c r="E334"/>
      <c r="F334"/>
      <c r="H334"/>
      <c r="I334"/>
      <c r="J334"/>
      <c r="K334"/>
      <c r="L334"/>
    </row>
    <row r="335" spans="2:12" ht="14.4" x14ac:dyDescent="0.3">
      <c r="B335"/>
      <c r="C335"/>
      <c r="D335"/>
      <c r="E335"/>
      <c r="F335"/>
      <c r="H335"/>
      <c r="I335"/>
      <c r="J335"/>
      <c r="K335"/>
      <c r="L335"/>
    </row>
    <row r="336" spans="2:12" ht="14.4" x14ac:dyDescent="0.3">
      <c r="B336"/>
      <c r="C336"/>
      <c r="D336"/>
      <c r="E336"/>
      <c r="F336"/>
      <c r="H336"/>
      <c r="I336"/>
      <c r="J336"/>
      <c r="K336"/>
      <c r="L336"/>
    </row>
    <row r="337" spans="2:12" ht="14.4" x14ac:dyDescent="0.3">
      <c r="B337"/>
      <c r="C337"/>
      <c r="D337"/>
      <c r="E337"/>
      <c r="F337"/>
      <c r="H337"/>
      <c r="I337"/>
      <c r="J337"/>
      <c r="K337"/>
      <c r="L337"/>
    </row>
    <row r="338" spans="2:12" ht="14.4" x14ac:dyDescent="0.3">
      <c r="B338"/>
      <c r="C338"/>
      <c r="D338"/>
      <c r="E338"/>
      <c r="F338"/>
      <c r="H338"/>
      <c r="I338"/>
      <c r="J338"/>
      <c r="K338"/>
      <c r="L338"/>
    </row>
    <row r="339" spans="2:12" ht="14.4" x14ac:dyDescent="0.3">
      <c r="B339"/>
      <c r="C339"/>
      <c r="D339"/>
      <c r="E339"/>
      <c r="F339"/>
      <c r="H339"/>
      <c r="I339"/>
      <c r="J339"/>
      <c r="K339"/>
      <c r="L339"/>
    </row>
    <row r="340" spans="2:12" ht="14.4" x14ac:dyDescent="0.3">
      <c r="B340"/>
      <c r="C340"/>
      <c r="D340"/>
      <c r="E340"/>
      <c r="F340"/>
      <c r="H340"/>
      <c r="I340"/>
      <c r="J340"/>
      <c r="K340"/>
      <c r="L340"/>
    </row>
    <row r="341" spans="2:12" ht="14.4" x14ac:dyDescent="0.3">
      <c r="B341"/>
      <c r="C341"/>
      <c r="D341"/>
      <c r="E341"/>
      <c r="F341"/>
      <c r="H341"/>
      <c r="I341"/>
      <c r="J341"/>
      <c r="K341"/>
      <c r="L341"/>
    </row>
    <row r="342" spans="2:12" ht="14.4" x14ac:dyDescent="0.3">
      <c r="B342"/>
      <c r="C342"/>
      <c r="D342"/>
      <c r="E342"/>
      <c r="F342"/>
      <c r="H342"/>
      <c r="I342"/>
      <c r="J342"/>
      <c r="K342"/>
      <c r="L342"/>
    </row>
    <row r="343" spans="2:12" ht="14.4" x14ac:dyDescent="0.3">
      <c r="B343"/>
      <c r="C343"/>
      <c r="D343"/>
      <c r="E343"/>
      <c r="F343"/>
      <c r="H343"/>
      <c r="I343"/>
      <c r="J343"/>
      <c r="K343"/>
      <c r="L343"/>
    </row>
    <row r="344" spans="2:12" ht="14.4" x14ac:dyDescent="0.3">
      <c r="B344"/>
      <c r="C344"/>
      <c r="D344"/>
      <c r="E344"/>
      <c r="F344"/>
      <c r="H344"/>
      <c r="I344"/>
      <c r="J344"/>
      <c r="K344"/>
      <c r="L344"/>
    </row>
    <row r="345" spans="2:12" ht="14.4" x14ac:dyDescent="0.3">
      <c r="B345"/>
      <c r="C345"/>
      <c r="D345"/>
      <c r="E345"/>
      <c r="F345"/>
      <c r="H345"/>
      <c r="I345"/>
      <c r="J345"/>
      <c r="K345"/>
      <c r="L345"/>
    </row>
    <row r="346" spans="2:12" ht="14.4" x14ac:dyDescent="0.3">
      <c r="B346"/>
      <c r="C346"/>
      <c r="D346"/>
      <c r="E346"/>
      <c r="F346"/>
      <c r="H346"/>
      <c r="I346"/>
      <c r="J346"/>
      <c r="K346"/>
      <c r="L346"/>
    </row>
    <row r="347" spans="2:12" ht="14.4" x14ac:dyDescent="0.3">
      <c r="B347"/>
      <c r="C347"/>
      <c r="D347"/>
      <c r="E347"/>
      <c r="F347"/>
      <c r="H347"/>
      <c r="I347"/>
      <c r="J347"/>
      <c r="K347"/>
      <c r="L347"/>
    </row>
    <row r="348" spans="2:12" ht="14.4" x14ac:dyDescent="0.3">
      <c r="B348"/>
      <c r="C348"/>
      <c r="D348"/>
      <c r="E348"/>
      <c r="F348"/>
      <c r="H348"/>
      <c r="I348"/>
      <c r="J348"/>
      <c r="K348"/>
      <c r="L348"/>
    </row>
    <row r="349" spans="2:12" ht="14.4" x14ac:dyDescent="0.3">
      <c r="B349"/>
      <c r="C349"/>
      <c r="D349"/>
      <c r="E349"/>
      <c r="F349"/>
      <c r="H349"/>
      <c r="I349"/>
      <c r="J349"/>
      <c r="K349"/>
      <c r="L349"/>
    </row>
    <row r="350" spans="2:12" ht="14.4" x14ac:dyDescent="0.3">
      <c r="B350"/>
      <c r="C350"/>
      <c r="D350"/>
      <c r="E350"/>
      <c r="F350"/>
      <c r="H350"/>
      <c r="I350"/>
      <c r="J350"/>
      <c r="K350"/>
      <c r="L350"/>
    </row>
    <row r="351" spans="2:12" ht="14.4" x14ac:dyDescent="0.3">
      <c r="B351"/>
      <c r="C351"/>
      <c r="D351"/>
      <c r="E351"/>
      <c r="F351"/>
      <c r="H351"/>
      <c r="I351"/>
      <c r="J351"/>
      <c r="K351"/>
      <c r="L351"/>
    </row>
    <row r="352" spans="2:12" ht="14.4" x14ac:dyDescent="0.3">
      <c r="B352"/>
      <c r="C352"/>
      <c r="D352"/>
      <c r="E352"/>
      <c r="F352"/>
      <c r="H352"/>
      <c r="I352"/>
      <c r="J352"/>
      <c r="K352"/>
      <c r="L352"/>
    </row>
    <row r="353" spans="2:12" ht="14.4" x14ac:dyDescent="0.3">
      <c r="B353"/>
      <c r="C353"/>
      <c r="D353"/>
      <c r="E353"/>
      <c r="F353"/>
      <c r="H353"/>
      <c r="I353"/>
      <c r="J353"/>
      <c r="K353"/>
      <c r="L353"/>
    </row>
    <row r="354" spans="2:12" ht="14.4" x14ac:dyDescent="0.3">
      <c r="B354"/>
      <c r="C354"/>
      <c r="D354"/>
      <c r="E354"/>
      <c r="F354"/>
      <c r="H354"/>
      <c r="I354"/>
      <c r="J354"/>
      <c r="K354"/>
      <c r="L354"/>
    </row>
    <row r="355" spans="2:12" ht="14.4" x14ac:dyDescent="0.3">
      <c r="B355"/>
      <c r="C355"/>
      <c r="D355"/>
      <c r="E355"/>
      <c r="F355"/>
      <c r="H355"/>
      <c r="I355"/>
      <c r="J355"/>
      <c r="K355"/>
      <c r="L355"/>
    </row>
    <row r="356" spans="2:12" ht="14.4" x14ac:dyDescent="0.3">
      <c r="B356"/>
      <c r="C356"/>
      <c r="D356"/>
      <c r="E356"/>
      <c r="F356"/>
      <c r="H356"/>
      <c r="I356"/>
      <c r="J356"/>
      <c r="K356"/>
      <c r="L356"/>
    </row>
    <row r="357" spans="2:12" ht="14.4" x14ac:dyDescent="0.3">
      <c r="B357"/>
      <c r="C357"/>
      <c r="D357"/>
      <c r="E357"/>
      <c r="F357"/>
      <c r="H357"/>
      <c r="I357"/>
      <c r="J357"/>
      <c r="K357"/>
      <c r="L357"/>
    </row>
    <row r="358" spans="2:12" ht="14.4" x14ac:dyDescent="0.3">
      <c r="B358"/>
      <c r="C358"/>
      <c r="D358"/>
      <c r="E358"/>
      <c r="F358"/>
      <c r="H358"/>
      <c r="I358"/>
      <c r="J358"/>
      <c r="K358"/>
      <c r="L358"/>
    </row>
    <row r="359" spans="2:12" ht="14.4" x14ac:dyDescent="0.3">
      <c r="B359"/>
      <c r="C359"/>
      <c r="D359"/>
      <c r="E359"/>
      <c r="F359"/>
      <c r="H359"/>
      <c r="I359"/>
      <c r="J359"/>
      <c r="K359"/>
      <c r="L359"/>
    </row>
    <row r="360" spans="2:12" ht="14.4" x14ac:dyDescent="0.3">
      <c r="B360"/>
      <c r="C360"/>
      <c r="D360"/>
      <c r="E360"/>
      <c r="F360"/>
      <c r="H360"/>
      <c r="I360"/>
      <c r="J360"/>
      <c r="K360"/>
      <c r="L360"/>
    </row>
    <row r="361" spans="2:12" ht="14.4" x14ac:dyDescent="0.3">
      <c r="B361"/>
      <c r="C361"/>
      <c r="D361"/>
      <c r="E361"/>
      <c r="F361"/>
      <c r="H361"/>
      <c r="I361"/>
      <c r="J361"/>
      <c r="K361"/>
      <c r="L361"/>
    </row>
    <row r="362" spans="2:12" ht="14.4" x14ac:dyDescent="0.3">
      <c r="B362"/>
      <c r="C362"/>
      <c r="D362"/>
      <c r="E362"/>
      <c r="F362"/>
      <c r="H362"/>
      <c r="I362"/>
      <c r="J362"/>
      <c r="K362"/>
      <c r="L362"/>
    </row>
    <row r="363" spans="2:12" ht="14.4" x14ac:dyDescent="0.3">
      <c r="B363"/>
      <c r="C363"/>
      <c r="D363"/>
      <c r="E363"/>
      <c r="F363"/>
      <c r="H363"/>
      <c r="I363"/>
      <c r="J363"/>
      <c r="K363"/>
      <c r="L363"/>
    </row>
    <row r="364" spans="2:12" ht="14.4" x14ac:dyDescent="0.3">
      <c r="B364"/>
      <c r="C364"/>
      <c r="D364"/>
      <c r="E364"/>
      <c r="F364"/>
      <c r="H364"/>
      <c r="I364"/>
      <c r="J364"/>
      <c r="K364"/>
      <c r="L364"/>
    </row>
    <row r="365" spans="2:12" ht="14.4" x14ac:dyDescent="0.3">
      <c r="B365"/>
      <c r="C365"/>
      <c r="D365"/>
      <c r="E365"/>
      <c r="F365"/>
      <c r="H365"/>
      <c r="I365"/>
      <c r="J365"/>
      <c r="K365"/>
      <c r="L365"/>
    </row>
    <row r="366" spans="2:12" ht="14.4" x14ac:dyDescent="0.3">
      <c r="B366"/>
      <c r="C366"/>
      <c r="D366"/>
      <c r="E366"/>
      <c r="F366"/>
      <c r="H366"/>
      <c r="I366"/>
      <c r="J366"/>
      <c r="K366"/>
      <c r="L366"/>
    </row>
    <row r="367" spans="2:12" ht="14.4" x14ac:dyDescent="0.3">
      <c r="B367"/>
      <c r="C367"/>
      <c r="D367"/>
      <c r="E367"/>
      <c r="F367"/>
      <c r="H367"/>
      <c r="I367"/>
      <c r="J367"/>
      <c r="K367"/>
      <c r="L367"/>
    </row>
    <row r="368" spans="2:12" ht="14.4" x14ac:dyDescent="0.3">
      <c r="B368"/>
      <c r="C368"/>
      <c r="D368"/>
      <c r="E368"/>
      <c r="F368"/>
      <c r="H368"/>
      <c r="I368"/>
      <c r="J368"/>
      <c r="K368"/>
      <c r="L368"/>
    </row>
    <row r="369" spans="2:12" ht="14.4" x14ac:dyDescent="0.3">
      <c r="B369"/>
      <c r="C369"/>
      <c r="D369"/>
      <c r="E369"/>
      <c r="F369"/>
      <c r="H369"/>
      <c r="I369"/>
      <c r="J369"/>
      <c r="K369"/>
      <c r="L369"/>
    </row>
    <row r="370" spans="2:12" ht="14.4" x14ac:dyDescent="0.3">
      <c r="B370"/>
      <c r="C370"/>
      <c r="D370"/>
      <c r="E370"/>
      <c r="F370"/>
      <c r="H370"/>
      <c r="I370"/>
      <c r="J370"/>
      <c r="K370"/>
      <c r="L370"/>
    </row>
    <row r="371" spans="2:12" ht="14.4" x14ac:dyDescent="0.3">
      <c r="B371"/>
      <c r="C371"/>
      <c r="D371"/>
      <c r="E371"/>
      <c r="F371"/>
      <c r="H371"/>
      <c r="I371"/>
      <c r="J371"/>
      <c r="K371"/>
      <c r="L371"/>
    </row>
    <row r="372" spans="2:12" ht="14.4" x14ac:dyDescent="0.3">
      <c r="B372"/>
      <c r="C372"/>
      <c r="D372"/>
      <c r="E372"/>
      <c r="F372"/>
      <c r="H372"/>
      <c r="I372"/>
      <c r="J372"/>
      <c r="K372"/>
      <c r="L372"/>
    </row>
    <row r="373" spans="2:12" ht="14.4" x14ac:dyDescent="0.3">
      <c r="B373"/>
      <c r="C373"/>
      <c r="D373"/>
      <c r="E373"/>
      <c r="F373"/>
      <c r="H373"/>
      <c r="I373"/>
      <c r="J373"/>
      <c r="K373"/>
      <c r="L373"/>
    </row>
    <row r="374" spans="2:12" ht="14.4" x14ac:dyDescent="0.3">
      <c r="B374"/>
      <c r="C374"/>
      <c r="D374"/>
      <c r="E374"/>
      <c r="F374"/>
      <c r="H374"/>
      <c r="I374"/>
      <c r="J374"/>
      <c r="K374"/>
      <c r="L374"/>
    </row>
    <row r="375" spans="2:12" ht="14.4" x14ac:dyDescent="0.3">
      <c r="B375"/>
      <c r="C375"/>
      <c r="D375"/>
      <c r="E375"/>
      <c r="F375"/>
      <c r="H375"/>
      <c r="I375"/>
      <c r="J375"/>
      <c r="K375"/>
      <c r="L375"/>
    </row>
    <row r="376" spans="2:12" ht="14.4" x14ac:dyDescent="0.3">
      <c r="B376"/>
      <c r="C376"/>
      <c r="D376"/>
      <c r="E376"/>
      <c r="F376"/>
      <c r="H376"/>
      <c r="I376"/>
      <c r="J376"/>
      <c r="K376"/>
      <c r="L376"/>
    </row>
    <row r="377" spans="2:12" ht="14.4" x14ac:dyDescent="0.3">
      <c r="B377"/>
      <c r="C377"/>
      <c r="D377"/>
      <c r="E377"/>
      <c r="F377"/>
      <c r="H377"/>
      <c r="I377"/>
      <c r="J377"/>
      <c r="K377"/>
      <c r="L377"/>
    </row>
    <row r="378" spans="2:12" ht="14.4" x14ac:dyDescent="0.3">
      <c r="B378"/>
      <c r="C378"/>
      <c r="D378"/>
      <c r="E378"/>
      <c r="F378"/>
      <c r="H378"/>
      <c r="I378"/>
      <c r="J378"/>
      <c r="K378"/>
      <c r="L378"/>
    </row>
    <row r="379" spans="2:12" ht="14.4" x14ac:dyDescent="0.3">
      <c r="B379"/>
      <c r="C379"/>
      <c r="D379"/>
      <c r="E379"/>
      <c r="F379"/>
      <c r="H379"/>
      <c r="I379"/>
      <c r="J379"/>
      <c r="K379"/>
      <c r="L379"/>
    </row>
    <row r="380" spans="2:12" ht="14.4" x14ac:dyDescent="0.3">
      <c r="B380"/>
      <c r="C380"/>
      <c r="D380"/>
      <c r="E380"/>
      <c r="F380"/>
      <c r="H380"/>
      <c r="I380"/>
      <c r="J380"/>
      <c r="K380"/>
      <c r="L380"/>
    </row>
    <row r="381" spans="2:12" ht="14.4" x14ac:dyDescent="0.3">
      <c r="B381"/>
      <c r="C381"/>
      <c r="D381"/>
      <c r="E381"/>
      <c r="F381"/>
      <c r="H381"/>
      <c r="I381"/>
      <c r="J381"/>
      <c r="K381"/>
      <c r="L381"/>
    </row>
    <row r="382" spans="2:12" ht="14.4" x14ac:dyDescent="0.3">
      <c r="B382"/>
      <c r="C382"/>
      <c r="D382"/>
      <c r="E382"/>
      <c r="F382"/>
      <c r="H382"/>
      <c r="I382"/>
      <c r="J382"/>
      <c r="K382"/>
      <c r="L382"/>
    </row>
    <row r="383" spans="2:12" ht="14.4" x14ac:dyDescent="0.3">
      <c r="B383"/>
      <c r="C383"/>
      <c r="D383"/>
      <c r="E383"/>
      <c r="F383"/>
      <c r="H383"/>
      <c r="I383"/>
      <c r="J383"/>
      <c r="K383"/>
      <c r="L383"/>
    </row>
    <row r="384" spans="2:12" ht="14.4" x14ac:dyDescent="0.3">
      <c r="B384"/>
      <c r="C384"/>
      <c r="D384"/>
      <c r="E384"/>
      <c r="F384"/>
      <c r="H384"/>
      <c r="I384"/>
      <c r="J384"/>
      <c r="K384"/>
      <c r="L384"/>
    </row>
    <row r="385" spans="2:12" ht="14.4" x14ac:dyDescent="0.3">
      <c r="B385"/>
      <c r="C385"/>
      <c r="D385"/>
      <c r="E385"/>
      <c r="F385"/>
      <c r="H385"/>
      <c r="I385"/>
      <c r="J385"/>
      <c r="K385"/>
      <c r="L385"/>
    </row>
    <row r="386" spans="2:12" ht="14.4" x14ac:dyDescent="0.3">
      <c r="B386"/>
      <c r="C386"/>
      <c r="D386"/>
      <c r="E386"/>
      <c r="F386"/>
      <c r="H386"/>
      <c r="I386"/>
      <c r="J386"/>
      <c r="K386"/>
      <c r="L386"/>
    </row>
    <row r="387" spans="2:12" ht="14.4" x14ac:dyDescent="0.3">
      <c r="B387"/>
      <c r="C387"/>
      <c r="D387"/>
      <c r="E387"/>
      <c r="F387"/>
      <c r="H387"/>
      <c r="I387"/>
      <c r="J387"/>
      <c r="K387"/>
      <c r="L387"/>
    </row>
    <row r="388" spans="2:12" ht="14.4" x14ac:dyDescent="0.3">
      <c r="B388"/>
      <c r="C388"/>
      <c r="D388"/>
      <c r="E388"/>
      <c r="F388"/>
      <c r="H388"/>
      <c r="I388"/>
      <c r="J388"/>
      <c r="K388"/>
      <c r="L388"/>
    </row>
    <row r="389" spans="2:12" ht="14.4" x14ac:dyDescent="0.3">
      <c r="B389"/>
      <c r="C389"/>
      <c r="D389"/>
      <c r="E389"/>
      <c r="F389"/>
      <c r="H389"/>
      <c r="I389"/>
      <c r="J389"/>
      <c r="K389"/>
      <c r="L389"/>
    </row>
    <row r="390" spans="2:12" ht="14.4" x14ac:dyDescent="0.3">
      <c r="B390"/>
      <c r="C390"/>
      <c r="D390"/>
      <c r="E390"/>
      <c r="F390"/>
      <c r="H390"/>
      <c r="I390"/>
      <c r="J390"/>
      <c r="K390"/>
      <c r="L390"/>
    </row>
    <row r="391" spans="2:12" ht="14.4" x14ac:dyDescent="0.3">
      <c r="B391"/>
      <c r="C391"/>
      <c r="D391"/>
      <c r="E391"/>
      <c r="F391"/>
      <c r="H391"/>
      <c r="I391"/>
      <c r="J391"/>
      <c r="K391"/>
      <c r="L391"/>
    </row>
    <row r="392" spans="2:12" ht="14.4" x14ac:dyDescent="0.3">
      <c r="B392"/>
      <c r="C392"/>
      <c r="D392"/>
      <c r="E392"/>
      <c r="F392"/>
      <c r="H392"/>
      <c r="I392"/>
      <c r="J392"/>
      <c r="K392"/>
      <c r="L392"/>
    </row>
    <row r="393" spans="2:12" ht="14.4" x14ac:dyDescent="0.3">
      <c r="B393"/>
      <c r="C393"/>
      <c r="D393"/>
      <c r="E393"/>
      <c r="F393"/>
      <c r="H393"/>
      <c r="I393"/>
      <c r="J393"/>
      <c r="K393"/>
      <c r="L393"/>
    </row>
    <row r="394" spans="2:12" ht="14.4" x14ac:dyDescent="0.3">
      <c r="B394"/>
      <c r="C394"/>
      <c r="D394"/>
      <c r="E394"/>
      <c r="F394"/>
      <c r="H394"/>
      <c r="I394"/>
      <c r="J394"/>
      <c r="K394"/>
      <c r="L394"/>
    </row>
    <row r="395" spans="2:12" ht="14.4" x14ac:dyDescent="0.3">
      <c r="B395"/>
      <c r="C395"/>
      <c r="D395"/>
      <c r="E395"/>
      <c r="F395"/>
      <c r="H395"/>
      <c r="I395"/>
      <c r="J395"/>
      <c r="K395"/>
      <c r="L395"/>
    </row>
    <row r="396" spans="2:12" ht="14.4" x14ac:dyDescent="0.3">
      <c r="B396"/>
      <c r="C396"/>
      <c r="D396"/>
      <c r="E396"/>
      <c r="F396"/>
      <c r="H396"/>
      <c r="I396"/>
      <c r="J396"/>
      <c r="K396"/>
      <c r="L396"/>
    </row>
    <row r="397" spans="2:12" ht="14.4" x14ac:dyDescent="0.3">
      <c r="B397"/>
      <c r="C397"/>
      <c r="D397"/>
      <c r="E397"/>
      <c r="F397"/>
      <c r="H397"/>
      <c r="I397"/>
      <c r="J397"/>
      <c r="K397"/>
      <c r="L397"/>
    </row>
    <row r="398" spans="2:12" ht="14.4" x14ac:dyDescent="0.3">
      <c r="B398"/>
      <c r="C398"/>
      <c r="D398"/>
      <c r="E398"/>
      <c r="F398"/>
      <c r="H398"/>
      <c r="I398"/>
      <c r="J398"/>
      <c r="K398"/>
      <c r="L398"/>
    </row>
    <row r="399" spans="2:12" ht="14.4" x14ac:dyDescent="0.3">
      <c r="B399"/>
      <c r="C399"/>
      <c r="D399"/>
      <c r="E399"/>
      <c r="F399"/>
      <c r="H399"/>
      <c r="I399"/>
      <c r="J399"/>
      <c r="K399"/>
      <c r="L399"/>
    </row>
    <row r="400" spans="2:12" ht="14.4" x14ac:dyDescent="0.3">
      <c r="B400"/>
      <c r="C400"/>
      <c r="D400"/>
      <c r="E400"/>
      <c r="F400"/>
      <c r="H400"/>
      <c r="I400"/>
      <c r="J400"/>
      <c r="K400"/>
      <c r="L400"/>
    </row>
    <row r="401" spans="2:12" ht="14.4" x14ac:dyDescent="0.3">
      <c r="B401"/>
      <c r="C401"/>
      <c r="D401"/>
      <c r="E401"/>
      <c r="F401"/>
      <c r="H401"/>
      <c r="I401"/>
      <c r="J401"/>
      <c r="K401"/>
      <c r="L401"/>
    </row>
    <row r="402" spans="2:12" ht="14.4" x14ac:dyDescent="0.3">
      <c r="B402"/>
      <c r="C402"/>
      <c r="D402"/>
      <c r="E402"/>
      <c r="F402"/>
      <c r="H402"/>
      <c r="I402"/>
      <c r="J402"/>
      <c r="K402"/>
      <c r="L402"/>
    </row>
    <row r="403" spans="2:12" ht="14.4" x14ac:dyDescent="0.3">
      <c r="B403"/>
      <c r="C403"/>
      <c r="D403"/>
      <c r="E403"/>
      <c r="F403"/>
      <c r="H403"/>
      <c r="I403"/>
      <c r="J403"/>
      <c r="K403"/>
      <c r="L403"/>
    </row>
    <row r="404" spans="2:12" ht="14.4" x14ac:dyDescent="0.3">
      <c r="B404"/>
      <c r="C404"/>
      <c r="D404"/>
      <c r="E404"/>
      <c r="F404"/>
      <c r="H404"/>
      <c r="I404"/>
      <c r="J404"/>
      <c r="K404"/>
      <c r="L404"/>
    </row>
    <row r="405" spans="2:12" ht="14.4" x14ac:dyDescent="0.3">
      <c r="B405"/>
      <c r="C405"/>
      <c r="D405"/>
      <c r="E405"/>
      <c r="F405"/>
      <c r="H405"/>
      <c r="I405"/>
      <c r="J405"/>
      <c r="K405"/>
      <c r="L405"/>
    </row>
    <row r="406" spans="2:12" ht="14.4" x14ac:dyDescent="0.3">
      <c r="B406"/>
      <c r="C406"/>
      <c r="D406"/>
      <c r="E406"/>
      <c r="F406"/>
      <c r="H406"/>
      <c r="I406"/>
      <c r="J406"/>
      <c r="K406"/>
      <c r="L406"/>
    </row>
    <row r="407" spans="2:12" ht="14.4" x14ac:dyDescent="0.3">
      <c r="B407"/>
      <c r="C407"/>
      <c r="D407"/>
      <c r="E407"/>
      <c r="F407"/>
      <c r="H407"/>
      <c r="I407"/>
      <c r="J407"/>
      <c r="K407"/>
      <c r="L407"/>
    </row>
    <row r="408" spans="2:12" ht="14.4" x14ac:dyDescent="0.3">
      <c r="B408"/>
      <c r="C408"/>
      <c r="D408"/>
      <c r="E408"/>
      <c r="F408"/>
      <c r="H408"/>
      <c r="I408"/>
      <c r="J408"/>
      <c r="K408"/>
      <c r="L408"/>
    </row>
    <row r="409" spans="2:12" ht="14.4" x14ac:dyDescent="0.3">
      <c r="B409"/>
      <c r="C409"/>
      <c r="D409"/>
      <c r="E409"/>
      <c r="F409"/>
      <c r="H409"/>
      <c r="I409"/>
      <c r="J409"/>
      <c r="K409"/>
      <c r="L409"/>
    </row>
    <row r="410" spans="2:12" ht="14.4" x14ac:dyDescent="0.3">
      <c r="B410"/>
      <c r="C410"/>
      <c r="D410"/>
      <c r="E410"/>
      <c r="F410"/>
      <c r="H410"/>
      <c r="I410"/>
      <c r="J410"/>
      <c r="K410"/>
      <c r="L410"/>
    </row>
    <row r="411" spans="2:12" ht="14.4" x14ac:dyDescent="0.3">
      <c r="B411"/>
      <c r="C411"/>
      <c r="D411"/>
      <c r="E411"/>
      <c r="F411"/>
      <c r="H411"/>
      <c r="I411"/>
      <c r="J411"/>
      <c r="K411"/>
      <c r="L411"/>
    </row>
    <row r="412" spans="2:12" ht="14.4" x14ac:dyDescent="0.3">
      <c r="B412"/>
      <c r="C412"/>
      <c r="D412"/>
      <c r="E412"/>
      <c r="F412"/>
      <c r="H412"/>
      <c r="I412"/>
      <c r="J412"/>
      <c r="K412"/>
      <c r="L412"/>
    </row>
    <row r="413" spans="2:12" ht="14.4" x14ac:dyDescent="0.3">
      <c r="B413"/>
      <c r="C413"/>
      <c r="D413"/>
      <c r="E413"/>
      <c r="F413"/>
      <c r="H413"/>
      <c r="I413"/>
      <c r="J413"/>
      <c r="K413"/>
      <c r="L413"/>
    </row>
    <row r="414" spans="2:12" ht="14.4" x14ac:dyDescent="0.3">
      <c r="B414"/>
      <c r="C414"/>
      <c r="D414"/>
      <c r="E414"/>
      <c r="F414"/>
      <c r="H414"/>
      <c r="I414"/>
      <c r="J414"/>
      <c r="K414"/>
      <c r="L414"/>
    </row>
    <row r="415" spans="2:12" ht="14.4" x14ac:dyDescent="0.3">
      <c r="B415"/>
      <c r="C415"/>
      <c r="D415"/>
      <c r="E415"/>
      <c r="F415"/>
      <c r="H415"/>
      <c r="I415"/>
      <c r="J415"/>
      <c r="K415"/>
      <c r="L415"/>
    </row>
    <row r="416" spans="2:12" ht="14.4" x14ac:dyDescent="0.3">
      <c r="B416"/>
      <c r="C416"/>
      <c r="D416"/>
      <c r="E416"/>
      <c r="F416"/>
      <c r="H416"/>
      <c r="I416"/>
      <c r="J416"/>
      <c r="K416"/>
      <c r="L416"/>
    </row>
    <row r="417" spans="2:12" ht="14.4" x14ac:dyDescent="0.3">
      <c r="B417"/>
      <c r="C417"/>
      <c r="D417"/>
      <c r="E417"/>
      <c r="F417"/>
      <c r="H417"/>
      <c r="I417"/>
      <c r="J417"/>
      <c r="K417"/>
      <c r="L417"/>
    </row>
    <row r="418" spans="2:12" ht="14.4" x14ac:dyDescent="0.3">
      <c r="B418"/>
      <c r="C418"/>
      <c r="D418"/>
      <c r="E418"/>
      <c r="F418"/>
      <c r="H418"/>
      <c r="I418"/>
      <c r="J418"/>
      <c r="K418"/>
      <c r="L418"/>
    </row>
    <row r="419" spans="2:12" ht="14.4" x14ac:dyDescent="0.3">
      <c r="B419"/>
      <c r="C419"/>
      <c r="D419"/>
      <c r="E419"/>
      <c r="F419"/>
      <c r="H419"/>
      <c r="I419"/>
      <c r="J419"/>
      <c r="K419"/>
      <c r="L419"/>
    </row>
    <row r="420" spans="2:12" ht="14.4" x14ac:dyDescent="0.3">
      <c r="B420"/>
      <c r="C420"/>
      <c r="D420"/>
      <c r="E420"/>
      <c r="F420"/>
      <c r="H420"/>
      <c r="I420"/>
      <c r="J420"/>
      <c r="K420"/>
      <c r="L420"/>
    </row>
    <row r="421" spans="2:12" ht="14.4" x14ac:dyDescent="0.3">
      <c r="B421"/>
      <c r="C421"/>
      <c r="D421"/>
      <c r="E421"/>
      <c r="F421"/>
      <c r="H421"/>
      <c r="I421"/>
      <c r="J421"/>
      <c r="K421"/>
      <c r="L421"/>
    </row>
    <row r="422" spans="2:12" ht="14.4" x14ac:dyDescent="0.3">
      <c r="B422"/>
      <c r="C422"/>
      <c r="D422"/>
      <c r="E422"/>
      <c r="F422"/>
      <c r="H422"/>
      <c r="I422"/>
      <c r="J422"/>
      <c r="K422"/>
      <c r="L422"/>
    </row>
    <row r="423" spans="2:12" ht="14.4" x14ac:dyDescent="0.3">
      <c r="B423"/>
      <c r="C423"/>
      <c r="D423"/>
      <c r="E423"/>
      <c r="F423"/>
      <c r="H423"/>
      <c r="I423"/>
      <c r="J423"/>
      <c r="K423"/>
      <c r="L423"/>
    </row>
    <row r="424" spans="2:12" ht="14.4" x14ac:dyDescent="0.3">
      <c r="B424"/>
      <c r="C424"/>
      <c r="D424"/>
      <c r="E424"/>
      <c r="F424"/>
      <c r="H424"/>
      <c r="I424"/>
      <c r="J424"/>
      <c r="K424"/>
      <c r="L424"/>
    </row>
    <row r="425" spans="2:12" ht="14.4" x14ac:dyDescent="0.3">
      <c r="B425"/>
      <c r="C425"/>
      <c r="D425"/>
      <c r="E425"/>
      <c r="F425"/>
      <c r="H425"/>
      <c r="I425"/>
      <c r="J425"/>
      <c r="K425"/>
      <c r="L425"/>
    </row>
    <row r="426" spans="2:12" ht="14.4" x14ac:dyDescent="0.3">
      <c r="B426"/>
      <c r="C426"/>
      <c r="D426"/>
      <c r="E426"/>
      <c r="F426"/>
      <c r="H426"/>
      <c r="I426"/>
      <c r="J426"/>
      <c r="K426"/>
      <c r="L426"/>
    </row>
    <row r="427" spans="2:12" ht="14.4" x14ac:dyDescent="0.3">
      <c r="B427"/>
      <c r="C427"/>
      <c r="D427"/>
      <c r="E427"/>
      <c r="F427"/>
      <c r="H427"/>
      <c r="I427"/>
      <c r="J427"/>
      <c r="K427"/>
      <c r="L427"/>
    </row>
    <row r="428" spans="2:12" ht="14.4" x14ac:dyDescent="0.3">
      <c r="B428"/>
      <c r="C428"/>
      <c r="D428"/>
      <c r="E428"/>
      <c r="F428"/>
      <c r="H428"/>
      <c r="I428"/>
      <c r="J428"/>
      <c r="K428"/>
      <c r="L428"/>
    </row>
    <row r="429" spans="2:12" ht="14.4" x14ac:dyDescent="0.3">
      <c r="B429"/>
      <c r="C429"/>
      <c r="D429"/>
      <c r="E429"/>
      <c r="F429"/>
      <c r="H429"/>
      <c r="I429"/>
      <c r="J429"/>
      <c r="K429"/>
      <c r="L429"/>
    </row>
    <row r="430" spans="2:12" ht="14.4" x14ac:dyDescent="0.3">
      <c r="B430"/>
      <c r="C430"/>
      <c r="D430"/>
      <c r="E430"/>
      <c r="F430"/>
      <c r="H430"/>
      <c r="I430"/>
      <c r="J430"/>
      <c r="K430"/>
      <c r="L430"/>
    </row>
    <row r="431" spans="2:12" ht="14.4" x14ac:dyDescent="0.3">
      <c r="B431"/>
      <c r="C431"/>
      <c r="D431"/>
      <c r="E431"/>
      <c r="F431"/>
      <c r="H431"/>
      <c r="I431"/>
      <c r="J431"/>
      <c r="K431"/>
      <c r="L431"/>
    </row>
    <row r="432" spans="2:12" ht="14.4" x14ac:dyDescent="0.3">
      <c r="B432"/>
      <c r="C432"/>
      <c r="D432"/>
      <c r="E432"/>
      <c r="F432"/>
      <c r="H432"/>
      <c r="I432"/>
      <c r="J432"/>
      <c r="K432"/>
      <c r="L432"/>
    </row>
    <row r="433" spans="2:12" ht="14.4" x14ac:dyDescent="0.3">
      <c r="B433"/>
      <c r="C433"/>
      <c r="D433"/>
      <c r="E433"/>
      <c r="F433"/>
      <c r="H433"/>
      <c r="I433"/>
      <c r="J433"/>
      <c r="K433"/>
      <c r="L433"/>
    </row>
    <row r="434" spans="2:12" ht="14.4" x14ac:dyDescent="0.3">
      <c r="B434"/>
      <c r="C434"/>
      <c r="D434"/>
      <c r="E434"/>
      <c r="F434"/>
      <c r="H434"/>
      <c r="I434"/>
      <c r="J434"/>
      <c r="K434"/>
      <c r="L434"/>
    </row>
    <row r="435" spans="2:12" ht="14.4" x14ac:dyDescent="0.3">
      <c r="B435"/>
      <c r="C435"/>
      <c r="D435"/>
      <c r="E435"/>
      <c r="F435"/>
      <c r="H435"/>
      <c r="I435"/>
      <c r="J435"/>
      <c r="K435"/>
      <c r="L435"/>
    </row>
    <row r="436" spans="2:12" ht="14.4" x14ac:dyDescent="0.3">
      <c r="B436"/>
      <c r="C436"/>
      <c r="D436"/>
      <c r="E436"/>
      <c r="F436"/>
      <c r="H436"/>
      <c r="I436"/>
      <c r="J436"/>
      <c r="K436"/>
      <c r="L436"/>
    </row>
    <row r="437" spans="2:12" ht="14.4" x14ac:dyDescent="0.3">
      <c r="B437"/>
      <c r="C437"/>
      <c r="D437"/>
      <c r="E437"/>
      <c r="F437"/>
      <c r="H437"/>
      <c r="I437"/>
      <c r="J437"/>
      <c r="K437"/>
      <c r="L437"/>
    </row>
    <row r="438" spans="2:12" ht="14.4" x14ac:dyDescent="0.3">
      <c r="B438"/>
      <c r="C438"/>
      <c r="D438"/>
      <c r="E438"/>
      <c r="F438"/>
      <c r="H438"/>
      <c r="I438"/>
      <c r="J438"/>
      <c r="K438"/>
      <c r="L438"/>
    </row>
    <row r="439" spans="2:12" ht="14.4" x14ac:dyDescent="0.3">
      <c r="B439"/>
      <c r="C439"/>
      <c r="D439"/>
      <c r="E439"/>
      <c r="F439"/>
      <c r="H439"/>
      <c r="I439"/>
      <c r="J439"/>
      <c r="K439"/>
      <c r="L439"/>
    </row>
    <row r="440" spans="2:12" ht="14.4" x14ac:dyDescent="0.3">
      <c r="B440"/>
      <c r="C440"/>
      <c r="D440"/>
      <c r="E440"/>
      <c r="F440"/>
      <c r="H440"/>
      <c r="I440"/>
      <c r="J440"/>
      <c r="K440"/>
      <c r="L440"/>
    </row>
    <row r="441" spans="2:12" ht="14.4" x14ac:dyDescent="0.3">
      <c r="B441"/>
      <c r="C441"/>
      <c r="D441"/>
      <c r="E441"/>
      <c r="F441"/>
      <c r="H441"/>
      <c r="I441"/>
      <c r="J441"/>
      <c r="K441"/>
      <c r="L441"/>
    </row>
    <row r="442" spans="2:12" ht="14.4" x14ac:dyDescent="0.3">
      <c r="B442"/>
      <c r="C442"/>
      <c r="D442"/>
      <c r="E442"/>
      <c r="F442"/>
      <c r="H442"/>
      <c r="I442"/>
      <c r="J442"/>
      <c r="K442"/>
      <c r="L442"/>
    </row>
    <row r="443" spans="2:12" ht="14.4" x14ac:dyDescent="0.3">
      <c r="B443"/>
      <c r="C443"/>
      <c r="D443"/>
      <c r="E443"/>
      <c r="F443"/>
      <c r="H443"/>
      <c r="I443"/>
      <c r="J443"/>
      <c r="K443"/>
      <c r="L443"/>
    </row>
    <row r="444" spans="2:12" ht="14.4" x14ac:dyDescent="0.3">
      <c r="B444"/>
      <c r="C444"/>
      <c r="D444"/>
      <c r="E444"/>
      <c r="F444"/>
      <c r="H444"/>
      <c r="I444"/>
      <c r="J444"/>
      <c r="K444"/>
      <c r="L444"/>
    </row>
    <row r="445" spans="2:12" ht="14.4" x14ac:dyDescent="0.3">
      <c r="B445"/>
      <c r="C445"/>
      <c r="D445"/>
      <c r="E445"/>
      <c r="F445"/>
      <c r="H445"/>
      <c r="I445"/>
      <c r="J445"/>
      <c r="K445"/>
      <c r="L445"/>
    </row>
    <row r="446" spans="2:12" ht="14.4" x14ac:dyDescent="0.3">
      <c r="B446"/>
      <c r="C446"/>
      <c r="D446"/>
      <c r="E446"/>
      <c r="F446"/>
      <c r="H446"/>
      <c r="I446"/>
      <c r="J446"/>
      <c r="K446"/>
      <c r="L446"/>
    </row>
    <row r="447" spans="2:12" ht="14.4" x14ac:dyDescent="0.3">
      <c r="B447"/>
      <c r="C447"/>
      <c r="D447"/>
      <c r="E447"/>
      <c r="F447"/>
      <c r="H447"/>
      <c r="I447"/>
      <c r="J447"/>
      <c r="K447"/>
      <c r="L447"/>
    </row>
    <row r="448" spans="2:12" ht="14.4" x14ac:dyDescent="0.3">
      <c r="B448"/>
      <c r="C448"/>
      <c r="D448"/>
      <c r="E448"/>
      <c r="F448"/>
      <c r="H448"/>
      <c r="I448"/>
      <c r="J448"/>
      <c r="K448"/>
      <c r="L448"/>
    </row>
    <row r="449" spans="2:12" ht="14.4" x14ac:dyDescent="0.3">
      <c r="B449"/>
      <c r="C449"/>
      <c r="D449"/>
      <c r="E449"/>
      <c r="F449"/>
      <c r="H449"/>
      <c r="I449"/>
      <c r="J449"/>
      <c r="K449"/>
      <c r="L449"/>
    </row>
    <row r="450" spans="2:12" ht="14.4" x14ac:dyDescent="0.3">
      <c r="B450"/>
      <c r="C450"/>
      <c r="D450"/>
      <c r="E450"/>
      <c r="F450"/>
      <c r="H450"/>
      <c r="I450"/>
      <c r="J450"/>
      <c r="K450"/>
      <c r="L450"/>
    </row>
    <row r="451" spans="2:12" ht="14.4" x14ac:dyDescent="0.3">
      <c r="B451"/>
      <c r="C451"/>
      <c r="D451"/>
      <c r="E451"/>
      <c r="F451"/>
      <c r="H451"/>
      <c r="I451"/>
      <c r="J451"/>
      <c r="K451"/>
      <c r="L451"/>
    </row>
    <row r="452" spans="2:12" ht="14.4" x14ac:dyDescent="0.3">
      <c r="B452"/>
      <c r="C452"/>
      <c r="D452"/>
      <c r="E452"/>
      <c r="F452"/>
      <c r="H452"/>
      <c r="I452"/>
      <c r="J452"/>
      <c r="K452"/>
      <c r="L452"/>
    </row>
    <row r="453" spans="2:12" ht="14.4" x14ac:dyDescent="0.3">
      <c r="B453"/>
      <c r="C453"/>
      <c r="D453"/>
      <c r="E453"/>
      <c r="F453"/>
      <c r="H453"/>
      <c r="I453"/>
      <c r="J453"/>
      <c r="K453"/>
      <c r="L453"/>
    </row>
    <row r="454" spans="2:12" ht="14.4" x14ac:dyDescent="0.3">
      <c r="B454"/>
      <c r="C454"/>
      <c r="D454"/>
      <c r="E454"/>
      <c r="F454"/>
      <c r="H454"/>
      <c r="I454"/>
      <c r="J454"/>
      <c r="K454"/>
      <c r="L454"/>
    </row>
    <row r="455" spans="2:12" ht="14.4" x14ac:dyDescent="0.3">
      <c r="B455"/>
      <c r="C455"/>
      <c r="D455"/>
      <c r="E455"/>
      <c r="F455"/>
      <c r="H455"/>
      <c r="I455"/>
      <c r="J455"/>
      <c r="K455"/>
      <c r="L455"/>
    </row>
    <row r="456" spans="2:12" ht="14.4" x14ac:dyDescent="0.3">
      <c r="B456"/>
      <c r="C456"/>
      <c r="D456"/>
      <c r="E456"/>
      <c r="F456"/>
      <c r="H456"/>
      <c r="I456"/>
      <c r="J456"/>
      <c r="K456"/>
      <c r="L456"/>
    </row>
    <row r="457" spans="2:12" ht="14.4" x14ac:dyDescent="0.3">
      <c r="B457"/>
      <c r="C457"/>
      <c r="D457"/>
      <c r="E457"/>
      <c r="F457"/>
      <c r="H457"/>
      <c r="I457"/>
      <c r="J457"/>
      <c r="K457"/>
      <c r="L457"/>
    </row>
    <row r="458" spans="2:12" ht="14.4" x14ac:dyDescent="0.3">
      <c r="B458"/>
      <c r="C458"/>
      <c r="D458"/>
      <c r="E458"/>
      <c r="F458"/>
      <c r="H458"/>
      <c r="I458"/>
      <c r="J458"/>
      <c r="K458"/>
      <c r="L458"/>
    </row>
    <row r="459" spans="2:12" ht="14.4" x14ac:dyDescent="0.3">
      <c r="B459"/>
      <c r="C459"/>
      <c r="D459"/>
      <c r="E459"/>
      <c r="F459"/>
      <c r="H459"/>
      <c r="I459"/>
      <c r="J459"/>
      <c r="K459"/>
      <c r="L459"/>
    </row>
    <row r="460" spans="2:12" ht="14.4" x14ac:dyDescent="0.3">
      <c r="B460"/>
      <c r="C460"/>
      <c r="D460"/>
      <c r="E460"/>
      <c r="F460"/>
      <c r="H460"/>
      <c r="I460"/>
      <c r="J460"/>
      <c r="K460"/>
      <c r="L460"/>
    </row>
    <row r="461" spans="2:12" ht="14.4" x14ac:dyDescent="0.3">
      <c r="B461"/>
      <c r="C461"/>
      <c r="D461"/>
      <c r="E461"/>
      <c r="F461"/>
      <c r="H461"/>
      <c r="I461"/>
      <c r="J461"/>
      <c r="K461"/>
      <c r="L461"/>
    </row>
    <row r="462" spans="2:12" ht="14.4" x14ac:dyDescent="0.3">
      <c r="B462"/>
      <c r="C462"/>
      <c r="D462"/>
      <c r="E462"/>
      <c r="F462"/>
      <c r="H462"/>
      <c r="I462"/>
      <c r="J462"/>
      <c r="K462"/>
      <c r="L462"/>
    </row>
    <row r="463" spans="2:12" ht="14.4" x14ac:dyDescent="0.3">
      <c r="B463"/>
      <c r="C463"/>
      <c r="D463"/>
      <c r="E463"/>
      <c r="F463"/>
      <c r="H463"/>
      <c r="I463"/>
      <c r="J463"/>
      <c r="K463"/>
      <c r="L463"/>
    </row>
    <row r="464" spans="2:12" ht="14.4" x14ac:dyDescent="0.3">
      <c r="B464"/>
      <c r="C464"/>
      <c r="D464"/>
      <c r="E464"/>
      <c r="F464"/>
      <c r="H464"/>
      <c r="I464"/>
      <c r="J464"/>
      <c r="K464"/>
      <c r="L464"/>
    </row>
    <row r="465" spans="2:12" ht="14.4" x14ac:dyDescent="0.3">
      <c r="B465"/>
      <c r="C465"/>
      <c r="D465"/>
      <c r="E465"/>
      <c r="F465"/>
      <c r="H465"/>
      <c r="I465"/>
      <c r="J465"/>
      <c r="K465"/>
      <c r="L465"/>
    </row>
    <row r="466" spans="2:12" ht="14.4" x14ac:dyDescent="0.3">
      <c r="B466"/>
      <c r="C466"/>
      <c r="D466"/>
      <c r="E466"/>
      <c r="F466"/>
      <c r="H466"/>
      <c r="I466"/>
      <c r="J466"/>
      <c r="K466"/>
      <c r="L466"/>
    </row>
    <row r="467" spans="2:12" ht="14.4" x14ac:dyDescent="0.3">
      <c r="B467"/>
      <c r="C467"/>
      <c r="D467"/>
      <c r="E467"/>
      <c r="F467"/>
      <c r="H467"/>
      <c r="I467"/>
      <c r="J467"/>
      <c r="K467"/>
      <c r="L467"/>
    </row>
    <row r="468" spans="2:12" ht="14.4" x14ac:dyDescent="0.3">
      <c r="B468"/>
      <c r="C468"/>
      <c r="D468"/>
      <c r="E468"/>
      <c r="F468"/>
      <c r="H468"/>
      <c r="I468"/>
      <c r="J468"/>
      <c r="K468"/>
      <c r="L468"/>
    </row>
    <row r="469" spans="2:12" ht="14.4" x14ac:dyDescent="0.3">
      <c r="B469"/>
      <c r="C469"/>
      <c r="D469"/>
      <c r="E469"/>
      <c r="F469"/>
      <c r="H469"/>
      <c r="I469"/>
      <c r="J469"/>
      <c r="K469"/>
      <c r="L469"/>
    </row>
    <row r="470" spans="2:12" ht="14.4" x14ac:dyDescent="0.3">
      <c r="B470"/>
      <c r="C470"/>
      <c r="D470"/>
      <c r="E470"/>
      <c r="F470"/>
      <c r="H470"/>
      <c r="I470"/>
      <c r="J470"/>
      <c r="K470"/>
      <c r="L470"/>
    </row>
    <row r="471" spans="2:12" ht="14.4" x14ac:dyDescent="0.3">
      <c r="B471"/>
      <c r="C471"/>
      <c r="D471"/>
      <c r="E471"/>
      <c r="F471"/>
      <c r="H471"/>
      <c r="I471"/>
      <c r="J471"/>
      <c r="K471"/>
      <c r="L471"/>
    </row>
    <row r="472" spans="2:12" ht="14.4" x14ac:dyDescent="0.3">
      <c r="B472"/>
      <c r="C472"/>
      <c r="D472"/>
      <c r="E472"/>
      <c r="F472"/>
      <c r="H472"/>
      <c r="I472"/>
      <c r="J472"/>
      <c r="K472"/>
      <c r="L472"/>
    </row>
    <row r="473" spans="2:12" ht="14.4" x14ac:dyDescent="0.3">
      <c r="B473"/>
      <c r="C473"/>
      <c r="D473"/>
      <c r="E473"/>
      <c r="F473"/>
      <c r="H473"/>
      <c r="I473"/>
      <c r="J473"/>
      <c r="K473"/>
      <c r="L473"/>
    </row>
    <row r="474" spans="2:12" ht="14.4" x14ac:dyDescent="0.3">
      <c r="B474"/>
      <c r="C474"/>
      <c r="D474"/>
      <c r="E474"/>
      <c r="F474"/>
      <c r="H474"/>
      <c r="I474"/>
      <c r="J474"/>
      <c r="K474"/>
      <c r="L474"/>
    </row>
    <row r="475" spans="2:12" ht="14.4" x14ac:dyDescent="0.3">
      <c r="B475"/>
      <c r="C475"/>
      <c r="D475"/>
      <c r="E475"/>
      <c r="F475"/>
      <c r="H475"/>
      <c r="I475"/>
      <c r="J475"/>
      <c r="K475"/>
      <c r="L475"/>
    </row>
    <row r="476" spans="2:12" ht="14.4" x14ac:dyDescent="0.3">
      <c r="B476"/>
      <c r="C476"/>
      <c r="D476"/>
      <c r="E476"/>
      <c r="F476"/>
      <c r="H476"/>
      <c r="I476"/>
      <c r="J476"/>
      <c r="K476"/>
      <c r="L476"/>
    </row>
    <row r="477" spans="2:12" ht="14.4" x14ac:dyDescent="0.3">
      <c r="B477"/>
      <c r="C477"/>
      <c r="D477"/>
      <c r="E477"/>
      <c r="F477"/>
      <c r="H477"/>
      <c r="I477"/>
      <c r="J477"/>
      <c r="K477"/>
      <c r="L477"/>
    </row>
    <row r="478" spans="2:12" ht="14.4" x14ac:dyDescent="0.3">
      <c r="B478"/>
      <c r="C478"/>
      <c r="D478"/>
      <c r="E478"/>
      <c r="F478"/>
      <c r="H478"/>
      <c r="I478"/>
      <c r="J478"/>
      <c r="K478"/>
      <c r="L478"/>
    </row>
    <row r="479" spans="2:12" ht="14.4" x14ac:dyDescent="0.3">
      <c r="B479"/>
      <c r="C479"/>
      <c r="D479"/>
      <c r="E479"/>
      <c r="F479"/>
      <c r="H479"/>
      <c r="I479"/>
      <c r="J479"/>
      <c r="K479"/>
      <c r="L479"/>
    </row>
    <row r="480" spans="2:12" ht="14.4" x14ac:dyDescent="0.3">
      <c r="B480"/>
      <c r="C480"/>
      <c r="D480"/>
      <c r="E480"/>
      <c r="F480"/>
      <c r="H480"/>
      <c r="I480"/>
      <c r="J480"/>
      <c r="K480"/>
      <c r="L480"/>
    </row>
    <row r="481" spans="2:12" ht="14.4" x14ac:dyDescent="0.3">
      <c r="B481"/>
      <c r="C481"/>
      <c r="D481"/>
      <c r="E481"/>
      <c r="F481"/>
      <c r="H481"/>
      <c r="I481"/>
      <c r="J481"/>
      <c r="K481"/>
      <c r="L481"/>
    </row>
    <row r="482" spans="2:12" ht="14.4" x14ac:dyDescent="0.3">
      <c r="B482"/>
      <c r="C482"/>
      <c r="D482"/>
      <c r="E482"/>
      <c r="F482"/>
      <c r="H482"/>
      <c r="I482"/>
      <c r="J482"/>
      <c r="K482"/>
      <c r="L482"/>
    </row>
    <row r="483" spans="2:12" ht="14.4" x14ac:dyDescent="0.3">
      <c r="B483"/>
      <c r="C483"/>
      <c r="D483"/>
      <c r="E483"/>
      <c r="F483"/>
      <c r="H483"/>
      <c r="I483"/>
      <c r="J483"/>
      <c r="K483"/>
      <c r="L483"/>
    </row>
    <row r="484" spans="2:12" ht="14.4" x14ac:dyDescent="0.3">
      <c r="B484"/>
      <c r="C484"/>
      <c r="D484"/>
      <c r="E484"/>
      <c r="F484"/>
      <c r="H484"/>
      <c r="I484"/>
      <c r="J484"/>
      <c r="K484"/>
      <c r="L484"/>
    </row>
    <row r="485" spans="2:12" ht="14.4" x14ac:dyDescent="0.3">
      <c r="B485"/>
      <c r="C485"/>
      <c r="D485"/>
      <c r="E485"/>
      <c r="F485"/>
      <c r="H485"/>
      <c r="I485"/>
      <c r="J485"/>
      <c r="K485"/>
      <c r="L485"/>
    </row>
    <row r="486" spans="2:12" ht="14.4" x14ac:dyDescent="0.3">
      <c r="B486"/>
      <c r="C486"/>
      <c r="D486"/>
      <c r="E486"/>
      <c r="F486"/>
      <c r="H486"/>
      <c r="I486"/>
      <c r="J486"/>
      <c r="K486"/>
      <c r="L486"/>
    </row>
    <row r="487" spans="2:12" ht="14.4" x14ac:dyDescent="0.3">
      <c r="B487"/>
      <c r="C487"/>
      <c r="D487"/>
      <c r="E487"/>
      <c r="F487"/>
      <c r="H487"/>
      <c r="I487"/>
      <c r="J487"/>
      <c r="K487"/>
      <c r="L487"/>
    </row>
    <row r="488" spans="2:12" ht="14.4" x14ac:dyDescent="0.3">
      <c r="B488"/>
      <c r="C488"/>
      <c r="D488"/>
      <c r="E488"/>
      <c r="F488"/>
      <c r="H488"/>
      <c r="I488"/>
      <c r="J488"/>
      <c r="K488"/>
      <c r="L488"/>
    </row>
    <row r="489" spans="2:12" ht="14.4" x14ac:dyDescent="0.3">
      <c r="B489"/>
      <c r="C489"/>
      <c r="D489"/>
      <c r="E489"/>
      <c r="F489"/>
      <c r="H489"/>
      <c r="I489"/>
      <c r="J489"/>
      <c r="K489"/>
      <c r="L489"/>
    </row>
    <row r="490" spans="2:12" ht="14.4" x14ac:dyDescent="0.3">
      <c r="B490"/>
      <c r="C490"/>
      <c r="D490"/>
      <c r="E490"/>
      <c r="F490"/>
      <c r="H490"/>
      <c r="I490"/>
      <c r="J490"/>
      <c r="K490"/>
      <c r="L490"/>
    </row>
    <row r="491" spans="2:12" ht="14.4" x14ac:dyDescent="0.3">
      <c r="B491"/>
      <c r="C491"/>
      <c r="D491"/>
      <c r="E491"/>
      <c r="F491"/>
      <c r="H491"/>
      <c r="I491"/>
      <c r="J491"/>
      <c r="K491"/>
      <c r="L491"/>
    </row>
    <row r="492" spans="2:12" ht="14.4" x14ac:dyDescent="0.3">
      <c r="B492"/>
      <c r="C492"/>
      <c r="D492"/>
      <c r="E492"/>
      <c r="F492"/>
      <c r="H492"/>
      <c r="I492"/>
      <c r="J492"/>
      <c r="K492"/>
      <c r="L492"/>
    </row>
    <row r="493" spans="2:12" ht="14.4" x14ac:dyDescent="0.3">
      <c r="B493"/>
      <c r="C493"/>
      <c r="D493"/>
      <c r="E493"/>
      <c r="F493"/>
      <c r="H493"/>
      <c r="I493"/>
      <c r="J493"/>
      <c r="K493"/>
      <c r="L493"/>
    </row>
    <row r="494" spans="2:12" ht="14.4" x14ac:dyDescent="0.3">
      <c r="B494"/>
      <c r="C494"/>
      <c r="D494"/>
      <c r="E494"/>
      <c r="F494"/>
      <c r="H494"/>
      <c r="I494"/>
      <c r="J494"/>
      <c r="K494"/>
      <c r="L494"/>
    </row>
    <row r="495" spans="2:12" ht="14.4" x14ac:dyDescent="0.3">
      <c r="B495"/>
      <c r="C495"/>
      <c r="D495"/>
      <c r="E495"/>
      <c r="F495"/>
      <c r="H495"/>
      <c r="I495"/>
      <c r="J495"/>
      <c r="K495"/>
      <c r="L495"/>
    </row>
    <row r="496" spans="2:12" ht="14.4" x14ac:dyDescent="0.3">
      <c r="B496"/>
      <c r="C496"/>
      <c r="D496"/>
      <c r="E496"/>
      <c r="F496"/>
      <c r="H496"/>
      <c r="I496"/>
      <c r="J496"/>
      <c r="K496"/>
      <c r="L496"/>
    </row>
    <row r="497" spans="2:12" ht="14.4" x14ac:dyDescent="0.3">
      <c r="B497"/>
      <c r="C497"/>
      <c r="D497"/>
      <c r="E497"/>
      <c r="F497"/>
      <c r="H497"/>
      <c r="I497"/>
      <c r="J497"/>
      <c r="K497"/>
      <c r="L497"/>
    </row>
    <row r="498" spans="2:12" ht="14.4" x14ac:dyDescent="0.3">
      <c r="B498"/>
      <c r="C498"/>
      <c r="D498"/>
      <c r="E498"/>
      <c r="F498"/>
      <c r="H498"/>
      <c r="I498"/>
      <c r="J498"/>
      <c r="K498"/>
      <c r="L498"/>
    </row>
    <row r="499" spans="2:12" ht="14.4" x14ac:dyDescent="0.3">
      <c r="B499"/>
      <c r="C499"/>
      <c r="D499"/>
      <c r="E499"/>
      <c r="F499"/>
      <c r="H499"/>
      <c r="I499"/>
      <c r="J499"/>
      <c r="K499"/>
      <c r="L499"/>
    </row>
    <row r="500" spans="2:12" ht="14.4" x14ac:dyDescent="0.3">
      <c r="B500"/>
      <c r="C500"/>
      <c r="D500"/>
      <c r="E500"/>
      <c r="F500"/>
      <c r="H500"/>
      <c r="I500"/>
      <c r="J500"/>
      <c r="K500"/>
      <c r="L500"/>
    </row>
    <row r="501" spans="2:12" ht="14.4" x14ac:dyDescent="0.3">
      <c r="B501"/>
      <c r="C501"/>
      <c r="D501"/>
      <c r="E501"/>
      <c r="F501"/>
      <c r="H501"/>
      <c r="I501"/>
      <c r="J501"/>
      <c r="K501"/>
      <c r="L501"/>
    </row>
    <row r="502" spans="2:12" ht="14.4" x14ac:dyDescent="0.3">
      <c r="B502"/>
      <c r="C502"/>
      <c r="D502"/>
      <c r="E502"/>
      <c r="F502"/>
      <c r="H502"/>
      <c r="I502"/>
      <c r="J502"/>
      <c r="K502"/>
      <c r="L502"/>
    </row>
    <row r="503" spans="2:12" ht="14.4" x14ac:dyDescent="0.3">
      <c r="B503"/>
      <c r="C503"/>
      <c r="D503"/>
      <c r="E503"/>
      <c r="F503"/>
      <c r="H503"/>
      <c r="I503"/>
      <c r="J503"/>
      <c r="K503"/>
      <c r="L503"/>
    </row>
    <row r="504" spans="2:12" ht="14.4" x14ac:dyDescent="0.3">
      <c r="B504"/>
      <c r="C504"/>
      <c r="D504"/>
      <c r="E504"/>
      <c r="F504"/>
      <c r="H504"/>
      <c r="I504"/>
      <c r="J504"/>
      <c r="K504"/>
      <c r="L504"/>
    </row>
    <row r="505" spans="2:12" ht="14.4" x14ac:dyDescent="0.3">
      <c r="B505"/>
      <c r="C505"/>
      <c r="D505"/>
      <c r="E505"/>
      <c r="F505"/>
      <c r="H505"/>
      <c r="I505"/>
      <c r="J505"/>
      <c r="K505"/>
      <c r="L505"/>
    </row>
    <row r="506" spans="2:12" ht="14.4" x14ac:dyDescent="0.3">
      <c r="B506"/>
      <c r="C506"/>
      <c r="D506"/>
      <c r="E506"/>
      <c r="F506"/>
      <c r="H506"/>
      <c r="I506"/>
      <c r="J506"/>
      <c r="K506"/>
      <c r="L506"/>
    </row>
    <row r="507" spans="2:12" ht="14.4" x14ac:dyDescent="0.3">
      <c r="B507"/>
      <c r="C507"/>
      <c r="D507"/>
      <c r="E507"/>
      <c r="F507"/>
      <c r="H507"/>
      <c r="I507"/>
      <c r="J507"/>
      <c r="K507"/>
      <c r="L507"/>
    </row>
    <row r="508" spans="2:12" ht="14.4" x14ac:dyDescent="0.3">
      <c r="B508"/>
      <c r="C508"/>
      <c r="D508"/>
      <c r="E508"/>
      <c r="F508"/>
      <c r="H508"/>
      <c r="I508"/>
      <c r="J508"/>
      <c r="K508"/>
      <c r="L508"/>
    </row>
    <row r="509" spans="2:12" ht="14.4" x14ac:dyDescent="0.3">
      <c r="B509"/>
      <c r="C509"/>
      <c r="D509"/>
      <c r="E509"/>
      <c r="F509"/>
      <c r="H509"/>
      <c r="I509"/>
      <c r="J509"/>
      <c r="K509"/>
      <c r="L509"/>
    </row>
    <row r="510" spans="2:12" ht="14.4" x14ac:dyDescent="0.3">
      <c r="B510"/>
      <c r="C510"/>
      <c r="D510"/>
      <c r="E510"/>
      <c r="F510"/>
      <c r="H510"/>
      <c r="I510"/>
      <c r="J510"/>
      <c r="K510"/>
      <c r="L510"/>
    </row>
    <row r="511" spans="2:12" ht="14.4" x14ac:dyDescent="0.3">
      <c r="B511"/>
      <c r="C511"/>
      <c r="D511"/>
      <c r="E511"/>
      <c r="F511"/>
      <c r="H511"/>
      <c r="I511"/>
      <c r="J511"/>
      <c r="K511"/>
      <c r="L511"/>
    </row>
    <row r="512" spans="2:12" ht="14.4" x14ac:dyDescent="0.3">
      <c r="B512"/>
      <c r="C512"/>
      <c r="D512"/>
      <c r="E512"/>
      <c r="F512"/>
      <c r="H512"/>
      <c r="I512"/>
      <c r="J512"/>
      <c r="K512"/>
      <c r="L512"/>
    </row>
    <row r="513" spans="2:12" ht="14.4" x14ac:dyDescent="0.3">
      <c r="B513"/>
      <c r="C513"/>
      <c r="D513"/>
      <c r="E513"/>
      <c r="F513"/>
      <c r="H513"/>
      <c r="I513"/>
      <c r="J513"/>
      <c r="K513"/>
      <c r="L513"/>
    </row>
    <row r="514" spans="2:12" ht="14.4" x14ac:dyDescent="0.3">
      <c r="B514"/>
      <c r="C514"/>
      <c r="D514"/>
      <c r="E514"/>
      <c r="F514"/>
      <c r="H514"/>
      <c r="I514"/>
      <c r="J514"/>
      <c r="K514"/>
      <c r="L514"/>
    </row>
    <row r="515" spans="2:12" ht="14.4" x14ac:dyDescent="0.3">
      <c r="B515"/>
      <c r="C515"/>
      <c r="D515"/>
      <c r="E515"/>
      <c r="F515"/>
      <c r="H515"/>
      <c r="I515"/>
      <c r="J515"/>
      <c r="K515"/>
      <c r="L515"/>
    </row>
    <row r="516" spans="2:12" ht="14.4" x14ac:dyDescent="0.3">
      <c r="B516"/>
      <c r="C516"/>
      <c r="D516"/>
      <c r="E516"/>
      <c r="F516"/>
      <c r="H516"/>
      <c r="I516"/>
      <c r="J516"/>
      <c r="K516"/>
      <c r="L516"/>
    </row>
    <row r="517" spans="2:12" ht="14.4" x14ac:dyDescent="0.3">
      <c r="B517"/>
      <c r="C517"/>
      <c r="D517"/>
      <c r="E517"/>
      <c r="F517"/>
      <c r="H517"/>
      <c r="I517"/>
      <c r="J517"/>
      <c r="K517"/>
      <c r="L517"/>
    </row>
    <row r="518" spans="2:12" ht="14.4" x14ac:dyDescent="0.3">
      <c r="B518"/>
      <c r="C518"/>
      <c r="D518"/>
      <c r="E518"/>
      <c r="F518"/>
      <c r="H518"/>
      <c r="I518"/>
      <c r="J518"/>
      <c r="K518"/>
      <c r="L518"/>
    </row>
    <row r="519" spans="2:12" ht="14.4" x14ac:dyDescent="0.3">
      <c r="B519"/>
      <c r="C519"/>
      <c r="D519"/>
      <c r="E519"/>
      <c r="F519"/>
      <c r="H519"/>
      <c r="I519"/>
      <c r="J519"/>
      <c r="K519"/>
      <c r="L519"/>
    </row>
    <row r="520" spans="2:12" ht="14.4" x14ac:dyDescent="0.3">
      <c r="B520"/>
      <c r="C520"/>
      <c r="D520"/>
      <c r="E520"/>
      <c r="F520"/>
      <c r="H520"/>
      <c r="I520"/>
      <c r="J520"/>
      <c r="K520"/>
      <c r="L520"/>
    </row>
    <row r="521" spans="2:12" ht="14.4" x14ac:dyDescent="0.3">
      <c r="B521"/>
      <c r="C521"/>
      <c r="D521"/>
      <c r="E521"/>
      <c r="F521"/>
      <c r="H521"/>
      <c r="I521"/>
      <c r="J521"/>
      <c r="K521"/>
      <c r="L521"/>
    </row>
    <row r="522" spans="2:12" ht="14.4" x14ac:dyDescent="0.3">
      <c r="B522"/>
      <c r="C522"/>
      <c r="D522"/>
      <c r="E522"/>
      <c r="F522"/>
      <c r="H522"/>
      <c r="I522"/>
      <c r="J522"/>
      <c r="K522"/>
      <c r="L522"/>
    </row>
    <row r="523" spans="2:12" ht="14.4" x14ac:dyDescent="0.3">
      <c r="B523"/>
      <c r="C523"/>
      <c r="D523"/>
      <c r="E523"/>
      <c r="F523"/>
      <c r="H523"/>
      <c r="I523"/>
      <c r="J523"/>
      <c r="K523"/>
      <c r="L523"/>
    </row>
    <row r="524" spans="2:12" ht="14.4" x14ac:dyDescent="0.3">
      <c r="B524"/>
      <c r="C524"/>
      <c r="D524"/>
      <c r="E524"/>
      <c r="F524"/>
      <c r="H524"/>
      <c r="I524"/>
      <c r="J524"/>
      <c r="K524"/>
      <c r="L524"/>
    </row>
    <row r="525" spans="2:12" ht="14.4" x14ac:dyDescent="0.3">
      <c r="B525"/>
      <c r="C525"/>
      <c r="D525"/>
      <c r="E525"/>
      <c r="F525"/>
      <c r="H525"/>
      <c r="I525"/>
      <c r="J525"/>
      <c r="K525"/>
      <c r="L525"/>
    </row>
    <row r="526" spans="2:12" ht="14.4" x14ac:dyDescent="0.3">
      <c r="B526"/>
      <c r="C526"/>
      <c r="D526"/>
      <c r="E526"/>
      <c r="F526"/>
      <c r="H526"/>
      <c r="I526"/>
      <c r="J526"/>
      <c r="K526"/>
      <c r="L526"/>
    </row>
    <row r="527" spans="2:12" ht="14.4" x14ac:dyDescent="0.3">
      <c r="B527"/>
      <c r="C527"/>
      <c r="D527"/>
      <c r="E527"/>
      <c r="F527"/>
      <c r="H527"/>
      <c r="I527"/>
      <c r="J527"/>
      <c r="K527"/>
      <c r="L527"/>
    </row>
    <row r="528" spans="2:12" ht="14.4" x14ac:dyDescent="0.3">
      <c r="B528"/>
      <c r="C528"/>
      <c r="D528"/>
      <c r="E528"/>
      <c r="F528"/>
      <c r="H528"/>
      <c r="I528"/>
      <c r="J528"/>
      <c r="K528"/>
      <c r="L528"/>
    </row>
    <row r="529" spans="2:12" ht="14.4" x14ac:dyDescent="0.3">
      <c r="B529"/>
      <c r="C529"/>
      <c r="D529"/>
      <c r="E529"/>
      <c r="F529"/>
      <c r="H529"/>
      <c r="I529"/>
      <c r="J529"/>
      <c r="K529"/>
      <c r="L529"/>
    </row>
    <row r="530" spans="2:12" ht="14.4" x14ac:dyDescent="0.3">
      <c r="B530"/>
      <c r="C530"/>
      <c r="D530"/>
      <c r="E530"/>
      <c r="F530"/>
      <c r="H530"/>
      <c r="I530"/>
      <c r="J530"/>
      <c r="K530"/>
      <c r="L530"/>
    </row>
    <row r="531" spans="2:12" ht="14.4" x14ac:dyDescent="0.3">
      <c r="B531"/>
      <c r="C531"/>
      <c r="D531"/>
      <c r="E531"/>
      <c r="F531"/>
      <c r="H531"/>
      <c r="I531"/>
      <c r="J531"/>
      <c r="K531"/>
      <c r="L531"/>
    </row>
    <row r="532" spans="2:12" ht="14.4" x14ac:dyDescent="0.3">
      <c r="B532"/>
      <c r="C532"/>
      <c r="D532"/>
      <c r="E532"/>
      <c r="F532"/>
      <c r="H532"/>
      <c r="I532"/>
      <c r="J532"/>
      <c r="K532"/>
      <c r="L532"/>
    </row>
    <row r="533" spans="2:12" ht="14.4" x14ac:dyDescent="0.3">
      <c r="B533"/>
      <c r="C533"/>
      <c r="D533"/>
      <c r="E533"/>
      <c r="F533"/>
      <c r="H533"/>
      <c r="I533"/>
      <c r="J533"/>
      <c r="K533"/>
      <c r="L533"/>
    </row>
    <row r="534" spans="2:12" ht="14.4" x14ac:dyDescent="0.3">
      <c r="B534"/>
      <c r="C534"/>
      <c r="D534"/>
      <c r="E534"/>
      <c r="F534"/>
      <c r="H534"/>
      <c r="I534"/>
      <c r="J534"/>
      <c r="K534"/>
      <c r="L534"/>
    </row>
    <row r="535" spans="2:12" ht="14.4" x14ac:dyDescent="0.3">
      <c r="B535"/>
      <c r="C535"/>
      <c r="D535"/>
      <c r="E535"/>
      <c r="F535"/>
      <c r="H535"/>
      <c r="I535"/>
      <c r="J535"/>
      <c r="K535"/>
      <c r="L535"/>
    </row>
    <row r="536" spans="2:12" ht="14.4" x14ac:dyDescent="0.3">
      <c r="B536"/>
      <c r="C536"/>
      <c r="D536"/>
      <c r="E536"/>
      <c r="F536"/>
      <c r="H536"/>
      <c r="I536"/>
      <c r="J536"/>
      <c r="K536"/>
      <c r="L536"/>
    </row>
    <row r="537" spans="2:12" ht="14.4" x14ac:dyDescent="0.3">
      <c r="B537"/>
      <c r="C537"/>
      <c r="D537"/>
      <c r="E537"/>
      <c r="F537"/>
      <c r="H537"/>
      <c r="I537"/>
      <c r="J537"/>
      <c r="K537"/>
      <c r="L537"/>
    </row>
    <row r="538" spans="2:12" ht="14.4" x14ac:dyDescent="0.3">
      <c r="B538"/>
      <c r="C538"/>
      <c r="D538"/>
      <c r="E538"/>
      <c r="F538"/>
      <c r="H538"/>
      <c r="I538"/>
      <c r="J538"/>
      <c r="K538"/>
      <c r="L538"/>
    </row>
    <row r="539" spans="2:12" ht="14.4" x14ac:dyDescent="0.3">
      <c r="B539"/>
      <c r="C539"/>
      <c r="D539"/>
      <c r="E539"/>
      <c r="F539"/>
      <c r="H539"/>
      <c r="I539"/>
      <c r="J539"/>
      <c r="K539"/>
      <c r="L539"/>
    </row>
    <row r="540" spans="2:12" ht="14.4" x14ac:dyDescent="0.3">
      <c r="B540"/>
      <c r="C540"/>
      <c r="D540"/>
      <c r="E540"/>
      <c r="F540"/>
      <c r="H540"/>
      <c r="I540"/>
      <c r="J540"/>
      <c r="K540"/>
      <c r="L540"/>
    </row>
    <row r="541" spans="2:12" ht="14.4" x14ac:dyDescent="0.3">
      <c r="B541"/>
      <c r="C541"/>
      <c r="D541"/>
      <c r="E541"/>
      <c r="F541"/>
      <c r="H541"/>
      <c r="I541"/>
      <c r="J541"/>
      <c r="K541"/>
      <c r="L541"/>
    </row>
    <row r="542" spans="2:12" ht="14.4" x14ac:dyDescent="0.3">
      <c r="B542"/>
      <c r="C542"/>
      <c r="D542"/>
      <c r="E542"/>
      <c r="F542"/>
      <c r="H542"/>
      <c r="I542"/>
      <c r="J542"/>
      <c r="K542"/>
      <c r="L542"/>
    </row>
    <row r="543" spans="2:12" ht="14.4" x14ac:dyDescent="0.3">
      <c r="B543"/>
      <c r="C543"/>
      <c r="D543"/>
      <c r="E543"/>
      <c r="F543"/>
      <c r="H543"/>
      <c r="I543"/>
      <c r="J543"/>
      <c r="K543"/>
      <c r="L543"/>
    </row>
    <row r="544" spans="2:12" ht="14.4" x14ac:dyDescent="0.3">
      <c r="B544"/>
      <c r="C544"/>
      <c r="D544"/>
      <c r="E544"/>
      <c r="F544"/>
      <c r="H544"/>
      <c r="I544"/>
      <c r="J544"/>
      <c r="K544"/>
      <c r="L544"/>
    </row>
    <row r="545" spans="2:12" ht="14.4" x14ac:dyDescent="0.3">
      <c r="B545"/>
      <c r="C545"/>
      <c r="D545"/>
      <c r="E545"/>
      <c r="F545"/>
      <c r="H545"/>
      <c r="I545"/>
      <c r="J545"/>
      <c r="K545"/>
      <c r="L545"/>
    </row>
    <row r="546" spans="2:12" ht="14.4" x14ac:dyDescent="0.3">
      <c r="B546"/>
      <c r="C546"/>
      <c r="D546"/>
      <c r="E546"/>
      <c r="F546"/>
      <c r="H546"/>
      <c r="I546"/>
      <c r="J546"/>
      <c r="K546"/>
      <c r="L546"/>
    </row>
    <row r="547" spans="2:12" ht="14.4" x14ac:dyDescent="0.3">
      <c r="B547"/>
      <c r="C547"/>
      <c r="D547"/>
      <c r="E547"/>
      <c r="F547"/>
      <c r="H547"/>
      <c r="I547"/>
      <c r="J547"/>
      <c r="K547"/>
      <c r="L547"/>
    </row>
    <row r="548" spans="2:12" ht="14.4" x14ac:dyDescent="0.3">
      <c r="B548"/>
      <c r="C548"/>
      <c r="D548"/>
      <c r="E548"/>
      <c r="F548"/>
      <c r="H548"/>
      <c r="I548"/>
      <c r="J548"/>
      <c r="K548"/>
      <c r="L548"/>
    </row>
    <row r="549" spans="2:12" ht="14.4" x14ac:dyDescent="0.3">
      <c r="B549"/>
      <c r="C549"/>
      <c r="D549"/>
      <c r="E549"/>
      <c r="F549"/>
      <c r="H549"/>
      <c r="I549"/>
      <c r="J549"/>
      <c r="K549"/>
      <c r="L549"/>
    </row>
    <row r="550" spans="2:12" ht="14.4" x14ac:dyDescent="0.3">
      <c r="B550"/>
      <c r="C550"/>
      <c r="D550"/>
      <c r="E550"/>
      <c r="F550"/>
      <c r="H550"/>
      <c r="I550"/>
      <c r="J550"/>
      <c r="K550"/>
      <c r="L550"/>
    </row>
    <row r="551" spans="2:12" ht="14.4" x14ac:dyDescent="0.3">
      <c r="B551"/>
      <c r="C551"/>
      <c r="D551"/>
      <c r="E551"/>
      <c r="F551"/>
      <c r="H551"/>
      <c r="I551"/>
      <c r="J551"/>
      <c r="K551"/>
      <c r="L551"/>
    </row>
    <row r="552" spans="2:12" ht="14.4" x14ac:dyDescent="0.3">
      <c r="B552"/>
      <c r="C552"/>
      <c r="D552"/>
      <c r="E552"/>
      <c r="F552"/>
      <c r="H552"/>
      <c r="I552"/>
      <c r="J552"/>
      <c r="K552"/>
      <c r="L552"/>
    </row>
    <row r="553" spans="2:12" ht="14.4" x14ac:dyDescent="0.3">
      <c r="B553"/>
      <c r="C553"/>
      <c r="D553"/>
      <c r="E553"/>
      <c r="F553"/>
      <c r="H553"/>
      <c r="I553"/>
      <c r="J553"/>
      <c r="K553"/>
      <c r="L553"/>
    </row>
    <row r="554" spans="2:12" ht="14.4" x14ac:dyDescent="0.3">
      <c r="B554"/>
      <c r="C554"/>
      <c r="D554"/>
      <c r="E554"/>
      <c r="F554"/>
      <c r="H554"/>
      <c r="I554"/>
      <c r="J554"/>
      <c r="K554"/>
      <c r="L554"/>
    </row>
    <row r="555" spans="2:12" ht="14.4" x14ac:dyDescent="0.3">
      <c r="B555"/>
      <c r="C555"/>
      <c r="D555"/>
      <c r="E555"/>
      <c r="F555"/>
      <c r="H555"/>
      <c r="I555"/>
      <c r="J555"/>
      <c r="K555"/>
      <c r="L555"/>
    </row>
    <row r="556" spans="2:12" ht="14.4" x14ac:dyDescent="0.3">
      <c r="B556"/>
      <c r="C556"/>
      <c r="D556"/>
      <c r="E556"/>
      <c r="F556"/>
      <c r="H556"/>
      <c r="I556"/>
      <c r="J556"/>
      <c r="K556"/>
      <c r="L556"/>
    </row>
    <row r="557" spans="2:12" ht="14.4" x14ac:dyDescent="0.3">
      <c r="B557"/>
      <c r="C557"/>
      <c r="D557"/>
      <c r="E557"/>
      <c r="F557"/>
      <c r="H557"/>
      <c r="I557"/>
      <c r="J557"/>
      <c r="K557"/>
      <c r="L557"/>
    </row>
    <row r="558" spans="2:12" ht="14.4" x14ac:dyDescent="0.3">
      <c r="B558"/>
      <c r="C558"/>
      <c r="D558"/>
      <c r="E558"/>
      <c r="F558"/>
      <c r="H558"/>
      <c r="I558"/>
      <c r="J558"/>
      <c r="K558"/>
      <c r="L558"/>
    </row>
    <row r="559" spans="2:12" ht="14.4" x14ac:dyDescent="0.3">
      <c r="B559"/>
      <c r="C559"/>
      <c r="D559"/>
      <c r="E559"/>
      <c r="F559"/>
      <c r="H559"/>
      <c r="I559"/>
      <c r="J559"/>
      <c r="K559"/>
      <c r="L559"/>
    </row>
    <row r="560" spans="2:12" ht="14.4" x14ac:dyDescent="0.3">
      <c r="B560"/>
      <c r="C560"/>
      <c r="D560"/>
      <c r="E560"/>
      <c r="F560"/>
      <c r="H560"/>
      <c r="I560"/>
      <c r="J560"/>
      <c r="K560"/>
      <c r="L560"/>
    </row>
    <row r="561" spans="2:12" ht="14.4" x14ac:dyDescent="0.3">
      <c r="B561"/>
      <c r="C561"/>
      <c r="D561"/>
      <c r="E561"/>
      <c r="F561"/>
      <c r="H561"/>
      <c r="I561"/>
      <c r="J561"/>
      <c r="K561"/>
      <c r="L561"/>
    </row>
    <row r="562" spans="2:12" ht="14.4" x14ac:dyDescent="0.3">
      <c r="B562"/>
      <c r="C562"/>
      <c r="D562"/>
      <c r="E562"/>
      <c r="F562"/>
      <c r="H562"/>
      <c r="I562"/>
      <c r="J562"/>
      <c r="K562"/>
      <c r="L562"/>
    </row>
    <row r="563" spans="2:12" ht="14.4" x14ac:dyDescent="0.3">
      <c r="B563"/>
      <c r="C563"/>
      <c r="D563"/>
      <c r="E563"/>
      <c r="F563"/>
      <c r="H563"/>
      <c r="I563"/>
      <c r="J563"/>
      <c r="K563"/>
      <c r="L563"/>
    </row>
    <row r="564" spans="2:12" ht="14.4" x14ac:dyDescent="0.3">
      <c r="B564"/>
      <c r="C564"/>
      <c r="D564"/>
      <c r="E564"/>
      <c r="F564"/>
      <c r="H564"/>
      <c r="I564"/>
      <c r="J564"/>
      <c r="K564"/>
      <c r="L564"/>
    </row>
    <row r="565" spans="2:12" ht="14.4" x14ac:dyDescent="0.3">
      <c r="B565"/>
      <c r="C565"/>
      <c r="D565"/>
      <c r="E565"/>
      <c r="F565"/>
      <c r="H565"/>
      <c r="I565"/>
      <c r="J565"/>
      <c r="K565"/>
      <c r="L565"/>
    </row>
    <row r="566" spans="2:12" ht="14.4" x14ac:dyDescent="0.3">
      <c r="B566"/>
      <c r="C566"/>
      <c r="D566"/>
      <c r="E566"/>
      <c r="F566"/>
      <c r="H566"/>
      <c r="I566"/>
      <c r="J566"/>
      <c r="K566"/>
      <c r="L566"/>
    </row>
    <row r="567" spans="2:12" ht="14.4" x14ac:dyDescent="0.3">
      <c r="B567"/>
      <c r="C567"/>
      <c r="D567"/>
      <c r="E567"/>
      <c r="F567"/>
      <c r="H567"/>
      <c r="I567"/>
      <c r="J567"/>
      <c r="K567"/>
      <c r="L567"/>
    </row>
    <row r="568" spans="2:12" ht="14.4" x14ac:dyDescent="0.3">
      <c r="B568"/>
      <c r="C568"/>
      <c r="D568"/>
      <c r="E568"/>
      <c r="F568"/>
      <c r="H568"/>
      <c r="I568"/>
      <c r="J568"/>
      <c r="K568"/>
      <c r="L568"/>
    </row>
    <row r="569" spans="2:12" ht="14.4" x14ac:dyDescent="0.3">
      <c r="B569"/>
      <c r="C569"/>
      <c r="D569"/>
      <c r="E569"/>
      <c r="F569"/>
      <c r="H569"/>
      <c r="I569"/>
      <c r="J569"/>
      <c r="K569"/>
      <c r="L569"/>
    </row>
    <row r="570" spans="2:12" ht="14.4" x14ac:dyDescent="0.3">
      <c r="B570"/>
      <c r="C570"/>
      <c r="D570"/>
      <c r="E570"/>
      <c r="F570"/>
      <c r="H570"/>
      <c r="I570"/>
      <c r="J570"/>
      <c r="K570"/>
      <c r="L570"/>
    </row>
    <row r="571" spans="2:12" ht="14.4" x14ac:dyDescent="0.3">
      <c r="B571"/>
      <c r="C571"/>
      <c r="D571"/>
      <c r="E571"/>
      <c r="F571"/>
      <c r="H571"/>
      <c r="I571"/>
      <c r="J571"/>
      <c r="K571"/>
      <c r="L571"/>
    </row>
    <row r="572" spans="2:12" ht="14.4" x14ac:dyDescent="0.3">
      <c r="B572"/>
      <c r="C572"/>
      <c r="D572"/>
      <c r="E572"/>
      <c r="F572"/>
      <c r="H572"/>
      <c r="I572"/>
      <c r="J572"/>
      <c r="K572"/>
      <c r="L572"/>
    </row>
    <row r="573" spans="2:12" ht="14.4" x14ac:dyDescent="0.3">
      <c r="B573"/>
      <c r="C573"/>
      <c r="D573"/>
      <c r="E573"/>
      <c r="F573"/>
      <c r="H573"/>
      <c r="I573"/>
      <c r="J573"/>
      <c r="K573"/>
      <c r="L573"/>
    </row>
    <row r="574" spans="2:12" ht="14.4" x14ac:dyDescent="0.3">
      <c r="B574"/>
      <c r="C574"/>
      <c r="D574"/>
      <c r="E574"/>
      <c r="F574"/>
      <c r="H574"/>
      <c r="I574"/>
      <c r="J574"/>
      <c r="K574"/>
      <c r="L574"/>
    </row>
    <row r="575" spans="2:12" ht="14.4" x14ac:dyDescent="0.3">
      <c r="B575"/>
      <c r="C575"/>
      <c r="D575"/>
      <c r="E575"/>
      <c r="F575"/>
      <c r="H575"/>
      <c r="I575"/>
      <c r="J575"/>
      <c r="K575"/>
      <c r="L575"/>
    </row>
    <row r="576" spans="2:12" ht="14.4" x14ac:dyDescent="0.3">
      <c r="B576"/>
      <c r="C576"/>
      <c r="D576"/>
      <c r="E576"/>
      <c r="F576"/>
      <c r="H576"/>
      <c r="I576"/>
      <c r="J576"/>
      <c r="K576"/>
      <c r="L576"/>
    </row>
    <row r="577" spans="2:12" ht="14.4" x14ac:dyDescent="0.3">
      <c r="B577"/>
      <c r="C577"/>
      <c r="D577"/>
      <c r="E577"/>
      <c r="F577"/>
      <c r="H577"/>
      <c r="I577"/>
      <c r="J577"/>
      <c r="K577"/>
      <c r="L577"/>
    </row>
    <row r="578" spans="2:12" ht="14.4" x14ac:dyDescent="0.3">
      <c r="B578"/>
      <c r="C578"/>
      <c r="D578"/>
      <c r="E578"/>
      <c r="F578"/>
      <c r="H578"/>
      <c r="I578"/>
      <c r="J578"/>
      <c r="K578"/>
      <c r="L578"/>
    </row>
    <row r="579" spans="2:12" ht="14.4" x14ac:dyDescent="0.3">
      <c r="B579"/>
      <c r="C579"/>
      <c r="D579"/>
      <c r="E579"/>
      <c r="F579"/>
      <c r="H579"/>
      <c r="I579"/>
      <c r="J579"/>
      <c r="K579"/>
      <c r="L579"/>
    </row>
    <row r="580" spans="2:12" ht="14.4" x14ac:dyDescent="0.3">
      <c r="B580"/>
      <c r="C580"/>
      <c r="D580"/>
      <c r="E580"/>
      <c r="F580"/>
      <c r="H580"/>
      <c r="I580"/>
      <c r="J580"/>
      <c r="K580"/>
      <c r="L580"/>
    </row>
    <row r="581" spans="2:12" ht="14.4" x14ac:dyDescent="0.3">
      <c r="B581"/>
      <c r="C581"/>
      <c r="D581"/>
      <c r="E581"/>
      <c r="F581"/>
      <c r="H581"/>
      <c r="I581"/>
      <c r="J581"/>
      <c r="K581"/>
      <c r="L581"/>
    </row>
    <row r="582" spans="2:12" ht="14.4" x14ac:dyDescent="0.3">
      <c r="B582"/>
      <c r="C582"/>
      <c r="D582"/>
      <c r="E582"/>
      <c r="F582"/>
      <c r="H582"/>
      <c r="I582"/>
      <c r="J582"/>
      <c r="K582"/>
      <c r="L582"/>
    </row>
    <row r="583" spans="2:12" ht="14.4" x14ac:dyDescent="0.3">
      <c r="B583"/>
      <c r="C583"/>
      <c r="D583"/>
      <c r="E583"/>
      <c r="F583"/>
      <c r="H583"/>
      <c r="I583"/>
      <c r="J583"/>
      <c r="K583"/>
      <c r="L583"/>
    </row>
    <row r="584" spans="2:12" ht="14.4" x14ac:dyDescent="0.3">
      <c r="B584"/>
      <c r="C584"/>
      <c r="D584"/>
      <c r="E584"/>
      <c r="F584"/>
      <c r="H584"/>
      <c r="I584"/>
      <c r="J584"/>
      <c r="K584"/>
      <c r="L584"/>
    </row>
    <row r="585" spans="2:12" ht="14.4" x14ac:dyDescent="0.3">
      <c r="B585"/>
      <c r="C585"/>
      <c r="D585"/>
      <c r="E585"/>
      <c r="F585"/>
      <c r="H585"/>
      <c r="I585"/>
      <c r="J585"/>
      <c r="K585"/>
      <c r="L585"/>
    </row>
    <row r="586" spans="2:12" ht="14.4" x14ac:dyDescent="0.3">
      <c r="B586"/>
      <c r="C586"/>
      <c r="D586"/>
      <c r="E586"/>
      <c r="F586"/>
      <c r="H586"/>
      <c r="I586"/>
      <c r="J586"/>
      <c r="K586"/>
      <c r="L586"/>
    </row>
    <row r="587" spans="2:12" ht="14.4" x14ac:dyDescent="0.3">
      <c r="B587"/>
      <c r="C587"/>
      <c r="D587"/>
      <c r="E587"/>
      <c r="F587"/>
      <c r="H587"/>
      <c r="I587"/>
      <c r="J587"/>
      <c r="K587"/>
      <c r="L587"/>
    </row>
    <row r="588" spans="2:12" ht="14.4" x14ac:dyDescent="0.3">
      <c r="B588"/>
      <c r="C588"/>
      <c r="D588"/>
      <c r="E588"/>
      <c r="F588"/>
      <c r="H588"/>
      <c r="I588"/>
      <c r="J588"/>
      <c r="K588"/>
      <c r="L588"/>
    </row>
    <row r="589" spans="2:12" ht="14.4" x14ac:dyDescent="0.3">
      <c r="B589"/>
      <c r="C589"/>
      <c r="D589"/>
      <c r="E589"/>
      <c r="F589"/>
      <c r="H589"/>
      <c r="I589"/>
      <c r="J589"/>
      <c r="K589"/>
      <c r="L589"/>
    </row>
    <row r="590" spans="2:12" ht="14.4" x14ac:dyDescent="0.3">
      <c r="B590"/>
      <c r="C590"/>
      <c r="D590"/>
      <c r="E590"/>
      <c r="F590"/>
      <c r="H590"/>
      <c r="I590"/>
      <c r="J590"/>
      <c r="K590"/>
      <c r="L590"/>
    </row>
    <row r="591" spans="2:12" ht="14.4" x14ac:dyDescent="0.3">
      <c r="B591"/>
      <c r="C591"/>
      <c r="D591"/>
      <c r="E591"/>
      <c r="F591"/>
      <c r="H591"/>
      <c r="I591"/>
      <c r="J591"/>
      <c r="K591"/>
      <c r="L591"/>
    </row>
    <row r="592" spans="2:12" ht="14.4" x14ac:dyDescent="0.3">
      <c r="B592"/>
      <c r="C592"/>
      <c r="D592"/>
      <c r="E592"/>
      <c r="F592"/>
      <c r="H592"/>
      <c r="I592"/>
      <c r="J592"/>
      <c r="K592"/>
      <c r="L592"/>
    </row>
    <row r="593" spans="2:12" ht="14.4" x14ac:dyDescent="0.3">
      <c r="B593"/>
      <c r="C593"/>
      <c r="D593"/>
      <c r="E593"/>
      <c r="F593"/>
      <c r="H593"/>
      <c r="I593"/>
      <c r="J593"/>
      <c r="K593"/>
      <c r="L593"/>
    </row>
    <row r="594" spans="2:12" ht="14.4" x14ac:dyDescent="0.3">
      <c r="B594"/>
      <c r="C594"/>
      <c r="D594"/>
      <c r="E594"/>
      <c r="F594"/>
      <c r="H594"/>
      <c r="I594"/>
      <c r="J594"/>
      <c r="K594"/>
      <c r="L594"/>
    </row>
    <row r="595" spans="2:12" ht="14.4" x14ac:dyDescent="0.3">
      <c r="B595"/>
      <c r="C595"/>
      <c r="D595"/>
      <c r="E595"/>
      <c r="F595"/>
      <c r="H595"/>
      <c r="I595"/>
      <c r="J595"/>
      <c r="K595"/>
      <c r="L595"/>
    </row>
    <row r="596" spans="2:12" ht="14.4" x14ac:dyDescent="0.3">
      <c r="B596"/>
      <c r="C596"/>
      <c r="D596"/>
      <c r="E596"/>
      <c r="F596"/>
      <c r="H596"/>
      <c r="I596"/>
      <c r="J596"/>
      <c r="K596"/>
      <c r="L596"/>
    </row>
    <row r="597" spans="2:12" ht="14.4" x14ac:dyDescent="0.3">
      <c r="B597"/>
      <c r="C597"/>
      <c r="D597"/>
      <c r="E597"/>
      <c r="F597"/>
      <c r="H597"/>
      <c r="I597"/>
      <c r="J597"/>
      <c r="K597"/>
      <c r="L597"/>
    </row>
    <row r="598" spans="2:12" ht="14.4" x14ac:dyDescent="0.3">
      <c r="B598"/>
      <c r="C598"/>
      <c r="D598"/>
      <c r="E598"/>
      <c r="F598"/>
      <c r="H598"/>
      <c r="I598"/>
      <c r="J598"/>
      <c r="K598"/>
      <c r="L598"/>
    </row>
    <row r="599" spans="2:12" ht="14.4" x14ac:dyDescent="0.3">
      <c r="B599"/>
      <c r="C599"/>
      <c r="D599"/>
      <c r="E599"/>
      <c r="F599"/>
      <c r="H599"/>
      <c r="I599"/>
      <c r="J599"/>
      <c r="K599"/>
      <c r="L599"/>
    </row>
    <row r="600" spans="2:12" ht="14.4" x14ac:dyDescent="0.3">
      <c r="B600"/>
      <c r="C600"/>
      <c r="D600"/>
      <c r="E600"/>
      <c r="F600"/>
      <c r="H600"/>
      <c r="I600"/>
      <c r="J600"/>
      <c r="K600"/>
      <c r="L600"/>
    </row>
    <row r="601" spans="2:12" ht="14.4" x14ac:dyDescent="0.3">
      <c r="B601"/>
      <c r="C601"/>
      <c r="D601"/>
      <c r="E601"/>
      <c r="F601"/>
      <c r="H601"/>
      <c r="I601"/>
      <c r="J601"/>
      <c r="K601"/>
      <c r="L601"/>
    </row>
    <row r="602" spans="2:12" ht="14.4" x14ac:dyDescent="0.3">
      <c r="B602"/>
      <c r="C602"/>
      <c r="D602"/>
      <c r="E602"/>
      <c r="F602"/>
      <c r="H602"/>
      <c r="I602"/>
      <c r="J602"/>
      <c r="K602"/>
      <c r="L602"/>
    </row>
    <row r="603" spans="2:12" ht="14.4" x14ac:dyDescent="0.3">
      <c r="B603"/>
      <c r="C603"/>
      <c r="D603"/>
      <c r="E603"/>
      <c r="F603"/>
      <c r="H603"/>
      <c r="I603"/>
      <c r="J603"/>
      <c r="K603"/>
      <c r="L603"/>
    </row>
    <row r="604" spans="2:12" ht="14.4" x14ac:dyDescent="0.3">
      <c r="B604"/>
      <c r="C604"/>
      <c r="D604"/>
      <c r="E604"/>
      <c r="F604"/>
      <c r="H604"/>
      <c r="I604"/>
      <c r="J604"/>
      <c r="K604"/>
      <c r="L604"/>
    </row>
    <row r="605" spans="2:12" ht="14.4" x14ac:dyDescent="0.3">
      <c r="B605"/>
      <c r="C605"/>
      <c r="D605"/>
      <c r="E605"/>
      <c r="F605"/>
      <c r="H605"/>
      <c r="I605"/>
      <c r="J605"/>
      <c r="K605"/>
      <c r="L605"/>
    </row>
    <row r="606" spans="2:12" ht="14.4" x14ac:dyDescent="0.3">
      <c r="B606"/>
      <c r="C606"/>
      <c r="D606"/>
      <c r="E606"/>
      <c r="F606"/>
      <c r="H606"/>
      <c r="I606"/>
      <c r="J606"/>
      <c r="K606"/>
      <c r="L606"/>
    </row>
    <row r="607" spans="2:12" ht="14.4" x14ac:dyDescent="0.3">
      <c r="B607"/>
      <c r="C607"/>
      <c r="D607"/>
      <c r="E607"/>
      <c r="F607"/>
      <c r="H607"/>
      <c r="I607"/>
      <c r="J607"/>
      <c r="K607"/>
      <c r="L607"/>
    </row>
    <row r="608" spans="2:12" ht="14.4" x14ac:dyDescent="0.3">
      <c r="B608"/>
      <c r="C608"/>
      <c r="D608"/>
      <c r="E608"/>
      <c r="F608"/>
      <c r="H608"/>
      <c r="I608"/>
      <c r="J608"/>
      <c r="K608"/>
      <c r="L608"/>
    </row>
    <row r="609" spans="2:12" ht="14.4" x14ac:dyDescent="0.3">
      <c r="B609"/>
      <c r="C609"/>
      <c r="D609"/>
      <c r="E609"/>
      <c r="F609"/>
      <c r="H609"/>
      <c r="I609"/>
      <c r="J609"/>
      <c r="K609"/>
      <c r="L609"/>
    </row>
    <row r="610" spans="2:12" ht="14.4" x14ac:dyDescent="0.3">
      <c r="B610"/>
      <c r="C610"/>
      <c r="D610"/>
      <c r="E610"/>
      <c r="F610"/>
      <c r="H610"/>
      <c r="I610"/>
      <c r="J610"/>
      <c r="K610"/>
      <c r="L610"/>
    </row>
    <row r="611" spans="2:12" ht="14.4" x14ac:dyDescent="0.3">
      <c r="B611"/>
      <c r="C611"/>
      <c r="D611"/>
      <c r="E611"/>
      <c r="F611"/>
      <c r="H611"/>
      <c r="I611"/>
      <c r="J611"/>
      <c r="K611"/>
      <c r="L611"/>
    </row>
    <row r="612" spans="2:12" ht="14.4" x14ac:dyDescent="0.3">
      <c r="B612"/>
      <c r="C612"/>
      <c r="D612"/>
      <c r="E612"/>
      <c r="F612"/>
      <c r="H612"/>
      <c r="I612"/>
      <c r="J612"/>
      <c r="K612"/>
      <c r="L612"/>
    </row>
    <row r="613" spans="2:12" ht="14.4" x14ac:dyDescent="0.3">
      <c r="B613"/>
      <c r="C613"/>
      <c r="D613"/>
      <c r="E613"/>
      <c r="F613"/>
      <c r="H613"/>
      <c r="I613"/>
      <c r="J613"/>
      <c r="K613"/>
      <c r="L613"/>
    </row>
    <row r="614" spans="2:12" ht="14.4" x14ac:dyDescent="0.3">
      <c r="B614"/>
      <c r="C614"/>
      <c r="D614"/>
      <c r="E614"/>
      <c r="F614"/>
      <c r="H614"/>
      <c r="I614"/>
      <c r="J614"/>
      <c r="K614"/>
      <c r="L614"/>
    </row>
    <row r="615" spans="2:12" ht="14.4" x14ac:dyDescent="0.3">
      <c r="B615"/>
      <c r="C615"/>
      <c r="D615"/>
      <c r="E615"/>
      <c r="F615"/>
      <c r="H615"/>
      <c r="I615"/>
      <c r="J615"/>
      <c r="K615"/>
      <c r="L615"/>
    </row>
    <row r="616" spans="2:12" ht="14.4" x14ac:dyDescent="0.3">
      <c r="B616"/>
      <c r="C616"/>
      <c r="D616"/>
      <c r="E616"/>
      <c r="F616"/>
      <c r="H616"/>
      <c r="I616"/>
      <c r="J616"/>
      <c r="K616"/>
      <c r="L616"/>
    </row>
    <row r="617" spans="2:12" ht="14.4" x14ac:dyDescent="0.3">
      <c r="B617"/>
      <c r="C617"/>
      <c r="D617"/>
      <c r="E617"/>
      <c r="F617"/>
      <c r="H617"/>
      <c r="I617"/>
      <c r="J617"/>
      <c r="K617"/>
      <c r="L617"/>
    </row>
    <row r="618" spans="2:12" ht="14.4" x14ac:dyDescent="0.3">
      <c r="B618"/>
      <c r="C618"/>
      <c r="D618"/>
      <c r="E618"/>
      <c r="F618"/>
      <c r="H618"/>
      <c r="I618"/>
      <c r="J618"/>
      <c r="K618"/>
      <c r="L618"/>
    </row>
    <row r="619" spans="2:12" ht="14.4" x14ac:dyDescent="0.3">
      <c r="B619"/>
      <c r="C619"/>
      <c r="D619"/>
      <c r="E619"/>
      <c r="F619"/>
      <c r="H619"/>
      <c r="I619"/>
      <c r="J619"/>
      <c r="K619"/>
      <c r="L619"/>
    </row>
    <row r="620" spans="2:12" ht="14.4" x14ac:dyDescent="0.3">
      <c r="B620"/>
      <c r="C620"/>
      <c r="D620"/>
      <c r="E620"/>
      <c r="F620"/>
      <c r="H620"/>
      <c r="I620"/>
      <c r="J620"/>
      <c r="K620"/>
      <c r="L620"/>
    </row>
    <row r="621" spans="2:12" ht="14.4" x14ac:dyDescent="0.3">
      <c r="B621"/>
      <c r="C621"/>
      <c r="D621"/>
      <c r="E621"/>
      <c r="F621"/>
      <c r="H621"/>
      <c r="I621"/>
      <c r="J621"/>
      <c r="K621"/>
      <c r="L621"/>
    </row>
    <row r="622" spans="2:12" ht="14.4" x14ac:dyDescent="0.3">
      <c r="B622"/>
      <c r="C622"/>
      <c r="D622"/>
      <c r="E622"/>
      <c r="F622"/>
      <c r="H622"/>
      <c r="I622"/>
      <c r="J622"/>
      <c r="K622"/>
      <c r="L622"/>
    </row>
    <row r="623" spans="2:12" ht="14.4" x14ac:dyDescent="0.3">
      <c r="B623"/>
      <c r="C623"/>
      <c r="D623"/>
      <c r="E623"/>
      <c r="F623"/>
      <c r="H623"/>
      <c r="I623"/>
      <c r="J623"/>
      <c r="K623"/>
      <c r="L623"/>
    </row>
    <row r="624" spans="2:12" ht="14.4" x14ac:dyDescent="0.3">
      <c r="B624"/>
      <c r="C624"/>
      <c r="D624"/>
      <c r="E624"/>
      <c r="F624"/>
      <c r="H624"/>
      <c r="I624"/>
      <c r="J624"/>
      <c r="K624"/>
      <c r="L624"/>
    </row>
    <row r="625" spans="2:12" ht="14.4" x14ac:dyDescent="0.3">
      <c r="B625"/>
      <c r="C625"/>
      <c r="D625"/>
      <c r="E625"/>
      <c r="F625"/>
      <c r="H625"/>
      <c r="I625"/>
      <c r="J625"/>
      <c r="K625"/>
      <c r="L625"/>
    </row>
    <row r="626" spans="2:12" ht="14.4" x14ac:dyDescent="0.3">
      <c r="B626"/>
      <c r="C626"/>
      <c r="D626"/>
      <c r="E626"/>
      <c r="F626"/>
      <c r="H626"/>
      <c r="I626"/>
      <c r="J626"/>
      <c r="K626"/>
      <c r="L626"/>
    </row>
    <row r="627" spans="2:12" ht="14.4" x14ac:dyDescent="0.3">
      <c r="B627"/>
      <c r="C627"/>
      <c r="D627"/>
      <c r="E627"/>
      <c r="F627"/>
      <c r="H627"/>
      <c r="I627"/>
      <c r="J627"/>
      <c r="K627"/>
      <c r="L627"/>
    </row>
    <row r="628" spans="2:12" ht="14.4" x14ac:dyDescent="0.3">
      <c r="B628"/>
      <c r="C628"/>
      <c r="D628"/>
      <c r="E628"/>
      <c r="F628"/>
      <c r="H628"/>
      <c r="I628"/>
      <c r="J628"/>
      <c r="K628"/>
      <c r="L628"/>
    </row>
    <row r="629" spans="2:12" ht="14.4" x14ac:dyDescent="0.3">
      <c r="B629"/>
      <c r="C629"/>
      <c r="D629"/>
      <c r="E629"/>
      <c r="F629"/>
      <c r="H629"/>
      <c r="I629"/>
      <c r="J629"/>
      <c r="K629"/>
      <c r="L629"/>
    </row>
    <row r="630" spans="2:12" ht="14.4" x14ac:dyDescent="0.3">
      <c r="B630"/>
      <c r="C630"/>
      <c r="D630"/>
      <c r="E630"/>
      <c r="F630"/>
      <c r="H630"/>
      <c r="I630"/>
      <c r="J630"/>
      <c r="K630"/>
      <c r="L630"/>
    </row>
    <row r="631" spans="2:12" ht="14.4" x14ac:dyDescent="0.3">
      <c r="B631"/>
      <c r="C631"/>
      <c r="D631"/>
      <c r="E631"/>
      <c r="F631"/>
      <c r="H631"/>
      <c r="I631"/>
      <c r="J631"/>
      <c r="K631"/>
      <c r="L631"/>
    </row>
    <row r="632" spans="2:12" ht="14.4" x14ac:dyDescent="0.3">
      <c r="B632"/>
      <c r="C632"/>
      <c r="D632"/>
      <c r="E632"/>
      <c r="F632"/>
      <c r="H632"/>
      <c r="I632"/>
      <c r="J632"/>
      <c r="K632"/>
      <c r="L632"/>
    </row>
    <row r="633" spans="2:12" ht="14.4" x14ac:dyDescent="0.3">
      <c r="B633"/>
      <c r="C633"/>
      <c r="D633"/>
      <c r="E633"/>
      <c r="F633"/>
      <c r="H633"/>
      <c r="I633"/>
      <c r="J633"/>
      <c r="K633"/>
      <c r="L633"/>
    </row>
    <row r="634" spans="2:12" ht="14.4" x14ac:dyDescent="0.3">
      <c r="B634"/>
      <c r="C634"/>
      <c r="D634"/>
      <c r="E634"/>
      <c r="F634"/>
      <c r="H634"/>
      <c r="I634"/>
      <c r="J634"/>
      <c r="K634"/>
      <c r="L634"/>
    </row>
    <row r="635" spans="2:12" ht="14.4" x14ac:dyDescent="0.3">
      <c r="B635"/>
      <c r="C635"/>
      <c r="D635"/>
      <c r="E635"/>
      <c r="F635"/>
      <c r="H635"/>
      <c r="I635"/>
      <c r="J635"/>
      <c r="K635"/>
      <c r="L635"/>
    </row>
    <row r="636" spans="2:12" ht="14.4" x14ac:dyDescent="0.3">
      <c r="B636"/>
      <c r="C636"/>
      <c r="D636"/>
      <c r="E636"/>
      <c r="F636"/>
      <c r="H636"/>
      <c r="I636"/>
      <c r="J636"/>
      <c r="K636"/>
      <c r="L636"/>
    </row>
    <row r="637" spans="2:12" ht="14.4" x14ac:dyDescent="0.3">
      <c r="B637"/>
      <c r="C637"/>
      <c r="D637"/>
      <c r="E637"/>
      <c r="F637"/>
      <c r="H637"/>
      <c r="I637"/>
      <c r="J637"/>
      <c r="K637"/>
      <c r="L637"/>
    </row>
    <row r="638" spans="2:12" ht="14.4" x14ac:dyDescent="0.3">
      <c r="B638"/>
      <c r="C638"/>
      <c r="D638"/>
      <c r="E638"/>
      <c r="F638"/>
      <c r="H638"/>
      <c r="I638"/>
      <c r="J638"/>
      <c r="K638"/>
      <c r="L638"/>
    </row>
    <row r="639" spans="2:12" ht="14.4" x14ac:dyDescent="0.3">
      <c r="B639"/>
      <c r="C639"/>
      <c r="D639"/>
      <c r="E639"/>
      <c r="F639"/>
      <c r="H639"/>
      <c r="I639"/>
      <c r="J639"/>
      <c r="K639"/>
      <c r="L639"/>
    </row>
    <row r="640" spans="2:12" ht="14.4" x14ac:dyDescent="0.3">
      <c r="B640"/>
      <c r="C640"/>
      <c r="D640"/>
      <c r="E640"/>
      <c r="F640"/>
      <c r="H640"/>
      <c r="I640"/>
      <c r="J640"/>
      <c r="K640"/>
      <c r="L640"/>
    </row>
    <row r="641" spans="2:12" ht="14.4" x14ac:dyDescent="0.3">
      <c r="B641"/>
      <c r="C641"/>
      <c r="D641"/>
      <c r="E641"/>
      <c r="F641"/>
      <c r="H641"/>
      <c r="I641"/>
      <c r="J641"/>
      <c r="K641"/>
      <c r="L641"/>
    </row>
    <row r="642" spans="2:12" ht="14.4" x14ac:dyDescent="0.3">
      <c r="B642"/>
      <c r="C642"/>
      <c r="D642"/>
      <c r="E642"/>
      <c r="F642"/>
      <c r="H642"/>
      <c r="I642"/>
      <c r="J642"/>
      <c r="K642"/>
      <c r="L642"/>
    </row>
    <row r="643" spans="2:12" ht="14.4" x14ac:dyDescent="0.3">
      <c r="B643"/>
      <c r="C643"/>
      <c r="D643"/>
      <c r="E643"/>
      <c r="F643"/>
      <c r="H643"/>
      <c r="I643"/>
      <c r="J643"/>
      <c r="K643"/>
      <c r="L643"/>
    </row>
    <row r="644" spans="2:12" ht="14.4" x14ac:dyDescent="0.3">
      <c r="B644"/>
      <c r="C644"/>
      <c r="D644"/>
      <c r="E644"/>
      <c r="F644"/>
      <c r="H644"/>
      <c r="I644"/>
      <c r="J644"/>
      <c r="K644"/>
      <c r="L644"/>
    </row>
    <row r="645" spans="2:12" ht="14.4" x14ac:dyDescent="0.3">
      <c r="B645"/>
      <c r="C645"/>
      <c r="D645"/>
      <c r="E645"/>
      <c r="F645"/>
      <c r="H645"/>
      <c r="I645"/>
      <c r="J645"/>
      <c r="K645"/>
      <c r="L645"/>
    </row>
    <row r="646" spans="2:12" ht="14.4" x14ac:dyDescent="0.3">
      <c r="B646"/>
      <c r="C646"/>
      <c r="D646"/>
      <c r="E646"/>
      <c r="F646"/>
      <c r="H646"/>
      <c r="I646"/>
      <c r="J646"/>
      <c r="K646"/>
      <c r="L646"/>
    </row>
    <row r="647" spans="2:12" ht="14.4" x14ac:dyDescent="0.3">
      <c r="B647"/>
      <c r="C647"/>
      <c r="D647"/>
      <c r="E647"/>
      <c r="F647"/>
      <c r="H647"/>
      <c r="I647"/>
      <c r="J647"/>
      <c r="K647"/>
      <c r="L647"/>
    </row>
    <row r="648" spans="2:12" ht="14.4" x14ac:dyDescent="0.3">
      <c r="B648"/>
      <c r="C648"/>
      <c r="D648"/>
      <c r="E648"/>
      <c r="F648"/>
      <c r="H648"/>
      <c r="I648"/>
      <c r="J648"/>
      <c r="K648"/>
      <c r="L648"/>
    </row>
    <row r="649" spans="2:12" ht="14.4" x14ac:dyDescent="0.3">
      <c r="B649"/>
      <c r="C649"/>
      <c r="D649"/>
      <c r="E649"/>
      <c r="F649"/>
      <c r="H649"/>
      <c r="I649"/>
      <c r="J649"/>
      <c r="K649"/>
      <c r="L649"/>
    </row>
    <row r="650" spans="2:12" ht="14.4" x14ac:dyDescent="0.3">
      <c r="B650"/>
      <c r="C650"/>
      <c r="D650"/>
      <c r="E650"/>
      <c r="F650"/>
      <c r="H650"/>
      <c r="I650"/>
      <c r="J650"/>
      <c r="K650"/>
      <c r="L650"/>
    </row>
    <row r="651" spans="2:12" ht="14.4" x14ac:dyDescent="0.3">
      <c r="B651"/>
      <c r="C651"/>
      <c r="D651"/>
      <c r="E651"/>
      <c r="F651"/>
      <c r="H651"/>
      <c r="I651"/>
      <c r="J651"/>
      <c r="K651"/>
      <c r="L651"/>
    </row>
    <row r="652" spans="2:12" ht="14.4" x14ac:dyDescent="0.3">
      <c r="B652"/>
      <c r="C652"/>
      <c r="D652"/>
      <c r="E652"/>
      <c r="F652"/>
      <c r="H652"/>
      <c r="I652"/>
      <c r="J652"/>
      <c r="K652"/>
      <c r="L652"/>
    </row>
    <row r="653" spans="2:12" ht="14.4" x14ac:dyDescent="0.3">
      <c r="B653"/>
      <c r="C653"/>
      <c r="D653"/>
      <c r="E653"/>
      <c r="F653"/>
      <c r="H653"/>
      <c r="I653"/>
      <c r="J653"/>
      <c r="K653"/>
      <c r="L653"/>
    </row>
    <row r="654" spans="2:12" ht="14.4" x14ac:dyDescent="0.3">
      <c r="B654"/>
      <c r="C654"/>
      <c r="D654"/>
      <c r="E654"/>
      <c r="F654"/>
      <c r="H654"/>
      <c r="I654"/>
      <c r="J654"/>
      <c r="K654"/>
      <c r="L654"/>
    </row>
    <row r="655" spans="2:12" ht="14.4" x14ac:dyDescent="0.3">
      <c r="B655"/>
      <c r="C655"/>
      <c r="D655"/>
      <c r="E655"/>
      <c r="F655"/>
      <c r="H655"/>
      <c r="I655"/>
      <c r="J655"/>
      <c r="K655"/>
      <c r="L655"/>
    </row>
    <row r="656" spans="2:12" ht="14.4" x14ac:dyDescent="0.3">
      <c r="B656"/>
      <c r="C656"/>
      <c r="D656"/>
      <c r="E656"/>
      <c r="F656"/>
      <c r="H656"/>
      <c r="I656"/>
      <c r="J656"/>
      <c r="K656"/>
      <c r="L656"/>
    </row>
    <row r="657" spans="2:12" ht="14.4" x14ac:dyDescent="0.3">
      <c r="B657"/>
      <c r="C657"/>
      <c r="D657"/>
      <c r="E657"/>
      <c r="F657"/>
      <c r="H657"/>
      <c r="I657"/>
      <c r="J657"/>
      <c r="K657"/>
      <c r="L657"/>
    </row>
    <row r="658" spans="2:12" ht="14.4" x14ac:dyDescent="0.3">
      <c r="B658"/>
      <c r="C658"/>
      <c r="D658"/>
      <c r="E658"/>
      <c r="F658"/>
      <c r="H658"/>
      <c r="I658"/>
      <c r="J658"/>
      <c r="K658"/>
      <c r="L658"/>
    </row>
    <row r="659" spans="2:12" ht="14.4" x14ac:dyDescent="0.3">
      <c r="B659"/>
      <c r="C659"/>
      <c r="D659"/>
      <c r="E659"/>
      <c r="F659"/>
      <c r="H659"/>
      <c r="I659"/>
      <c r="J659"/>
      <c r="K659"/>
      <c r="L659"/>
    </row>
    <row r="660" spans="2:12" ht="14.4" x14ac:dyDescent="0.3">
      <c r="B660"/>
      <c r="C660"/>
      <c r="D660"/>
      <c r="E660"/>
      <c r="F660"/>
      <c r="H660"/>
      <c r="I660"/>
      <c r="J660"/>
      <c r="K660"/>
      <c r="L660"/>
    </row>
    <row r="661" spans="2:12" ht="14.4" x14ac:dyDescent="0.3">
      <c r="B661"/>
      <c r="C661"/>
      <c r="D661"/>
      <c r="E661"/>
      <c r="F661"/>
      <c r="H661"/>
      <c r="I661"/>
      <c r="J661"/>
      <c r="K661"/>
      <c r="L661"/>
    </row>
    <row r="662" spans="2:12" ht="14.4" x14ac:dyDescent="0.3">
      <c r="B662"/>
      <c r="C662"/>
      <c r="D662"/>
      <c r="E662"/>
      <c r="F662"/>
      <c r="H662"/>
      <c r="I662"/>
      <c r="J662"/>
      <c r="K662"/>
      <c r="L662"/>
    </row>
    <row r="663" spans="2:12" ht="14.4" x14ac:dyDescent="0.3">
      <c r="B663"/>
      <c r="C663"/>
      <c r="D663"/>
      <c r="E663"/>
      <c r="F663"/>
      <c r="H663"/>
      <c r="I663"/>
      <c r="J663"/>
      <c r="K663"/>
      <c r="L663"/>
    </row>
    <row r="664" spans="2:12" ht="14.4" x14ac:dyDescent="0.3">
      <c r="B664"/>
      <c r="C664"/>
      <c r="D664"/>
      <c r="E664"/>
      <c r="F664"/>
      <c r="H664"/>
      <c r="I664"/>
      <c r="J664"/>
      <c r="K664"/>
      <c r="L664"/>
    </row>
    <row r="665" spans="2:12" ht="14.4" x14ac:dyDescent="0.3">
      <c r="B665"/>
      <c r="C665"/>
      <c r="D665"/>
      <c r="E665"/>
      <c r="F665"/>
      <c r="H665"/>
      <c r="I665"/>
      <c r="J665"/>
      <c r="K665"/>
      <c r="L665"/>
    </row>
    <row r="666" spans="2:12" ht="14.4" x14ac:dyDescent="0.3">
      <c r="B666"/>
      <c r="C666"/>
      <c r="D666"/>
      <c r="E666"/>
      <c r="F666"/>
      <c r="H666"/>
      <c r="I666"/>
      <c r="J666"/>
      <c r="K666"/>
      <c r="L666"/>
    </row>
    <row r="667" spans="2:12" ht="14.4" x14ac:dyDescent="0.3">
      <c r="B667"/>
      <c r="C667"/>
      <c r="D667"/>
      <c r="E667"/>
      <c r="F667"/>
      <c r="H667"/>
      <c r="I667"/>
      <c r="J667"/>
      <c r="K667"/>
      <c r="L667"/>
    </row>
    <row r="668" spans="2:12" ht="14.4" x14ac:dyDescent="0.3">
      <c r="B668"/>
      <c r="C668"/>
      <c r="D668"/>
      <c r="E668"/>
      <c r="F668"/>
      <c r="H668"/>
      <c r="I668"/>
      <c r="J668"/>
      <c r="K668"/>
      <c r="L668"/>
    </row>
    <row r="669" spans="2:12" ht="14.4" x14ac:dyDescent="0.3">
      <c r="B669"/>
      <c r="C669"/>
      <c r="D669"/>
      <c r="E669"/>
      <c r="F669"/>
      <c r="H669"/>
      <c r="I669"/>
      <c r="J669"/>
      <c r="K669"/>
      <c r="L669"/>
    </row>
    <row r="670" spans="2:12" ht="14.4" x14ac:dyDescent="0.3">
      <c r="B670"/>
      <c r="C670"/>
      <c r="D670"/>
      <c r="E670"/>
      <c r="F670"/>
      <c r="H670"/>
      <c r="I670"/>
      <c r="J670"/>
      <c r="K670"/>
      <c r="L670"/>
    </row>
    <row r="671" spans="2:12" ht="14.4" x14ac:dyDescent="0.3">
      <c r="B671"/>
      <c r="C671"/>
      <c r="D671"/>
      <c r="E671"/>
      <c r="F671"/>
      <c r="H671"/>
      <c r="I671"/>
      <c r="J671"/>
      <c r="K671"/>
      <c r="L671"/>
    </row>
    <row r="672" spans="2:12" ht="14.4" x14ac:dyDescent="0.3">
      <c r="B672"/>
      <c r="C672"/>
      <c r="D672"/>
      <c r="E672"/>
      <c r="F672"/>
      <c r="H672"/>
      <c r="I672"/>
      <c r="J672"/>
      <c r="K672"/>
      <c r="L672"/>
    </row>
    <row r="673" spans="2:12" ht="14.4" x14ac:dyDescent="0.3">
      <c r="B673"/>
      <c r="C673"/>
      <c r="D673"/>
      <c r="E673"/>
      <c r="F673"/>
      <c r="H673"/>
      <c r="I673"/>
      <c r="J673"/>
      <c r="K673"/>
      <c r="L673"/>
    </row>
    <row r="674" spans="2:12" ht="14.4" x14ac:dyDescent="0.3">
      <c r="B674"/>
      <c r="C674"/>
      <c r="D674"/>
      <c r="E674"/>
      <c r="F674"/>
      <c r="H674"/>
      <c r="I674"/>
      <c r="J674"/>
      <c r="K674"/>
      <c r="L674"/>
    </row>
    <row r="675" spans="2:12" ht="14.4" x14ac:dyDescent="0.3">
      <c r="B675"/>
      <c r="C675"/>
      <c r="D675"/>
      <c r="E675"/>
      <c r="F675"/>
      <c r="H675"/>
      <c r="I675"/>
      <c r="J675"/>
      <c r="K675"/>
      <c r="L675"/>
    </row>
    <row r="676" spans="2:12" ht="14.4" x14ac:dyDescent="0.3">
      <c r="B676"/>
      <c r="C676"/>
      <c r="D676"/>
      <c r="E676"/>
      <c r="F676"/>
      <c r="H676"/>
      <c r="I676"/>
      <c r="J676"/>
      <c r="K676"/>
      <c r="L676"/>
    </row>
    <row r="677" spans="2:12" ht="14.4" x14ac:dyDescent="0.3">
      <c r="B677"/>
      <c r="C677"/>
      <c r="D677"/>
      <c r="E677"/>
      <c r="F677"/>
      <c r="H677"/>
      <c r="I677"/>
      <c r="J677"/>
      <c r="K677"/>
      <c r="L677"/>
    </row>
    <row r="678" spans="2:12" ht="14.4" x14ac:dyDescent="0.3">
      <c r="B678"/>
      <c r="C678"/>
      <c r="D678"/>
      <c r="E678"/>
      <c r="F678"/>
      <c r="H678"/>
      <c r="I678"/>
      <c r="J678"/>
      <c r="K678"/>
      <c r="L678"/>
    </row>
    <row r="679" spans="2:12" ht="14.4" x14ac:dyDescent="0.3">
      <c r="B679"/>
      <c r="C679"/>
      <c r="D679"/>
      <c r="E679"/>
      <c r="F679"/>
      <c r="H679"/>
      <c r="I679"/>
      <c r="J679"/>
      <c r="K679"/>
      <c r="L679"/>
    </row>
    <row r="680" spans="2:12" ht="14.4" x14ac:dyDescent="0.3">
      <c r="B680"/>
      <c r="C680"/>
      <c r="D680"/>
      <c r="E680"/>
      <c r="F680"/>
      <c r="H680"/>
      <c r="I680"/>
      <c r="J680"/>
      <c r="K680"/>
      <c r="L680"/>
    </row>
    <row r="681" spans="2:12" ht="14.4" x14ac:dyDescent="0.3">
      <c r="B681"/>
      <c r="C681"/>
      <c r="D681"/>
      <c r="E681"/>
      <c r="F681"/>
      <c r="H681"/>
      <c r="I681"/>
      <c r="J681"/>
      <c r="K681"/>
      <c r="L681"/>
    </row>
    <row r="682" spans="2:12" ht="14.4" x14ac:dyDescent="0.3">
      <c r="B682"/>
      <c r="C682"/>
      <c r="D682"/>
      <c r="E682"/>
      <c r="F682"/>
      <c r="H682"/>
      <c r="I682"/>
      <c r="J682"/>
      <c r="K682"/>
      <c r="L682"/>
    </row>
    <row r="683" spans="2:12" ht="14.4" x14ac:dyDescent="0.3">
      <c r="B683"/>
      <c r="C683"/>
      <c r="D683"/>
      <c r="E683"/>
      <c r="F683"/>
      <c r="H683"/>
      <c r="I683"/>
      <c r="J683"/>
      <c r="K683"/>
      <c r="L683"/>
    </row>
    <row r="684" spans="2:12" ht="14.4" x14ac:dyDescent="0.3">
      <c r="B684"/>
      <c r="C684"/>
      <c r="D684"/>
      <c r="E684"/>
      <c r="F684"/>
      <c r="H684"/>
      <c r="I684"/>
      <c r="J684"/>
      <c r="K684"/>
      <c r="L684"/>
    </row>
    <row r="685" spans="2:12" ht="14.4" x14ac:dyDescent="0.3">
      <c r="B685"/>
      <c r="C685"/>
      <c r="D685"/>
      <c r="E685"/>
      <c r="F685"/>
      <c r="H685"/>
      <c r="I685"/>
      <c r="J685"/>
      <c r="K685"/>
      <c r="L685"/>
    </row>
    <row r="686" spans="2:12" ht="14.4" x14ac:dyDescent="0.3">
      <c r="B686"/>
      <c r="C686"/>
      <c r="D686"/>
      <c r="E686"/>
      <c r="F686"/>
      <c r="H686"/>
      <c r="I686"/>
      <c r="J686"/>
      <c r="K686"/>
      <c r="L686"/>
    </row>
    <row r="687" spans="2:12" ht="14.4" x14ac:dyDescent="0.3">
      <c r="B687"/>
      <c r="C687"/>
      <c r="D687"/>
      <c r="E687"/>
      <c r="F687"/>
      <c r="H687"/>
      <c r="I687"/>
      <c r="J687"/>
      <c r="K687"/>
      <c r="L687"/>
    </row>
    <row r="688" spans="2:12" ht="14.4" x14ac:dyDescent="0.3">
      <c r="B688"/>
      <c r="C688"/>
      <c r="D688"/>
      <c r="E688"/>
      <c r="F688"/>
      <c r="H688"/>
      <c r="I688"/>
      <c r="J688"/>
      <c r="K688"/>
      <c r="L688"/>
    </row>
    <row r="689" spans="2:12" ht="14.4" x14ac:dyDescent="0.3">
      <c r="B689"/>
      <c r="C689"/>
      <c r="D689"/>
      <c r="E689"/>
      <c r="F689"/>
      <c r="H689"/>
      <c r="I689"/>
      <c r="J689"/>
      <c r="K689"/>
      <c r="L689"/>
    </row>
    <row r="690" spans="2:12" ht="14.4" x14ac:dyDescent="0.3">
      <c r="B690"/>
      <c r="C690"/>
      <c r="D690"/>
      <c r="E690"/>
      <c r="F690"/>
      <c r="H690"/>
      <c r="I690"/>
      <c r="J690"/>
      <c r="K690"/>
      <c r="L690"/>
    </row>
    <row r="691" spans="2:12" ht="14.4" x14ac:dyDescent="0.3">
      <c r="B691"/>
      <c r="C691"/>
      <c r="D691"/>
      <c r="E691"/>
      <c r="F691"/>
      <c r="H691"/>
      <c r="I691"/>
      <c r="J691"/>
      <c r="K691"/>
      <c r="L691"/>
    </row>
    <row r="692" spans="2:12" ht="14.4" x14ac:dyDescent="0.3">
      <c r="B692"/>
      <c r="C692"/>
      <c r="D692"/>
      <c r="E692"/>
      <c r="F692"/>
      <c r="H692"/>
      <c r="I692"/>
      <c r="J692"/>
      <c r="K692"/>
      <c r="L692"/>
    </row>
    <row r="693" spans="2:12" ht="14.4" x14ac:dyDescent="0.3">
      <c r="B693"/>
      <c r="C693"/>
      <c r="D693"/>
      <c r="E693"/>
      <c r="F693"/>
      <c r="H693"/>
      <c r="I693"/>
      <c r="J693"/>
      <c r="K693"/>
      <c r="L693"/>
    </row>
    <row r="694" spans="2:12" ht="14.4" x14ac:dyDescent="0.3">
      <c r="B694"/>
      <c r="C694"/>
      <c r="D694"/>
      <c r="E694"/>
      <c r="F694"/>
      <c r="H694"/>
      <c r="I694"/>
      <c r="J694"/>
      <c r="K694"/>
      <c r="L694"/>
    </row>
    <row r="695" spans="2:12" ht="14.4" x14ac:dyDescent="0.3">
      <c r="B695"/>
      <c r="C695"/>
      <c r="D695"/>
      <c r="E695"/>
      <c r="F695"/>
      <c r="H695"/>
      <c r="I695"/>
      <c r="J695"/>
      <c r="K695"/>
      <c r="L695"/>
    </row>
    <row r="696" spans="2:12" ht="14.4" x14ac:dyDescent="0.3">
      <c r="B696"/>
      <c r="C696"/>
      <c r="D696"/>
      <c r="E696"/>
      <c r="F696"/>
      <c r="H696"/>
      <c r="I696"/>
      <c r="J696"/>
      <c r="K696"/>
      <c r="L696"/>
    </row>
    <row r="697" spans="2:12" ht="14.4" x14ac:dyDescent="0.3">
      <c r="B697"/>
      <c r="C697"/>
      <c r="D697"/>
      <c r="E697"/>
      <c r="F697"/>
      <c r="H697"/>
      <c r="I697"/>
      <c r="J697"/>
      <c r="K697"/>
      <c r="L697"/>
    </row>
    <row r="698" spans="2:12" ht="14.4" x14ac:dyDescent="0.3">
      <c r="B698"/>
      <c r="C698"/>
      <c r="D698"/>
      <c r="E698"/>
      <c r="F698"/>
      <c r="H698"/>
      <c r="I698"/>
      <c r="J698"/>
      <c r="K698"/>
      <c r="L698"/>
    </row>
    <row r="699" spans="2:12" ht="14.4" x14ac:dyDescent="0.3">
      <c r="B699"/>
      <c r="C699"/>
      <c r="D699"/>
      <c r="E699"/>
      <c r="F699"/>
      <c r="H699"/>
      <c r="I699"/>
      <c r="J699"/>
      <c r="K699"/>
      <c r="L699"/>
    </row>
    <row r="700" spans="2:12" ht="14.4" x14ac:dyDescent="0.3">
      <c r="B700"/>
      <c r="C700"/>
      <c r="D700"/>
      <c r="E700"/>
      <c r="F700"/>
      <c r="H700"/>
      <c r="I700"/>
      <c r="J700"/>
      <c r="K700"/>
      <c r="L700"/>
    </row>
    <row r="701" spans="2:12" ht="14.4" x14ac:dyDescent="0.3">
      <c r="B701"/>
      <c r="C701"/>
      <c r="D701"/>
      <c r="E701"/>
      <c r="F701"/>
      <c r="H701"/>
      <c r="I701"/>
      <c r="J701"/>
      <c r="K701"/>
      <c r="L701"/>
    </row>
    <row r="702" spans="2:12" ht="14.4" x14ac:dyDescent="0.3">
      <c r="B702"/>
      <c r="C702"/>
      <c r="D702"/>
      <c r="E702"/>
      <c r="F702"/>
      <c r="H702"/>
      <c r="I702"/>
      <c r="J702"/>
      <c r="K702"/>
      <c r="L702"/>
    </row>
    <row r="703" spans="2:12" ht="14.4" x14ac:dyDescent="0.3">
      <c r="B703"/>
      <c r="C703"/>
      <c r="D703"/>
      <c r="E703"/>
      <c r="F703"/>
      <c r="H703"/>
      <c r="I703"/>
      <c r="J703"/>
      <c r="K703"/>
      <c r="L703"/>
    </row>
    <row r="704" spans="2:12" ht="14.4" x14ac:dyDescent="0.3">
      <c r="B704"/>
      <c r="C704"/>
      <c r="D704"/>
      <c r="E704"/>
      <c r="F704"/>
      <c r="H704"/>
      <c r="I704"/>
      <c r="J704"/>
      <c r="K704"/>
      <c r="L704"/>
    </row>
    <row r="705" spans="2:12" ht="14.4" x14ac:dyDescent="0.3">
      <c r="B705"/>
      <c r="C705"/>
      <c r="D705"/>
      <c r="E705"/>
      <c r="F705"/>
      <c r="H705"/>
      <c r="I705"/>
      <c r="J705"/>
      <c r="K705"/>
      <c r="L705"/>
    </row>
    <row r="706" spans="2:12" ht="14.4" x14ac:dyDescent="0.3">
      <c r="B706"/>
      <c r="C706"/>
      <c r="D706"/>
      <c r="E706"/>
      <c r="F706"/>
      <c r="H706"/>
      <c r="I706"/>
      <c r="J706"/>
      <c r="K706"/>
      <c r="L706"/>
    </row>
    <row r="707" spans="2:12" ht="14.4" x14ac:dyDescent="0.3">
      <c r="B707"/>
      <c r="C707"/>
      <c r="D707"/>
      <c r="E707"/>
      <c r="F707"/>
      <c r="H707"/>
      <c r="I707"/>
      <c r="J707"/>
      <c r="K707"/>
      <c r="L707"/>
    </row>
    <row r="708" spans="2:12" ht="14.4" x14ac:dyDescent="0.3">
      <c r="B708"/>
      <c r="C708"/>
      <c r="D708"/>
      <c r="E708"/>
      <c r="F708"/>
      <c r="H708"/>
      <c r="I708"/>
      <c r="J708"/>
      <c r="K708"/>
      <c r="L708"/>
    </row>
    <row r="709" spans="2:12" ht="14.4" x14ac:dyDescent="0.3">
      <c r="B709"/>
      <c r="C709"/>
      <c r="D709"/>
      <c r="E709"/>
      <c r="F709"/>
      <c r="H709"/>
      <c r="I709"/>
      <c r="J709"/>
      <c r="K709"/>
      <c r="L709"/>
    </row>
    <row r="710" spans="2:12" ht="14.4" x14ac:dyDescent="0.3">
      <c r="B710"/>
      <c r="C710"/>
      <c r="D710"/>
      <c r="E710"/>
      <c r="F710"/>
      <c r="H710"/>
      <c r="I710"/>
      <c r="J710"/>
      <c r="K710"/>
      <c r="L710"/>
    </row>
    <row r="711" spans="2:12" ht="14.4" x14ac:dyDescent="0.3">
      <c r="B711"/>
      <c r="C711"/>
      <c r="D711"/>
      <c r="E711"/>
      <c r="F711"/>
      <c r="H711"/>
      <c r="I711"/>
      <c r="J711"/>
      <c r="K711"/>
      <c r="L711"/>
    </row>
    <row r="712" spans="2:12" ht="14.4" x14ac:dyDescent="0.3">
      <c r="B712"/>
      <c r="C712"/>
      <c r="D712"/>
      <c r="E712"/>
      <c r="F712"/>
      <c r="H712"/>
      <c r="I712"/>
      <c r="J712"/>
      <c r="K712"/>
      <c r="L712"/>
    </row>
    <row r="713" spans="2:12" ht="14.4" x14ac:dyDescent="0.3">
      <c r="B713"/>
      <c r="C713"/>
      <c r="D713"/>
      <c r="E713"/>
      <c r="F713"/>
      <c r="H713"/>
      <c r="I713"/>
      <c r="J713"/>
      <c r="K713"/>
      <c r="L713"/>
    </row>
    <row r="714" spans="2:12" ht="14.4" x14ac:dyDescent="0.3">
      <c r="B714"/>
      <c r="C714"/>
      <c r="D714"/>
      <c r="E714"/>
      <c r="F714"/>
      <c r="H714"/>
      <c r="I714"/>
      <c r="J714"/>
      <c r="K714"/>
      <c r="L714"/>
    </row>
    <row r="715" spans="2:12" ht="14.4" x14ac:dyDescent="0.3">
      <c r="B715"/>
      <c r="C715"/>
      <c r="D715"/>
      <c r="E715"/>
      <c r="F715"/>
      <c r="H715"/>
      <c r="I715"/>
      <c r="J715"/>
      <c r="K715"/>
      <c r="L715"/>
    </row>
    <row r="716" spans="2:12" ht="14.4" x14ac:dyDescent="0.3">
      <c r="B716"/>
      <c r="C716"/>
      <c r="D716"/>
      <c r="E716"/>
      <c r="F716"/>
      <c r="H716"/>
      <c r="I716"/>
      <c r="J716"/>
      <c r="K716"/>
      <c r="L716"/>
    </row>
    <row r="717" spans="2:12" ht="14.4" x14ac:dyDescent="0.3">
      <c r="B717"/>
      <c r="C717"/>
      <c r="D717"/>
      <c r="E717"/>
      <c r="F717"/>
      <c r="H717"/>
      <c r="I717"/>
      <c r="J717"/>
      <c r="K717"/>
      <c r="L717"/>
    </row>
    <row r="718" spans="2:12" ht="14.4" x14ac:dyDescent="0.3">
      <c r="B718"/>
      <c r="C718"/>
      <c r="D718"/>
      <c r="E718"/>
      <c r="F718"/>
      <c r="H718"/>
      <c r="I718"/>
      <c r="J718"/>
      <c r="K718"/>
      <c r="L718"/>
    </row>
    <row r="719" spans="2:12" ht="14.4" x14ac:dyDescent="0.3">
      <c r="B719"/>
      <c r="C719"/>
      <c r="D719"/>
      <c r="E719"/>
      <c r="F719"/>
      <c r="H719"/>
      <c r="I719"/>
      <c r="J719"/>
      <c r="K719"/>
      <c r="L719"/>
    </row>
    <row r="720" spans="2:12" ht="14.4" x14ac:dyDescent="0.3">
      <c r="B720"/>
      <c r="C720"/>
      <c r="D720"/>
      <c r="E720"/>
      <c r="F720"/>
      <c r="H720"/>
      <c r="I720"/>
      <c r="J720"/>
      <c r="K720"/>
      <c r="L720"/>
    </row>
    <row r="721" spans="2:12" ht="14.4" x14ac:dyDescent="0.3">
      <c r="B721"/>
      <c r="C721"/>
      <c r="D721"/>
      <c r="E721"/>
      <c r="F721"/>
      <c r="H721"/>
      <c r="I721"/>
      <c r="J721"/>
      <c r="K721"/>
      <c r="L721"/>
    </row>
    <row r="722" spans="2:12" ht="14.4" x14ac:dyDescent="0.3">
      <c r="B722"/>
      <c r="C722"/>
      <c r="D722"/>
      <c r="E722"/>
      <c r="F722"/>
      <c r="H722"/>
      <c r="I722"/>
      <c r="J722"/>
      <c r="K722"/>
      <c r="L722"/>
    </row>
    <row r="723" spans="2:12" ht="14.4" x14ac:dyDescent="0.3">
      <c r="B723"/>
      <c r="C723"/>
      <c r="D723"/>
      <c r="E723"/>
      <c r="F723"/>
      <c r="H723"/>
      <c r="I723"/>
      <c r="J723"/>
      <c r="K723"/>
      <c r="L723"/>
    </row>
    <row r="724" spans="2:12" ht="14.4" x14ac:dyDescent="0.3">
      <c r="B724"/>
      <c r="C724"/>
      <c r="D724"/>
      <c r="E724"/>
      <c r="F724"/>
      <c r="H724"/>
      <c r="I724"/>
      <c r="J724"/>
      <c r="K724"/>
      <c r="L724"/>
    </row>
    <row r="725" spans="2:12" ht="14.4" x14ac:dyDescent="0.3">
      <c r="B725"/>
      <c r="C725"/>
      <c r="D725"/>
      <c r="E725"/>
      <c r="F725"/>
      <c r="H725"/>
      <c r="I725"/>
      <c r="J725"/>
      <c r="K725"/>
      <c r="L725"/>
    </row>
    <row r="726" spans="2:12" ht="14.4" x14ac:dyDescent="0.3">
      <c r="B726"/>
      <c r="C726"/>
      <c r="D726"/>
      <c r="E726"/>
      <c r="F726"/>
      <c r="H726"/>
      <c r="I726"/>
      <c r="J726"/>
      <c r="K726"/>
      <c r="L726"/>
    </row>
    <row r="727" spans="2:12" ht="14.4" x14ac:dyDescent="0.3">
      <c r="B727"/>
      <c r="C727"/>
      <c r="D727"/>
      <c r="E727"/>
      <c r="F727"/>
      <c r="H727"/>
      <c r="I727"/>
      <c r="J727"/>
      <c r="K727"/>
      <c r="L727"/>
    </row>
    <row r="728" spans="2:12" ht="14.4" x14ac:dyDescent="0.3">
      <c r="B728"/>
      <c r="C728"/>
      <c r="D728"/>
      <c r="E728"/>
      <c r="F728"/>
      <c r="H728"/>
      <c r="I728"/>
      <c r="J728"/>
      <c r="K728"/>
      <c r="L728"/>
    </row>
    <row r="729" spans="2:12" ht="14.4" x14ac:dyDescent="0.3">
      <c r="B729"/>
      <c r="C729"/>
      <c r="D729"/>
      <c r="E729"/>
      <c r="F729"/>
      <c r="H729"/>
      <c r="I729"/>
      <c r="J729"/>
      <c r="K729"/>
      <c r="L729"/>
    </row>
    <row r="730" spans="2:12" ht="14.4" x14ac:dyDescent="0.3">
      <c r="B730"/>
      <c r="C730"/>
      <c r="D730"/>
      <c r="E730"/>
      <c r="F730"/>
      <c r="H730"/>
      <c r="I730"/>
      <c r="J730"/>
      <c r="K730"/>
      <c r="L730"/>
    </row>
    <row r="731" spans="2:12" ht="14.4" x14ac:dyDescent="0.3">
      <c r="B731"/>
      <c r="C731"/>
      <c r="D731"/>
      <c r="E731"/>
      <c r="F731"/>
      <c r="H731"/>
      <c r="I731"/>
      <c r="J731"/>
      <c r="K731"/>
      <c r="L731"/>
    </row>
    <row r="732" spans="2:12" ht="14.4" x14ac:dyDescent="0.3">
      <c r="B732"/>
      <c r="C732"/>
      <c r="D732"/>
      <c r="E732"/>
      <c r="F732"/>
      <c r="H732"/>
      <c r="I732"/>
      <c r="J732"/>
      <c r="K732"/>
      <c r="L732"/>
    </row>
    <row r="733" spans="2:12" ht="14.4" x14ac:dyDescent="0.3">
      <c r="B733"/>
      <c r="C733"/>
      <c r="D733"/>
      <c r="E733"/>
      <c r="F733"/>
      <c r="H733"/>
      <c r="I733"/>
      <c r="J733"/>
      <c r="K733"/>
      <c r="L733"/>
    </row>
    <row r="734" spans="2:12" ht="14.4" x14ac:dyDescent="0.3">
      <c r="B734"/>
      <c r="C734"/>
      <c r="D734"/>
      <c r="E734"/>
      <c r="F734"/>
      <c r="H734"/>
      <c r="I734"/>
      <c r="J734"/>
      <c r="K734"/>
      <c r="L734"/>
    </row>
    <row r="735" spans="2:12" ht="14.4" x14ac:dyDescent="0.3">
      <c r="B735"/>
      <c r="C735"/>
      <c r="D735"/>
      <c r="E735"/>
      <c r="F735"/>
      <c r="H735"/>
      <c r="I735"/>
      <c r="J735"/>
      <c r="K735"/>
      <c r="L735"/>
    </row>
    <row r="736" spans="2:12" ht="14.4" x14ac:dyDescent="0.3">
      <c r="B736"/>
      <c r="C736"/>
      <c r="D736"/>
      <c r="E736"/>
      <c r="F736"/>
      <c r="H736"/>
      <c r="I736"/>
      <c r="J736"/>
      <c r="K736"/>
      <c r="L736"/>
    </row>
    <row r="737" spans="2:12" ht="14.4" x14ac:dyDescent="0.3">
      <c r="B737"/>
      <c r="C737"/>
      <c r="D737"/>
      <c r="E737"/>
      <c r="F737"/>
      <c r="H737"/>
      <c r="I737"/>
      <c r="J737"/>
      <c r="K737"/>
      <c r="L737"/>
    </row>
    <row r="738" spans="2:12" ht="14.4" x14ac:dyDescent="0.3">
      <c r="B738"/>
      <c r="C738"/>
      <c r="D738"/>
      <c r="E738"/>
      <c r="F738"/>
      <c r="H738"/>
      <c r="I738"/>
      <c r="J738"/>
      <c r="K738"/>
      <c r="L738"/>
    </row>
    <row r="739" spans="2:12" ht="14.4" x14ac:dyDescent="0.3">
      <c r="B739"/>
      <c r="C739"/>
      <c r="D739"/>
      <c r="E739"/>
      <c r="F739"/>
      <c r="H739"/>
      <c r="I739"/>
      <c r="J739"/>
      <c r="K739"/>
      <c r="L739"/>
    </row>
    <row r="740" spans="2:12" ht="14.4" x14ac:dyDescent="0.3">
      <c r="B740"/>
      <c r="C740"/>
      <c r="D740"/>
      <c r="E740"/>
      <c r="F740"/>
      <c r="H740"/>
      <c r="I740"/>
      <c r="J740"/>
      <c r="K740"/>
      <c r="L740"/>
    </row>
    <row r="741" spans="2:12" ht="14.4" x14ac:dyDescent="0.3">
      <c r="B741"/>
      <c r="C741"/>
      <c r="D741"/>
      <c r="E741"/>
      <c r="F741"/>
      <c r="H741"/>
      <c r="I741"/>
      <c r="J741"/>
      <c r="K741"/>
      <c r="L741"/>
    </row>
    <row r="742" spans="2:12" ht="14.4" x14ac:dyDescent="0.3">
      <c r="B742"/>
      <c r="C742"/>
      <c r="D742"/>
      <c r="E742"/>
      <c r="F742"/>
      <c r="H742"/>
      <c r="I742"/>
      <c r="J742"/>
      <c r="K742"/>
      <c r="L742"/>
    </row>
    <row r="743" spans="2:12" ht="14.4" x14ac:dyDescent="0.3">
      <c r="B743"/>
      <c r="C743"/>
      <c r="D743"/>
      <c r="E743"/>
      <c r="F743"/>
      <c r="H743"/>
      <c r="I743"/>
      <c r="J743"/>
      <c r="K743"/>
      <c r="L743"/>
    </row>
    <row r="744" spans="2:12" ht="14.4" x14ac:dyDescent="0.3">
      <c r="B744"/>
      <c r="C744"/>
      <c r="D744"/>
      <c r="E744"/>
      <c r="F744"/>
      <c r="H744"/>
      <c r="I744"/>
      <c r="J744"/>
      <c r="K744"/>
      <c r="L744"/>
    </row>
    <row r="745" spans="2:12" ht="14.4" x14ac:dyDescent="0.3">
      <c r="B745"/>
      <c r="C745"/>
      <c r="D745"/>
      <c r="E745"/>
      <c r="F745"/>
      <c r="H745"/>
      <c r="I745"/>
      <c r="J745"/>
      <c r="K745"/>
      <c r="L745"/>
    </row>
    <row r="746" spans="2:12" ht="14.4" x14ac:dyDescent="0.3">
      <c r="B746"/>
      <c r="C746"/>
      <c r="D746"/>
      <c r="E746"/>
      <c r="F746"/>
      <c r="H746"/>
      <c r="I746"/>
      <c r="J746"/>
      <c r="K746"/>
      <c r="L746"/>
    </row>
    <row r="747" spans="2:12" ht="14.4" x14ac:dyDescent="0.3">
      <c r="B747"/>
      <c r="C747"/>
      <c r="D747"/>
      <c r="E747"/>
      <c r="F747"/>
      <c r="H747"/>
      <c r="I747"/>
      <c r="J747"/>
      <c r="K747"/>
      <c r="L747"/>
    </row>
    <row r="748" spans="2:12" ht="14.4" x14ac:dyDescent="0.3">
      <c r="B748"/>
      <c r="C748"/>
      <c r="D748"/>
      <c r="E748"/>
      <c r="F748"/>
      <c r="H748"/>
      <c r="I748"/>
      <c r="J748"/>
      <c r="K748"/>
      <c r="L748"/>
    </row>
    <row r="749" spans="2:12" ht="14.4" x14ac:dyDescent="0.3">
      <c r="B749"/>
      <c r="C749"/>
      <c r="D749"/>
      <c r="E749"/>
      <c r="F749"/>
      <c r="H749"/>
      <c r="I749"/>
      <c r="J749"/>
      <c r="K749"/>
      <c r="L749"/>
    </row>
    <row r="750" spans="2:12" ht="14.4" x14ac:dyDescent="0.3">
      <c r="B750"/>
      <c r="C750"/>
      <c r="D750"/>
      <c r="E750"/>
      <c r="F750"/>
      <c r="H750"/>
      <c r="I750"/>
      <c r="J750"/>
      <c r="K750"/>
      <c r="L750"/>
    </row>
    <row r="751" spans="2:12" ht="14.4" x14ac:dyDescent="0.3">
      <c r="B751"/>
      <c r="C751"/>
      <c r="D751"/>
      <c r="E751"/>
      <c r="F751"/>
      <c r="H751"/>
      <c r="I751"/>
      <c r="J751"/>
      <c r="K751"/>
      <c r="L751"/>
    </row>
    <row r="752" spans="2:12" ht="14.4" x14ac:dyDescent="0.3">
      <c r="B752"/>
      <c r="C752"/>
      <c r="D752"/>
      <c r="E752"/>
      <c r="F752"/>
      <c r="H752"/>
      <c r="I752"/>
      <c r="J752"/>
      <c r="K752"/>
      <c r="L752"/>
    </row>
    <row r="753" spans="2:12" ht="14.4" x14ac:dyDescent="0.3">
      <c r="B753"/>
      <c r="C753"/>
      <c r="D753"/>
      <c r="E753"/>
      <c r="F753"/>
      <c r="H753"/>
      <c r="I753"/>
      <c r="J753"/>
      <c r="K753"/>
      <c r="L753"/>
    </row>
    <row r="754" spans="2:12" ht="14.4" x14ac:dyDescent="0.3">
      <c r="B754"/>
      <c r="C754"/>
      <c r="D754"/>
      <c r="E754"/>
      <c r="F754"/>
      <c r="H754"/>
      <c r="I754"/>
      <c r="J754"/>
      <c r="K754"/>
      <c r="L754"/>
    </row>
    <row r="755" spans="2:12" ht="14.4" x14ac:dyDescent="0.3">
      <c r="B755"/>
      <c r="C755"/>
      <c r="D755"/>
      <c r="E755"/>
      <c r="F755"/>
      <c r="H755"/>
      <c r="I755"/>
      <c r="J755"/>
      <c r="K755"/>
      <c r="L755"/>
    </row>
    <row r="756" spans="2:12" ht="14.4" x14ac:dyDescent="0.3">
      <c r="B756"/>
      <c r="C756"/>
      <c r="D756"/>
      <c r="E756"/>
      <c r="F756"/>
      <c r="H756"/>
      <c r="I756"/>
      <c r="J756"/>
      <c r="K756"/>
      <c r="L756"/>
    </row>
    <row r="757" spans="2:12" ht="14.4" x14ac:dyDescent="0.3">
      <c r="B757"/>
      <c r="C757"/>
      <c r="D757"/>
      <c r="E757"/>
      <c r="F757"/>
      <c r="H757"/>
      <c r="I757"/>
      <c r="J757"/>
      <c r="K757"/>
      <c r="L757"/>
    </row>
    <row r="758" spans="2:12" ht="14.4" x14ac:dyDescent="0.3">
      <c r="B758"/>
      <c r="C758"/>
      <c r="D758"/>
      <c r="E758"/>
      <c r="F758"/>
      <c r="H758"/>
      <c r="I758"/>
      <c r="J758"/>
      <c r="K758"/>
      <c r="L758"/>
    </row>
    <row r="759" spans="2:12" ht="14.4" x14ac:dyDescent="0.3">
      <c r="B759"/>
      <c r="C759"/>
      <c r="D759"/>
      <c r="E759"/>
      <c r="F759"/>
      <c r="H759"/>
      <c r="I759"/>
      <c r="J759"/>
      <c r="K759"/>
      <c r="L759"/>
    </row>
    <row r="760" spans="2:12" ht="14.4" x14ac:dyDescent="0.3">
      <c r="B760"/>
      <c r="C760"/>
      <c r="D760"/>
      <c r="E760"/>
      <c r="F760"/>
      <c r="H760"/>
      <c r="I760"/>
      <c r="J760"/>
      <c r="K760"/>
      <c r="L760"/>
    </row>
    <row r="761" spans="2:12" ht="14.4" x14ac:dyDescent="0.3">
      <c r="B761"/>
      <c r="C761"/>
      <c r="D761"/>
      <c r="E761"/>
      <c r="F761"/>
      <c r="H761"/>
      <c r="I761"/>
      <c r="J761"/>
      <c r="K761"/>
      <c r="L761"/>
    </row>
    <row r="762" spans="2:12" ht="14.4" x14ac:dyDescent="0.3">
      <c r="B762"/>
      <c r="C762"/>
      <c r="D762"/>
      <c r="E762"/>
      <c r="F762"/>
      <c r="H762"/>
      <c r="I762"/>
      <c r="J762"/>
      <c r="K762"/>
      <c r="L762"/>
    </row>
    <row r="763" spans="2:12" ht="14.4" x14ac:dyDescent="0.3">
      <c r="B763"/>
      <c r="C763"/>
      <c r="D763"/>
      <c r="E763"/>
      <c r="F763"/>
      <c r="H763"/>
      <c r="I763"/>
      <c r="J763"/>
      <c r="K763"/>
      <c r="L763"/>
    </row>
    <row r="764" spans="2:12" ht="14.4" x14ac:dyDescent="0.3">
      <c r="B764"/>
      <c r="C764"/>
      <c r="D764"/>
      <c r="E764"/>
      <c r="F764"/>
      <c r="H764"/>
      <c r="I764"/>
      <c r="J764"/>
      <c r="K764"/>
      <c r="L764"/>
    </row>
    <row r="765" spans="2:12" ht="14.4" x14ac:dyDescent="0.3">
      <c r="B765"/>
      <c r="C765"/>
      <c r="D765"/>
      <c r="E765"/>
      <c r="F765"/>
      <c r="H765"/>
      <c r="I765"/>
      <c r="J765"/>
      <c r="K765"/>
      <c r="L765"/>
    </row>
    <row r="766" spans="2:12" ht="14.4" x14ac:dyDescent="0.3">
      <c r="B766"/>
      <c r="C766"/>
      <c r="D766"/>
      <c r="E766"/>
      <c r="F766"/>
      <c r="H766"/>
      <c r="I766"/>
      <c r="J766"/>
      <c r="K766"/>
      <c r="L766"/>
    </row>
    <row r="767" spans="2:12" ht="14.4" x14ac:dyDescent="0.3">
      <c r="B767"/>
      <c r="C767"/>
      <c r="D767"/>
      <c r="E767"/>
      <c r="F767"/>
      <c r="H767"/>
      <c r="I767"/>
      <c r="J767"/>
      <c r="K767"/>
      <c r="L767"/>
    </row>
    <row r="768" spans="2:12" ht="14.4" x14ac:dyDescent="0.3">
      <c r="B768"/>
      <c r="C768"/>
      <c r="D768"/>
      <c r="E768"/>
      <c r="F768"/>
      <c r="H768"/>
      <c r="I768"/>
      <c r="J768"/>
      <c r="K768"/>
      <c r="L768"/>
    </row>
    <row r="769" spans="2:12" ht="14.4" x14ac:dyDescent="0.3">
      <c r="B769"/>
      <c r="C769"/>
      <c r="D769"/>
      <c r="E769"/>
      <c r="F769"/>
      <c r="H769"/>
      <c r="I769"/>
      <c r="J769"/>
      <c r="K769"/>
      <c r="L769"/>
    </row>
    <row r="770" spans="2:12" ht="14.4" x14ac:dyDescent="0.3">
      <c r="B770"/>
      <c r="C770"/>
      <c r="D770"/>
      <c r="E770"/>
      <c r="F770"/>
      <c r="H770"/>
      <c r="I770"/>
      <c r="J770"/>
      <c r="K770"/>
      <c r="L770"/>
    </row>
    <row r="771" spans="2:12" ht="14.4" x14ac:dyDescent="0.3">
      <c r="B771"/>
      <c r="C771"/>
      <c r="D771"/>
      <c r="E771"/>
      <c r="F771"/>
      <c r="H771"/>
      <c r="I771"/>
      <c r="J771"/>
      <c r="K771"/>
      <c r="L771"/>
    </row>
    <row r="772" spans="2:12" ht="14.4" x14ac:dyDescent="0.3">
      <c r="B772"/>
      <c r="C772"/>
      <c r="D772"/>
      <c r="E772"/>
      <c r="F772"/>
      <c r="H772"/>
      <c r="I772"/>
      <c r="J772"/>
      <c r="K772"/>
      <c r="L772"/>
    </row>
    <row r="773" spans="2:12" ht="14.4" x14ac:dyDescent="0.3">
      <c r="B773"/>
      <c r="C773"/>
      <c r="D773"/>
      <c r="E773"/>
      <c r="F773"/>
      <c r="H773"/>
      <c r="I773"/>
      <c r="J773"/>
      <c r="K773"/>
      <c r="L773"/>
    </row>
    <row r="774" spans="2:12" ht="14.4" x14ac:dyDescent="0.3">
      <c r="B774"/>
      <c r="C774"/>
      <c r="D774"/>
      <c r="E774"/>
      <c r="F774"/>
      <c r="H774"/>
      <c r="I774"/>
      <c r="J774"/>
      <c r="K774"/>
      <c r="L774"/>
    </row>
    <row r="775" spans="2:12" ht="14.4" x14ac:dyDescent="0.3">
      <c r="B775"/>
      <c r="C775"/>
      <c r="D775"/>
      <c r="E775"/>
      <c r="F775"/>
      <c r="H775"/>
      <c r="I775"/>
      <c r="J775"/>
      <c r="K775"/>
      <c r="L775"/>
    </row>
    <row r="776" spans="2:12" ht="14.4" x14ac:dyDescent="0.3">
      <c r="B776"/>
      <c r="C776"/>
      <c r="D776"/>
      <c r="E776"/>
      <c r="F776"/>
      <c r="H776"/>
      <c r="I776"/>
      <c r="J776"/>
      <c r="K776"/>
      <c r="L776"/>
    </row>
    <row r="777" spans="2:12" ht="14.4" x14ac:dyDescent="0.3">
      <c r="B777"/>
      <c r="C777"/>
      <c r="D777"/>
      <c r="E777"/>
      <c r="F777"/>
      <c r="H777"/>
      <c r="I777"/>
      <c r="J777"/>
      <c r="K777"/>
      <c r="L777"/>
    </row>
    <row r="778" spans="2:12" ht="14.4" x14ac:dyDescent="0.3">
      <c r="B778"/>
      <c r="C778"/>
      <c r="D778"/>
      <c r="E778"/>
      <c r="F778"/>
      <c r="H778"/>
      <c r="I778"/>
      <c r="J778"/>
      <c r="K778"/>
      <c r="L778"/>
    </row>
    <row r="779" spans="2:12" ht="14.4" x14ac:dyDescent="0.3">
      <c r="B779"/>
      <c r="C779"/>
      <c r="D779"/>
      <c r="E779"/>
      <c r="F779"/>
      <c r="H779"/>
      <c r="I779"/>
      <c r="J779"/>
      <c r="K779"/>
      <c r="L779"/>
    </row>
    <row r="780" spans="2:12" ht="14.4" x14ac:dyDescent="0.3">
      <c r="B780"/>
      <c r="C780"/>
      <c r="D780"/>
      <c r="E780"/>
      <c r="F780"/>
      <c r="H780"/>
      <c r="I780"/>
      <c r="J780"/>
      <c r="K780"/>
      <c r="L780"/>
    </row>
    <row r="781" spans="2:12" ht="14.4" x14ac:dyDescent="0.3">
      <c r="B781"/>
      <c r="C781"/>
      <c r="D781"/>
      <c r="E781"/>
      <c r="F781"/>
      <c r="H781"/>
      <c r="I781"/>
      <c r="J781"/>
      <c r="K781"/>
      <c r="L781"/>
    </row>
    <row r="782" spans="2:12" ht="14.4" x14ac:dyDescent="0.3">
      <c r="B782"/>
      <c r="C782"/>
      <c r="D782"/>
      <c r="E782"/>
      <c r="F782"/>
      <c r="H782"/>
      <c r="I782"/>
      <c r="J782"/>
      <c r="K782"/>
      <c r="L782"/>
    </row>
    <row r="783" spans="2:12" ht="14.4" x14ac:dyDescent="0.3">
      <c r="B783"/>
      <c r="C783"/>
      <c r="D783"/>
      <c r="E783"/>
      <c r="F783"/>
      <c r="H783"/>
      <c r="I783"/>
      <c r="J783"/>
      <c r="K783"/>
      <c r="L783"/>
    </row>
    <row r="784" spans="2:12" ht="14.4" x14ac:dyDescent="0.3">
      <c r="B784"/>
      <c r="C784"/>
      <c r="D784"/>
      <c r="E784"/>
      <c r="F784"/>
      <c r="H784"/>
      <c r="I784"/>
      <c r="J784"/>
      <c r="K784"/>
      <c r="L784"/>
    </row>
    <row r="785" spans="2:12" ht="14.4" x14ac:dyDescent="0.3">
      <c r="B785"/>
      <c r="C785"/>
      <c r="D785"/>
      <c r="E785"/>
      <c r="F785"/>
      <c r="H785"/>
      <c r="I785"/>
      <c r="J785"/>
      <c r="K785"/>
      <c r="L785"/>
    </row>
    <row r="786" spans="2:12" ht="14.4" x14ac:dyDescent="0.3">
      <c r="B786"/>
      <c r="C786"/>
      <c r="D786"/>
      <c r="E786"/>
      <c r="F786"/>
      <c r="H786"/>
      <c r="I786"/>
      <c r="J786"/>
      <c r="K786"/>
      <c r="L786"/>
    </row>
    <row r="787" spans="2:12" ht="14.4" x14ac:dyDescent="0.3">
      <c r="B787"/>
      <c r="C787"/>
      <c r="D787"/>
      <c r="E787"/>
      <c r="F787"/>
      <c r="H787"/>
      <c r="I787"/>
      <c r="J787"/>
      <c r="K787"/>
      <c r="L787"/>
    </row>
    <row r="788" spans="2:12" ht="14.4" x14ac:dyDescent="0.3">
      <c r="B788"/>
      <c r="C788"/>
      <c r="D788"/>
      <c r="E788"/>
      <c r="F788"/>
      <c r="H788"/>
      <c r="I788"/>
      <c r="J788"/>
      <c r="K788"/>
      <c r="L788"/>
    </row>
    <row r="789" spans="2:12" ht="14.4" x14ac:dyDescent="0.3">
      <c r="B789"/>
      <c r="C789"/>
      <c r="D789"/>
      <c r="E789"/>
      <c r="F789"/>
      <c r="H789"/>
      <c r="I789"/>
      <c r="J789"/>
      <c r="K789"/>
      <c r="L789"/>
    </row>
    <row r="790" spans="2:12" ht="14.4" x14ac:dyDescent="0.3">
      <c r="B790"/>
      <c r="C790"/>
      <c r="D790"/>
      <c r="E790"/>
      <c r="F790"/>
      <c r="H790"/>
      <c r="I790"/>
      <c r="J790"/>
      <c r="K790"/>
      <c r="L790"/>
    </row>
    <row r="791" spans="2:12" ht="14.4" x14ac:dyDescent="0.3">
      <c r="B791"/>
      <c r="C791"/>
      <c r="D791"/>
      <c r="E791"/>
      <c r="F791"/>
      <c r="H791"/>
      <c r="I791"/>
      <c r="J791"/>
      <c r="K791"/>
      <c r="L791"/>
    </row>
    <row r="792" spans="2:12" ht="14.4" x14ac:dyDescent="0.3">
      <c r="B792"/>
      <c r="C792"/>
      <c r="D792"/>
      <c r="E792"/>
      <c r="F792"/>
      <c r="H792"/>
      <c r="I792"/>
      <c r="J792"/>
      <c r="K792"/>
      <c r="L792"/>
    </row>
    <row r="793" spans="2:12" ht="14.4" x14ac:dyDescent="0.3">
      <c r="B793"/>
      <c r="C793"/>
      <c r="D793"/>
      <c r="E793"/>
      <c r="F793"/>
      <c r="H793"/>
      <c r="I793"/>
      <c r="J793"/>
      <c r="K793"/>
      <c r="L793"/>
    </row>
    <row r="794" spans="2:12" ht="14.4" x14ac:dyDescent="0.3">
      <c r="B794"/>
      <c r="C794"/>
      <c r="D794"/>
      <c r="E794"/>
      <c r="F794"/>
      <c r="H794"/>
      <c r="I794"/>
      <c r="J794"/>
      <c r="K794"/>
      <c r="L794"/>
    </row>
    <row r="795" spans="2:12" ht="14.4" x14ac:dyDescent="0.3">
      <c r="B795"/>
      <c r="C795"/>
      <c r="D795"/>
      <c r="E795"/>
      <c r="F795"/>
      <c r="H795"/>
      <c r="I795"/>
      <c r="J795"/>
      <c r="K795"/>
      <c r="L795"/>
    </row>
    <row r="796" spans="2:12" ht="14.4" x14ac:dyDescent="0.3">
      <c r="B796"/>
      <c r="C796"/>
      <c r="D796"/>
      <c r="E796"/>
      <c r="F796"/>
      <c r="H796"/>
      <c r="I796"/>
      <c r="J796"/>
      <c r="K796"/>
      <c r="L796"/>
    </row>
    <row r="797" spans="2:12" ht="14.4" x14ac:dyDescent="0.3">
      <c r="B797"/>
      <c r="C797"/>
      <c r="D797"/>
      <c r="E797"/>
      <c r="F797"/>
      <c r="H797"/>
      <c r="I797"/>
      <c r="J797"/>
      <c r="K797"/>
      <c r="L797"/>
    </row>
    <row r="798" spans="2:12" ht="14.4" x14ac:dyDescent="0.3">
      <c r="B798"/>
      <c r="C798"/>
      <c r="D798"/>
      <c r="E798"/>
      <c r="F798"/>
      <c r="H798"/>
      <c r="I798"/>
      <c r="J798"/>
      <c r="K798"/>
      <c r="L798"/>
    </row>
    <row r="799" spans="2:12" ht="14.4" x14ac:dyDescent="0.3">
      <c r="B799"/>
      <c r="C799"/>
      <c r="D799"/>
      <c r="E799"/>
      <c r="F799"/>
      <c r="H799"/>
      <c r="I799"/>
      <c r="J799"/>
      <c r="K799"/>
      <c r="L799"/>
    </row>
    <row r="800" spans="2:12" ht="14.4" x14ac:dyDescent="0.3">
      <c r="B800"/>
      <c r="C800"/>
      <c r="D800"/>
      <c r="E800"/>
      <c r="F800"/>
      <c r="H800"/>
      <c r="I800"/>
      <c r="J800"/>
      <c r="K800"/>
      <c r="L800"/>
    </row>
    <row r="801" spans="2:12" ht="14.4" x14ac:dyDescent="0.3">
      <c r="B801"/>
      <c r="C801"/>
      <c r="D801"/>
      <c r="E801"/>
      <c r="F801"/>
      <c r="H801"/>
      <c r="I801"/>
      <c r="J801"/>
      <c r="K801"/>
      <c r="L801"/>
    </row>
    <row r="802" spans="2:12" ht="14.4" x14ac:dyDescent="0.3">
      <c r="B802"/>
      <c r="C802"/>
      <c r="D802"/>
      <c r="E802"/>
      <c r="F802"/>
      <c r="H802"/>
      <c r="I802"/>
      <c r="J802"/>
      <c r="K802"/>
      <c r="L802"/>
    </row>
    <row r="803" spans="2:12" ht="14.4" x14ac:dyDescent="0.3">
      <c r="B803"/>
      <c r="C803"/>
      <c r="D803"/>
      <c r="E803"/>
      <c r="F803"/>
      <c r="H803"/>
      <c r="I803"/>
      <c r="J803"/>
      <c r="K803"/>
      <c r="L803"/>
    </row>
    <row r="804" spans="2:12" ht="14.4" x14ac:dyDescent="0.3">
      <c r="B804"/>
      <c r="C804"/>
      <c r="D804"/>
      <c r="E804"/>
      <c r="F804"/>
      <c r="H804"/>
      <c r="I804"/>
      <c r="J804"/>
      <c r="K804"/>
      <c r="L804"/>
    </row>
    <row r="805" spans="2:12" ht="14.4" x14ac:dyDescent="0.3">
      <c r="B805"/>
      <c r="C805"/>
      <c r="D805"/>
      <c r="E805"/>
      <c r="F805"/>
      <c r="H805"/>
      <c r="I805"/>
      <c r="J805"/>
      <c r="K805"/>
      <c r="L805"/>
    </row>
    <row r="806" spans="2:12" ht="14.4" x14ac:dyDescent="0.3">
      <c r="B806"/>
      <c r="C806"/>
      <c r="D806"/>
      <c r="E806"/>
      <c r="F806"/>
      <c r="H806"/>
      <c r="I806"/>
      <c r="J806"/>
      <c r="K806"/>
      <c r="L806"/>
    </row>
    <row r="807" spans="2:12" ht="14.4" x14ac:dyDescent="0.3">
      <c r="B807"/>
      <c r="C807"/>
      <c r="D807"/>
      <c r="E807"/>
      <c r="F807"/>
      <c r="H807"/>
      <c r="I807"/>
      <c r="J807"/>
      <c r="K807"/>
      <c r="L807"/>
    </row>
    <row r="808" spans="2:12" ht="14.4" x14ac:dyDescent="0.3">
      <c r="B808"/>
      <c r="C808"/>
      <c r="D808"/>
      <c r="E808"/>
      <c r="F808"/>
      <c r="H808"/>
      <c r="I808"/>
      <c r="J808"/>
      <c r="K808"/>
      <c r="L808"/>
    </row>
    <row r="809" spans="2:12" ht="14.4" x14ac:dyDescent="0.3">
      <c r="B809"/>
      <c r="C809"/>
      <c r="D809"/>
      <c r="E809"/>
      <c r="F809"/>
      <c r="H809"/>
      <c r="I809"/>
      <c r="J809"/>
      <c r="K809"/>
      <c r="L809"/>
    </row>
    <row r="810" spans="2:12" ht="14.4" x14ac:dyDescent="0.3">
      <c r="B810"/>
      <c r="C810"/>
      <c r="D810"/>
      <c r="E810"/>
      <c r="F810"/>
      <c r="H810"/>
      <c r="I810"/>
      <c r="J810"/>
      <c r="K810"/>
      <c r="L810"/>
    </row>
    <row r="811" spans="2:12" ht="14.4" x14ac:dyDescent="0.3">
      <c r="B811"/>
      <c r="C811"/>
      <c r="D811"/>
      <c r="E811"/>
      <c r="F811"/>
      <c r="H811"/>
      <c r="I811"/>
      <c r="J811"/>
      <c r="K811"/>
      <c r="L811"/>
    </row>
    <row r="812" spans="2:12" ht="14.4" x14ac:dyDescent="0.3">
      <c r="B812"/>
      <c r="C812"/>
      <c r="D812"/>
      <c r="E812"/>
      <c r="F812"/>
      <c r="H812"/>
      <c r="I812"/>
      <c r="J812"/>
      <c r="K812"/>
      <c r="L812"/>
    </row>
    <row r="813" spans="2:12" ht="14.4" x14ac:dyDescent="0.3">
      <c r="B813"/>
      <c r="C813"/>
      <c r="D813"/>
      <c r="E813"/>
      <c r="F813"/>
      <c r="H813"/>
      <c r="I813"/>
      <c r="J813"/>
      <c r="K813"/>
      <c r="L813"/>
    </row>
    <row r="814" spans="2:12" ht="14.4" x14ac:dyDescent="0.3">
      <c r="B814"/>
      <c r="C814"/>
      <c r="D814"/>
      <c r="E814"/>
      <c r="F814"/>
      <c r="H814"/>
      <c r="I814"/>
      <c r="J814"/>
      <c r="K814"/>
      <c r="L814"/>
    </row>
    <row r="815" spans="2:12" ht="14.4" x14ac:dyDescent="0.3">
      <c r="B815"/>
      <c r="C815"/>
      <c r="D815"/>
      <c r="E815"/>
      <c r="F815"/>
      <c r="H815"/>
      <c r="I815"/>
      <c r="J815"/>
      <c r="K815"/>
      <c r="L815"/>
    </row>
    <row r="816" spans="2:12" ht="14.4" x14ac:dyDescent="0.3">
      <c r="B816"/>
      <c r="C816"/>
      <c r="D816"/>
      <c r="E816"/>
      <c r="F816"/>
      <c r="H816"/>
      <c r="I816"/>
      <c r="J816"/>
      <c r="K816"/>
      <c r="L816"/>
    </row>
    <row r="817" spans="2:12" ht="14.4" x14ac:dyDescent="0.3">
      <c r="B817"/>
      <c r="C817"/>
      <c r="D817"/>
      <c r="E817"/>
      <c r="F817"/>
      <c r="H817"/>
      <c r="I817"/>
      <c r="J817"/>
      <c r="K817"/>
      <c r="L817"/>
    </row>
    <row r="818" spans="2:12" ht="14.4" x14ac:dyDescent="0.3">
      <c r="B818"/>
      <c r="C818"/>
      <c r="D818"/>
      <c r="E818"/>
      <c r="F818"/>
      <c r="H818"/>
      <c r="I818"/>
      <c r="J818"/>
      <c r="K818"/>
      <c r="L818"/>
    </row>
    <row r="819" spans="2:12" ht="14.4" x14ac:dyDescent="0.3">
      <c r="B819"/>
      <c r="C819"/>
      <c r="D819"/>
      <c r="E819"/>
      <c r="F819"/>
      <c r="H819"/>
      <c r="I819"/>
      <c r="J819"/>
      <c r="K819"/>
      <c r="L819"/>
    </row>
    <row r="820" spans="2:12" ht="14.4" x14ac:dyDescent="0.3">
      <c r="B820"/>
      <c r="C820"/>
      <c r="D820"/>
      <c r="E820"/>
      <c r="F820"/>
      <c r="H820"/>
      <c r="I820"/>
      <c r="J820"/>
      <c r="K820"/>
      <c r="L820"/>
    </row>
    <row r="821" spans="2:12" ht="14.4" x14ac:dyDescent="0.3">
      <c r="B821"/>
      <c r="C821"/>
      <c r="D821"/>
      <c r="E821"/>
      <c r="F821"/>
      <c r="H821"/>
      <c r="I821"/>
      <c r="J821"/>
      <c r="K821"/>
      <c r="L821"/>
    </row>
    <row r="822" spans="2:12" ht="14.4" x14ac:dyDescent="0.3">
      <c r="B822"/>
      <c r="C822"/>
      <c r="D822"/>
      <c r="E822"/>
      <c r="F822"/>
      <c r="H822"/>
      <c r="I822"/>
      <c r="J822"/>
      <c r="K822"/>
      <c r="L822"/>
    </row>
    <row r="823" spans="2:12" ht="14.4" x14ac:dyDescent="0.3">
      <c r="B823"/>
      <c r="C823"/>
      <c r="D823"/>
      <c r="E823"/>
      <c r="F823"/>
      <c r="H823"/>
      <c r="I823"/>
      <c r="J823"/>
      <c r="K823"/>
      <c r="L823"/>
    </row>
    <row r="824" spans="2:12" ht="14.4" x14ac:dyDescent="0.3">
      <c r="B824"/>
      <c r="C824"/>
      <c r="D824"/>
      <c r="E824"/>
      <c r="F824"/>
      <c r="H824"/>
      <c r="I824"/>
      <c r="J824"/>
      <c r="K824"/>
      <c r="L824"/>
    </row>
    <row r="825" spans="2:12" ht="14.4" x14ac:dyDescent="0.3">
      <c r="B825"/>
      <c r="C825"/>
      <c r="D825"/>
      <c r="E825"/>
      <c r="F825"/>
      <c r="H825"/>
      <c r="I825"/>
      <c r="J825"/>
      <c r="K825"/>
      <c r="L825"/>
    </row>
    <row r="826" spans="2:12" ht="14.4" x14ac:dyDescent="0.3">
      <c r="B826"/>
      <c r="C826"/>
      <c r="D826"/>
      <c r="E826"/>
      <c r="F826"/>
      <c r="H826"/>
      <c r="I826"/>
      <c r="J826"/>
      <c r="K826"/>
      <c r="L826"/>
    </row>
    <row r="827" spans="2:12" ht="14.4" x14ac:dyDescent="0.3">
      <c r="B827"/>
      <c r="C827"/>
      <c r="D827"/>
      <c r="E827"/>
      <c r="F827"/>
      <c r="H827"/>
      <c r="I827"/>
      <c r="J827"/>
      <c r="K827"/>
      <c r="L827"/>
    </row>
    <row r="828" spans="2:12" ht="14.4" x14ac:dyDescent="0.3">
      <c r="B828"/>
      <c r="C828"/>
      <c r="D828"/>
      <c r="E828"/>
      <c r="F828"/>
      <c r="H828"/>
      <c r="I828"/>
      <c r="J828"/>
      <c r="K828"/>
      <c r="L828"/>
    </row>
    <row r="829" spans="2:12" ht="14.4" x14ac:dyDescent="0.3">
      <c r="B829"/>
      <c r="C829"/>
      <c r="D829"/>
      <c r="E829"/>
      <c r="F829"/>
      <c r="H829"/>
      <c r="I829"/>
      <c r="J829"/>
      <c r="K829"/>
      <c r="L829"/>
    </row>
    <row r="830" spans="2:12" ht="14.4" x14ac:dyDescent="0.3">
      <c r="B830"/>
      <c r="C830"/>
      <c r="D830"/>
      <c r="E830"/>
      <c r="F830"/>
      <c r="H830"/>
      <c r="I830"/>
      <c r="J830"/>
      <c r="K830"/>
      <c r="L830"/>
    </row>
    <row r="831" spans="2:12" ht="14.4" x14ac:dyDescent="0.3">
      <c r="B831"/>
      <c r="C831"/>
      <c r="D831"/>
      <c r="E831"/>
      <c r="F831"/>
      <c r="H831"/>
      <c r="I831"/>
      <c r="J831"/>
      <c r="K831"/>
      <c r="L831"/>
    </row>
    <row r="832" spans="2:12" ht="14.4" x14ac:dyDescent="0.3">
      <c r="B832"/>
      <c r="C832"/>
      <c r="D832"/>
      <c r="E832"/>
      <c r="F832"/>
      <c r="H832"/>
      <c r="I832"/>
      <c r="J832"/>
      <c r="K832"/>
      <c r="L832"/>
    </row>
    <row r="833" spans="2:12" ht="14.4" x14ac:dyDescent="0.3">
      <c r="B833"/>
      <c r="C833"/>
      <c r="D833"/>
      <c r="E833"/>
      <c r="F833"/>
      <c r="H833"/>
      <c r="I833"/>
      <c r="J833"/>
      <c r="K833"/>
      <c r="L833"/>
    </row>
    <row r="834" spans="2:12" ht="14.4" x14ac:dyDescent="0.3">
      <c r="B834"/>
      <c r="C834"/>
      <c r="D834"/>
      <c r="E834"/>
      <c r="F834"/>
      <c r="H834"/>
      <c r="I834"/>
      <c r="J834"/>
      <c r="K834"/>
      <c r="L834"/>
    </row>
    <row r="835" spans="2:12" ht="14.4" x14ac:dyDescent="0.3">
      <c r="B835"/>
      <c r="C835"/>
      <c r="D835"/>
      <c r="E835"/>
      <c r="F835"/>
      <c r="H835"/>
      <c r="I835"/>
      <c r="J835"/>
      <c r="K835"/>
      <c r="L835"/>
    </row>
    <row r="836" spans="2:12" ht="14.4" x14ac:dyDescent="0.3">
      <c r="B836"/>
      <c r="C836"/>
      <c r="D836"/>
      <c r="E836"/>
      <c r="F836"/>
      <c r="H836"/>
      <c r="I836"/>
      <c r="J836"/>
      <c r="K836"/>
      <c r="L836"/>
    </row>
    <row r="837" spans="2:12" ht="14.4" x14ac:dyDescent="0.3">
      <c r="B837"/>
      <c r="C837"/>
      <c r="D837"/>
      <c r="E837"/>
      <c r="F837"/>
      <c r="H837"/>
      <c r="I837"/>
      <c r="J837"/>
      <c r="K837"/>
      <c r="L837"/>
    </row>
    <row r="838" spans="2:12" ht="14.4" x14ac:dyDescent="0.3">
      <c r="B838"/>
      <c r="C838"/>
      <c r="D838"/>
      <c r="E838"/>
      <c r="F838"/>
      <c r="H838"/>
      <c r="I838"/>
      <c r="J838"/>
      <c r="K838"/>
      <c r="L838"/>
    </row>
    <row r="839" spans="2:12" ht="14.4" x14ac:dyDescent="0.3">
      <c r="B839"/>
      <c r="C839"/>
      <c r="D839"/>
      <c r="E839"/>
      <c r="F839"/>
      <c r="H839"/>
      <c r="I839"/>
      <c r="J839"/>
      <c r="K839"/>
      <c r="L839"/>
    </row>
    <row r="840" spans="2:12" ht="14.4" x14ac:dyDescent="0.3">
      <c r="B840"/>
      <c r="C840"/>
      <c r="D840"/>
      <c r="E840"/>
      <c r="F840"/>
      <c r="H840"/>
      <c r="I840"/>
      <c r="J840"/>
      <c r="K840"/>
      <c r="L840"/>
    </row>
    <row r="841" spans="2:12" ht="14.4" x14ac:dyDescent="0.3">
      <c r="B841"/>
      <c r="C841"/>
      <c r="D841"/>
      <c r="E841"/>
      <c r="F841"/>
      <c r="H841"/>
      <c r="I841"/>
      <c r="J841"/>
      <c r="K841"/>
      <c r="L841"/>
    </row>
    <row r="842" spans="2:12" ht="14.4" x14ac:dyDescent="0.3">
      <c r="B842"/>
      <c r="C842"/>
      <c r="D842"/>
      <c r="E842"/>
      <c r="F842"/>
      <c r="H842"/>
      <c r="I842"/>
      <c r="J842"/>
      <c r="K842"/>
      <c r="L842"/>
    </row>
    <row r="843" spans="2:12" ht="14.4" x14ac:dyDescent="0.3">
      <c r="B843"/>
      <c r="C843"/>
      <c r="D843"/>
      <c r="E843"/>
      <c r="F843"/>
      <c r="H843"/>
      <c r="I843"/>
      <c r="J843"/>
      <c r="K843"/>
      <c r="L843"/>
    </row>
    <row r="844" spans="2:12" ht="14.4" x14ac:dyDescent="0.3">
      <c r="B844"/>
      <c r="C844"/>
      <c r="D844"/>
      <c r="E844"/>
      <c r="F844"/>
      <c r="H844"/>
      <c r="I844"/>
      <c r="J844"/>
      <c r="K844"/>
      <c r="L844"/>
    </row>
    <row r="845" spans="2:12" ht="14.4" x14ac:dyDescent="0.3">
      <c r="B845"/>
      <c r="C845"/>
      <c r="D845"/>
      <c r="E845"/>
      <c r="F845"/>
      <c r="H845"/>
      <c r="I845"/>
      <c r="J845"/>
      <c r="K845"/>
      <c r="L845"/>
    </row>
    <row r="846" spans="2:12" ht="14.4" x14ac:dyDescent="0.3">
      <c r="B846"/>
      <c r="C846"/>
      <c r="D846"/>
      <c r="E846"/>
      <c r="F846"/>
      <c r="H846"/>
      <c r="I846"/>
      <c r="J846"/>
      <c r="K846"/>
      <c r="L846"/>
    </row>
    <row r="847" spans="2:12" ht="14.4" x14ac:dyDescent="0.3">
      <c r="B847"/>
      <c r="C847"/>
      <c r="D847"/>
      <c r="E847"/>
      <c r="F847"/>
      <c r="H847"/>
      <c r="I847"/>
      <c r="J847"/>
      <c r="K847"/>
      <c r="L847"/>
    </row>
    <row r="848" spans="2:12" ht="14.4" x14ac:dyDescent="0.3">
      <c r="B848"/>
      <c r="C848"/>
      <c r="D848"/>
      <c r="E848"/>
      <c r="F848"/>
      <c r="H848"/>
      <c r="I848"/>
      <c r="J848"/>
      <c r="K848"/>
      <c r="L848"/>
    </row>
    <row r="849" spans="2:12" ht="14.4" x14ac:dyDescent="0.3">
      <c r="B849"/>
      <c r="C849"/>
      <c r="D849"/>
      <c r="E849"/>
      <c r="F849"/>
      <c r="H849"/>
      <c r="I849"/>
      <c r="J849"/>
      <c r="K849"/>
      <c r="L849"/>
    </row>
    <row r="850" spans="2:12" ht="14.4" x14ac:dyDescent="0.3">
      <c r="B850"/>
      <c r="C850"/>
      <c r="D850"/>
      <c r="E850"/>
      <c r="F850"/>
      <c r="H850"/>
      <c r="I850"/>
      <c r="J850"/>
      <c r="K850"/>
      <c r="L850"/>
    </row>
    <row r="851" spans="2:12" ht="14.4" x14ac:dyDescent="0.3">
      <c r="B851"/>
      <c r="C851"/>
      <c r="D851"/>
      <c r="E851"/>
      <c r="F851"/>
      <c r="H851"/>
      <c r="I851"/>
      <c r="J851"/>
      <c r="K851"/>
      <c r="L851"/>
    </row>
    <row r="852" spans="2:12" ht="14.4" x14ac:dyDescent="0.3">
      <c r="B852"/>
      <c r="C852"/>
      <c r="D852"/>
      <c r="E852"/>
      <c r="F852"/>
      <c r="H852"/>
      <c r="I852"/>
      <c r="J852"/>
      <c r="K852"/>
      <c r="L852"/>
    </row>
    <row r="853" spans="2:12" ht="14.4" x14ac:dyDescent="0.3">
      <c r="B853"/>
      <c r="C853"/>
      <c r="D853"/>
      <c r="E853"/>
      <c r="F853"/>
      <c r="H853"/>
      <c r="I853"/>
      <c r="J853"/>
      <c r="K853"/>
      <c r="L853"/>
    </row>
    <row r="854" spans="2:12" ht="14.4" x14ac:dyDescent="0.3">
      <c r="B854"/>
      <c r="C854"/>
      <c r="D854"/>
      <c r="E854"/>
      <c r="F854"/>
      <c r="H854"/>
      <c r="I854"/>
      <c r="J854"/>
      <c r="K854"/>
      <c r="L854"/>
    </row>
    <row r="855" spans="2:12" ht="14.4" x14ac:dyDescent="0.3">
      <c r="B855"/>
      <c r="C855"/>
      <c r="D855"/>
      <c r="E855"/>
      <c r="F855"/>
      <c r="H855"/>
      <c r="I855"/>
      <c r="J855"/>
      <c r="K855"/>
      <c r="L855"/>
    </row>
    <row r="856" spans="2:12" ht="14.4" x14ac:dyDescent="0.3">
      <c r="B856"/>
      <c r="C856"/>
      <c r="D856"/>
      <c r="E856"/>
      <c r="F856"/>
      <c r="H856"/>
      <c r="I856"/>
      <c r="J856"/>
      <c r="K856"/>
      <c r="L856"/>
    </row>
    <row r="857" spans="2:12" ht="14.4" x14ac:dyDescent="0.3">
      <c r="B857"/>
      <c r="C857"/>
      <c r="D857"/>
      <c r="E857"/>
      <c r="F857"/>
      <c r="H857"/>
      <c r="I857"/>
      <c r="J857"/>
      <c r="K857"/>
      <c r="L857"/>
    </row>
    <row r="858" spans="2:12" ht="14.4" x14ac:dyDescent="0.3">
      <c r="B858"/>
      <c r="C858"/>
      <c r="D858"/>
      <c r="E858"/>
      <c r="F858"/>
      <c r="H858"/>
      <c r="I858"/>
      <c r="J858"/>
      <c r="K858"/>
      <c r="L858"/>
    </row>
    <row r="859" spans="2:12" ht="14.4" x14ac:dyDescent="0.3">
      <c r="B859"/>
      <c r="C859"/>
      <c r="D859"/>
      <c r="E859"/>
      <c r="F859"/>
      <c r="H859"/>
      <c r="I859"/>
      <c r="J859"/>
      <c r="K859"/>
      <c r="L859"/>
    </row>
    <row r="860" spans="2:12" ht="14.4" x14ac:dyDescent="0.3">
      <c r="B860"/>
      <c r="C860"/>
      <c r="D860"/>
      <c r="E860"/>
      <c r="F860"/>
      <c r="H860"/>
      <c r="I860"/>
      <c r="J860"/>
      <c r="K860"/>
      <c r="L860"/>
    </row>
    <row r="861" spans="2:12" ht="14.4" x14ac:dyDescent="0.3">
      <c r="B861"/>
      <c r="C861"/>
      <c r="D861"/>
      <c r="E861"/>
      <c r="F861"/>
      <c r="H861"/>
      <c r="I861"/>
      <c r="J861"/>
      <c r="K861"/>
      <c r="L861"/>
    </row>
    <row r="862" spans="2:12" ht="14.4" x14ac:dyDescent="0.3">
      <c r="B862"/>
      <c r="C862"/>
      <c r="D862"/>
      <c r="E862"/>
      <c r="F862"/>
      <c r="H862"/>
      <c r="I862"/>
      <c r="J862"/>
      <c r="K862"/>
      <c r="L862"/>
    </row>
    <row r="863" spans="2:12" ht="14.4" x14ac:dyDescent="0.3">
      <c r="B863"/>
      <c r="C863"/>
      <c r="D863"/>
      <c r="E863"/>
      <c r="F863"/>
      <c r="H863"/>
      <c r="I863"/>
      <c r="J863"/>
      <c r="K863"/>
      <c r="L863"/>
    </row>
    <row r="864" spans="2:12" ht="14.4" x14ac:dyDescent="0.3">
      <c r="B864"/>
      <c r="C864"/>
      <c r="D864"/>
      <c r="E864"/>
      <c r="F864"/>
      <c r="H864"/>
      <c r="I864"/>
      <c r="J864"/>
      <c r="K864"/>
      <c r="L864"/>
    </row>
    <row r="865" spans="2:12" ht="14.4" x14ac:dyDescent="0.3">
      <c r="B865"/>
      <c r="C865"/>
      <c r="D865"/>
      <c r="E865"/>
      <c r="F865"/>
      <c r="H865"/>
      <c r="I865"/>
      <c r="J865"/>
      <c r="K865"/>
      <c r="L865"/>
    </row>
    <row r="866" spans="2:12" ht="14.4" x14ac:dyDescent="0.3">
      <c r="B866"/>
      <c r="C866"/>
      <c r="D866"/>
      <c r="E866"/>
      <c r="F866"/>
      <c r="H866"/>
      <c r="I866"/>
      <c r="J866"/>
      <c r="K866"/>
      <c r="L866"/>
    </row>
    <row r="867" spans="2:12" ht="14.4" x14ac:dyDescent="0.3">
      <c r="B867"/>
      <c r="C867"/>
      <c r="D867"/>
      <c r="E867"/>
      <c r="F867"/>
      <c r="H867"/>
      <c r="I867"/>
      <c r="J867"/>
      <c r="K867"/>
      <c r="L867"/>
    </row>
    <row r="868" spans="2:12" ht="14.4" x14ac:dyDescent="0.3">
      <c r="B868"/>
      <c r="C868"/>
      <c r="D868"/>
      <c r="E868"/>
      <c r="F868"/>
      <c r="H868"/>
      <c r="I868"/>
      <c r="J868"/>
      <c r="K868"/>
      <c r="L868"/>
    </row>
    <row r="869" spans="2:12" ht="14.4" x14ac:dyDescent="0.3">
      <c r="B869"/>
      <c r="C869"/>
      <c r="D869"/>
      <c r="E869"/>
      <c r="F869"/>
      <c r="H869"/>
      <c r="I869"/>
      <c r="J869"/>
      <c r="K869"/>
      <c r="L869"/>
    </row>
    <row r="870" spans="2:12" ht="14.4" x14ac:dyDescent="0.3">
      <c r="B870"/>
      <c r="C870"/>
      <c r="D870"/>
      <c r="E870"/>
      <c r="F870"/>
      <c r="H870"/>
      <c r="I870"/>
      <c r="J870"/>
      <c r="K870"/>
      <c r="L870"/>
    </row>
    <row r="871" spans="2:12" ht="14.4" x14ac:dyDescent="0.3">
      <c r="B871"/>
      <c r="C871"/>
      <c r="D871"/>
      <c r="E871"/>
      <c r="F871"/>
      <c r="H871"/>
      <c r="I871"/>
      <c r="J871"/>
      <c r="K871"/>
      <c r="L871"/>
    </row>
    <row r="872" spans="2:12" ht="14.4" x14ac:dyDescent="0.3">
      <c r="B872"/>
      <c r="C872"/>
      <c r="D872"/>
      <c r="E872"/>
      <c r="F872"/>
      <c r="H872"/>
      <c r="I872"/>
      <c r="J872"/>
      <c r="K872"/>
      <c r="L872"/>
    </row>
    <row r="873" spans="2:12" ht="14.4" x14ac:dyDescent="0.3">
      <c r="B873"/>
      <c r="C873"/>
      <c r="D873"/>
      <c r="E873"/>
      <c r="F873"/>
      <c r="H873"/>
      <c r="I873"/>
      <c r="J873"/>
      <c r="K873"/>
      <c r="L873"/>
    </row>
    <row r="874" spans="2:12" ht="14.4" x14ac:dyDescent="0.3">
      <c r="B874"/>
      <c r="C874"/>
      <c r="D874"/>
      <c r="E874"/>
      <c r="F874"/>
      <c r="H874"/>
      <c r="I874"/>
      <c r="J874"/>
      <c r="K874"/>
      <c r="L874"/>
    </row>
    <row r="875" spans="2:12" ht="14.4" x14ac:dyDescent="0.3">
      <c r="B875"/>
      <c r="C875"/>
      <c r="D875"/>
      <c r="E875"/>
      <c r="F875"/>
      <c r="H875"/>
      <c r="I875"/>
      <c r="J875"/>
      <c r="K875"/>
      <c r="L875"/>
    </row>
    <row r="876" spans="2:12" ht="14.4" x14ac:dyDescent="0.3">
      <c r="B876"/>
      <c r="C876"/>
      <c r="D876"/>
      <c r="E876"/>
      <c r="F876"/>
      <c r="H876"/>
      <c r="I876"/>
      <c r="J876"/>
      <c r="K876"/>
      <c r="L876"/>
    </row>
    <row r="877" spans="2:12" ht="14.4" x14ac:dyDescent="0.3">
      <c r="B877"/>
      <c r="C877"/>
      <c r="D877"/>
      <c r="E877"/>
      <c r="F877"/>
      <c r="H877"/>
      <c r="I877"/>
      <c r="J877"/>
      <c r="K877"/>
      <c r="L877"/>
    </row>
    <row r="878" spans="2:12" ht="14.4" x14ac:dyDescent="0.3">
      <c r="B878"/>
      <c r="C878"/>
      <c r="D878"/>
      <c r="E878"/>
      <c r="F878"/>
      <c r="H878"/>
      <c r="I878"/>
      <c r="J878"/>
      <c r="K878"/>
      <c r="L878"/>
    </row>
    <row r="879" spans="2:12" ht="14.4" x14ac:dyDescent="0.3">
      <c r="B879"/>
      <c r="C879"/>
      <c r="D879"/>
      <c r="E879"/>
      <c r="F879"/>
      <c r="H879"/>
      <c r="I879"/>
      <c r="J879"/>
      <c r="K879"/>
      <c r="L879"/>
    </row>
    <row r="880" spans="2:12" ht="14.4" x14ac:dyDescent="0.3">
      <c r="B880"/>
      <c r="C880"/>
      <c r="D880"/>
      <c r="E880"/>
      <c r="F880"/>
      <c r="H880"/>
      <c r="I880"/>
      <c r="J880"/>
      <c r="K880"/>
      <c r="L880"/>
    </row>
    <row r="881" spans="2:12" ht="14.4" x14ac:dyDescent="0.3">
      <c r="B881"/>
      <c r="C881"/>
      <c r="D881"/>
      <c r="E881"/>
      <c r="F881"/>
      <c r="H881"/>
      <c r="I881"/>
      <c r="J881"/>
      <c r="K881"/>
      <c r="L881"/>
    </row>
    <row r="882" spans="2:12" ht="14.4" x14ac:dyDescent="0.3">
      <c r="B882"/>
      <c r="C882"/>
      <c r="D882"/>
      <c r="E882"/>
      <c r="F882"/>
      <c r="H882"/>
      <c r="I882"/>
      <c r="J882"/>
      <c r="K882"/>
      <c r="L882"/>
    </row>
    <row r="883" spans="2:12" ht="14.4" x14ac:dyDescent="0.3">
      <c r="B883"/>
      <c r="C883"/>
      <c r="D883"/>
      <c r="E883"/>
      <c r="F883"/>
      <c r="H883"/>
      <c r="I883"/>
      <c r="J883"/>
      <c r="K883"/>
      <c r="L883"/>
    </row>
    <row r="884" spans="2:12" ht="14.4" x14ac:dyDescent="0.3">
      <c r="B884"/>
      <c r="C884"/>
      <c r="D884"/>
      <c r="E884"/>
      <c r="F884"/>
      <c r="H884"/>
      <c r="I884"/>
      <c r="J884"/>
      <c r="K884"/>
      <c r="L884"/>
    </row>
    <row r="885" spans="2:12" ht="14.4" x14ac:dyDescent="0.3">
      <c r="B885"/>
      <c r="C885"/>
      <c r="D885"/>
      <c r="E885"/>
      <c r="F885"/>
      <c r="H885"/>
      <c r="I885"/>
      <c r="J885"/>
      <c r="K885"/>
      <c r="L885"/>
    </row>
    <row r="886" spans="2:12" ht="14.4" x14ac:dyDescent="0.3">
      <c r="B886"/>
      <c r="C886"/>
      <c r="D886"/>
      <c r="E886"/>
      <c r="F886"/>
      <c r="H886"/>
      <c r="I886"/>
      <c r="J886"/>
      <c r="K886"/>
      <c r="L886"/>
    </row>
    <row r="887" spans="2:12" ht="14.4" x14ac:dyDescent="0.3">
      <c r="B887"/>
      <c r="C887"/>
      <c r="D887"/>
      <c r="E887"/>
      <c r="F887"/>
      <c r="H887"/>
      <c r="I887"/>
      <c r="J887"/>
      <c r="K887"/>
      <c r="L887"/>
    </row>
    <row r="888" spans="2:12" ht="14.4" x14ac:dyDescent="0.3">
      <c r="B888"/>
      <c r="C888"/>
      <c r="D888"/>
      <c r="E888"/>
      <c r="F888"/>
      <c r="H888"/>
      <c r="I888"/>
      <c r="J888"/>
      <c r="K888"/>
      <c r="L888"/>
    </row>
    <row r="889" spans="2:12" ht="14.4" x14ac:dyDescent="0.3">
      <c r="B889"/>
      <c r="C889"/>
      <c r="D889"/>
      <c r="E889"/>
      <c r="F889"/>
      <c r="H889"/>
      <c r="I889"/>
      <c r="J889"/>
      <c r="K889"/>
      <c r="L889"/>
    </row>
    <row r="890" spans="2:12" ht="14.4" x14ac:dyDescent="0.3">
      <c r="B890"/>
      <c r="C890"/>
      <c r="D890"/>
      <c r="E890"/>
      <c r="F890"/>
      <c r="H890"/>
      <c r="I890"/>
      <c r="J890"/>
      <c r="K890"/>
      <c r="L890"/>
    </row>
    <row r="891" spans="2:12" ht="14.4" x14ac:dyDescent="0.3">
      <c r="B891"/>
      <c r="C891"/>
      <c r="D891"/>
      <c r="E891"/>
      <c r="F891"/>
      <c r="H891"/>
      <c r="I891"/>
      <c r="J891"/>
      <c r="K891"/>
      <c r="L891"/>
    </row>
    <row r="892" spans="2:12" ht="14.4" x14ac:dyDescent="0.3">
      <c r="B892"/>
      <c r="C892"/>
      <c r="D892"/>
      <c r="E892"/>
      <c r="F892"/>
      <c r="H892"/>
      <c r="I892"/>
      <c r="J892"/>
      <c r="K892"/>
      <c r="L892"/>
    </row>
    <row r="893" spans="2:12" ht="14.4" x14ac:dyDescent="0.3">
      <c r="B893"/>
      <c r="C893"/>
      <c r="D893"/>
      <c r="E893"/>
      <c r="F893"/>
      <c r="H893"/>
      <c r="I893"/>
      <c r="J893"/>
      <c r="K893"/>
      <c r="L893"/>
    </row>
    <row r="894" spans="2:12" ht="14.4" x14ac:dyDescent="0.3">
      <c r="B894"/>
      <c r="C894"/>
      <c r="D894"/>
      <c r="E894"/>
      <c r="F894"/>
      <c r="H894"/>
      <c r="I894"/>
      <c r="J894"/>
      <c r="K894"/>
      <c r="L894"/>
    </row>
    <row r="895" spans="2:12" ht="14.4" x14ac:dyDescent="0.3">
      <c r="B895"/>
      <c r="C895"/>
      <c r="D895"/>
      <c r="E895"/>
      <c r="F895"/>
      <c r="H895"/>
      <c r="I895"/>
      <c r="J895"/>
      <c r="K895"/>
      <c r="L895"/>
    </row>
    <row r="896" spans="2:12" ht="14.4" x14ac:dyDescent="0.3">
      <c r="B896"/>
      <c r="C896"/>
      <c r="D896"/>
      <c r="E896"/>
      <c r="F896"/>
      <c r="H896"/>
      <c r="I896"/>
      <c r="J896"/>
      <c r="K896"/>
      <c r="L896"/>
    </row>
    <row r="897" spans="2:12" ht="14.4" x14ac:dyDescent="0.3">
      <c r="B897"/>
      <c r="C897"/>
      <c r="D897"/>
      <c r="E897"/>
      <c r="F897"/>
      <c r="H897"/>
      <c r="I897"/>
      <c r="J897"/>
      <c r="K897"/>
      <c r="L897"/>
    </row>
    <row r="898" spans="2:12" ht="14.4" x14ac:dyDescent="0.3">
      <c r="B898"/>
      <c r="C898"/>
      <c r="D898"/>
      <c r="E898"/>
      <c r="F898"/>
      <c r="H898"/>
      <c r="I898"/>
      <c r="J898"/>
      <c r="K898"/>
      <c r="L898"/>
    </row>
    <row r="899" spans="2:12" ht="14.4" x14ac:dyDescent="0.3">
      <c r="B899"/>
      <c r="C899"/>
      <c r="D899"/>
      <c r="E899"/>
      <c r="F899"/>
      <c r="H899"/>
      <c r="I899"/>
      <c r="J899"/>
      <c r="K899"/>
      <c r="L899"/>
    </row>
    <row r="900" spans="2:12" ht="14.4" x14ac:dyDescent="0.3">
      <c r="B900"/>
      <c r="C900"/>
      <c r="D900"/>
      <c r="E900"/>
      <c r="F900"/>
      <c r="H900"/>
      <c r="I900"/>
      <c r="J900"/>
      <c r="K900"/>
      <c r="L900"/>
    </row>
    <row r="901" spans="2:12" ht="14.4" x14ac:dyDescent="0.3">
      <c r="B901"/>
      <c r="C901"/>
      <c r="D901"/>
      <c r="E901"/>
      <c r="F901"/>
      <c r="H901"/>
      <c r="I901"/>
      <c r="J901"/>
      <c r="K901"/>
      <c r="L901"/>
    </row>
    <row r="902" spans="2:12" ht="14.4" x14ac:dyDescent="0.3">
      <c r="B902"/>
      <c r="C902"/>
      <c r="D902"/>
      <c r="E902"/>
      <c r="F902"/>
      <c r="H902"/>
      <c r="I902"/>
      <c r="J902"/>
      <c r="K902"/>
      <c r="L902"/>
    </row>
    <row r="903" spans="2:12" ht="14.4" x14ac:dyDescent="0.3">
      <c r="B903"/>
      <c r="C903"/>
      <c r="D903"/>
      <c r="E903"/>
      <c r="F903"/>
      <c r="H903"/>
      <c r="I903"/>
      <c r="J903"/>
      <c r="K903"/>
      <c r="L903"/>
    </row>
    <row r="904" spans="2:12" ht="14.4" x14ac:dyDescent="0.3">
      <c r="B904"/>
      <c r="C904"/>
      <c r="D904"/>
      <c r="E904"/>
      <c r="F904"/>
      <c r="H904"/>
      <c r="I904"/>
      <c r="J904"/>
      <c r="K904"/>
      <c r="L904"/>
    </row>
    <row r="905" spans="2:12" ht="14.4" x14ac:dyDescent="0.3">
      <c r="B905"/>
      <c r="C905"/>
      <c r="D905"/>
      <c r="E905"/>
      <c r="F905"/>
      <c r="H905"/>
      <c r="I905"/>
      <c r="J905"/>
      <c r="K905"/>
      <c r="L905"/>
    </row>
    <row r="906" spans="2:12" ht="14.4" x14ac:dyDescent="0.3">
      <c r="B906"/>
      <c r="C906"/>
      <c r="D906"/>
      <c r="E906"/>
      <c r="F906"/>
      <c r="H906"/>
      <c r="I906"/>
      <c r="J906"/>
      <c r="K906"/>
      <c r="L906"/>
    </row>
    <row r="907" spans="2:12" ht="14.4" x14ac:dyDescent="0.3">
      <c r="B907"/>
      <c r="C907"/>
      <c r="D907"/>
      <c r="E907"/>
      <c r="F907"/>
      <c r="H907"/>
      <c r="I907"/>
      <c r="J907"/>
      <c r="K907"/>
      <c r="L907"/>
    </row>
    <row r="908" spans="2:12" ht="14.4" x14ac:dyDescent="0.3">
      <c r="B908"/>
      <c r="C908"/>
      <c r="D908"/>
      <c r="E908"/>
      <c r="F908"/>
      <c r="H908"/>
      <c r="I908"/>
      <c r="J908"/>
      <c r="K908"/>
      <c r="L908"/>
    </row>
    <row r="909" spans="2:12" ht="14.4" x14ac:dyDescent="0.3">
      <c r="B909"/>
      <c r="C909"/>
      <c r="D909"/>
      <c r="E909"/>
      <c r="F909"/>
      <c r="H909"/>
      <c r="I909"/>
      <c r="J909"/>
      <c r="K909"/>
      <c r="L909"/>
    </row>
    <row r="910" spans="2:12" ht="14.4" x14ac:dyDescent="0.3">
      <c r="B910"/>
      <c r="C910"/>
      <c r="D910"/>
      <c r="E910"/>
      <c r="F910"/>
      <c r="H910"/>
      <c r="I910"/>
      <c r="J910"/>
      <c r="K910"/>
      <c r="L910"/>
    </row>
    <row r="911" spans="2:12" ht="14.4" x14ac:dyDescent="0.3">
      <c r="B911"/>
      <c r="C911"/>
      <c r="D911"/>
      <c r="E911"/>
      <c r="F911"/>
      <c r="H911"/>
      <c r="I911"/>
      <c r="J911"/>
      <c r="K911"/>
      <c r="L911"/>
    </row>
    <row r="912" spans="2:12" ht="14.4" x14ac:dyDescent="0.3">
      <c r="B912"/>
      <c r="C912"/>
      <c r="D912"/>
      <c r="E912"/>
      <c r="F912"/>
      <c r="H912"/>
      <c r="I912"/>
      <c r="J912"/>
      <c r="K912"/>
      <c r="L912"/>
    </row>
    <row r="913" spans="2:12" ht="14.4" x14ac:dyDescent="0.3">
      <c r="B913"/>
      <c r="C913"/>
      <c r="D913"/>
      <c r="E913"/>
      <c r="F913"/>
      <c r="H913"/>
      <c r="I913"/>
      <c r="J913"/>
      <c r="K913"/>
      <c r="L913"/>
    </row>
    <row r="914" spans="2:12" ht="14.4" x14ac:dyDescent="0.3">
      <c r="B914"/>
      <c r="C914"/>
      <c r="D914"/>
      <c r="E914"/>
      <c r="F914"/>
      <c r="H914"/>
      <c r="I914"/>
      <c r="J914"/>
      <c r="K914"/>
      <c r="L914"/>
    </row>
    <row r="915" spans="2:12" ht="14.4" x14ac:dyDescent="0.3">
      <c r="B915"/>
      <c r="C915"/>
      <c r="D915"/>
      <c r="E915"/>
      <c r="F915"/>
      <c r="H915"/>
      <c r="I915"/>
      <c r="J915"/>
      <c r="K915"/>
      <c r="L915"/>
    </row>
    <row r="916" spans="2:12" ht="14.4" x14ac:dyDescent="0.3">
      <c r="B916"/>
      <c r="C916"/>
      <c r="D916"/>
      <c r="E916"/>
      <c r="F916"/>
      <c r="H916"/>
      <c r="I916"/>
      <c r="J916"/>
      <c r="K916"/>
      <c r="L916"/>
    </row>
    <row r="917" spans="2:12" ht="14.4" x14ac:dyDescent="0.3">
      <c r="B917"/>
      <c r="C917"/>
      <c r="D917"/>
      <c r="E917"/>
      <c r="F917"/>
      <c r="H917"/>
      <c r="I917"/>
      <c r="J917"/>
      <c r="K917"/>
      <c r="L917"/>
    </row>
    <row r="918" spans="2:12" ht="14.4" x14ac:dyDescent="0.3">
      <c r="B918"/>
      <c r="C918"/>
      <c r="D918"/>
      <c r="E918"/>
      <c r="F918"/>
      <c r="H918"/>
      <c r="I918"/>
      <c r="J918"/>
      <c r="K918"/>
      <c r="L918"/>
    </row>
    <row r="919" spans="2:12" ht="14.4" x14ac:dyDescent="0.3">
      <c r="B919"/>
      <c r="C919"/>
      <c r="D919"/>
      <c r="E919"/>
      <c r="F919"/>
      <c r="H919"/>
      <c r="I919"/>
      <c r="J919"/>
      <c r="K919"/>
      <c r="L919"/>
    </row>
    <row r="920" spans="2:12" ht="14.4" x14ac:dyDescent="0.3">
      <c r="B920"/>
      <c r="C920"/>
      <c r="D920"/>
      <c r="E920"/>
      <c r="F920"/>
      <c r="H920"/>
      <c r="I920"/>
      <c r="J920"/>
      <c r="K920"/>
      <c r="L920"/>
    </row>
    <row r="921" spans="2:12" ht="14.4" x14ac:dyDescent="0.3">
      <c r="B921"/>
      <c r="C921"/>
      <c r="D921"/>
      <c r="E921"/>
      <c r="F921"/>
      <c r="H921"/>
      <c r="I921"/>
      <c r="J921"/>
      <c r="K921"/>
      <c r="L921"/>
    </row>
    <row r="922" spans="2:12" ht="14.4" x14ac:dyDescent="0.3">
      <c r="B922"/>
      <c r="C922"/>
      <c r="D922"/>
      <c r="E922"/>
      <c r="F922"/>
      <c r="H922"/>
      <c r="I922"/>
      <c r="J922"/>
      <c r="K922"/>
      <c r="L922"/>
    </row>
    <row r="923" spans="2:12" ht="14.4" x14ac:dyDescent="0.3">
      <c r="B923"/>
      <c r="C923"/>
      <c r="D923"/>
      <c r="E923"/>
      <c r="F923"/>
      <c r="H923"/>
      <c r="I923"/>
      <c r="J923"/>
      <c r="K923"/>
      <c r="L923"/>
    </row>
    <row r="924" spans="2:12" ht="14.4" x14ac:dyDescent="0.3">
      <c r="B924"/>
      <c r="C924"/>
      <c r="D924"/>
      <c r="E924"/>
      <c r="F924"/>
      <c r="H924"/>
      <c r="I924"/>
      <c r="J924"/>
      <c r="K924"/>
      <c r="L924"/>
    </row>
    <row r="925" spans="2:12" ht="14.4" x14ac:dyDescent="0.3">
      <c r="B925"/>
      <c r="C925"/>
      <c r="D925"/>
      <c r="E925"/>
      <c r="F925"/>
      <c r="H925"/>
      <c r="I925"/>
      <c r="J925"/>
      <c r="K925"/>
      <c r="L925"/>
    </row>
    <row r="926" spans="2:12" ht="14.4" x14ac:dyDescent="0.3">
      <c r="B926"/>
      <c r="C926"/>
      <c r="D926"/>
      <c r="E926"/>
      <c r="F926"/>
      <c r="H926"/>
      <c r="I926"/>
      <c r="J926"/>
      <c r="K926"/>
      <c r="L926"/>
    </row>
    <row r="927" spans="2:12" ht="14.4" x14ac:dyDescent="0.3">
      <c r="B927"/>
      <c r="C927"/>
      <c r="D927"/>
      <c r="E927"/>
      <c r="F927"/>
      <c r="H927"/>
      <c r="I927"/>
      <c r="J927"/>
      <c r="K927"/>
      <c r="L927"/>
    </row>
    <row r="928" spans="2:12" ht="14.4" x14ac:dyDescent="0.3">
      <c r="B928"/>
      <c r="C928"/>
      <c r="D928"/>
      <c r="E928"/>
      <c r="F928"/>
      <c r="H928"/>
      <c r="I928"/>
      <c r="J928"/>
      <c r="K928"/>
      <c r="L928"/>
    </row>
    <row r="929" spans="2:12" ht="14.4" x14ac:dyDescent="0.3">
      <c r="B929"/>
      <c r="C929"/>
      <c r="D929"/>
      <c r="E929"/>
      <c r="F929"/>
      <c r="H929"/>
      <c r="I929"/>
      <c r="J929"/>
      <c r="K929"/>
      <c r="L929"/>
    </row>
    <row r="930" spans="2:12" ht="14.4" x14ac:dyDescent="0.3">
      <c r="B930"/>
      <c r="C930"/>
      <c r="D930"/>
      <c r="E930"/>
      <c r="F930"/>
      <c r="H930"/>
      <c r="I930"/>
      <c r="J930"/>
      <c r="K930"/>
      <c r="L930"/>
    </row>
    <row r="931" spans="2:12" ht="14.4" x14ac:dyDescent="0.3">
      <c r="B931"/>
      <c r="C931"/>
      <c r="D931"/>
      <c r="E931"/>
      <c r="F931"/>
      <c r="H931"/>
      <c r="I931"/>
      <c r="J931"/>
      <c r="K931"/>
      <c r="L931"/>
    </row>
    <row r="932" spans="2:12" ht="14.4" x14ac:dyDescent="0.3">
      <c r="B932"/>
      <c r="C932"/>
      <c r="D932"/>
      <c r="E932"/>
      <c r="F932"/>
      <c r="H932"/>
      <c r="I932"/>
      <c r="J932"/>
      <c r="K932"/>
      <c r="L932"/>
    </row>
    <row r="933" spans="2:12" ht="14.4" x14ac:dyDescent="0.3">
      <c r="B933"/>
      <c r="C933"/>
      <c r="D933"/>
      <c r="E933"/>
      <c r="F933"/>
      <c r="H933"/>
      <c r="I933"/>
      <c r="J933"/>
      <c r="K933"/>
      <c r="L933"/>
    </row>
    <row r="934" spans="2:12" ht="14.4" x14ac:dyDescent="0.3">
      <c r="B934"/>
      <c r="C934"/>
      <c r="D934"/>
      <c r="E934"/>
      <c r="F934"/>
      <c r="H934"/>
      <c r="I934"/>
      <c r="J934"/>
      <c r="K934"/>
      <c r="L934"/>
    </row>
    <row r="935" spans="2:12" ht="14.4" x14ac:dyDescent="0.3">
      <c r="B935"/>
      <c r="C935"/>
      <c r="D935"/>
      <c r="E935"/>
      <c r="F935"/>
      <c r="H935"/>
      <c r="I935"/>
      <c r="J935"/>
      <c r="K935"/>
      <c r="L935"/>
    </row>
    <row r="936" spans="2:12" ht="14.4" x14ac:dyDescent="0.3">
      <c r="B936"/>
      <c r="C936"/>
      <c r="D936"/>
      <c r="E936"/>
      <c r="F936"/>
      <c r="H936"/>
      <c r="I936"/>
      <c r="J936"/>
      <c r="K936"/>
      <c r="L936"/>
    </row>
    <row r="937" spans="2:12" ht="14.4" x14ac:dyDescent="0.3">
      <c r="B937"/>
      <c r="C937"/>
      <c r="D937"/>
      <c r="E937"/>
      <c r="F937"/>
      <c r="H937"/>
      <c r="I937"/>
      <c r="J937"/>
      <c r="K937"/>
      <c r="L937"/>
    </row>
    <row r="938" spans="2:12" ht="14.4" x14ac:dyDescent="0.3">
      <c r="B938"/>
      <c r="C938"/>
      <c r="D938"/>
      <c r="E938"/>
      <c r="F938"/>
      <c r="H938"/>
      <c r="I938"/>
      <c r="J938"/>
      <c r="K938"/>
      <c r="L938"/>
    </row>
    <row r="939" spans="2:12" ht="14.4" x14ac:dyDescent="0.3">
      <c r="B939"/>
      <c r="C939"/>
      <c r="D939"/>
      <c r="E939"/>
      <c r="F939"/>
      <c r="H939"/>
      <c r="I939"/>
      <c r="J939"/>
      <c r="K939"/>
      <c r="L939"/>
    </row>
    <row r="940" spans="2:12" ht="14.4" x14ac:dyDescent="0.3">
      <c r="B940"/>
      <c r="C940"/>
      <c r="D940"/>
      <c r="E940"/>
      <c r="F940"/>
      <c r="H940"/>
      <c r="I940"/>
      <c r="J940"/>
      <c r="K940"/>
      <c r="L940"/>
    </row>
    <row r="941" spans="2:12" ht="14.4" x14ac:dyDescent="0.3">
      <c r="B941"/>
      <c r="C941"/>
      <c r="D941"/>
      <c r="E941"/>
      <c r="F941"/>
      <c r="H941"/>
      <c r="I941"/>
      <c r="J941"/>
      <c r="K941"/>
      <c r="L941"/>
    </row>
    <row r="942" spans="2:12" ht="14.4" x14ac:dyDescent="0.3">
      <c r="B942"/>
      <c r="C942"/>
      <c r="D942"/>
      <c r="E942"/>
      <c r="F942"/>
      <c r="H942"/>
      <c r="I942"/>
      <c r="J942"/>
      <c r="K942"/>
      <c r="L942"/>
    </row>
    <row r="943" spans="2:12" ht="14.4" x14ac:dyDescent="0.3">
      <c r="B943"/>
      <c r="C943"/>
      <c r="D943"/>
      <c r="E943"/>
      <c r="F943"/>
      <c r="H943"/>
      <c r="I943"/>
      <c r="J943"/>
      <c r="K943"/>
      <c r="L943"/>
    </row>
    <row r="944" spans="2:12" ht="14.4" x14ac:dyDescent="0.3">
      <c r="B944"/>
      <c r="C944"/>
      <c r="D944"/>
      <c r="E944"/>
      <c r="F944"/>
      <c r="H944"/>
      <c r="I944"/>
      <c r="J944"/>
      <c r="K944"/>
      <c r="L944"/>
    </row>
    <row r="945" spans="2:12" ht="14.4" x14ac:dyDescent="0.3">
      <c r="B945"/>
      <c r="C945"/>
      <c r="D945"/>
      <c r="E945"/>
      <c r="F945"/>
      <c r="H945"/>
      <c r="I945"/>
      <c r="J945"/>
      <c r="K945"/>
      <c r="L945"/>
    </row>
    <row r="946" spans="2:12" ht="14.4" x14ac:dyDescent="0.3">
      <c r="B946"/>
      <c r="C946"/>
      <c r="D946"/>
      <c r="E946"/>
      <c r="F946"/>
      <c r="H946"/>
      <c r="I946"/>
      <c r="J946"/>
      <c r="K946"/>
      <c r="L946"/>
    </row>
    <row r="947" spans="2:12" ht="14.4" x14ac:dyDescent="0.3">
      <c r="B947"/>
      <c r="C947"/>
      <c r="D947"/>
      <c r="E947"/>
      <c r="F947"/>
      <c r="H947"/>
      <c r="I947"/>
      <c r="J947"/>
      <c r="K947"/>
      <c r="L947"/>
    </row>
    <row r="948" spans="2:12" ht="14.4" x14ac:dyDescent="0.3">
      <c r="B948"/>
      <c r="C948"/>
      <c r="D948"/>
      <c r="E948"/>
      <c r="F948"/>
      <c r="H948"/>
      <c r="I948"/>
      <c r="J948"/>
      <c r="K948"/>
      <c r="L948"/>
    </row>
    <row r="949" spans="2:12" ht="14.4" x14ac:dyDescent="0.3">
      <c r="B949"/>
      <c r="C949"/>
      <c r="D949"/>
      <c r="E949"/>
      <c r="F949"/>
      <c r="H949"/>
      <c r="I949"/>
      <c r="J949"/>
      <c r="K949"/>
      <c r="L949"/>
    </row>
    <row r="950" spans="2:12" ht="14.4" x14ac:dyDescent="0.3">
      <c r="B950"/>
      <c r="C950"/>
      <c r="D950"/>
      <c r="E950"/>
      <c r="F950"/>
      <c r="H950"/>
      <c r="I950"/>
      <c r="J950"/>
      <c r="K950"/>
      <c r="L950"/>
    </row>
    <row r="951" spans="2:12" ht="14.4" x14ac:dyDescent="0.3">
      <c r="B951"/>
      <c r="C951"/>
      <c r="D951"/>
      <c r="E951"/>
      <c r="F951"/>
      <c r="H951"/>
      <c r="I951"/>
      <c r="J951"/>
      <c r="K951"/>
      <c r="L951"/>
    </row>
    <row r="952" spans="2:12" ht="14.4" x14ac:dyDescent="0.3">
      <c r="B952"/>
      <c r="C952"/>
      <c r="D952"/>
      <c r="E952"/>
      <c r="F952"/>
      <c r="H952"/>
      <c r="I952"/>
      <c r="J952"/>
      <c r="K952"/>
      <c r="L952"/>
    </row>
    <row r="953" spans="2:12" ht="14.4" x14ac:dyDescent="0.3">
      <c r="B953"/>
      <c r="C953"/>
      <c r="D953"/>
      <c r="E953"/>
      <c r="F953"/>
      <c r="H953"/>
      <c r="I953"/>
      <c r="J953"/>
      <c r="K953"/>
      <c r="L953"/>
    </row>
    <row r="954" spans="2:12" ht="14.4" x14ac:dyDescent="0.3">
      <c r="B954"/>
      <c r="C954"/>
      <c r="D954"/>
      <c r="E954"/>
      <c r="F954"/>
      <c r="H954"/>
      <c r="I954"/>
      <c r="J954"/>
      <c r="K954"/>
      <c r="L954"/>
    </row>
    <row r="955" spans="2:12" ht="14.4" x14ac:dyDescent="0.3">
      <c r="B955"/>
      <c r="C955"/>
      <c r="D955"/>
      <c r="E955"/>
      <c r="F955"/>
      <c r="H955"/>
      <c r="I955"/>
      <c r="J955"/>
      <c r="K955"/>
      <c r="L955"/>
    </row>
    <row r="956" spans="2:12" ht="14.4" x14ac:dyDescent="0.3">
      <c r="B956"/>
      <c r="C956"/>
      <c r="D956"/>
      <c r="E956"/>
      <c r="F956"/>
      <c r="H956"/>
      <c r="I956"/>
      <c r="J956"/>
      <c r="K956"/>
      <c r="L956"/>
    </row>
    <row r="957" spans="2:12" ht="14.4" x14ac:dyDescent="0.3">
      <c r="B957"/>
      <c r="C957"/>
      <c r="D957"/>
      <c r="E957"/>
      <c r="F957"/>
      <c r="H957"/>
      <c r="I957"/>
      <c r="J957"/>
      <c r="K957"/>
      <c r="L957"/>
    </row>
    <row r="958" spans="2:12" ht="14.4" x14ac:dyDescent="0.3">
      <c r="B958"/>
      <c r="C958"/>
      <c r="D958"/>
      <c r="E958"/>
      <c r="F958"/>
      <c r="H958"/>
      <c r="I958"/>
      <c r="J958"/>
      <c r="K958"/>
      <c r="L958"/>
    </row>
    <row r="959" spans="2:12" ht="14.4" x14ac:dyDescent="0.3">
      <c r="B959"/>
      <c r="C959"/>
      <c r="D959"/>
      <c r="E959"/>
      <c r="F959"/>
      <c r="H959"/>
      <c r="I959"/>
      <c r="J959"/>
      <c r="K959"/>
      <c r="L959"/>
    </row>
    <row r="960" spans="2:12" ht="14.4" x14ac:dyDescent="0.3">
      <c r="B960"/>
      <c r="C960"/>
      <c r="D960"/>
      <c r="E960"/>
      <c r="F960"/>
      <c r="H960"/>
      <c r="I960"/>
      <c r="J960"/>
      <c r="K960"/>
      <c r="L960"/>
    </row>
    <row r="961" spans="2:12" ht="14.4" x14ac:dyDescent="0.3">
      <c r="B961"/>
      <c r="C961"/>
      <c r="D961"/>
      <c r="E961"/>
      <c r="F961"/>
      <c r="H961"/>
      <c r="I961"/>
      <c r="J961"/>
      <c r="K961"/>
      <c r="L961"/>
    </row>
    <row r="962" spans="2:12" ht="14.4" x14ac:dyDescent="0.3">
      <c r="B962"/>
      <c r="C962"/>
      <c r="D962"/>
      <c r="E962"/>
      <c r="F962"/>
      <c r="H962"/>
      <c r="I962"/>
      <c r="J962"/>
      <c r="K962"/>
      <c r="L962"/>
    </row>
    <row r="963" spans="2:12" ht="14.4" x14ac:dyDescent="0.3">
      <c r="B963"/>
      <c r="C963"/>
      <c r="D963"/>
      <c r="E963"/>
      <c r="F963"/>
      <c r="H963"/>
      <c r="I963"/>
      <c r="J963"/>
      <c r="K963"/>
      <c r="L963"/>
    </row>
    <row r="964" spans="2:12" ht="14.4" x14ac:dyDescent="0.3">
      <c r="B964"/>
      <c r="C964"/>
      <c r="D964"/>
      <c r="E964"/>
      <c r="F964"/>
      <c r="H964"/>
      <c r="I964"/>
      <c r="J964"/>
      <c r="K964"/>
      <c r="L964"/>
    </row>
    <row r="965" spans="2:12" ht="14.4" x14ac:dyDescent="0.3">
      <c r="B965"/>
      <c r="C965"/>
      <c r="D965"/>
      <c r="E965"/>
      <c r="F965"/>
      <c r="H965"/>
      <c r="I965"/>
      <c r="J965"/>
      <c r="K965"/>
      <c r="L965"/>
    </row>
    <row r="966" spans="2:12" ht="14.4" x14ac:dyDescent="0.3">
      <c r="B966"/>
      <c r="C966"/>
      <c r="D966"/>
      <c r="E966"/>
      <c r="F966"/>
      <c r="H966"/>
      <c r="I966"/>
      <c r="J966"/>
      <c r="K966"/>
      <c r="L966"/>
    </row>
    <row r="967" spans="2:12" ht="14.4" x14ac:dyDescent="0.3">
      <c r="B967"/>
      <c r="C967"/>
      <c r="D967"/>
      <c r="E967"/>
      <c r="F967"/>
      <c r="H967"/>
      <c r="I967"/>
      <c r="J967"/>
      <c r="K967"/>
      <c r="L967"/>
    </row>
    <row r="968" spans="2:12" ht="14.4" x14ac:dyDescent="0.3">
      <c r="B968"/>
      <c r="C968"/>
      <c r="D968"/>
      <c r="E968"/>
      <c r="F968"/>
      <c r="H968"/>
      <c r="I968"/>
      <c r="J968"/>
      <c r="K968"/>
      <c r="L968"/>
    </row>
    <row r="969" spans="2:12" ht="14.4" x14ac:dyDescent="0.3">
      <c r="B969"/>
      <c r="C969"/>
      <c r="D969"/>
      <c r="E969"/>
      <c r="F969"/>
      <c r="H969"/>
      <c r="I969"/>
      <c r="J969"/>
      <c r="K969"/>
      <c r="L969"/>
    </row>
    <row r="970" spans="2:12" ht="14.4" x14ac:dyDescent="0.3">
      <c r="B970"/>
      <c r="C970"/>
      <c r="D970"/>
      <c r="E970"/>
      <c r="F970"/>
      <c r="H970"/>
      <c r="I970"/>
      <c r="J970"/>
      <c r="K970"/>
      <c r="L970"/>
    </row>
    <row r="971" spans="2:12" ht="14.4" x14ac:dyDescent="0.3">
      <c r="B971"/>
      <c r="C971"/>
      <c r="D971"/>
      <c r="E971"/>
      <c r="F971"/>
      <c r="H971"/>
      <c r="I971"/>
      <c r="J971"/>
      <c r="K971"/>
      <c r="L971"/>
    </row>
    <row r="972" spans="2:12" ht="14.4" x14ac:dyDescent="0.3">
      <c r="B972"/>
      <c r="C972"/>
      <c r="D972"/>
      <c r="E972"/>
      <c r="F972"/>
      <c r="H972"/>
      <c r="I972"/>
      <c r="J972"/>
      <c r="K972"/>
      <c r="L972"/>
    </row>
    <row r="973" spans="2:12" ht="14.4" x14ac:dyDescent="0.3">
      <c r="B973"/>
      <c r="C973"/>
      <c r="D973"/>
      <c r="E973"/>
      <c r="F973"/>
      <c r="H973"/>
      <c r="I973"/>
      <c r="J973"/>
      <c r="K973"/>
      <c r="L973"/>
    </row>
    <row r="974" spans="2:12" ht="14.4" x14ac:dyDescent="0.3">
      <c r="B974"/>
      <c r="C974"/>
      <c r="D974"/>
      <c r="E974"/>
      <c r="F974"/>
      <c r="H974"/>
      <c r="I974"/>
      <c r="J974"/>
      <c r="K974"/>
      <c r="L974"/>
    </row>
    <row r="975" spans="2:12" ht="14.4" x14ac:dyDescent="0.3">
      <c r="B975"/>
      <c r="C975"/>
      <c r="D975"/>
      <c r="E975"/>
      <c r="F975"/>
      <c r="H975"/>
      <c r="I975"/>
      <c r="J975"/>
      <c r="K975"/>
      <c r="L975"/>
    </row>
    <row r="976" spans="2:12" ht="14.4" x14ac:dyDescent="0.3">
      <c r="B976"/>
      <c r="C976"/>
      <c r="D976"/>
      <c r="E976"/>
      <c r="F976"/>
      <c r="H976"/>
      <c r="I976"/>
      <c r="J976"/>
      <c r="K976"/>
      <c r="L976"/>
    </row>
    <row r="977" spans="2:12" ht="14.4" x14ac:dyDescent="0.3">
      <c r="B977"/>
      <c r="C977"/>
      <c r="D977"/>
      <c r="E977"/>
      <c r="F977"/>
      <c r="H977"/>
      <c r="I977"/>
      <c r="J977"/>
      <c r="K977"/>
      <c r="L977"/>
    </row>
    <row r="978" spans="2:12" ht="14.4" x14ac:dyDescent="0.3">
      <c r="B978"/>
      <c r="C978"/>
      <c r="D978"/>
      <c r="E978"/>
      <c r="F978"/>
      <c r="H978"/>
      <c r="I978"/>
      <c r="J978"/>
      <c r="K978"/>
      <c r="L978"/>
    </row>
    <row r="979" spans="2:12" ht="14.4" x14ac:dyDescent="0.3">
      <c r="B979"/>
      <c r="C979"/>
      <c r="D979"/>
      <c r="E979"/>
      <c r="F979"/>
      <c r="H979"/>
      <c r="I979"/>
      <c r="J979"/>
      <c r="K979"/>
      <c r="L979"/>
    </row>
    <row r="980" spans="2:12" ht="14.4" x14ac:dyDescent="0.3">
      <c r="B980"/>
      <c r="C980"/>
      <c r="D980"/>
      <c r="E980"/>
      <c r="F980"/>
      <c r="H980"/>
      <c r="I980"/>
      <c r="J980"/>
      <c r="K980"/>
      <c r="L980"/>
    </row>
    <row r="981" spans="2:12" ht="14.4" x14ac:dyDescent="0.3">
      <c r="B981"/>
      <c r="C981"/>
      <c r="D981"/>
      <c r="E981"/>
      <c r="F981"/>
      <c r="H981"/>
      <c r="I981"/>
      <c r="J981"/>
      <c r="K981"/>
      <c r="L981"/>
    </row>
    <row r="982" spans="2:12" ht="14.4" x14ac:dyDescent="0.3">
      <c r="B982"/>
      <c r="C982"/>
      <c r="D982"/>
      <c r="E982"/>
      <c r="F982"/>
      <c r="H982"/>
      <c r="I982"/>
      <c r="J982"/>
      <c r="K982"/>
      <c r="L982"/>
    </row>
    <row r="983" spans="2:12" ht="14.4" x14ac:dyDescent="0.3">
      <c r="B983"/>
      <c r="C983"/>
      <c r="D983"/>
      <c r="E983"/>
      <c r="F983"/>
      <c r="H983"/>
      <c r="I983"/>
      <c r="J983"/>
      <c r="K983"/>
      <c r="L983"/>
    </row>
    <row r="984" spans="2:12" ht="14.4" x14ac:dyDescent="0.3">
      <c r="B984"/>
      <c r="C984"/>
      <c r="D984"/>
      <c r="E984"/>
      <c r="F984"/>
      <c r="H984"/>
      <c r="I984"/>
      <c r="J984"/>
      <c r="K984"/>
      <c r="L984"/>
    </row>
    <row r="985" spans="2:12" ht="14.4" x14ac:dyDescent="0.3">
      <c r="B985"/>
      <c r="C985"/>
      <c r="D985"/>
      <c r="E985"/>
      <c r="F985"/>
      <c r="H985"/>
      <c r="I985"/>
      <c r="J985"/>
      <c r="K985"/>
      <c r="L985"/>
    </row>
    <row r="986" spans="2:12" ht="14.4" x14ac:dyDescent="0.3">
      <c r="B986"/>
      <c r="C986"/>
      <c r="D986"/>
      <c r="E986"/>
      <c r="F986"/>
      <c r="H986"/>
      <c r="I986"/>
      <c r="J986"/>
      <c r="K986"/>
      <c r="L986"/>
    </row>
    <row r="987" spans="2:12" ht="14.4" x14ac:dyDescent="0.3">
      <c r="B987"/>
      <c r="C987"/>
      <c r="D987"/>
      <c r="E987"/>
      <c r="F987"/>
      <c r="H987"/>
      <c r="I987"/>
      <c r="J987"/>
      <c r="K987"/>
      <c r="L987"/>
    </row>
    <row r="988" spans="2:12" ht="14.4" x14ac:dyDescent="0.3">
      <c r="B988"/>
      <c r="C988"/>
      <c r="D988"/>
      <c r="E988"/>
      <c r="F988"/>
      <c r="H988"/>
      <c r="I988"/>
      <c r="J988"/>
      <c r="K988"/>
      <c r="L988"/>
    </row>
    <row r="989" spans="2:12" ht="14.4" x14ac:dyDescent="0.3">
      <c r="B989"/>
      <c r="C989"/>
      <c r="D989"/>
      <c r="E989"/>
      <c r="F989"/>
      <c r="H989"/>
      <c r="I989"/>
      <c r="J989"/>
      <c r="K989"/>
      <c r="L989"/>
    </row>
    <row r="990" spans="2:12" ht="14.4" x14ac:dyDescent="0.3">
      <c r="B990"/>
      <c r="C990"/>
      <c r="D990"/>
      <c r="E990"/>
      <c r="F990"/>
      <c r="H990"/>
      <c r="I990"/>
      <c r="J990"/>
      <c r="K990"/>
      <c r="L990"/>
    </row>
    <row r="991" spans="2:12" ht="14.4" x14ac:dyDescent="0.3">
      <c r="B991"/>
      <c r="C991"/>
      <c r="D991"/>
      <c r="E991"/>
      <c r="F991"/>
      <c r="H991"/>
      <c r="I991"/>
      <c r="J991"/>
      <c r="K991"/>
      <c r="L991"/>
    </row>
    <row r="992" spans="2:12" ht="14.4" x14ac:dyDescent="0.3">
      <c r="B992"/>
      <c r="C992"/>
      <c r="D992"/>
      <c r="E992"/>
      <c r="F992"/>
      <c r="H992"/>
      <c r="I992"/>
      <c r="J992"/>
      <c r="K992"/>
      <c r="L992"/>
    </row>
    <row r="993" spans="2:12" ht="14.4" x14ac:dyDescent="0.3">
      <c r="B993"/>
      <c r="C993"/>
      <c r="D993"/>
      <c r="E993"/>
      <c r="F993"/>
      <c r="H993"/>
      <c r="I993"/>
      <c r="J993"/>
      <c r="K993"/>
      <c r="L993"/>
    </row>
    <row r="994" spans="2:12" ht="14.4" x14ac:dyDescent="0.3">
      <c r="B994"/>
      <c r="C994"/>
      <c r="D994"/>
      <c r="E994"/>
      <c r="F994"/>
      <c r="H994"/>
      <c r="I994"/>
      <c r="J994"/>
      <c r="K994"/>
      <c r="L994"/>
    </row>
    <row r="995" spans="2:12" ht="14.4" x14ac:dyDescent="0.3">
      <c r="B995"/>
      <c r="C995"/>
      <c r="D995"/>
      <c r="E995"/>
      <c r="F995"/>
      <c r="H995"/>
      <c r="I995"/>
      <c r="J995"/>
      <c r="K995"/>
      <c r="L995"/>
    </row>
    <row r="996" spans="2:12" ht="14.4" x14ac:dyDescent="0.3">
      <c r="B996"/>
      <c r="C996"/>
      <c r="D996"/>
      <c r="E996"/>
      <c r="F996"/>
      <c r="H996"/>
      <c r="I996"/>
      <c r="J996"/>
      <c r="K996"/>
      <c r="L996"/>
    </row>
    <row r="997" spans="2:12" ht="14.4" x14ac:dyDescent="0.3">
      <c r="B997"/>
      <c r="C997"/>
      <c r="D997"/>
      <c r="E997"/>
      <c r="F997"/>
      <c r="H997"/>
      <c r="I997"/>
      <c r="J997"/>
      <c r="K997"/>
      <c r="L997"/>
    </row>
    <row r="998" spans="2:12" ht="14.4" x14ac:dyDescent="0.3">
      <c r="B998"/>
      <c r="C998"/>
      <c r="D998"/>
      <c r="E998"/>
      <c r="F998"/>
      <c r="H998"/>
      <c r="I998"/>
      <c r="J998"/>
      <c r="K998"/>
      <c r="L998"/>
    </row>
    <row r="999" spans="2:12" ht="14.4" x14ac:dyDescent="0.3">
      <c r="B999"/>
      <c r="C999"/>
      <c r="D999"/>
      <c r="E999"/>
      <c r="F999"/>
      <c r="H999"/>
      <c r="I999"/>
      <c r="J999"/>
      <c r="K999"/>
      <c r="L999"/>
    </row>
    <row r="1000" spans="2:12" ht="14.4" x14ac:dyDescent="0.3">
      <c r="B1000"/>
      <c r="C1000"/>
      <c r="D1000"/>
      <c r="E1000"/>
      <c r="F1000"/>
      <c r="H1000"/>
      <c r="I1000"/>
      <c r="J1000"/>
      <c r="K1000"/>
      <c r="L1000"/>
    </row>
    <row r="1001" spans="2:12" ht="14.4" x14ac:dyDescent="0.3">
      <c r="B1001"/>
      <c r="C1001"/>
      <c r="D1001"/>
      <c r="E1001"/>
      <c r="F1001"/>
      <c r="H1001"/>
      <c r="I1001"/>
      <c r="J1001"/>
      <c r="K1001"/>
      <c r="L1001"/>
    </row>
    <row r="1002" spans="2:12" ht="14.4" x14ac:dyDescent="0.3">
      <c r="B1002"/>
      <c r="C1002"/>
      <c r="D1002"/>
      <c r="E1002"/>
      <c r="F1002"/>
      <c r="H1002"/>
      <c r="I1002"/>
      <c r="J1002"/>
      <c r="K1002"/>
      <c r="L1002"/>
    </row>
    <row r="1003" spans="2:12" ht="14.4" x14ac:dyDescent="0.3">
      <c r="B1003"/>
      <c r="C1003"/>
      <c r="D1003"/>
      <c r="E1003"/>
      <c r="F1003"/>
      <c r="H1003"/>
      <c r="I1003"/>
      <c r="J1003"/>
      <c r="K1003"/>
      <c r="L1003"/>
    </row>
    <row r="1004" spans="2:12" ht="14.4" x14ac:dyDescent="0.3">
      <c r="B1004"/>
      <c r="C1004"/>
      <c r="D1004"/>
      <c r="E1004"/>
      <c r="F1004"/>
      <c r="H1004"/>
      <c r="I1004"/>
      <c r="J1004"/>
      <c r="K1004"/>
      <c r="L1004"/>
    </row>
    <row r="1005" spans="2:12" ht="14.4" x14ac:dyDescent="0.3">
      <c r="B1005"/>
      <c r="C1005"/>
      <c r="D1005"/>
      <c r="E1005"/>
      <c r="F1005"/>
      <c r="H1005"/>
      <c r="I1005"/>
      <c r="J1005"/>
      <c r="K1005"/>
      <c r="L1005"/>
    </row>
    <row r="1006" spans="2:12" ht="14.4" x14ac:dyDescent="0.3">
      <c r="B1006"/>
      <c r="C1006"/>
      <c r="D1006"/>
      <c r="E1006"/>
      <c r="F1006"/>
      <c r="H1006"/>
      <c r="I1006"/>
      <c r="J1006"/>
      <c r="K1006"/>
      <c r="L1006"/>
    </row>
    <row r="1007" spans="2:12" ht="14.4" x14ac:dyDescent="0.3">
      <c r="B1007"/>
      <c r="C1007"/>
      <c r="D1007"/>
      <c r="E1007"/>
      <c r="F1007"/>
      <c r="H1007"/>
      <c r="I1007"/>
      <c r="J1007"/>
      <c r="K1007"/>
      <c r="L1007"/>
    </row>
    <row r="1008" spans="2:12" ht="14.4" x14ac:dyDescent="0.3">
      <c r="B1008"/>
      <c r="C1008"/>
      <c r="D1008"/>
      <c r="E1008"/>
      <c r="F1008"/>
      <c r="H1008"/>
      <c r="I1008"/>
      <c r="J1008"/>
      <c r="K1008"/>
      <c r="L1008"/>
    </row>
    <row r="1009" spans="2:12" ht="14.4" x14ac:dyDescent="0.3">
      <c r="B1009"/>
      <c r="C1009"/>
      <c r="D1009"/>
      <c r="E1009"/>
      <c r="F1009"/>
      <c r="H1009"/>
      <c r="I1009"/>
      <c r="J1009"/>
      <c r="K1009"/>
      <c r="L1009"/>
    </row>
    <row r="1010" spans="2:12" ht="14.4" x14ac:dyDescent="0.3">
      <c r="B1010"/>
      <c r="C1010"/>
      <c r="D1010"/>
      <c r="E1010"/>
      <c r="F1010"/>
      <c r="H1010"/>
      <c r="I1010"/>
      <c r="J1010"/>
      <c r="K1010"/>
      <c r="L1010"/>
    </row>
    <row r="1011" spans="2:12" ht="14.4" x14ac:dyDescent="0.3">
      <c r="B1011"/>
      <c r="C1011"/>
      <c r="D1011"/>
      <c r="E1011"/>
      <c r="F1011"/>
      <c r="H1011"/>
      <c r="I1011"/>
      <c r="J1011"/>
      <c r="K1011"/>
      <c r="L1011"/>
    </row>
    <row r="1012" spans="2:12" ht="14.4" x14ac:dyDescent="0.3">
      <c r="B1012"/>
      <c r="C1012"/>
      <c r="D1012"/>
      <c r="E1012"/>
      <c r="F1012"/>
      <c r="H1012"/>
      <c r="I1012"/>
      <c r="J1012"/>
      <c r="K1012"/>
      <c r="L1012"/>
    </row>
    <row r="1013" spans="2:12" ht="14.4" x14ac:dyDescent="0.3">
      <c r="B1013"/>
      <c r="C1013"/>
      <c r="D1013"/>
      <c r="E1013"/>
      <c r="F1013"/>
      <c r="H1013"/>
      <c r="I1013"/>
      <c r="J1013"/>
      <c r="K1013"/>
      <c r="L1013"/>
    </row>
    <row r="1014" spans="2:12" ht="14.4" x14ac:dyDescent="0.3">
      <c r="B1014"/>
      <c r="C1014"/>
      <c r="D1014"/>
      <c r="E1014"/>
      <c r="F1014"/>
      <c r="H1014"/>
      <c r="I1014"/>
      <c r="J1014"/>
      <c r="K1014"/>
      <c r="L1014"/>
    </row>
    <row r="1015" spans="2:12" ht="14.4" x14ac:dyDescent="0.3">
      <c r="B1015"/>
      <c r="C1015"/>
      <c r="D1015"/>
      <c r="E1015"/>
      <c r="F1015"/>
      <c r="H1015"/>
      <c r="I1015"/>
      <c r="J1015"/>
      <c r="K1015"/>
      <c r="L1015"/>
    </row>
    <row r="1016" spans="2:12" ht="14.4" x14ac:dyDescent="0.3">
      <c r="B1016"/>
      <c r="C1016"/>
      <c r="D1016"/>
      <c r="E1016"/>
      <c r="F1016"/>
      <c r="H1016"/>
      <c r="I1016"/>
      <c r="J1016"/>
      <c r="K1016"/>
      <c r="L1016"/>
    </row>
    <row r="1017" spans="2:12" ht="14.4" x14ac:dyDescent="0.3">
      <c r="B1017"/>
      <c r="C1017"/>
      <c r="D1017"/>
      <c r="E1017"/>
      <c r="F1017"/>
      <c r="H1017"/>
      <c r="I1017"/>
      <c r="J1017"/>
      <c r="K1017"/>
      <c r="L1017"/>
    </row>
    <row r="1018" spans="2:12" ht="14.4" x14ac:dyDescent="0.3">
      <c r="B1018"/>
      <c r="C1018"/>
      <c r="D1018"/>
      <c r="E1018"/>
      <c r="F1018"/>
      <c r="H1018"/>
      <c r="I1018"/>
      <c r="J1018"/>
      <c r="K1018"/>
      <c r="L1018"/>
    </row>
    <row r="1019" spans="2:12" ht="14.4" x14ac:dyDescent="0.3">
      <c r="B1019"/>
      <c r="C1019"/>
      <c r="D1019"/>
      <c r="E1019"/>
      <c r="F1019"/>
      <c r="H1019"/>
      <c r="I1019"/>
      <c r="J1019"/>
      <c r="K1019"/>
      <c r="L1019"/>
    </row>
    <row r="1020" spans="2:12" ht="14.4" x14ac:dyDescent="0.3">
      <c r="B1020"/>
      <c r="C1020"/>
      <c r="D1020"/>
      <c r="E1020"/>
      <c r="F1020"/>
      <c r="H1020"/>
      <c r="I1020"/>
      <c r="J1020"/>
      <c r="K1020"/>
      <c r="L1020"/>
    </row>
    <row r="1021" spans="2:12" ht="14.4" x14ac:dyDescent="0.3">
      <c r="B1021"/>
      <c r="C1021"/>
      <c r="D1021"/>
      <c r="E1021"/>
      <c r="F1021"/>
      <c r="H1021"/>
      <c r="I1021"/>
      <c r="J1021"/>
      <c r="K1021"/>
      <c r="L1021"/>
    </row>
    <row r="1022" spans="2:12" ht="14.4" x14ac:dyDescent="0.3">
      <c r="B1022"/>
      <c r="C1022"/>
      <c r="D1022"/>
      <c r="E1022"/>
      <c r="F1022"/>
      <c r="H1022"/>
      <c r="I1022"/>
      <c r="J1022"/>
      <c r="K1022"/>
      <c r="L1022"/>
    </row>
    <row r="1023" spans="2:12" ht="14.4" x14ac:dyDescent="0.3">
      <c r="B1023"/>
      <c r="C1023"/>
      <c r="D1023"/>
      <c r="E1023"/>
      <c r="F1023"/>
      <c r="H1023"/>
      <c r="I1023"/>
      <c r="J1023"/>
      <c r="K1023"/>
      <c r="L1023"/>
    </row>
    <row r="1024" spans="2:12" ht="14.4" x14ac:dyDescent="0.3">
      <c r="B1024"/>
      <c r="C1024"/>
      <c r="D1024"/>
      <c r="E1024"/>
      <c r="F1024"/>
      <c r="H1024"/>
      <c r="I1024"/>
      <c r="J1024"/>
      <c r="K1024"/>
      <c r="L1024"/>
    </row>
    <row r="1025" spans="2:12" ht="14.4" x14ac:dyDescent="0.3">
      <c r="B1025"/>
      <c r="C1025"/>
      <c r="D1025"/>
      <c r="E1025"/>
      <c r="F1025"/>
      <c r="H1025"/>
      <c r="I1025"/>
      <c r="J1025"/>
      <c r="K1025"/>
      <c r="L1025"/>
    </row>
    <row r="1026" spans="2:12" ht="14.4" x14ac:dyDescent="0.3">
      <c r="B1026"/>
      <c r="C1026"/>
      <c r="D1026"/>
      <c r="E1026"/>
      <c r="F1026"/>
      <c r="H1026"/>
      <c r="I1026"/>
      <c r="J1026"/>
      <c r="K1026"/>
      <c r="L1026"/>
    </row>
    <row r="1027" spans="2:12" ht="14.4" x14ac:dyDescent="0.3">
      <c r="B1027"/>
      <c r="C1027"/>
      <c r="D1027"/>
      <c r="E1027"/>
      <c r="F1027"/>
      <c r="H1027"/>
      <c r="I1027"/>
      <c r="J1027"/>
      <c r="K1027"/>
      <c r="L1027"/>
    </row>
    <row r="1028" spans="2:12" ht="14.4" x14ac:dyDescent="0.3">
      <c r="B1028"/>
      <c r="C1028"/>
      <c r="D1028"/>
      <c r="E1028"/>
      <c r="F1028"/>
      <c r="H1028"/>
      <c r="I1028"/>
      <c r="J1028"/>
      <c r="K1028"/>
      <c r="L1028"/>
    </row>
    <row r="1029" spans="2:12" ht="14.4" x14ac:dyDescent="0.3">
      <c r="B1029"/>
      <c r="C1029"/>
      <c r="D1029"/>
      <c r="E1029"/>
      <c r="F1029"/>
      <c r="H1029"/>
      <c r="I1029"/>
      <c r="J1029"/>
      <c r="K1029"/>
      <c r="L1029"/>
    </row>
    <row r="1030" spans="2:12" ht="14.4" x14ac:dyDescent="0.3">
      <c r="B1030"/>
      <c r="C1030"/>
      <c r="D1030"/>
      <c r="E1030"/>
      <c r="F1030"/>
      <c r="H1030"/>
      <c r="I1030"/>
      <c r="J1030"/>
      <c r="K1030"/>
      <c r="L1030"/>
    </row>
    <row r="1031" spans="2:12" ht="14.4" x14ac:dyDescent="0.3">
      <c r="B1031"/>
      <c r="C1031"/>
      <c r="D1031"/>
      <c r="E1031"/>
      <c r="F1031"/>
      <c r="H1031"/>
      <c r="I1031"/>
      <c r="J1031"/>
      <c r="K1031"/>
      <c r="L1031"/>
    </row>
    <row r="1032" spans="2:12" ht="14.4" x14ac:dyDescent="0.3">
      <c r="B1032"/>
      <c r="C1032"/>
      <c r="D1032"/>
      <c r="E1032"/>
      <c r="F1032"/>
      <c r="H1032"/>
      <c r="I1032"/>
      <c r="J1032"/>
      <c r="K1032"/>
      <c r="L1032"/>
    </row>
    <row r="1033" spans="2:12" ht="14.4" x14ac:dyDescent="0.3">
      <c r="B1033"/>
      <c r="C1033"/>
      <c r="D1033"/>
      <c r="E1033"/>
      <c r="F1033"/>
      <c r="H1033"/>
      <c r="I1033"/>
      <c r="J1033"/>
      <c r="K1033"/>
      <c r="L1033"/>
    </row>
    <row r="1034" spans="2:12" ht="14.4" x14ac:dyDescent="0.3">
      <c r="B1034"/>
      <c r="C1034"/>
      <c r="D1034"/>
      <c r="E1034"/>
      <c r="F1034"/>
      <c r="H1034"/>
      <c r="I1034"/>
      <c r="J1034"/>
      <c r="K1034"/>
      <c r="L1034"/>
    </row>
    <row r="1035" spans="2:12" ht="14.4" x14ac:dyDescent="0.3">
      <c r="B1035"/>
      <c r="C1035"/>
      <c r="D1035"/>
      <c r="E1035"/>
      <c r="F1035"/>
      <c r="H1035"/>
      <c r="I1035"/>
      <c r="J1035"/>
      <c r="K1035"/>
      <c r="L1035"/>
    </row>
    <row r="1036" spans="2:12" ht="14.4" x14ac:dyDescent="0.3">
      <c r="B1036"/>
      <c r="C1036"/>
      <c r="D1036"/>
      <c r="E1036"/>
      <c r="F1036"/>
      <c r="H1036"/>
      <c r="I1036"/>
      <c r="J1036"/>
      <c r="K1036"/>
      <c r="L1036"/>
    </row>
    <row r="1037" spans="2:12" ht="14.4" x14ac:dyDescent="0.3">
      <c r="B1037"/>
      <c r="C1037"/>
      <c r="D1037"/>
      <c r="E1037"/>
      <c r="F1037"/>
      <c r="H1037"/>
      <c r="I1037"/>
      <c r="J1037"/>
      <c r="K1037"/>
      <c r="L1037"/>
    </row>
    <row r="1038" spans="2:12" ht="14.4" x14ac:dyDescent="0.3">
      <c r="B1038"/>
      <c r="C1038"/>
      <c r="D1038"/>
      <c r="E1038"/>
      <c r="F1038"/>
      <c r="H1038"/>
      <c r="I1038"/>
      <c r="J1038"/>
      <c r="K1038"/>
      <c r="L1038"/>
    </row>
    <row r="1039" spans="2:12" ht="14.4" x14ac:dyDescent="0.3">
      <c r="B1039"/>
      <c r="C1039"/>
      <c r="D1039"/>
      <c r="E1039"/>
      <c r="F1039"/>
      <c r="H1039"/>
      <c r="I1039"/>
      <c r="J1039"/>
      <c r="K1039"/>
      <c r="L1039"/>
    </row>
    <row r="1040" spans="2:12" ht="14.4" x14ac:dyDescent="0.3">
      <c r="B1040"/>
      <c r="C1040"/>
      <c r="D1040"/>
      <c r="E1040"/>
      <c r="F1040"/>
      <c r="H1040"/>
      <c r="I1040"/>
      <c r="J1040"/>
      <c r="K1040"/>
      <c r="L1040"/>
    </row>
    <row r="1041" spans="2:12" ht="14.4" x14ac:dyDescent="0.3">
      <c r="B1041"/>
      <c r="C1041"/>
      <c r="D1041"/>
      <c r="E1041"/>
      <c r="F1041"/>
      <c r="H1041"/>
      <c r="I1041"/>
      <c r="J1041"/>
      <c r="K1041"/>
      <c r="L1041"/>
    </row>
    <row r="1042" spans="2:12" ht="14.4" x14ac:dyDescent="0.3">
      <c r="B1042"/>
      <c r="C1042"/>
      <c r="D1042"/>
      <c r="E1042"/>
      <c r="F1042"/>
      <c r="H1042"/>
      <c r="I1042"/>
      <c r="J1042"/>
      <c r="K1042"/>
      <c r="L1042"/>
    </row>
    <row r="1043" spans="2:12" ht="14.4" x14ac:dyDescent="0.3">
      <c r="B1043"/>
      <c r="C1043"/>
      <c r="D1043"/>
      <c r="E1043"/>
      <c r="F1043"/>
      <c r="H1043"/>
      <c r="I1043"/>
      <c r="J1043"/>
      <c r="K1043"/>
      <c r="L1043"/>
    </row>
    <row r="1044" spans="2:12" ht="14.4" x14ac:dyDescent="0.3">
      <c r="B1044"/>
      <c r="C1044"/>
      <c r="D1044"/>
      <c r="E1044"/>
      <c r="F1044"/>
      <c r="H1044"/>
      <c r="I1044"/>
      <c r="J1044"/>
      <c r="K1044"/>
      <c r="L1044"/>
    </row>
    <row r="1045" spans="2:12" ht="14.4" x14ac:dyDescent="0.3">
      <c r="B1045"/>
      <c r="C1045"/>
      <c r="D1045"/>
      <c r="E1045"/>
      <c r="F1045"/>
      <c r="H1045"/>
      <c r="I1045"/>
      <c r="J1045"/>
      <c r="K1045"/>
      <c r="L1045"/>
    </row>
    <row r="1046" spans="2:12" ht="14.4" x14ac:dyDescent="0.3">
      <c r="B1046"/>
      <c r="C1046"/>
      <c r="D1046"/>
      <c r="E1046"/>
      <c r="F1046"/>
      <c r="H1046"/>
      <c r="I1046"/>
      <c r="J1046"/>
      <c r="K1046"/>
      <c r="L1046"/>
    </row>
    <row r="1047" spans="2:12" ht="14.4" x14ac:dyDescent="0.3">
      <c r="B1047"/>
      <c r="C1047"/>
      <c r="D1047"/>
      <c r="E1047"/>
      <c r="F1047"/>
      <c r="H1047"/>
      <c r="I1047"/>
      <c r="J1047"/>
      <c r="K1047"/>
      <c r="L1047"/>
    </row>
    <row r="1048" spans="2:12" ht="14.4" x14ac:dyDescent="0.3">
      <c r="B1048"/>
      <c r="C1048"/>
      <c r="D1048"/>
      <c r="E1048"/>
      <c r="F1048"/>
      <c r="H1048"/>
      <c r="I1048"/>
      <c r="J1048"/>
      <c r="K1048"/>
      <c r="L1048"/>
    </row>
    <row r="1049" spans="2:12" ht="14.4" x14ac:dyDescent="0.3">
      <c r="B1049"/>
      <c r="C1049"/>
      <c r="D1049"/>
      <c r="E1049"/>
      <c r="F1049"/>
      <c r="H1049"/>
      <c r="I1049"/>
      <c r="J1049"/>
      <c r="K1049"/>
      <c r="L1049"/>
    </row>
    <row r="1050" spans="2:12" ht="14.4" x14ac:dyDescent="0.3">
      <c r="B1050"/>
      <c r="C1050"/>
      <c r="D1050"/>
      <c r="E1050"/>
      <c r="F1050"/>
      <c r="H1050"/>
      <c r="I1050"/>
      <c r="J1050"/>
      <c r="K1050"/>
      <c r="L1050"/>
    </row>
    <row r="1051" spans="2:12" ht="14.4" x14ac:dyDescent="0.3">
      <c r="B1051"/>
      <c r="C1051"/>
      <c r="D1051"/>
      <c r="E1051"/>
      <c r="F1051"/>
      <c r="H1051"/>
      <c r="I1051"/>
      <c r="J1051"/>
      <c r="K1051"/>
      <c r="L1051"/>
    </row>
    <row r="1052" spans="2:12" ht="14.4" x14ac:dyDescent="0.3">
      <c r="B1052"/>
      <c r="C1052"/>
      <c r="D1052"/>
      <c r="E1052"/>
      <c r="F1052"/>
      <c r="H1052"/>
      <c r="I1052"/>
      <c r="J1052"/>
      <c r="K1052"/>
      <c r="L1052"/>
    </row>
    <row r="1053" spans="2:12" ht="14.4" x14ac:dyDescent="0.3">
      <c r="B1053"/>
      <c r="C1053"/>
      <c r="D1053"/>
      <c r="E1053"/>
      <c r="F1053"/>
      <c r="H1053"/>
      <c r="I1053"/>
      <c r="J1053"/>
      <c r="K1053"/>
      <c r="L1053"/>
    </row>
    <row r="1054" spans="2:12" ht="14.4" x14ac:dyDescent="0.3">
      <c r="B1054"/>
      <c r="C1054"/>
      <c r="D1054"/>
      <c r="E1054"/>
      <c r="F1054"/>
      <c r="H1054"/>
      <c r="I1054"/>
      <c r="J1054"/>
      <c r="K1054"/>
      <c r="L1054"/>
    </row>
    <row r="1055" spans="2:12" ht="14.4" x14ac:dyDescent="0.3">
      <c r="B1055"/>
      <c r="C1055"/>
      <c r="D1055"/>
      <c r="E1055"/>
      <c r="F1055"/>
      <c r="H1055"/>
      <c r="I1055"/>
      <c r="J1055"/>
      <c r="K1055"/>
      <c r="L1055"/>
    </row>
    <row r="1056" spans="2:12" ht="14.4" x14ac:dyDescent="0.3">
      <c r="B1056"/>
      <c r="C1056"/>
      <c r="D1056"/>
      <c r="E1056"/>
      <c r="F1056"/>
      <c r="H1056"/>
      <c r="I1056"/>
      <c r="J1056"/>
      <c r="K1056"/>
      <c r="L1056"/>
    </row>
    <row r="1057" spans="2:12" ht="14.4" x14ac:dyDescent="0.3">
      <c r="B1057"/>
      <c r="C1057"/>
      <c r="D1057"/>
      <c r="E1057"/>
      <c r="F1057"/>
      <c r="H1057"/>
      <c r="I1057"/>
      <c r="J1057"/>
      <c r="K1057"/>
      <c r="L1057"/>
    </row>
    <row r="1058" spans="2:12" ht="14.4" x14ac:dyDescent="0.3">
      <c r="B1058"/>
      <c r="C1058"/>
      <c r="D1058"/>
      <c r="E1058"/>
      <c r="F1058"/>
      <c r="H1058"/>
      <c r="I1058"/>
      <c r="J1058"/>
      <c r="K1058"/>
      <c r="L1058"/>
    </row>
    <row r="1059" spans="2:12" ht="14.4" x14ac:dyDescent="0.3">
      <c r="B1059"/>
      <c r="C1059"/>
      <c r="D1059"/>
      <c r="E1059"/>
      <c r="F1059"/>
      <c r="H1059"/>
      <c r="I1059"/>
      <c r="J1059"/>
      <c r="K1059"/>
      <c r="L1059"/>
    </row>
    <row r="1060" spans="2:12" ht="14.4" x14ac:dyDescent="0.3">
      <c r="B1060"/>
      <c r="C1060"/>
      <c r="D1060"/>
      <c r="E1060"/>
      <c r="F1060"/>
      <c r="H1060"/>
      <c r="I1060"/>
      <c r="J1060"/>
      <c r="K1060"/>
      <c r="L1060"/>
    </row>
    <row r="1061" spans="2:12" ht="14.4" x14ac:dyDescent="0.3">
      <c r="B1061"/>
      <c r="C1061"/>
      <c r="D1061"/>
      <c r="E1061"/>
      <c r="F1061"/>
      <c r="H1061"/>
      <c r="I1061"/>
      <c r="J1061"/>
      <c r="K1061"/>
      <c r="L1061"/>
    </row>
    <row r="1062" spans="2:12" ht="14.4" x14ac:dyDescent="0.3">
      <c r="B1062"/>
      <c r="C1062"/>
      <c r="D1062"/>
      <c r="E1062"/>
      <c r="F1062"/>
      <c r="H1062"/>
      <c r="I1062"/>
      <c r="J1062"/>
      <c r="K1062"/>
      <c r="L1062"/>
    </row>
    <row r="1063" spans="2:12" ht="14.4" x14ac:dyDescent="0.3">
      <c r="B1063"/>
      <c r="C1063"/>
      <c r="D1063"/>
      <c r="E1063"/>
      <c r="F1063"/>
      <c r="H1063"/>
      <c r="I1063"/>
      <c r="J1063"/>
      <c r="K1063"/>
      <c r="L1063"/>
    </row>
    <row r="1064" spans="2:12" ht="14.4" x14ac:dyDescent="0.3">
      <c r="B1064"/>
      <c r="C1064"/>
      <c r="D1064"/>
      <c r="E1064"/>
      <c r="F1064"/>
      <c r="H1064"/>
      <c r="I1064"/>
      <c r="J1064"/>
      <c r="K1064"/>
      <c r="L1064"/>
    </row>
    <row r="1065" spans="2:12" ht="14.4" x14ac:dyDescent="0.3">
      <c r="B1065"/>
      <c r="C1065"/>
      <c r="D1065"/>
      <c r="E1065"/>
      <c r="F1065"/>
      <c r="H1065"/>
      <c r="I1065"/>
      <c r="J1065"/>
      <c r="K1065"/>
      <c r="L1065"/>
    </row>
    <row r="1066" spans="2:12" ht="14.4" x14ac:dyDescent="0.3">
      <c r="B1066"/>
      <c r="C1066"/>
      <c r="D1066"/>
      <c r="E1066"/>
      <c r="F1066"/>
      <c r="H1066"/>
      <c r="I1066"/>
      <c r="J1066"/>
      <c r="K1066"/>
      <c r="L1066"/>
    </row>
    <row r="1067" spans="2:12" ht="14.4" x14ac:dyDescent="0.3">
      <c r="B1067"/>
      <c r="C1067"/>
      <c r="D1067"/>
      <c r="E1067"/>
      <c r="F1067"/>
      <c r="H1067"/>
      <c r="I1067"/>
      <c r="J1067"/>
      <c r="K1067"/>
      <c r="L1067"/>
    </row>
    <row r="1068" spans="2:12" ht="14.4" x14ac:dyDescent="0.3">
      <c r="B1068"/>
      <c r="C1068"/>
      <c r="D1068"/>
      <c r="E1068"/>
      <c r="F1068"/>
      <c r="H1068"/>
      <c r="I1068"/>
      <c r="J1068"/>
      <c r="K1068"/>
      <c r="L1068"/>
    </row>
    <row r="1069" spans="2:12" ht="14.4" x14ac:dyDescent="0.3">
      <c r="B1069"/>
      <c r="C1069"/>
      <c r="D1069"/>
      <c r="E1069"/>
      <c r="F1069"/>
      <c r="H1069"/>
      <c r="I1069"/>
      <c r="J1069"/>
      <c r="K1069"/>
      <c r="L1069"/>
    </row>
    <row r="1070" spans="2:12" ht="14.4" x14ac:dyDescent="0.3">
      <c r="B1070"/>
      <c r="C1070"/>
      <c r="D1070"/>
      <c r="E1070"/>
      <c r="F1070"/>
      <c r="H1070"/>
      <c r="I1070"/>
      <c r="J1070"/>
      <c r="K1070"/>
      <c r="L1070"/>
    </row>
    <row r="1071" spans="2:12" ht="14.4" x14ac:dyDescent="0.3">
      <c r="B1071"/>
      <c r="C1071"/>
      <c r="D1071"/>
      <c r="E1071"/>
      <c r="F1071"/>
      <c r="H1071"/>
      <c r="I1071"/>
      <c r="J1071"/>
      <c r="K1071"/>
      <c r="L1071"/>
    </row>
    <row r="1072" spans="2:12" ht="14.4" x14ac:dyDescent="0.3">
      <c r="B1072"/>
      <c r="C1072"/>
      <c r="D1072"/>
      <c r="E1072"/>
      <c r="F1072"/>
      <c r="H1072"/>
      <c r="I1072"/>
      <c r="J1072"/>
      <c r="K1072"/>
      <c r="L1072"/>
    </row>
    <row r="1073" spans="2:12" ht="14.4" x14ac:dyDescent="0.3">
      <c r="B1073"/>
      <c r="C1073"/>
      <c r="D1073"/>
      <c r="E1073"/>
      <c r="F1073"/>
      <c r="H1073"/>
      <c r="I1073"/>
      <c r="J1073"/>
      <c r="K1073"/>
      <c r="L1073"/>
    </row>
    <row r="1074" spans="2:12" ht="14.4" x14ac:dyDescent="0.3">
      <c r="B1074"/>
      <c r="C1074"/>
      <c r="D1074"/>
      <c r="E1074"/>
      <c r="F1074"/>
      <c r="H1074"/>
      <c r="I1074"/>
      <c r="J1074"/>
      <c r="K1074"/>
      <c r="L1074"/>
    </row>
    <row r="1075" spans="2:12" ht="14.4" x14ac:dyDescent="0.3">
      <c r="B1075"/>
      <c r="C1075"/>
      <c r="D1075"/>
      <c r="E1075"/>
      <c r="F1075"/>
      <c r="H1075"/>
      <c r="I1075"/>
      <c r="J1075"/>
      <c r="K1075"/>
      <c r="L1075"/>
    </row>
    <row r="1076" spans="2:12" ht="14.4" x14ac:dyDescent="0.3">
      <c r="B1076"/>
      <c r="C1076"/>
      <c r="D1076"/>
      <c r="E1076"/>
      <c r="F1076"/>
      <c r="H1076"/>
      <c r="I1076"/>
      <c r="J1076"/>
      <c r="K1076"/>
      <c r="L1076"/>
    </row>
    <row r="1077" spans="2:12" ht="14.4" x14ac:dyDescent="0.3">
      <c r="B1077"/>
      <c r="C1077"/>
      <c r="D1077"/>
      <c r="E1077"/>
      <c r="F1077"/>
      <c r="H1077"/>
      <c r="I1077"/>
      <c r="J1077"/>
      <c r="K1077"/>
      <c r="L1077"/>
    </row>
    <row r="1078" spans="2:12" ht="14.4" x14ac:dyDescent="0.3">
      <c r="B1078"/>
      <c r="C1078"/>
      <c r="D1078"/>
      <c r="E1078"/>
      <c r="F1078"/>
      <c r="H1078"/>
      <c r="I1078"/>
      <c r="J1078"/>
      <c r="K1078"/>
      <c r="L1078"/>
    </row>
    <row r="1079" spans="2:12" ht="14.4" x14ac:dyDescent="0.3">
      <c r="B1079"/>
      <c r="C1079"/>
      <c r="D1079"/>
      <c r="E1079"/>
      <c r="F1079"/>
      <c r="H1079"/>
      <c r="I1079"/>
      <c r="J1079"/>
      <c r="K1079"/>
      <c r="L1079"/>
    </row>
    <row r="1080" spans="2:12" ht="14.4" x14ac:dyDescent="0.3">
      <c r="B1080"/>
      <c r="C1080"/>
      <c r="D1080"/>
      <c r="E1080"/>
      <c r="F1080"/>
      <c r="H1080"/>
      <c r="I1080"/>
      <c r="J1080"/>
      <c r="K1080"/>
      <c r="L1080"/>
    </row>
    <row r="1081" spans="2:12" ht="14.4" x14ac:dyDescent="0.3">
      <c r="B1081"/>
      <c r="C1081"/>
      <c r="D1081"/>
      <c r="E1081"/>
      <c r="F1081"/>
      <c r="H1081"/>
      <c r="I1081"/>
      <c r="J1081"/>
      <c r="K1081"/>
      <c r="L1081"/>
    </row>
    <row r="1082" spans="2:12" ht="14.4" x14ac:dyDescent="0.3">
      <c r="B1082"/>
      <c r="C1082"/>
      <c r="D1082"/>
      <c r="E1082"/>
      <c r="F1082"/>
      <c r="H1082"/>
      <c r="I1082"/>
      <c r="J1082"/>
      <c r="K1082"/>
      <c r="L1082"/>
    </row>
    <row r="1083" spans="2:12" ht="14.4" x14ac:dyDescent="0.3">
      <c r="B1083"/>
      <c r="C1083"/>
      <c r="D1083"/>
      <c r="E1083"/>
      <c r="F1083"/>
      <c r="H1083"/>
      <c r="I1083"/>
      <c r="J1083"/>
      <c r="K1083"/>
      <c r="L1083"/>
    </row>
    <row r="1084" spans="2:12" ht="14.4" x14ac:dyDescent="0.3">
      <c r="B1084"/>
      <c r="C1084"/>
      <c r="D1084"/>
      <c r="E1084"/>
      <c r="F1084"/>
      <c r="H1084"/>
      <c r="I1084"/>
      <c r="J1084"/>
      <c r="K1084"/>
      <c r="L1084"/>
    </row>
    <row r="1085" spans="2:12" ht="14.4" x14ac:dyDescent="0.3">
      <c r="B1085"/>
      <c r="C1085"/>
      <c r="D1085"/>
      <c r="E1085"/>
      <c r="F1085"/>
      <c r="H1085"/>
      <c r="I1085"/>
      <c r="J1085"/>
      <c r="K1085"/>
      <c r="L1085"/>
    </row>
    <row r="1086" spans="2:12" ht="14.4" x14ac:dyDescent="0.3">
      <c r="B1086"/>
      <c r="C1086"/>
      <c r="D1086"/>
      <c r="E1086"/>
      <c r="F1086"/>
      <c r="H1086"/>
      <c r="I1086"/>
      <c r="J1086"/>
      <c r="K1086"/>
      <c r="L1086"/>
    </row>
    <row r="1087" spans="2:12" ht="14.4" x14ac:dyDescent="0.3">
      <c r="B1087"/>
      <c r="C1087"/>
      <c r="D1087"/>
      <c r="E1087"/>
      <c r="F1087"/>
      <c r="H1087"/>
      <c r="I1087"/>
      <c r="J1087"/>
      <c r="K1087"/>
      <c r="L1087"/>
    </row>
    <row r="1088" spans="2:12" ht="14.4" x14ac:dyDescent="0.3">
      <c r="B1088"/>
      <c r="C1088"/>
      <c r="D1088"/>
      <c r="E1088"/>
      <c r="F1088"/>
      <c r="H1088"/>
      <c r="I1088"/>
      <c r="J1088"/>
      <c r="K1088"/>
      <c r="L1088"/>
    </row>
    <row r="1089" spans="2:12" ht="14.4" x14ac:dyDescent="0.3">
      <c r="B1089"/>
      <c r="C1089"/>
      <c r="D1089"/>
      <c r="E1089"/>
      <c r="F1089"/>
      <c r="H1089"/>
      <c r="I1089"/>
      <c r="J1089"/>
      <c r="K1089"/>
      <c r="L1089"/>
    </row>
    <row r="1090" spans="2:12" ht="14.4" x14ac:dyDescent="0.3">
      <c r="B1090"/>
      <c r="C1090"/>
      <c r="D1090"/>
      <c r="E1090"/>
      <c r="F1090"/>
      <c r="H1090"/>
      <c r="I1090"/>
      <c r="J1090"/>
      <c r="K1090"/>
      <c r="L1090"/>
    </row>
    <row r="1091" spans="2:12" ht="14.4" x14ac:dyDescent="0.3">
      <c r="B1091"/>
      <c r="C1091"/>
      <c r="D1091"/>
      <c r="E1091"/>
      <c r="F1091"/>
      <c r="H1091"/>
      <c r="I1091"/>
      <c r="J1091"/>
      <c r="K1091"/>
      <c r="L1091"/>
    </row>
    <row r="1092" spans="2:12" ht="14.4" x14ac:dyDescent="0.3">
      <c r="B1092"/>
      <c r="C1092"/>
      <c r="D1092"/>
      <c r="E1092"/>
      <c r="F1092"/>
      <c r="H1092"/>
      <c r="I1092"/>
      <c r="J1092"/>
      <c r="K1092"/>
      <c r="L1092"/>
    </row>
    <row r="1093" spans="2:12" ht="14.4" x14ac:dyDescent="0.3">
      <c r="B1093"/>
      <c r="C1093"/>
      <c r="D1093"/>
      <c r="E1093"/>
      <c r="F1093"/>
      <c r="H1093"/>
      <c r="I1093"/>
      <c r="J1093"/>
      <c r="K1093"/>
      <c r="L1093"/>
    </row>
    <row r="1094" spans="2:12" ht="14.4" x14ac:dyDescent="0.3">
      <c r="B1094"/>
      <c r="C1094"/>
      <c r="D1094"/>
      <c r="E1094"/>
      <c r="F1094"/>
      <c r="H1094"/>
      <c r="I1094"/>
      <c r="J1094"/>
      <c r="K1094"/>
      <c r="L1094"/>
    </row>
    <row r="1095" spans="2:12" ht="14.4" x14ac:dyDescent="0.3">
      <c r="B1095"/>
      <c r="C1095"/>
      <c r="D1095"/>
      <c r="E1095"/>
      <c r="F1095"/>
      <c r="H1095"/>
      <c r="I1095"/>
      <c r="J1095"/>
      <c r="K1095"/>
      <c r="L1095"/>
    </row>
    <row r="1096" spans="2:12" ht="14.4" x14ac:dyDescent="0.3">
      <c r="B1096"/>
      <c r="C1096"/>
      <c r="D1096"/>
      <c r="E1096"/>
      <c r="F1096"/>
      <c r="H1096"/>
      <c r="I1096"/>
      <c r="J1096"/>
      <c r="K1096"/>
      <c r="L1096"/>
    </row>
    <row r="1097" spans="2:12" ht="14.4" x14ac:dyDescent="0.3">
      <c r="B1097"/>
      <c r="C1097"/>
      <c r="D1097"/>
      <c r="E1097"/>
      <c r="F1097"/>
      <c r="H1097"/>
      <c r="I1097"/>
      <c r="J1097"/>
      <c r="K1097"/>
      <c r="L1097"/>
    </row>
    <row r="1098" spans="2:12" ht="14.4" x14ac:dyDescent="0.3">
      <c r="B1098"/>
      <c r="C1098"/>
      <c r="D1098"/>
      <c r="E1098"/>
      <c r="F1098"/>
      <c r="H1098"/>
      <c r="I1098"/>
      <c r="J1098"/>
      <c r="K1098"/>
      <c r="L1098"/>
    </row>
    <row r="1099" spans="2:12" ht="14.4" x14ac:dyDescent="0.3">
      <c r="B1099"/>
      <c r="C1099"/>
      <c r="D1099"/>
      <c r="E1099"/>
      <c r="F1099"/>
      <c r="H1099"/>
      <c r="I1099"/>
      <c r="J1099"/>
      <c r="K1099"/>
      <c r="L1099"/>
    </row>
    <row r="1100" spans="2:12" ht="14.4" x14ac:dyDescent="0.3">
      <c r="B1100"/>
      <c r="C1100"/>
      <c r="D1100"/>
      <c r="E1100"/>
      <c r="F1100"/>
      <c r="H1100"/>
      <c r="I1100"/>
      <c r="J1100"/>
      <c r="K1100"/>
      <c r="L1100"/>
    </row>
    <row r="1101" spans="2:12" ht="14.4" x14ac:dyDescent="0.3">
      <c r="B1101"/>
      <c r="C1101"/>
      <c r="D1101"/>
      <c r="E1101"/>
      <c r="F1101"/>
      <c r="H1101"/>
      <c r="I1101"/>
      <c r="J1101"/>
      <c r="K1101"/>
      <c r="L1101"/>
    </row>
    <row r="1102" spans="2:12" ht="14.4" x14ac:dyDescent="0.3">
      <c r="B1102"/>
      <c r="C1102"/>
      <c r="D1102"/>
      <c r="E1102"/>
      <c r="F1102"/>
      <c r="H1102"/>
      <c r="I1102"/>
      <c r="J1102"/>
      <c r="K1102"/>
      <c r="L1102"/>
    </row>
    <row r="1103" spans="2:12" ht="14.4" x14ac:dyDescent="0.3">
      <c r="B1103"/>
      <c r="C1103"/>
      <c r="D1103"/>
      <c r="E1103"/>
      <c r="F1103"/>
      <c r="H1103"/>
      <c r="I1103"/>
      <c r="J1103"/>
      <c r="K1103"/>
      <c r="L1103"/>
    </row>
    <row r="1104" spans="2:12" ht="14.4" x14ac:dyDescent="0.3">
      <c r="B1104"/>
      <c r="C1104"/>
      <c r="D1104"/>
      <c r="E1104"/>
      <c r="F1104"/>
      <c r="H1104"/>
      <c r="I1104"/>
      <c r="J1104"/>
      <c r="K1104"/>
      <c r="L1104"/>
    </row>
    <row r="1105" spans="2:12" ht="14.4" x14ac:dyDescent="0.3">
      <c r="B1105"/>
      <c r="C1105"/>
      <c r="D1105"/>
      <c r="E1105"/>
      <c r="F1105"/>
      <c r="H1105"/>
      <c r="I1105"/>
      <c r="J1105"/>
      <c r="K1105"/>
      <c r="L1105"/>
    </row>
    <row r="1106" spans="2:12" ht="14.4" x14ac:dyDescent="0.3">
      <c r="B1106"/>
      <c r="C1106"/>
      <c r="D1106"/>
      <c r="E1106"/>
      <c r="F1106"/>
      <c r="H1106"/>
      <c r="I1106"/>
      <c r="J1106"/>
      <c r="K1106"/>
      <c r="L1106"/>
    </row>
    <row r="1107" spans="2:12" ht="14.4" x14ac:dyDescent="0.3">
      <c r="B1107"/>
      <c r="C1107"/>
      <c r="D1107"/>
      <c r="E1107"/>
      <c r="F1107"/>
      <c r="H1107"/>
      <c r="I1107"/>
      <c r="J1107"/>
      <c r="K1107"/>
      <c r="L1107"/>
    </row>
    <row r="1108" spans="2:12" ht="14.4" x14ac:dyDescent="0.3">
      <c r="B1108"/>
      <c r="C1108"/>
      <c r="D1108"/>
      <c r="E1108"/>
      <c r="F1108"/>
      <c r="H1108"/>
      <c r="I1108"/>
      <c r="J1108"/>
      <c r="K1108"/>
      <c r="L1108"/>
    </row>
    <row r="1109" spans="2:12" ht="14.4" x14ac:dyDescent="0.3">
      <c r="B1109"/>
      <c r="C1109"/>
      <c r="D1109"/>
      <c r="E1109"/>
      <c r="F1109"/>
      <c r="H1109"/>
      <c r="I1109"/>
      <c r="J1109"/>
      <c r="K1109"/>
      <c r="L1109"/>
    </row>
    <row r="1110" spans="2:12" ht="14.4" x14ac:dyDescent="0.3">
      <c r="B1110"/>
      <c r="C1110"/>
      <c r="D1110"/>
      <c r="E1110"/>
      <c r="F1110"/>
      <c r="H1110"/>
      <c r="I1110"/>
      <c r="J1110"/>
      <c r="K1110"/>
      <c r="L1110"/>
    </row>
    <row r="1111" spans="2:12" ht="14.4" x14ac:dyDescent="0.3">
      <c r="B1111"/>
      <c r="C1111"/>
      <c r="D1111"/>
      <c r="E1111"/>
      <c r="F1111"/>
      <c r="H1111"/>
      <c r="I1111"/>
      <c r="J1111"/>
      <c r="K1111"/>
      <c r="L1111"/>
    </row>
    <row r="1112" spans="2:12" ht="14.4" x14ac:dyDescent="0.3">
      <c r="B1112"/>
      <c r="C1112"/>
      <c r="D1112"/>
      <c r="E1112"/>
      <c r="F1112"/>
      <c r="H1112"/>
      <c r="I1112"/>
      <c r="J1112"/>
      <c r="K1112"/>
      <c r="L1112"/>
    </row>
    <row r="1113" spans="2:12" ht="14.4" x14ac:dyDescent="0.3">
      <c r="B1113"/>
      <c r="C1113"/>
      <c r="D1113"/>
      <c r="E1113"/>
      <c r="F1113"/>
      <c r="H1113"/>
      <c r="I1113"/>
      <c r="J1113"/>
      <c r="K1113"/>
      <c r="L1113"/>
    </row>
    <row r="1114" spans="2:12" ht="14.4" x14ac:dyDescent="0.3">
      <c r="B1114"/>
      <c r="C1114"/>
      <c r="D1114"/>
      <c r="E1114"/>
      <c r="F1114"/>
      <c r="H1114"/>
      <c r="I1114"/>
      <c r="J1114"/>
      <c r="K1114"/>
      <c r="L1114"/>
    </row>
    <row r="1115" spans="2:12" ht="14.4" x14ac:dyDescent="0.3">
      <c r="B1115"/>
      <c r="C1115"/>
      <c r="D1115"/>
      <c r="E1115"/>
      <c r="F1115"/>
      <c r="H1115"/>
      <c r="I1115"/>
      <c r="J1115"/>
      <c r="K1115"/>
      <c r="L1115"/>
    </row>
    <row r="1116" spans="2:12" ht="14.4" x14ac:dyDescent="0.3">
      <c r="B1116"/>
      <c r="C1116"/>
      <c r="D1116"/>
      <c r="E1116"/>
      <c r="F1116"/>
      <c r="H1116"/>
      <c r="I1116"/>
      <c r="J1116"/>
      <c r="K1116"/>
      <c r="L1116"/>
    </row>
    <row r="1117" spans="2:12" ht="14.4" x14ac:dyDescent="0.3">
      <c r="B1117"/>
      <c r="C1117"/>
      <c r="D1117"/>
      <c r="E1117"/>
      <c r="F1117"/>
      <c r="H1117"/>
      <c r="I1117"/>
      <c r="J1117"/>
      <c r="K1117"/>
      <c r="L1117"/>
    </row>
    <row r="1118" spans="2:12" ht="14.4" x14ac:dyDescent="0.3">
      <c r="B1118"/>
      <c r="C1118"/>
      <c r="D1118"/>
      <c r="E1118"/>
      <c r="F1118"/>
      <c r="H1118"/>
      <c r="I1118"/>
      <c r="J1118"/>
      <c r="K1118"/>
      <c r="L1118"/>
    </row>
    <row r="1119" spans="2:12" ht="14.4" x14ac:dyDescent="0.3">
      <c r="B1119"/>
      <c r="C1119"/>
      <c r="D1119"/>
      <c r="E1119"/>
      <c r="F1119"/>
      <c r="H1119"/>
      <c r="I1119"/>
      <c r="J1119"/>
      <c r="K1119"/>
      <c r="L1119"/>
    </row>
    <row r="1120" spans="2:12" ht="14.4" x14ac:dyDescent="0.3">
      <c r="B1120"/>
      <c r="C1120"/>
      <c r="D1120"/>
      <c r="E1120"/>
      <c r="F1120"/>
      <c r="H1120"/>
      <c r="I1120"/>
      <c r="J1120"/>
      <c r="K1120"/>
      <c r="L1120"/>
    </row>
    <row r="1121" spans="2:12" ht="14.4" x14ac:dyDescent="0.3">
      <c r="B1121"/>
      <c r="C1121"/>
      <c r="D1121"/>
      <c r="E1121"/>
      <c r="F1121"/>
      <c r="H1121"/>
      <c r="I1121"/>
      <c r="J1121"/>
      <c r="K1121"/>
      <c r="L1121"/>
    </row>
    <row r="1122" spans="2:12" ht="14.4" x14ac:dyDescent="0.3">
      <c r="B1122"/>
      <c r="C1122"/>
      <c r="D1122"/>
      <c r="E1122"/>
      <c r="F1122"/>
      <c r="H1122"/>
      <c r="I1122"/>
      <c r="J1122"/>
      <c r="K1122"/>
      <c r="L1122"/>
    </row>
    <row r="1123" spans="2:12" ht="14.4" x14ac:dyDescent="0.3">
      <c r="B1123"/>
      <c r="C1123"/>
      <c r="D1123"/>
      <c r="E1123"/>
      <c r="F1123"/>
      <c r="H1123"/>
      <c r="I1123"/>
      <c r="J1123"/>
      <c r="K1123"/>
      <c r="L1123"/>
    </row>
    <row r="1124" spans="2:12" ht="14.4" x14ac:dyDescent="0.3">
      <c r="B1124"/>
      <c r="C1124"/>
      <c r="D1124"/>
      <c r="E1124"/>
      <c r="F1124"/>
      <c r="H1124"/>
      <c r="I1124"/>
      <c r="J1124"/>
      <c r="K1124"/>
      <c r="L1124"/>
    </row>
    <row r="1125" spans="2:12" ht="14.4" x14ac:dyDescent="0.3">
      <c r="B1125"/>
      <c r="C1125"/>
      <c r="D1125"/>
      <c r="E1125"/>
      <c r="F1125"/>
      <c r="H1125"/>
      <c r="I1125"/>
      <c r="J1125"/>
      <c r="K1125"/>
      <c r="L1125"/>
    </row>
    <row r="1126" spans="2:12" ht="14.4" x14ac:dyDescent="0.3">
      <c r="B1126"/>
      <c r="C1126"/>
      <c r="D1126"/>
      <c r="E1126"/>
      <c r="F1126"/>
      <c r="H1126"/>
      <c r="I1126"/>
      <c r="J1126"/>
      <c r="K1126"/>
      <c r="L1126"/>
    </row>
    <row r="1127" spans="2:12" ht="14.4" x14ac:dyDescent="0.3">
      <c r="B1127"/>
      <c r="C1127"/>
      <c r="D1127"/>
      <c r="E1127"/>
      <c r="F1127"/>
      <c r="H1127"/>
      <c r="I1127"/>
      <c r="J1127"/>
      <c r="K1127"/>
      <c r="L1127"/>
    </row>
    <row r="1128" spans="2:12" ht="14.4" x14ac:dyDescent="0.3">
      <c r="B1128"/>
      <c r="C1128"/>
      <c r="D1128"/>
      <c r="E1128"/>
      <c r="F1128"/>
      <c r="H1128"/>
      <c r="I1128"/>
      <c r="J1128"/>
      <c r="K1128"/>
      <c r="L1128"/>
    </row>
    <row r="1129" spans="2:12" ht="14.4" x14ac:dyDescent="0.3">
      <c r="B1129"/>
      <c r="C1129"/>
      <c r="D1129"/>
      <c r="E1129"/>
      <c r="F1129"/>
      <c r="H1129"/>
      <c r="I1129"/>
      <c r="J1129"/>
      <c r="K1129"/>
      <c r="L1129"/>
    </row>
    <row r="1130" spans="2:12" ht="14.4" x14ac:dyDescent="0.3">
      <c r="B1130"/>
      <c r="C1130"/>
      <c r="D1130"/>
      <c r="E1130"/>
      <c r="F1130"/>
      <c r="H1130"/>
      <c r="I1130"/>
      <c r="J1130"/>
      <c r="K1130"/>
      <c r="L1130"/>
    </row>
    <row r="1131" spans="2:12" ht="14.4" x14ac:dyDescent="0.3">
      <c r="B1131"/>
      <c r="C1131"/>
      <c r="D1131"/>
      <c r="E1131"/>
      <c r="F1131"/>
      <c r="H1131"/>
      <c r="I1131"/>
      <c r="J1131"/>
      <c r="K1131"/>
      <c r="L1131"/>
    </row>
    <row r="1132" spans="2:12" ht="14.4" x14ac:dyDescent="0.3">
      <c r="B1132"/>
      <c r="C1132"/>
      <c r="D1132"/>
      <c r="E1132"/>
      <c r="F1132"/>
      <c r="H1132"/>
      <c r="I1132"/>
      <c r="J1132"/>
      <c r="K1132"/>
      <c r="L1132"/>
    </row>
    <row r="1133" spans="2:12" ht="14.4" x14ac:dyDescent="0.3">
      <c r="B1133"/>
      <c r="C1133"/>
      <c r="D1133"/>
      <c r="E1133"/>
      <c r="F1133"/>
      <c r="H1133"/>
      <c r="I1133"/>
      <c r="J1133"/>
      <c r="K1133"/>
      <c r="L1133"/>
    </row>
    <row r="1134" spans="2:12" ht="14.4" x14ac:dyDescent="0.3">
      <c r="B1134"/>
      <c r="C1134"/>
      <c r="D1134"/>
      <c r="E1134"/>
      <c r="F1134"/>
      <c r="H1134"/>
      <c r="I1134"/>
      <c r="J1134"/>
      <c r="K1134"/>
      <c r="L1134"/>
    </row>
    <row r="1135" spans="2:12" ht="14.4" x14ac:dyDescent="0.3">
      <c r="B1135"/>
      <c r="C1135"/>
      <c r="D1135"/>
      <c r="E1135"/>
      <c r="F1135"/>
      <c r="H1135"/>
      <c r="I1135"/>
      <c r="J1135"/>
      <c r="K1135"/>
      <c r="L1135"/>
    </row>
    <row r="1136" spans="2:12" ht="14.4" x14ac:dyDescent="0.3">
      <c r="B1136"/>
      <c r="C1136"/>
      <c r="D1136"/>
      <c r="E1136"/>
      <c r="F1136"/>
      <c r="H1136"/>
      <c r="I1136"/>
      <c r="J1136"/>
      <c r="K1136"/>
      <c r="L1136"/>
    </row>
    <row r="1137" spans="2:12" ht="14.4" x14ac:dyDescent="0.3">
      <c r="B1137"/>
      <c r="C1137"/>
      <c r="D1137"/>
      <c r="E1137"/>
      <c r="F1137"/>
      <c r="H1137"/>
      <c r="I1137"/>
      <c r="J1137"/>
      <c r="K1137"/>
      <c r="L1137"/>
    </row>
    <row r="1138" spans="2:12" ht="14.4" x14ac:dyDescent="0.3">
      <c r="B1138"/>
      <c r="C1138"/>
      <c r="D1138"/>
      <c r="E1138"/>
      <c r="F1138"/>
      <c r="H1138"/>
      <c r="I1138"/>
      <c r="J1138"/>
      <c r="K1138"/>
      <c r="L1138"/>
    </row>
    <row r="1139" spans="2:12" ht="14.4" x14ac:dyDescent="0.3">
      <c r="B1139"/>
      <c r="C1139"/>
      <c r="D1139"/>
      <c r="E1139"/>
      <c r="F1139"/>
      <c r="H1139"/>
      <c r="I1139"/>
      <c r="J1139"/>
      <c r="K1139"/>
      <c r="L1139"/>
    </row>
    <row r="1140" spans="2:12" ht="14.4" x14ac:dyDescent="0.3">
      <c r="B1140"/>
      <c r="C1140"/>
      <c r="D1140"/>
      <c r="E1140"/>
      <c r="F1140"/>
      <c r="H1140"/>
      <c r="I1140"/>
      <c r="J1140"/>
      <c r="K1140"/>
      <c r="L1140"/>
    </row>
    <row r="1141" spans="2:12" ht="14.4" x14ac:dyDescent="0.3">
      <c r="B1141"/>
      <c r="C1141"/>
      <c r="D1141"/>
      <c r="E1141"/>
      <c r="F1141"/>
      <c r="H1141"/>
      <c r="I1141"/>
      <c r="J1141"/>
      <c r="K1141"/>
      <c r="L1141"/>
    </row>
    <row r="1142" spans="2:12" ht="14.4" x14ac:dyDescent="0.3">
      <c r="B1142"/>
      <c r="C1142"/>
      <c r="D1142"/>
      <c r="E1142"/>
      <c r="F1142"/>
      <c r="H1142"/>
      <c r="I1142"/>
      <c r="J1142"/>
      <c r="K1142"/>
      <c r="L1142"/>
    </row>
    <row r="1143" spans="2:12" ht="14.4" x14ac:dyDescent="0.3">
      <c r="B1143"/>
      <c r="C1143"/>
      <c r="D1143"/>
      <c r="E1143"/>
      <c r="F1143"/>
      <c r="H1143"/>
      <c r="I1143"/>
      <c r="J1143"/>
      <c r="K1143"/>
      <c r="L1143"/>
    </row>
    <row r="1144" spans="2:12" ht="14.4" x14ac:dyDescent="0.3">
      <c r="B1144"/>
      <c r="C1144"/>
      <c r="D1144"/>
      <c r="E1144"/>
      <c r="F1144"/>
      <c r="H1144"/>
      <c r="I1144"/>
      <c r="J1144"/>
      <c r="K1144"/>
      <c r="L1144"/>
    </row>
    <row r="1145" spans="2:12" ht="14.4" x14ac:dyDescent="0.3">
      <c r="B1145"/>
      <c r="C1145"/>
      <c r="D1145"/>
      <c r="E1145"/>
      <c r="F1145"/>
      <c r="H1145"/>
      <c r="I1145"/>
      <c r="J1145"/>
      <c r="K1145"/>
      <c r="L1145"/>
    </row>
    <row r="1146" spans="2:12" ht="14.4" x14ac:dyDescent="0.3">
      <c r="B1146"/>
      <c r="C1146"/>
      <c r="D1146"/>
      <c r="E1146"/>
      <c r="F1146"/>
      <c r="H1146"/>
      <c r="I1146"/>
      <c r="J1146"/>
      <c r="K1146"/>
      <c r="L1146"/>
    </row>
    <row r="1147" spans="2:12" ht="14.4" x14ac:dyDescent="0.3">
      <c r="B1147"/>
      <c r="C1147"/>
      <c r="D1147"/>
      <c r="E1147"/>
      <c r="F1147"/>
      <c r="H1147"/>
      <c r="I1147"/>
      <c r="J1147"/>
      <c r="K1147"/>
      <c r="L1147"/>
    </row>
    <row r="1148" spans="2:12" ht="14.4" x14ac:dyDescent="0.3">
      <c r="B1148"/>
      <c r="C1148"/>
      <c r="D1148"/>
      <c r="E1148"/>
      <c r="F1148"/>
      <c r="H1148"/>
      <c r="I1148"/>
      <c r="J1148"/>
      <c r="K1148"/>
      <c r="L1148"/>
    </row>
    <row r="1149" spans="2:12" ht="14.4" x14ac:dyDescent="0.3">
      <c r="B1149"/>
      <c r="C1149"/>
      <c r="D1149"/>
      <c r="E1149"/>
      <c r="F1149"/>
      <c r="H1149"/>
      <c r="I1149"/>
      <c r="J1149"/>
      <c r="K1149"/>
      <c r="L1149"/>
    </row>
    <row r="1150" spans="2:12" ht="14.4" x14ac:dyDescent="0.3">
      <c r="B1150"/>
      <c r="C1150"/>
      <c r="D1150"/>
      <c r="E1150"/>
      <c r="F1150"/>
      <c r="H1150"/>
      <c r="I1150"/>
      <c r="J1150"/>
      <c r="K1150"/>
      <c r="L1150"/>
    </row>
    <row r="1151" spans="2:12" ht="14.4" x14ac:dyDescent="0.3">
      <c r="B1151"/>
      <c r="C1151"/>
      <c r="D1151"/>
      <c r="E1151"/>
      <c r="F1151"/>
      <c r="H1151"/>
      <c r="I1151"/>
      <c r="J1151"/>
      <c r="K1151"/>
      <c r="L1151"/>
    </row>
    <row r="1152" spans="2:12" ht="14.4" x14ac:dyDescent="0.3">
      <c r="B1152"/>
      <c r="C1152"/>
      <c r="D1152"/>
      <c r="E1152"/>
      <c r="F1152"/>
      <c r="H1152"/>
      <c r="I1152"/>
      <c r="J1152"/>
      <c r="K1152"/>
      <c r="L1152"/>
    </row>
    <row r="1153" spans="2:12" ht="14.4" x14ac:dyDescent="0.3">
      <c r="B1153"/>
      <c r="C1153"/>
      <c r="D1153"/>
      <c r="E1153"/>
      <c r="F1153"/>
      <c r="H1153"/>
      <c r="I1153"/>
      <c r="J1153"/>
      <c r="K1153"/>
      <c r="L1153"/>
    </row>
    <row r="1154" spans="2:12" ht="14.4" x14ac:dyDescent="0.3">
      <c r="B1154"/>
      <c r="C1154"/>
      <c r="D1154"/>
      <c r="E1154"/>
      <c r="F1154"/>
      <c r="H1154"/>
      <c r="I1154"/>
      <c r="J1154"/>
      <c r="K1154"/>
      <c r="L1154"/>
    </row>
    <row r="1155" spans="2:12" ht="14.4" x14ac:dyDescent="0.3">
      <c r="B1155"/>
      <c r="C1155"/>
      <c r="D1155"/>
      <c r="E1155"/>
      <c r="F1155"/>
      <c r="H1155"/>
      <c r="I1155"/>
      <c r="J1155"/>
      <c r="K1155"/>
      <c r="L1155"/>
    </row>
    <row r="1156" spans="2:12" ht="14.4" x14ac:dyDescent="0.3">
      <c r="B1156"/>
      <c r="C1156"/>
      <c r="D1156"/>
      <c r="E1156"/>
      <c r="F1156"/>
      <c r="H1156"/>
      <c r="I1156"/>
      <c r="J1156"/>
      <c r="K1156"/>
      <c r="L1156"/>
    </row>
    <row r="1157" spans="2:12" ht="14.4" x14ac:dyDescent="0.3">
      <c r="B1157"/>
      <c r="C1157"/>
      <c r="D1157"/>
      <c r="E1157"/>
      <c r="F1157"/>
      <c r="H1157"/>
      <c r="I1157"/>
      <c r="J1157"/>
      <c r="K1157"/>
      <c r="L1157"/>
    </row>
    <row r="1158" spans="2:12" ht="14.4" x14ac:dyDescent="0.3">
      <c r="B1158"/>
      <c r="C1158"/>
      <c r="D1158"/>
      <c r="E1158"/>
      <c r="F1158"/>
      <c r="H1158"/>
      <c r="I1158"/>
      <c r="J1158"/>
      <c r="K1158"/>
      <c r="L1158"/>
    </row>
    <row r="1159" spans="2:12" ht="14.4" x14ac:dyDescent="0.3">
      <c r="B1159"/>
      <c r="C1159"/>
      <c r="D1159"/>
      <c r="E1159"/>
      <c r="F1159"/>
      <c r="H1159"/>
      <c r="I1159"/>
      <c r="J1159"/>
      <c r="K1159"/>
      <c r="L1159"/>
    </row>
    <row r="1160" spans="2:12" ht="14.4" x14ac:dyDescent="0.3">
      <c r="B1160"/>
      <c r="C1160"/>
      <c r="D1160"/>
      <c r="E1160"/>
      <c r="F1160"/>
      <c r="H1160"/>
      <c r="I1160"/>
      <c r="J1160"/>
      <c r="K1160"/>
      <c r="L1160"/>
    </row>
    <row r="1161" spans="2:12" ht="14.4" x14ac:dyDescent="0.3">
      <c r="B1161"/>
      <c r="C1161"/>
      <c r="D1161"/>
      <c r="E1161"/>
      <c r="F1161"/>
      <c r="H1161"/>
      <c r="I1161"/>
      <c r="J1161"/>
      <c r="K1161"/>
      <c r="L1161"/>
    </row>
    <row r="1162" spans="2:12" ht="14.4" x14ac:dyDescent="0.3">
      <c r="B1162"/>
      <c r="C1162"/>
      <c r="D1162"/>
      <c r="E1162"/>
      <c r="F1162"/>
      <c r="H1162"/>
      <c r="I1162"/>
      <c r="J1162"/>
      <c r="K1162"/>
      <c r="L1162"/>
    </row>
    <row r="1163" spans="2:12" ht="14.4" x14ac:dyDescent="0.3">
      <c r="B1163"/>
      <c r="C1163"/>
      <c r="D1163"/>
      <c r="E1163"/>
      <c r="F1163"/>
      <c r="H1163"/>
      <c r="I1163"/>
      <c r="J1163"/>
      <c r="K1163"/>
      <c r="L1163"/>
    </row>
    <row r="1164" spans="2:12" ht="14.4" x14ac:dyDescent="0.3">
      <c r="B1164"/>
      <c r="C1164"/>
      <c r="D1164"/>
      <c r="E1164"/>
      <c r="F1164"/>
      <c r="H1164"/>
      <c r="I1164"/>
      <c r="J1164"/>
      <c r="K1164"/>
      <c r="L1164"/>
    </row>
    <row r="1165" spans="2:12" ht="14.4" x14ac:dyDescent="0.3">
      <c r="B1165"/>
      <c r="C1165"/>
      <c r="D1165"/>
      <c r="E1165"/>
      <c r="F1165"/>
      <c r="H1165"/>
      <c r="I1165"/>
      <c r="J1165"/>
      <c r="K1165"/>
      <c r="L1165"/>
    </row>
    <row r="1166" spans="2:12" ht="14.4" x14ac:dyDescent="0.3">
      <c r="B1166"/>
      <c r="C1166"/>
      <c r="D1166"/>
      <c r="E1166"/>
      <c r="F1166"/>
      <c r="H1166"/>
      <c r="I1166"/>
      <c r="J1166"/>
      <c r="K1166"/>
      <c r="L1166"/>
    </row>
    <row r="1167" spans="2:12" ht="14.4" x14ac:dyDescent="0.3">
      <c r="B1167"/>
      <c r="C1167"/>
      <c r="D1167"/>
      <c r="E1167"/>
      <c r="F1167"/>
      <c r="H1167"/>
      <c r="I1167"/>
      <c r="J1167"/>
      <c r="K1167"/>
      <c r="L1167"/>
    </row>
    <row r="1168" spans="2:12" ht="14.4" x14ac:dyDescent="0.3">
      <c r="B1168"/>
      <c r="C1168"/>
      <c r="D1168"/>
      <c r="E1168"/>
      <c r="F1168"/>
      <c r="H1168"/>
      <c r="I1168"/>
      <c r="J1168"/>
      <c r="K1168"/>
      <c r="L1168"/>
    </row>
    <row r="1169" spans="2:12" ht="14.4" x14ac:dyDescent="0.3">
      <c r="B1169"/>
      <c r="C1169"/>
      <c r="D1169"/>
      <c r="E1169"/>
      <c r="F1169"/>
      <c r="H1169"/>
      <c r="I1169"/>
      <c r="J1169"/>
      <c r="K1169"/>
      <c r="L1169"/>
    </row>
    <row r="1170" spans="2:12" ht="14.4" x14ac:dyDescent="0.3">
      <c r="B1170"/>
      <c r="C1170"/>
      <c r="D1170"/>
      <c r="E1170"/>
      <c r="F1170"/>
      <c r="H1170"/>
      <c r="I1170"/>
      <c r="J1170"/>
      <c r="K1170"/>
      <c r="L1170"/>
    </row>
    <row r="1171" spans="2:12" ht="14.4" x14ac:dyDescent="0.3">
      <c r="B1171"/>
      <c r="C1171"/>
      <c r="D1171"/>
      <c r="E1171"/>
      <c r="F1171"/>
      <c r="H1171"/>
      <c r="I1171"/>
      <c r="J1171"/>
      <c r="K1171"/>
      <c r="L1171"/>
    </row>
    <row r="1172" spans="2:12" ht="14.4" x14ac:dyDescent="0.3">
      <c r="B1172"/>
      <c r="C1172"/>
      <c r="D1172"/>
      <c r="E1172"/>
      <c r="F1172"/>
      <c r="H1172"/>
      <c r="I1172"/>
      <c r="J1172"/>
      <c r="K1172"/>
      <c r="L1172"/>
    </row>
    <row r="1173" spans="2:12" ht="14.4" x14ac:dyDescent="0.3">
      <c r="B1173"/>
      <c r="C1173"/>
      <c r="D1173"/>
      <c r="E1173"/>
      <c r="F1173"/>
      <c r="H1173"/>
      <c r="I1173"/>
      <c r="J1173"/>
      <c r="K1173"/>
      <c r="L1173"/>
    </row>
    <row r="1174" spans="2:12" ht="14.4" x14ac:dyDescent="0.3">
      <c r="B1174"/>
      <c r="C1174"/>
      <c r="D1174"/>
      <c r="E1174"/>
      <c r="F1174"/>
      <c r="H1174"/>
      <c r="I1174"/>
      <c r="J1174"/>
      <c r="K1174"/>
      <c r="L1174"/>
    </row>
    <row r="1175" spans="2:12" ht="14.4" x14ac:dyDescent="0.3">
      <c r="B1175"/>
      <c r="C1175"/>
      <c r="D1175"/>
      <c r="E1175"/>
      <c r="F1175"/>
      <c r="H1175"/>
      <c r="I1175"/>
      <c r="J1175"/>
      <c r="K1175"/>
      <c r="L1175"/>
    </row>
    <row r="1176" spans="2:12" ht="14.4" x14ac:dyDescent="0.3">
      <c r="B1176"/>
      <c r="C1176"/>
      <c r="D1176"/>
      <c r="E1176"/>
      <c r="F1176"/>
      <c r="H1176"/>
      <c r="I1176"/>
      <c r="J1176"/>
      <c r="K1176"/>
      <c r="L1176"/>
    </row>
    <row r="1177" spans="2:12" ht="14.4" x14ac:dyDescent="0.3">
      <c r="B1177"/>
      <c r="C1177"/>
      <c r="D1177"/>
      <c r="E1177"/>
      <c r="F1177"/>
      <c r="H1177"/>
      <c r="I1177"/>
      <c r="J1177"/>
      <c r="K1177"/>
      <c r="L1177"/>
    </row>
    <row r="1178" spans="2:12" ht="14.4" x14ac:dyDescent="0.3">
      <c r="B1178"/>
      <c r="C1178"/>
      <c r="D1178"/>
      <c r="E1178"/>
      <c r="F1178"/>
      <c r="H1178"/>
      <c r="I1178"/>
      <c r="J1178"/>
      <c r="K1178"/>
      <c r="L1178"/>
    </row>
    <row r="1179" spans="2:12" ht="14.4" x14ac:dyDescent="0.3">
      <c r="B1179"/>
      <c r="C1179"/>
      <c r="D1179"/>
      <c r="E1179"/>
      <c r="F1179"/>
      <c r="H1179"/>
      <c r="I1179"/>
      <c r="J1179"/>
      <c r="K1179"/>
      <c r="L1179"/>
    </row>
    <row r="1180" spans="2:12" ht="14.4" x14ac:dyDescent="0.3">
      <c r="B1180"/>
      <c r="C1180"/>
      <c r="D1180"/>
      <c r="E1180"/>
      <c r="F1180"/>
      <c r="H1180"/>
      <c r="I1180"/>
      <c r="J1180"/>
      <c r="K1180"/>
      <c r="L1180"/>
    </row>
    <row r="1181" spans="2:12" ht="14.4" x14ac:dyDescent="0.3">
      <c r="B1181"/>
      <c r="C1181"/>
      <c r="D1181"/>
      <c r="E1181"/>
      <c r="F1181"/>
      <c r="H1181"/>
      <c r="I1181"/>
      <c r="J1181"/>
      <c r="K1181"/>
      <c r="L1181"/>
    </row>
    <row r="1182" spans="2:12" ht="14.4" x14ac:dyDescent="0.3">
      <c r="B1182"/>
      <c r="C1182"/>
      <c r="D1182"/>
      <c r="E1182"/>
      <c r="F1182"/>
      <c r="H1182"/>
      <c r="I1182"/>
      <c r="J1182"/>
      <c r="K1182"/>
      <c r="L1182"/>
    </row>
    <row r="1183" spans="2:12" ht="14.4" x14ac:dyDescent="0.3">
      <c r="B1183"/>
      <c r="C1183"/>
      <c r="D1183"/>
      <c r="E1183"/>
      <c r="F1183"/>
      <c r="H1183"/>
      <c r="I1183"/>
      <c r="J1183"/>
      <c r="K1183"/>
      <c r="L1183"/>
    </row>
    <row r="1184" spans="2:12" ht="14.4" x14ac:dyDescent="0.3">
      <c r="B1184"/>
      <c r="C1184"/>
      <c r="D1184"/>
      <c r="E1184"/>
      <c r="F1184"/>
      <c r="H1184"/>
      <c r="I1184"/>
      <c r="J1184"/>
      <c r="K1184"/>
      <c r="L1184"/>
    </row>
    <row r="1185" spans="2:12" ht="14.4" x14ac:dyDescent="0.3">
      <c r="B1185"/>
      <c r="C1185"/>
      <c r="D1185"/>
      <c r="E1185"/>
      <c r="F1185"/>
      <c r="H1185"/>
      <c r="I1185"/>
      <c r="J1185"/>
      <c r="K1185"/>
      <c r="L1185"/>
    </row>
    <row r="1186" spans="2:12" ht="14.4" x14ac:dyDescent="0.3">
      <c r="B1186"/>
      <c r="C1186"/>
      <c r="D1186"/>
      <c r="E1186"/>
      <c r="F1186"/>
      <c r="H1186"/>
      <c r="I1186"/>
      <c r="J1186"/>
      <c r="K1186"/>
      <c r="L1186"/>
    </row>
    <row r="1187" spans="2:12" ht="14.4" x14ac:dyDescent="0.3">
      <c r="B1187"/>
      <c r="C1187"/>
      <c r="D1187"/>
      <c r="E1187"/>
      <c r="F1187"/>
      <c r="H1187"/>
      <c r="I1187"/>
      <c r="J1187"/>
      <c r="K1187"/>
      <c r="L1187"/>
    </row>
    <row r="1188" spans="2:12" ht="14.4" x14ac:dyDescent="0.3">
      <c r="B1188"/>
      <c r="C1188"/>
      <c r="D1188"/>
      <c r="E1188"/>
      <c r="F1188"/>
      <c r="H1188"/>
      <c r="I1188"/>
      <c r="J1188"/>
      <c r="K1188"/>
      <c r="L1188"/>
    </row>
    <row r="1189" spans="2:12" ht="14.4" x14ac:dyDescent="0.3">
      <c r="B1189"/>
      <c r="C1189"/>
      <c r="D1189"/>
      <c r="E1189"/>
      <c r="F1189"/>
      <c r="H1189"/>
      <c r="I1189"/>
      <c r="J1189"/>
      <c r="K1189"/>
      <c r="L1189"/>
    </row>
    <row r="1190" spans="2:12" ht="14.4" x14ac:dyDescent="0.3">
      <c r="B1190"/>
      <c r="C1190"/>
      <c r="D1190"/>
      <c r="E1190"/>
      <c r="F1190"/>
      <c r="H1190"/>
      <c r="I1190"/>
      <c r="J1190"/>
      <c r="K1190"/>
      <c r="L1190"/>
    </row>
    <row r="1191" spans="2:12" ht="14.4" x14ac:dyDescent="0.3">
      <c r="B1191"/>
      <c r="C1191"/>
      <c r="D1191"/>
      <c r="E1191"/>
      <c r="F1191"/>
      <c r="H1191"/>
      <c r="I1191"/>
      <c r="J1191"/>
      <c r="K1191"/>
      <c r="L1191"/>
    </row>
    <row r="1192" spans="2:12" ht="14.4" x14ac:dyDescent="0.3">
      <c r="B1192"/>
      <c r="C1192"/>
      <c r="D1192"/>
      <c r="E1192"/>
      <c r="F1192"/>
      <c r="H1192"/>
      <c r="I1192"/>
      <c r="J1192"/>
      <c r="K1192"/>
      <c r="L1192"/>
    </row>
    <row r="1193" spans="2:12" ht="14.4" x14ac:dyDescent="0.3">
      <c r="B1193"/>
      <c r="C1193"/>
      <c r="D1193"/>
      <c r="E1193"/>
      <c r="F1193"/>
      <c r="H1193"/>
      <c r="I1193"/>
      <c r="J1193"/>
      <c r="K1193"/>
      <c r="L1193"/>
    </row>
    <row r="1194" spans="2:12" ht="14.4" x14ac:dyDescent="0.3">
      <c r="B1194"/>
      <c r="C1194"/>
      <c r="D1194"/>
      <c r="E1194"/>
      <c r="F1194"/>
      <c r="H1194"/>
      <c r="I1194"/>
      <c r="J1194"/>
      <c r="K1194"/>
      <c r="L1194"/>
    </row>
    <row r="1195" spans="2:12" ht="14.4" x14ac:dyDescent="0.3">
      <c r="B1195"/>
      <c r="C1195"/>
      <c r="D1195"/>
      <c r="E1195"/>
      <c r="F1195"/>
      <c r="H1195"/>
      <c r="I1195"/>
      <c r="J1195"/>
      <c r="K1195"/>
      <c r="L1195"/>
    </row>
    <row r="1196" spans="2:12" ht="14.4" x14ac:dyDescent="0.3">
      <c r="B1196"/>
      <c r="C1196"/>
      <c r="D1196"/>
      <c r="E1196"/>
      <c r="F1196"/>
      <c r="H1196"/>
      <c r="I1196"/>
      <c r="J1196"/>
      <c r="K1196"/>
      <c r="L1196"/>
    </row>
    <row r="1197" spans="2:12" ht="14.4" x14ac:dyDescent="0.3">
      <c r="B1197"/>
      <c r="C1197"/>
      <c r="D1197"/>
      <c r="E1197"/>
      <c r="F1197"/>
      <c r="H1197"/>
      <c r="I1197"/>
      <c r="J1197"/>
      <c r="K1197"/>
      <c r="L1197"/>
    </row>
    <row r="1198" spans="2:12" ht="14.4" x14ac:dyDescent="0.3">
      <c r="B1198"/>
      <c r="C1198"/>
      <c r="D1198"/>
      <c r="E1198"/>
      <c r="F1198"/>
      <c r="H1198"/>
      <c r="I1198"/>
      <c r="J1198"/>
      <c r="K1198"/>
      <c r="L1198"/>
    </row>
    <row r="1199" spans="2:12" ht="14.4" x14ac:dyDescent="0.3">
      <c r="B1199"/>
      <c r="C1199"/>
      <c r="D1199"/>
      <c r="E1199"/>
      <c r="F1199"/>
      <c r="H1199"/>
      <c r="I1199"/>
      <c r="J1199"/>
      <c r="K1199"/>
      <c r="L1199"/>
    </row>
    <row r="1200" spans="2:12" ht="14.4" x14ac:dyDescent="0.3">
      <c r="B1200"/>
      <c r="C1200"/>
      <c r="D1200"/>
      <c r="E1200"/>
      <c r="F1200"/>
      <c r="H1200"/>
      <c r="I1200"/>
      <c r="J1200"/>
      <c r="K1200"/>
      <c r="L1200"/>
    </row>
    <row r="1201" spans="2:12" ht="14.4" x14ac:dyDescent="0.3">
      <c r="B1201"/>
      <c r="C1201"/>
      <c r="D1201"/>
      <c r="E1201"/>
      <c r="F1201"/>
      <c r="H1201"/>
      <c r="I1201"/>
      <c r="J1201"/>
      <c r="K1201"/>
      <c r="L1201"/>
    </row>
    <row r="1202" spans="2:12" ht="14.4" x14ac:dyDescent="0.3">
      <c r="B1202"/>
      <c r="C1202"/>
      <c r="D1202"/>
      <c r="E1202"/>
      <c r="F1202"/>
      <c r="H1202"/>
      <c r="I1202"/>
      <c r="J1202"/>
      <c r="K1202"/>
      <c r="L1202"/>
    </row>
    <row r="1203" spans="2:12" ht="14.4" x14ac:dyDescent="0.3">
      <c r="B1203"/>
      <c r="C1203"/>
      <c r="D1203"/>
      <c r="E1203"/>
      <c r="F1203"/>
      <c r="H1203"/>
      <c r="I1203"/>
      <c r="J1203"/>
      <c r="K1203"/>
      <c r="L1203"/>
    </row>
    <row r="1204" spans="2:12" ht="14.4" x14ac:dyDescent="0.3">
      <c r="B1204"/>
      <c r="C1204"/>
      <c r="D1204"/>
      <c r="E1204"/>
      <c r="F1204"/>
      <c r="H1204"/>
      <c r="I1204"/>
      <c r="J1204"/>
      <c r="K1204"/>
      <c r="L1204"/>
    </row>
    <row r="1205" spans="2:12" ht="14.4" x14ac:dyDescent="0.3">
      <c r="B1205"/>
      <c r="C1205"/>
      <c r="D1205"/>
      <c r="E1205"/>
      <c r="F1205"/>
      <c r="H1205"/>
      <c r="I1205"/>
      <c r="J1205"/>
      <c r="K1205"/>
      <c r="L1205"/>
    </row>
    <row r="1206" spans="2:12" ht="14.4" x14ac:dyDescent="0.3">
      <c r="B1206"/>
      <c r="C1206"/>
      <c r="D1206"/>
      <c r="E1206"/>
      <c r="F1206"/>
      <c r="H1206"/>
      <c r="I1206"/>
      <c r="J1206"/>
      <c r="K1206"/>
      <c r="L1206"/>
    </row>
    <row r="1207" spans="2:12" ht="14.4" x14ac:dyDescent="0.3">
      <c r="B1207"/>
      <c r="C1207"/>
      <c r="D1207"/>
      <c r="E1207"/>
      <c r="F1207"/>
      <c r="H1207"/>
      <c r="I1207"/>
      <c r="J1207"/>
      <c r="K1207"/>
      <c r="L1207"/>
    </row>
    <row r="1208" spans="2:12" ht="14.4" x14ac:dyDescent="0.3">
      <c r="B1208"/>
      <c r="C1208"/>
      <c r="D1208"/>
      <c r="E1208"/>
      <c r="F1208"/>
      <c r="H1208"/>
      <c r="I1208"/>
      <c r="J1208"/>
      <c r="K1208"/>
      <c r="L1208"/>
    </row>
    <row r="1209" spans="2:12" ht="14.4" x14ac:dyDescent="0.3">
      <c r="B1209"/>
      <c r="C1209"/>
      <c r="D1209"/>
      <c r="E1209"/>
      <c r="F1209"/>
      <c r="H1209"/>
      <c r="I1209"/>
      <c r="J1209"/>
      <c r="K1209"/>
      <c r="L1209"/>
    </row>
    <row r="1210" spans="2:12" ht="14.4" x14ac:dyDescent="0.3">
      <c r="B1210"/>
      <c r="C1210"/>
      <c r="D1210"/>
      <c r="E1210"/>
      <c r="F1210"/>
      <c r="H1210"/>
      <c r="I1210"/>
      <c r="J1210"/>
      <c r="K1210"/>
      <c r="L1210"/>
    </row>
    <row r="1211" spans="2:12" ht="14.4" x14ac:dyDescent="0.3">
      <c r="B1211"/>
      <c r="C1211"/>
      <c r="D1211"/>
      <c r="E1211"/>
      <c r="F1211"/>
      <c r="H1211"/>
      <c r="I1211"/>
      <c r="J1211"/>
      <c r="K1211"/>
      <c r="L1211"/>
    </row>
    <row r="1212" spans="2:12" ht="14.4" x14ac:dyDescent="0.3">
      <c r="B1212"/>
      <c r="C1212"/>
      <c r="D1212"/>
      <c r="E1212"/>
      <c r="F1212"/>
      <c r="H1212"/>
      <c r="I1212"/>
      <c r="J1212"/>
      <c r="K1212"/>
      <c r="L1212"/>
    </row>
    <row r="1213" spans="2:12" ht="14.4" x14ac:dyDescent="0.3">
      <c r="B1213"/>
      <c r="C1213"/>
      <c r="D1213"/>
      <c r="E1213"/>
      <c r="F1213"/>
      <c r="H1213"/>
      <c r="I1213"/>
      <c r="J1213"/>
      <c r="K1213"/>
      <c r="L1213"/>
    </row>
    <row r="1214" spans="2:12" ht="14.4" x14ac:dyDescent="0.3">
      <c r="B1214"/>
      <c r="C1214"/>
      <c r="D1214"/>
      <c r="E1214"/>
      <c r="F1214"/>
      <c r="H1214"/>
      <c r="I1214"/>
      <c r="J1214"/>
      <c r="K1214"/>
      <c r="L1214"/>
    </row>
    <row r="1215" spans="2:12" ht="14.4" x14ac:dyDescent="0.3">
      <c r="B1215"/>
      <c r="C1215"/>
      <c r="D1215"/>
      <c r="E1215"/>
      <c r="F1215"/>
      <c r="H1215"/>
      <c r="I1215"/>
      <c r="J1215"/>
      <c r="K1215"/>
      <c r="L1215"/>
    </row>
    <row r="1216" spans="2:12" ht="14.4" x14ac:dyDescent="0.3">
      <c r="B1216"/>
      <c r="C1216"/>
      <c r="D1216"/>
      <c r="E1216"/>
      <c r="F1216"/>
      <c r="H1216"/>
      <c r="I1216"/>
      <c r="J1216"/>
      <c r="K1216"/>
      <c r="L1216"/>
    </row>
    <row r="1217" spans="2:12" ht="14.4" x14ac:dyDescent="0.3">
      <c r="B1217"/>
      <c r="C1217"/>
      <c r="D1217"/>
      <c r="E1217"/>
      <c r="F1217"/>
      <c r="H1217"/>
      <c r="I1217"/>
      <c r="J1217"/>
      <c r="K1217"/>
      <c r="L1217"/>
    </row>
    <row r="1218" spans="2:12" ht="14.4" x14ac:dyDescent="0.3">
      <c r="B1218"/>
      <c r="C1218"/>
      <c r="D1218"/>
      <c r="E1218"/>
      <c r="F1218"/>
      <c r="H1218"/>
      <c r="I1218"/>
      <c r="J1218"/>
      <c r="K1218"/>
      <c r="L1218"/>
    </row>
    <row r="1219" spans="2:12" ht="14.4" x14ac:dyDescent="0.3">
      <c r="B1219"/>
      <c r="C1219"/>
      <c r="D1219"/>
      <c r="E1219"/>
      <c r="F1219"/>
      <c r="H1219"/>
      <c r="I1219"/>
      <c r="J1219"/>
      <c r="K1219"/>
      <c r="L1219"/>
    </row>
    <row r="1220" spans="2:12" ht="14.4" x14ac:dyDescent="0.3">
      <c r="B1220"/>
      <c r="C1220"/>
      <c r="D1220"/>
      <c r="E1220"/>
      <c r="F1220"/>
      <c r="H1220"/>
      <c r="I1220"/>
      <c r="J1220"/>
      <c r="K1220"/>
      <c r="L1220"/>
    </row>
    <row r="1221" spans="2:12" ht="14.4" x14ac:dyDescent="0.3">
      <c r="B1221"/>
      <c r="C1221"/>
      <c r="D1221"/>
      <c r="E1221"/>
      <c r="F1221"/>
      <c r="H1221"/>
      <c r="I1221"/>
      <c r="J1221"/>
      <c r="K1221"/>
      <c r="L1221"/>
    </row>
    <row r="1222" spans="2:12" ht="14.4" x14ac:dyDescent="0.3">
      <c r="B1222"/>
      <c r="C1222"/>
      <c r="D1222"/>
      <c r="E1222"/>
      <c r="F1222"/>
      <c r="H1222"/>
      <c r="I1222"/>
      <c r="J1222"/>
      <c r="K1222"/>
      <c r="L1222"/>
    </row>
    <row r="1223" spans="2:12" ht="14.4" x14ac:dyDescent="0.3">
      <c r="B1223"/>
      <c r="C1223"/>
      <c r="D1223"/>
      <c r="E1223"/>
      <c r="F1223"/>
      <c r="H1223"/>
      <c r="I1223"/>
      <c r="J1223"/>
      <c r="K1223"/>
      <c r="L1223"/>
    </row>
    <row r="1224" spans="2:12" ht="14.4" x14ac:dyDescent="0.3">
      <c r="B1224"/>
      <c r="C1224"/>
      <c r="D1224"/>
      <c r="E1224"/>
      <c r="F1224"/>
      <c r="H1224"/>
      <c r="I1224"/>
      <c r="J1224"/>
      <c r="K1224"/>
      <c r="L1224"/>
    </row>
    <row r="1225" spans="2:12" ht="14.4" x14ac:dyDescent="0.3">
      <c r="B1225"/>
      <c r="C1225"/>
      <c r="D1225"/>
      <c r="E1225"/>
      <c r="F1225"/>
      <c r="H1225"/>
      <c r="I1225"/>
      <c r="J1225"/>
      <c r="K1225"/>
      <c r="L1225"/>
    </row>
    <row r="1226" spans="2:12" ht="14.4" x14ac:dyDescent="0.3">
      <c r="B1226"/>
      <c r="C1226"/>
      <c r="D1226"/>
      <c r="E1226"/>
      <c r="F1226"/>
      <c r="H1226"/>
      <c r="I1226"/>
      <c r="J1226"/>
      <c r="K1226"/>
      <c r="L1226"/>
    </row>
    <row r="1227" spans="2:12" ht="14.4" x14ac:dyDescent="0.3">
      <c r="B1227"/>
      <c r="C1227"/>
      <c r="D1227"/>
      <c r="E1227"/>
      <c r="F1227"/>
      <c r="H1227"/>
      <c r="I1227"/>
      <c r="J1227"/>
      <c r="K1227"/>
      <c r="L1227"/>
    </row>
    <row r="1228" spans="2:12" ht="14.4" x14ac:dyDescent="0.3">
      <c r="B1228"/>
      <c r="C1228"/>
      <c r="D1228"/>
      <c r="E1228"/>
      <c r="F1228"/>
      <c r="H1228"/>
      <c r="I1228"/>
      <c r="J1228"/>
      <c r="K1228"/>
      <c r="L1228"/>
    </row>
    <row r="1229" spans="2:12" ht="14.4" x14ac:dyDescent="0.3">
      <c r="B1229"/>
      <c r="C1229"/>
      <c r="D1229"/>
      <c r="E1229"/>
      <c r="F1229"/>
      <c r="H1229"/>
      <c r="I1229"/>
      <c r="J1229"/>
      <c r="K1229"/>
      <c r="L1229"/>
    </row>
    <row r="1230" spans="2:12" ht="14.4" x14ac:dyDescent="0.3">
      <c r="B1230"/>
      <c r="C1230"/>
      <c r="D1230"/>
      <c r="E1230"/>
      <c r="F1230"/>
      <c r="H1230"/>
      <c r="I1230"/>
      <c r="J1230"/>
      <c r="K1230"/>
      <c r="L1230"/>
    </row>
    <row r="1231" spans="2:12" ht="14.4" x14ac:dyDescent="0.3">
      <c r="B1231"/>
      <c r="C1231"/>
      <c r="D1231"/>
      <c r="E1231"/>
      <c r="F1231"/>
      <c r="H1231"/>
      <c r="I1231"/>
      <c r="J1231"/>
      <c r="K1231"/>
      <c r="L1231"/>
    </row>
    <row r="1232" spans="2:12" ht="14.4" x14ac:dyDescent="0.3">
      <c r="B1232"/>
      <c r="C1232"/>
      <c r="D1232"/>
      <c r="E1232"/>
      <c r="F1232"/>
      <c r="H1232"/>
      <c r="I1232"/>
      <c r="J1232"/>
      <c r="K1232"/>
      <c r="L1232"/>
    </row>
    <row r="1233" spans="2:12" ht="14.4" x14ac:dyDescent="0.3">
      <c r="B1233"/>
      <c r="C1233"/>
      <c r="D1233"/>
      <c r="E1233"/>
      <c r="F1233"/>
      <c r="H1233"/>
      <c r="I1233"/>
      <c r="J1233"/>
      <c r="K1233"/>
      <c r="L1233"/>
    </row>
    <row r="1234" spans="2:12" ht="14.4" x14ac:dyDescent="0.3">
      <c r="B1234"/>
      <c r="C1234"/>
      <c r="D1234"/>
      <c r="E1234"/>
      <c r="F1234"/>
      <c r="H1234"/>
      <c r="I1234"/>
      <c r="J1234"/>
      <c r="K1234"/>
      <c r="L1234"/>
    </row>
    <row r="1235" spans="2:12" ht="14.4" x14ac:dyDescent="0.3">
      <c r="B1235"/>
      <c r="C1235"/>
      <c r="D1235"/>
      <c r="E1235"/>
      <c r="F1235"/>
      <c r="H1235"/>
      <c r="I1235"/>
      <c r="J1235"/>
      <c r="K1235"/>
      <c r="L1235"/>
    </row>
    <row r="1236" spans="2:12" ht="14.4" x14ac:dyDescent="0.3">
      <c r="B1236"/>
      <c r="C1236"/>
      <c r="D1236"/>
      <c r="E1236"/>
      <c r="F1236"/>
      <c r="H1236"/>
      <c r="I1236"/>
      <c r="J1236"/>
      <c r="K1236"/>
      <c r="L1236"/>
    </row>
    <row r="1237" spans="2:12" ht="14.4" x14ac:dyDescent="0.3">
      <c r="B1237"/>
      <c r="C1237"/>
      <c r="D1237"/>
      <c r="E1237"/>
      <c r="F1237"/>
      <c r="H1237"/>
      <c r="I1237"/>
      <c r="J1237"/>
      <c r="K1237"/>
      <c r="L1237"/>
    </row>
    <row r="1238" spans="2:12" ht="14.4" x14ac:dyDescent="0.3">
      <c r="B1238"/>
      <c r="C1238"/>
      <c r="D1238"/>
      <c r="E1238"/>
      <c r="F1238"/>
      <c r="H1238"/>
      <c r="I1238"/>
      <c r="J1238"/>
      <c r="K1238"/>
      <c r="L1238"/>
    </row>
    <row r="1239" spans="2:12" ht="14.4" x14ac:dyDescent="0.3">
      <c r="B1239"/>
      <c r="C1239"/>
      <c r="D1239"/>
      <c r="E1239"/>
      <c r="F1239"/>
      <c r="H1239"/>
      <c r="I1239"/>
      <c r="J1239"/>
      <c r="K1239"/>
      <c r="L1239"/>
    </row>
    <row r="1240" spans="2:12" ht="14.4" x14ac:dyDescent="0.3">
      <c r="B1240"/>
      <c r="C1240"/>
      <c r="D1240"/>
      <c r="E1240"/>
      <c r="F1240"/>
      <c r="H1240"/>
      <c r="I1240"/>
      <c r="J1240"/>
      <c r="K1240"/>
      <c r="L1240"/>
    </row>
    <row r="1241" spans="2:12" ht="14.4" x14ac:dyDescent="0.3">
      <c r="B1241"/>
      <c r="C1241"/>
      <c r="D1241"/>
      <c r="E1241"/>
      <c r="F1241"/>
      <c r="H1241"/>
      <c r="I1241"/>
      <c r="J1241"/>
      <c r="K1241"/>
      <c r="L1241"/>
    </row>
    <row r="1242" spans="2:12" ht="14.4" x14ac:dyDescent="0.3">
      <c r="B1242"/>
      <c r="C1242"/>
      <c r="D1242"/>
      <c r="E1242"/>
      <c r="F1242"/>
      <c r="H1242"/>
      <c r="I1242"/>
      <c r="J1242"/>
      <c r="K1242"/>
      <c r="L1242"/>
    </row>
    <row r="1243" spans="2:12" ht="14.4" x14ac:dyDescent="0.3">
      <c r="B1243"/>
      <c r="C1243"/>
      <c r="D1243"/>
      <c r="E1243"/>
      <c r="F1243"/>
      <c r="H1243"/>
      <c r="I1243"/>
      <c r="J1243"/>
      <c r="K1243"/>
      <c r="L1243"/>
    </row>
    <row r="1244" spans="2:12" ht="14.4" x14ac:dyDescent="0.3">
      <c r="B1244"/>
      <c r="C1244"/>
      <c r="D1244"/>
      <c r="E1244"/>
      <c r="F1244"/>
      <c r="H1244"/>
      <c r="I1244"/>
      <c r="J1244"/>
      <c r="K1244"/>
      <c r="L1244"/>
    </row>
    <row r="1245" spans="2:12" ht="14.4" x14ac:dyDescent="0.3">
      <c r="B1245"/>
      <c r="C1245"/>
      <c r="D1245"/>
      <c r="E1245"/>
      <c r="F1245"/>
      <c r="H1245"/>
      <c r="I1245"/>
      <c r="J1245"/>
      <c r="K1245"/>
      <c r="L1245"/>
    </row>
    <row r="1246" spans="2:12" ht="14.4" x14ac:dyDescent="0.3">
      <c r="B1246"/>
      <c r="C1246"/>
      <c r="D1246"/>
      <c r="E1246"/>
      <c r="F1246"/>
      <c r="H1246"/>
      <c r="I1246"/>
      <c r="J1246"/>
      <c r="K1246"/>
      <c r="L1246"/>
    </row>
    <row r="1247" spans="2:12" ht="14.4" x14ac:dyDescent="0.3">
      <c r="B1247"/>
      <c r="C1247"/>
      <c r="D1247"/>
      <c r="E1247"/>
      <c r="F1247"/>
      <c r="H1247"/>
      <c r="I1247"/>
      <c r="J1247"/>
      <c r="K1247"/>
      <c r="L1247"/>
    </row>
    <row r="1248" spans="2:12" ht="14.4" x14ac:dyDescent="0.3">
      <c r="B1248"/>
      <c r="C1248"/>
      <c r="D1248"/>
      <c r="E1248"/>
      <c r="F1248"/>
      <c r="H1248"/>
      <c r="I1248"/>
      <c r="J1248"/>
      <c r="K1248"/>
      <c r="L1248"/>
    </row>
    <row r="1249" spans="2:12" ht="14.4" x14ac:dyDescent="0.3">
      <c r="B1249"/>
      <c r="C1249"/>
      <c r="D1249"/>
      <c r="E1249"/>
      <c r="F1249"/>
      <c r="H1249"/>
      <c r="I1249"/>
      <c r="J1249"/>
      <c r="K1249"/>
      <c r="L1249"/>
    </row>
    <row r="1250" spans="2:12" ht="14.4" x14ac:dyDescent="0.3">
      <c r="B1250"/>
      <c r="C1250"/>
      <c r="D1250"/>
      <c r="E1250"/>
      <c r="F1250"/>
      <c r="H1250"/>
      <c r="I1250"/>
      <c r="J1250"/>
      <c r="K1250"/>
      <c r="L1250"/>
    </row>
    <row r="1251" spans="2:12" ht="14.4" x14ac:dyDescent="0.3">
      <c r="B1251"/>
      <c r="C1251"/>
      <c r="D1251"/>
      <c r="E1251"/>
      <c r="F1251"/>
      <c r="H1251"/>
      <c r="I1251"/>
      <c r="J1251"/>
      <c r="K1251"/>
      <c r="L1251"/>
    </row>
    <row r="1252" spans="2:12" ht="14.4" x14ac:dyDescent="0.3">
      <c r="B1252"/>
      <c r="C1252"/>
      <c r="D1252"/>
      <c r="E1252"/>
      <c r="F1252"/>
      <c r="H1252"/>
      <c r="I1252"/>
      <c r="J1252"/>
      <c r="K1252"/>
      <c r="L1252"/>
    </row>
    <row r="1253" spans="2:12" ht="14.4" x14ac:dyDescent="0.3">
      <c r="B1253"/>
      <c r="C1253"/>
      <c r="D1253"/>
      <c r="E1253"/>
      <c r="F1253"/>
      <c r="H1253"/>
      <c r="I1253"/>
      <c r="J1253"/>
      <c r="K1253"/>
      <c r="L1253"/>
    </row>
    <row r="1254" spans="2:12" ht="14.4" x14ac:dyDescent="0.3">
      <c r="B1254"/>
      <c r="C1254"/>
      <c r="D1254"/>
      <c r="E1254"/>
      <c r="F1254"/>
      <c r="H1254"/>
      <c r="I1254"/>
      <c r="J1254"/>
      <c r="K1254"/>
      <c r="L1254"/>
    </row>
    <row r="1255" spans="2:12" ht="14.4" x14ac:dyDescent="0.3">
      <c r="B1255"/>
      <c r="C1255"/>
      <c r="D1255"/>
      <c r="E1255"/>
      <c r="F1255"/>
      <c r="H1255"/>
      <c r="I1255"/>
      <c r="J1255"/>
      <c r="K1255"/>
      <c r="L1255"/>
    </row>
    <row r="1256" spans="2:12" ht="14.4" x14ac:dyDescent="0.3">
      <c r="B1256"/>
      <c r="C1256"/>
      <c r="D1256"/>
      <c r="E1256"/>
      <c r="F1256"/>
      <c r="H1256"/>
      <c r="I1256"/>
      <c r="J1256"/>
      <c r="K1256"/>
      <c r="L1256"/>
    </row>
    <row r="1257" spans="2:12" ht="14.4" x14ac:dyDescent="0.3">
      <c r="B1257"/>
      <c r="C1257"/>
      <c r="D1257"/>
      <c r="E1257"/>
      <c r="F1257"/>
      <c r="H1257"/>
      <c r="I1257"/>
      <c r="J1257"/>
      <c r="K1257"/>
      <c r="L1257"/>
    </row>
    <row r="1258" spans="2:12" ht="14.4" x14ac:dyDescent="0.3">
      <c r="B1258"/>
      <c r="C1258"/>
      <c r="D1258"/>
      <c r="E1258"/>
      <c r="F1258"/>
      <c r="H1258"/>
      <c r="I1258"/>
      <c r="J1258"/>
      <c r="K1258"/>
      <c r="L1258"/>
    </row>
    <row r="1259" spans="2:12" ht="14.4" x14ac:dyDescent="0.3">
      <c r="B1259"/>
      <c r="C1259"/>
      <c r="D1259"/>
      <c r="E1259"/>
      <c r="F1259"/>
      <c r="H1259"/>
      <c r="I1259"/>
      <c r="J1259"/>
      <c r="K1259"/>
      <c r="L1259"/>
    </row>
    <row r="1260" spans="2:12" ht="14.4" x14ac:dyDescent="0.3">
      <c r="B1260"/>
      <c r="C1260"/>
      <c r="D1260"/>
      <c r="E1260"/>
      <c r="F1260"/>
      <c r="H1260"/>
      <c r="I1260"/>
      <c r="J1260"/>
      <c r="K1260"/>
      <c r="L1260"/>
    </row>
    <row r="1261" spans="2:12" ht="14.4" x14ac:dyDescent="0.3">
      <c r="B1261"/>
      <c r="C1261"/>
      <c r="D1261"/>
      <c r="E1261"/>
      <c r="F1261"/>
      <c r="H1261"/>
      <c r="I1261"/>
      <c r="J1261"/>
      <c r="K1261"/>
      <c r="L1261"/>
    </row>
    <row r="1262" spans="2:12" ht="14.4" x14ac:dyDescent="0.3">
      <c r="B1262"/>
      <c r="C1262"/>
      <c r="D1262"/>
      <c r="E1262"/>
      <c r="F1262"/>
      <c r="H1262"/>
      <c r="I1262"/>
      <c r="J1262"/>
      <c r="K1262"/>
      <c r="L1262"/>
    </row>
    <row r="1263" spans="2:12" ht="14.4" x14ac:dyDescent="0.3">
      <c r="B1263"/>
      <c r="C1263"/>
      <c r="D1263"/>
      <c r="E1263"/>
      <c r="F1263"/>
      <c r="H1263"/>
      <c r="I1263"/>
      <c r="J1263"/>
      <c r="K1263"/>
      <c r="L1263"/>
    </row>
    <row r="1264" spans="2:12" ht="14.4" x14ac:dyDescent="0.3">
      <c r="B1264"/>
      <c r="C1264"/>
      <c r="D1264"/>
      <c r="E1264"/>
      <c r="F1264"/>
      <c r="H1264"/>
      <c r="I1264"/>
      <c r="J1264"/>
      <c r="K1264"/>
      <c r="L1264"/>
    </row>
    <row r="1265" spans="2:12" ht="14.4" x14ac:dyDescent="0.3">
      <c r="B1265"/>
      <c r="C1265"/>
      <c r="D1265"/>
      <c r="E1265"/>
      <c r="F1265"/>
      <c r="H1265"/>
      <c r="I1265"/>
      <c r="J1265"/>
      <c r="K1265"/>
      <c r="L1265"/>
    </row>
    <row r="1266" spans="2:12" ht="14.4" x14ac:dyDescent="0.3">
      <c r="B1266"/>
      <c r="C1266"/>
      <c r="D1266"/>
      <c r="E1266"/>
      <c r="F1266"/>
      <c r="H1266"/>
      <c r="I1266"/>
      <c r="J1266"/>
      <c r="K1266"/>
      <c r="L1266"/>
    </row>
    <row r="1267" spans="2:12" ht="14.4" x14ac:dyDescent="0.3">
      <c r="B1267"/>
      <c r="C1267"/>
      <c r="D1267"/>
      <c r="E1267"/>
      <c r="F1267"/>
      <c r="H1267"/>
      <c r="I1267"/>
      <c r="J1267"/>
      <c r="K1267"/>
      <c r="L1267"/>
    </row>
    <row r="1268" spans="2:12" ht="14.4" x14ac:dyDescent="0.3">
      <c r="B1268"/>
      <c r="C1268"/>
      <c r="D1268"/>
      <c r="E1268"/>
      <c r="F1268"/>
      <c r="H1268"/>
      <c r="I1268"/>
      <c r="J1268"/>
      <c r="K1268"/>
      <c r="L1268"/>
    </row>
    <row r="1269" spans="2:12" ht="14.4" x14ac:dyDescent="0.3">
      <c r="B1269"/>
      <c r="C1269"/>
      <c r="D1269"/>
      <c r="E1269"/>
      <c r="F1269"/>
      <c r="H1269"/>
      <c r="I1269"/>
      <c r="J1269"/>
      <c r="K1269"/>
      <c r="L1269"/>
    </row>
    <row r="1270" spans="2:12" ht="14.4" x14ac:dyDescent="0.3">
      <c r="B1270"/>
      <c r="C1270"/>
      <c r="D1270"/>
      <c r="E1270"/>
      <c r="F1270"/>
      <c r="H1270"/>
      <c r="I1270"/>
      <c r="J1270"/>
      <c r="K1270"/>
      <c r="L1270"/>
    </row>
    <row r="1271" spans="2:12" ht="14.4" x14ac:dyDescent="0.3">
      <c r="B1271"/>
      <c r="C1271"/>
      <c r="D1271"/>
      <c r="E1271"/>
      <c r="F1271"/>
      <c r="H1271"/>
      <c r="I1271"/>
      <c r="J1271"/>
      <c r="K1271"/>
      <c r="L1271"/>
    </row>
    <row r="1272" spans="2:12" ht="14.4" x14ac:dyDescent="0.3">
      <c r="B1272"/>
      <c r="C1272"/>
      <c r="D1272"/>
      <c r="E1272"/>
      <c r="F1272"/>
      <c r="H1272"/>
      <c r="I1272"/>
      <c r="J1272"/>
      <c r="K1272"/>
      <c r="L1272"/>
    </row>
    <row r="1273" spans="2:12" ht="14.4" x14ac:dyDescent="0.3">
      <c r="B1273"/>
      <c r="C1273"/>
      <c r="D1273"/>
      <c r="E1273"/>
      <c r="F1273"/>
      <c r="H1273"/>
      <c r="I1273"/>
      <c r="J1273"/>
      <c r="K1273"/>
      <c r="L1273"/>
    </row>
    <row r="1274" spans="2:12" ht="14.4" x14ac:dyDescent="0.3">
      <c r="B1274"/>
      <c r="C1274"/>
      <c r="D1274"/>
      <c r="E1274"/>
      <c r="F1274"/>
      <c r="H1274"/>
      <c r="I1274"/>
      <c r="J1274"/>
      <c r="K1274"/>
      <c r="L1274"/>
    </row>
    <row r="1275" spans="2:12" ht="14.4" x14ac:dyDescent="0.3">
      <c r="B1275"/>
      <c r="C1275"/>
      <c r="D1275"/>
      <c r="E1275"/>
      <c r="F1275"/>
      <c r="H1275"/>
      <c r="I1275"/>
      <c r="J1275"/>
      <c r="K1275"/>
      <c r="L1275"/>
    </row>
    <row r="1276" spans="2:12" ht="14.4" x14ac:dyDescent="0.3">
      <c r="B1276"/>
      <c r="C1276"/>
      <c r="D1276"/>
      <c r="E1276"/>
      <c r="F1276"/>
      <c r="H1276"/>
      <c r="I1276"/>
      <c r="J1276"/>
      <c r="K1276"/>
      <c r="L1276"/>
    </row>
    <row r="1277" spans="2:12" ht="14.4" x14ac:dyDescent="0.3">
      <c r="B1277"/>
      <c r="C1277"/>
      <c r="D1277"/>
      <c r="E1277"/>
      <c r="F1277"/>
      <c r="H1277"/>
      <c r="I1277"/>
      <c r="J1277"/>
      <c r="K1277"/>
      <c r="L1277"/>
    </row>
    <row r="1278" spans="2:12" ht="14.4" x14ac:dyDescent="0.3">
      <c r="B1278"/>
      <c r="C1278"/>
      <c r="D1278"/>
      <c r="E1278"/>
      <c r="F1278"/>
      <c r="H1278"/>
      <c r="I1278"/>
      <c r="J1278"/>
      <c r="K1278"/>
      <c r="L1278"/>
    </row>
    <row r="1279" spans="2:12" ht="14.4" x14ac:dyDescent="0.3">
      <c r="B1279"/>
      <c r="C1279"/>
      <c r="D1279"/>
      <c r="E1279"/>
      <c r="F1279"/>
      <c r="H1279"/>
      <c r="I1279"/>
      <c r="J1279"/>
      <c r="K1279"/>
      <c r="L1279"/>
    </row>
    <row r="1280" spans="2:12" ht="14.4" x14ac:dyDescent="0.3">
      <c r="B1280"/>
      <c r="C1280"/>
      <c r="D1280"/>
      <c r="E1280"/>
      <c r="F1280"/>
      <c r="H1280"/>
      <c r="I1280"/>
      <c r="J1280"/>
      <c r="K1280"/>
      <c r="L1280"/>
    </row>
    <row r="1281" spans="2:12" ht="14.4" x14ac:dyDescent="0.3">
      <c r="B1281"/>
      <c r="C1281"/>
      <c r="D1281"/>
      <c r="E1281"/>
      <c r="F1281"/>
      <c r="H1281"/>
      <c r="I1281"/>
      <c r="J1281"/>
      <c r="K1281"/>
      <c r="L1281"/>
    </row>
    <row r="1282" spans="2:12" ht="14.4" x14ac:dyDescent="0.3">
      <c r="B1282"/>
      <c r="C1282"/>
      <c r="D1282"/>
      <c r="E1282"/>
      <c r="F1282"/>
      <c r="H1282"/>
      <c r="I1282"/>
      <c r="J1282"/>
      <c r="K1282"/>
      <c r="L1282"/>
    </row>
    <row r="1283" spans="2:12" ht="14.4" x14ac:dyDescent="0.3">
      <c r="B1283"/>
      <c r="C1283"/>
      <c r="D1283"/>
      <c r="E1283"/>
      <c r="F1283"/>
      <c r="H1283"/>
      <c r="I1283"/>
      <c r="J1283"/>
      <c r="K1283"/>
      <c r="L1283"/>
    </row>
    <row r="1284" spans="2:12" ht="14.4" x14ac:dyDescent="0.3">
      <c r="B1284"/>
      <c r="C1284"/>
      <c r="D1284"/>
      <c r="E1284"/>
      <c r="F1284"/>
      <c r="H1284"/>
      <c r="I1284"/>
      <c r="J1284"/>
      <c r="K1284"/>
      <c r="L1284"/>
    </row>
    <row r="1285" spans="2:12" ht="14.4" x14ac:dyDescent="0.3">
      <c r="B1285"/>
      <c r="C1285"/>
      <c r="D1285"/>
      <c r="E1285"/>
      <c r="F1285"/>
      <c r="H1285"/>
      <c r="I1285"/>
      <c r="J1285"/>
      <c r="K1285"/>
      <c r="L1285"/>
    </row>
    <row r="1286" spans="2:12" ht="14.4" x14ac:dyDescent="0.3">
      <c r="B1286"/>
      <c r="C1286"/>
      <c r="D1286"/>
      <c r="E1286"/>
      <c r="F1286"/>
      <c r="H1286"/>
      <c r="I1286"/>
      <c r="J1286"/>
      <c r="K1286"/>
      <c r="L1286"/>
    </row>
    <row r="1287" spans="2:12" ht="14.4" x14ac:dyDescent="0.3">
      <c r="B1287"/>
      <c r="C1287"/>
      <c r="D1287"/>
      <c r="E1287"/>
      <c r="F1287"/>
      <c r="H1287"/>
      <c r="I1287"/>
      <c r="J1287"/>
      <c r="K1287"/>
      <c r="L1287"/>
    </row>
    <row r="1288" spans="2:12" ht="14.4" x14ac:dyDescent="0.3">
      <c r="B1288"/>
      <c r="C1288"/>
      <c r="D1288"/>
      <c r="E1288"/>
      <c r="F1288"/>
      <c r="H1288"/>
      <c r="I1288"/>
      <c r="J1288"/>
      <c r="K1288"/>
      <c r="L1288"/>
    </row>
    <row r="1289" spans="2:12" ht="14.4" x14ac:dyDescent="0.3">
      <c r="B1289"/>
      <c r="C1289"/>
      <c r="D1289"/>
      <c r="E1289"/>
      <c r="F1289"/>
      <c r="H1289"/>
      <c r="I1289"/>
      <c r="J1289"/>
      <c r="K1289"/>
      <c r="L1289"/>
    </row>
    <row r="1290" spans="2:12" ht="14.4" x14ac:dyDescent="0.3">
      <c r="B1290"/>
      <c r="C1290"/>
      <c r="D1290"/>
      <c r="E1290"/>
      <c r="F1290"/>
      <c r="H1290"/>
      <c r="I1290"/>
      <c r="J1290"/>
      <c r="K1290"/>
      <c r="L1290"/>
    </row>
    <row r="1291" spans="2:12" ht="14.4" x14ac:dyDescent="0.3">
      <c r="B1291"/>
      <c r="C1291"/>
      <c r="D1291"/>
      <c r="E1291"/>
      <c r="F1291"/>
      <c r="H1291"/>
      <c r="I1291"/>
      <c r="J1291"/>
      <c r="K1291"/>
      <c r="L1291"/>
    </row>
    <row r="1292" spans="2:12" ht="14.4" x14ac:dyDescent="0.3">
      <c r="B1292"/>
      <c r="C1292"/>
      <c r="D1292"/>
      <c r="E1292"/>
      <c r="F1292"/>
      <c r="H1292"/>
      <c r="I1292"/>
      <c r="J1292"/>
      <c r="K1292"/>
      <c r="L1292"/>
    </row>
    <row r="1293" spans="2:12" ht="14.4" x14ac:dyDescent="0.3">
      <c r="B1293"/>
      <c r="C1293"/>
      <c r="D1293"/>
      <c r="E1293"/>
      <c r="F1293"/>
      <c r="H1293"/>
      <c r="I1293"/>
      <c r="J1293"/>
      <c r="K1293"/>
      <c r="L1293"/>
    </row>
    <row r="1294" spans="2:12" ht="14.4" x14ac:dyDescent="0.3">
      <c r="B1294"/>
      <c r="C1294"/>
      <c r="D1294"/>
      <c r="E1294"/>
      <c r="F1294"/>
      <c r="H1294"/>
      <c r="I1294"/>
      <c r="J1294"/>
      <c r="K1294"/>
      <c r="L1294"/>
    </row>
    <row r="1295" spans="2:12" ht="14.4" x14ac:dyDescent="0.3">
      <c r="B1295"/>
      <c r="C1295"/>
      <c r="D1295"/>
      <c r="E1295"/>
      <c r="F1295"/>
      <c r="H1295"/>
      <c r="I1295"/>
      <c r="J1295"/>
      <c r="K1295"/>
      <c r="L1295"/>
    </row>
    <row r="1296" spans="2:12" ht="14.4" x14ac:dyDescent="0.3">
      <c r="B1296"/>
      <c r="C1296"/>
      <c r="D1296"/>
      <c r="E1296"/>
      <c r="F1296"/>
      <c r="H1296"/>
      <c r="I1296"/>
      <c r="J1296"/>
      <c r="K1296"/>
      <c r="L1296"/>
    </row>
    <row r="1297" spans="2:12" ht="14.4" x14ac:dyDescent="0.3">
      <c r="B1297"/>
      <c r="C1297"/>
      <c r="D1297"/>
      <c r="E1297"/>
      <c r="F1297"/>
      <c r="H1297"/>
      <c r="I1297"/>
      <c r="J1297"/>
      <c r="K1297"/>
      <c r="L1297"/>
    </row>
    <row r="1298" spans="2:12" ht="14.4" x14ac:dyDescent="0.3">
      <c r="B1298"/>
      <c r="C1298"/>
      <c r="D1298"/>
      <c r="E1298"/>
      <c r="F1298"/>
      <c r="H1298"/>
      <c r="I1298"/>
      <c r="J1298"/>
      <c r="K1298"/>
      <c r="L1298"/>
    </row>
    <row r="1299" spans="2:12" ht="14.4" x14ac:dyDescent="0.3">
      <c r="B1299"/>
      <c r="C1299"/>
      <c r="D1299"/>
      <c r="E1299"/>
      <c r="F1299"/>
      <c r="H1299"/>
      <c r="I1299"/>
      <c r="J1299"/>
      <c r="K1299"/>
      <c r="L1299"/>
    </row>
    <row r="1300" spans="2:12" ht="14.4" x14ac:dyDescent="0.3">
      <c r="B1300"/>
      <c r="C1300"/>
      <c r="D1300"/>
      <c r="E1300"/>
      <c r="F1300"/>
      <c r="H1300"/>
      <c r="I1300"/>
      <c r="J1300"/>
      <c r="K1300"/>
      <c r="L1300"/>
    </row>
    <row r="1301" spans="2:12" ht="14.4" x14ac:dyDescent="0.3">
      <c r="B1301"/>
      <c r="C1301"/>
      <c r="D1301"/>
      <c r="E1301"/>
      <c r="F1301"/>
      <c r="H1301"/>
      <c r="I1301"/>
      <c r="J1301"/>
      <c r="K1301"/>
      <c r="L1301"/>
    </row>
    <row r="1302" spans="2:12" ht="14.4" x14ac:dyDescent="0.3">
      <c r="B1302"/>
      <c r="C1302"/>
      <c r="D1302"/>
      <c r="E1302"/>
      <c r="F1302"/>
      <c r="H1302"/>
      <c r="I1302"/>
      <c r="J1302"/>
      <c r="K1302"/>
      <c r="L1302"/>
    </row>
    <row r="1303" spans="2:12" ht="14.4" x14ac:dyDescent="0.3">
      <c r="B1303"/>
      <c r="C1303"/>
      <c r="D1303"/>
      <c r="E1303"/>
      <c r="F1303"/>
      <c r="H1303"/>
      <c r="I1303"/>
      <c r="J1303"/>
      <c r="K1303"/>
      <c r="L1303"/>
    </row>
    <row r="1304" spans="2:12" ht="14.4" x14ac:dyDescent="0.3">
      <c r="B1304"/>
      <c r="C1304"/>
      <c r="D1304"/>
      <c r="E1304"/>
      <c r="F1304"/>
      <c r="H1304"/>
      <c r="I1304"/>
      <c r="J1304"/>
      <c r="K1304"/>
      <c r="L1304"/>
    </row>
    <row r="1305" spans="2:12" ht="14.4" x14ac:dyDescent="0.3">
      <c r="B1305"/>
      <c r="C1305"/>
      <c r="D1305"/>
      <c r="E1305"/>
      <c r="F1305"/>
      <c r="H1305"/>
      <c r="I1305"/>
      <c r="J1305"/>
      <c r="K1305"/>
      <c r="L1305"/>
    </row>
    <row r="1306" spans="2:12" ht="14.4" x14ac:dyDescent="0.3">
      <c r="B1306"/>
      <c r="C1306"/>
      <c r="D1306"/>
      <c r="E1306"/>
      <c r="F1306"/>
      <c r="H1306"/>
      <c r="I1306"/>
      <c r="J1306"/>
      <c r="K1306"/>
      <c r="L1306"/>
    </row>
    <row r="1307" spans="2:12" ht="14.4" x14ac:dyDescent="0.3">
      <c r="B1307"/>
      <c r="C1307"/>
      <c r="D1307"/>
      <c r="E1307"/>
      <c r="F1307"/>
      <c r="H1307"/>
      <c r="I1307"/>
      <c r="J1307"/>
      <c r="K1307"/>
      <c r="L1307"/>
    </row>
    <row r="1308" spans="2:12" ht="14.4" x14ac:dyDescent="0.3">
      <c r="B1308"/>
      <c r="C1308"/>
      <c r="D1308"/>
      <c r="E1308"/>
      <c r="F1308"/>
      <c r="H1308"/>
      <c r="I1308"/>
      <c r="J1308"/>
      <c r="K1308"/>
      <c r="L1308"/>
    </row>
    <row r="1309" spans="2:12" ht="14.4" x14ac:dyDescent="0.3">
      <c r="B1309"/>
      <c r="C1309"/>
      <c r="D1309"/>
      <c r="E1309"/>
      <c r="F1309"/>
      <c r="H1309"/>
      <c r="I1309"/>
      <c r="J1309"/>
      <c r="K1309"/>
      <c r="L1309"/>
    </row>
    <row r="1310" spans="2:12" ht="14.4" x14ac:dyDescent="0.3">
      <c r="B1310"/>
      <c r="C1310"/>
      <c r="D1310"/>
      <c r="E1310"/>
      <c r="F1310"/>
      <c r="H1310"/>
      <c r="I1310"/>
      <c r="J1310"/>
      <c r="K1310"/>
      <c r="L1310"/>
    </row>
    <row r="1311" spans="2:12" ht="14.4" x14ac:dyDescent="0.3">
      <c r="B1311"/>
      <c r="C1311"/>
      <c r="D1311"/>
      <c r="E1311"/>
      <c r="F1311"/>
      <c r="H1311"/>
      <c r="I1311"/>
      <c r="J1311"/>
      <c r="K1311"/>
      <c r="L1311"/>
    </row>
    <row r="1312" spans="2:12" ht="14.4" x14ac:dyDescent="0.3">
      <c r="B1312"/>
      <c r="C1312"/>
      <c r="D1312"/>
      <c r="E1312"/>
      <c r="F1312"/>
      <c r="H1312"/>
      <c r="I1312"/>
      <c r="J1312"/>
      <c r="K1312"/>
      <c r="L1312"/>
    </row>
    <row r="1313" spans="2:12" ht="14.4" x14ac:dyDescent="0.3">
      <c r="B1313"/>
      <c r="C1313"/>
      <c r="D1313"/>
      <c r="E1313"/>
      <c r="F1313"/>
      <c r="H1313"/>
      <c r="I1313"/>
      <c r="J1313"/>
      <c r="K1313"/>
      <c r="L1313"/>
    </row>
    <row r="1314" spans="2:12" ht="14.4" x14ac:dyDescent="0.3">
      <c r="B1314"/>
      <c r="C1314"/>
      <c r="D1314"/>
      <c r="E1314"/>
      <c r="F1314"/>
      <c r="H1314"/>
      <c r="I1314"/>
      <c r="J1314"/>
      <c r="K1314"/>
      <c r="L1314"/>
    </row>
    <row r="1315" spans="2:12" ht="14.4" x14ac:dyDescent="0.3">
      <c r="B1315"/>
      <c r="C1315"/>
      <c r="D1315"/>
      <c r="E1315"/>
      <c r="F1315"/>
      <c r="H1315"/>
      <c r="I1315"/>
      <c r="J1315"/>
      <c r="K1315"/>
      <c r="L1315"/>
    </row>
    <row r="1316" spans="2:12" ht="14.4" x14ac:dyDescent="0.3">
      <c r="B1316"/>
      <c r="C1316"/>
      <c r="D1316"/>
      <c r="E1316"/>
      <c r="F1316"/>
      <c r="H1316"/>
      <c r="I1316"/>
      <c r="J1316"/>
      <c r="K1316"/>
      <c r="L1316"/>
    </row>
    <row r="1317" spans="2:12" ht="14.4" x14ac:dyDescent="0.3">
      <c r="B1317"/>
      <c r="C1317"/>
      <c r="D1317"/>
      <c r="E1317"/>
      <c r="F1317"/>
      <c r="H1317"/>
      <c r="I1317"/>
      <c r="J1317"/>
      <c r="K1317"/>
      <c r="L1317"/>
    </row>
    <row r="1318" spans="2:12" ht="14.4" x14ac:dyDescent="0.3">
      <c r="B1318"/>
      <c r="C1318"/>
      <c r="D1318"/>
      <c r="E1318"/>
      <c r="F1318"/>
      <c r="H1318"/>
      <c r="I1318"/>
      <c r="J1318"/>
      <c r="K1318"/>
      <c r="L1318"/>
    </row>
    <row r="1319" spans="2:12" ht="14.4" x14ac:dyDescent="0.3">
      <c r="B1319"/>
      <c r="C1319"/>
      <c r="D1319"/>
      <c r="E1319"/>
      <c r="F1319"/>
      <c r="H1319"/>
      <c r="I1319"/>
      <c r="J1319"/>
      <c r="K1319"/>
      <c r="L1319"/>
    </row>
    <row r="1320" spans="2:12" ht="14.4" x14ac:dyDescent="0.3">
      <c r="B1320"/>
      <c r="C1320"/>
      <c r="D1320"/>
      <c r="E1320"/>
      <c r="F1320"/>
      <c r="H1320"/>
      <c r="I1320"/>
      <c r="J1320"/>
      <c r="K1320"/>
      <c r="L1320"/>
    </row>
    <row r="1321" spans="2:12" ht="14.4" x14ac:dyDescent="0.3">
      <c r="B1321"/>
      <c r="C1321"/>
      <c r="D1321"/>
      <c r="E1321"/>
      <c r="F1321"/>
      <c r="H1321"/>
      <c r="I1321"/>
      <c r="J1321"/>
      <c r="K1321"/>
      <c r="L1321"/>
    </row>
    <row r="1322" spans="2:12" ht="14.4" x14ac:dyDescent="0.3">
      <c r="B1322"/>
      <c r="C1322"/>
      <c r="D1322"/>
      <c r="E1322"/>
      <c r="F1322"/>
      <c r="H1322"/>
      <c r="I1322"/>
      <c r="J1322"/>
      <c r="K1322"/>
      <c r="L1322"/>
    </row>
    <row r="1323" spans="2:12" ht="14.4" x14ac:dyDescent="0.3">
      <c r="B1323"/>
      <c r="C1323"/>
      <c r="D1323"/>
      <c r="E1323"/>
      <c r="F1323"/>
      <c r="H1323"/>
      <c r="I1323"/>
      <c r="J1323"/>
      <c r="K1323"/>
      <c r="L1323"/>
    </row>
    <row r="1324" spans="2:12" ht="14.4" x14ac:dyDescent="0.3">
      <c r="B1324"/>
      <c r="C1324"/>
      <c r="D1324"/>
      <c r="E1324"/>
      <c r="F1324"/>
      <c r="H1324"/>
      <c r="I1324"/>
      <c r="J1324"/>
      <c r="K1324"/>
      <c r="L1324"/>
    </row>
    <row r="1325" spans="2:12" ht="14.4" x14ac:dyDescent="0.3">
      <c r="B1325"/>
      <c r="C1325"/>
      <c r="D1325"/>
      <c r="E1325"/>
      <c r="F1325"/>
      <c r="H1325"/>
      <c r="I1325"/>
      <c r="J1325"/>
      <c r="K1325"/>
      <c r="L1325"/>
    </row>
    <row r="1326" spans="2:12" ht="14.4" x14ac:dyDescent="0.3">
      <c r="B1326"/>
      <c r="C1326"/>
      <c r="D1326"/>
      <c r="E1326"/>
      <c r="F1326"/>
      <c r="H1326"/>
      <c r="I1326"/>
      <c r="J1326"/>
      <c r="K1326"/>
      <c r="L1326"/>
    </row>
    <row r="1327" spans="2:12" ht="14.4" x14ac:dyDescent="0.3">
      <c r="B1327"/>
      <c r="C1327"/>
      <c r="D1327"/>
      <c r="E1327"/>
      <c r="F1327"/>
      <c r="H1327"/>
      <c r="I1327"/>
      <c r="J1327"/>
      <c r="K1327"/>
      <c r="L1327"/>
    </row>
    <row r="1328" spans="2:12" ht="14.4" x14ac:dyDescent="0.3">
      <c r="B1328"/>
      <c r="C1328"/>
      <c r="D1328"/>
      <c r="E1328"/>
      <c r="F1328"/>
      <c r="H1328"/>
      <c r="I1328"/>
      <c r="J1328"/>
      <c r="K1328"/>
      <c r="L1328"/>
    </row>
    <row r="1329" spans="2:12" ht="14.4" x14ac:dyDescent="0.3">
      <c r="B1329"/>
      <c r="C1329"/>
      <c r="D1329"/>
      <c r="E1329"/>
      <c r="F1329"/>
      <c r="H1329"/>
      <c r="I1329"/>
      <c r="J1329"/>
      <c r="K1329"/>
      <c r="L1329"/>
    </row>
    <row r="1330" spans="2:12" ht="14.4" x14ac:dyDescent="0.3">
      <c r="B1330"/>
      <c r="C1330"/>
      <c r="D1330"/>
      <c r="E1330"/>
      <c r="F1330"/>
      <c r="H1330"/>
      <c r="I1330"/>
      <c r="J1330"/>
      <c r="K1330"/>
      <c r="L1330"/>
    </row>
    <row r="1331" spans="2:12" ht="14.4" x14ac:dyDescent="0.3">
      <c r="B1331"/>
      <c r="C1331"/>
      <c r="D1331"/>
      <c r="E1331"/>
      <c r="F1331"/>
      <c r="H1331"/>
      <c r="I1331"/>
      <c r="J1331"/>
      <c r="K1331"/>
      <c r="L1331"/>
    </row>
    <row r="1332" spans="2:12" ht="14.4" x14ac:dyDescent="0.3">
      <c r="B1332"/>
      <c r="C1332"/>
      <c r="D1332"/>
      <c r="E1332"/>
      <c r="F1332"/>
      <c r="H1332"/>
      <c r="I1332"/>
      <c r="J1332"/>
      <c r="K1332"/>
      <c r="L1332"/>
    </row>
    <row r="1333" spans="2:12" ht="14.4" x14ac:dyDescent="0.3">
      <c r="B1333"/>
      <c r="C1333"/>
      <c r="D1333"/>
      <c r="E1333"/>
      <c r="F1333"/>
      <c r="H1333"/>
      <c r="I1333"/>
      <c r="J1333"/>
      <c r="K1333"/>
      <c r="L1333"/>
    </row>
    <row r="1334" spans="2:12" ht="14.4" x14ac:dyDescent="0.3">
      <c r="B1334"/>
      <c r="C1334"/>
      <c r="D1334"/>
      <c r="E1334"/>
      <c r="F1334"/>
      <c r="H1334"/>
      <c r="I1334"/>
      <c r="J1334"/>
      <c r="K1334"/>
      <c r="L1334"/>
    </row>
    <row r="1335" spans="2:12" ht="14.4" x14ac:dyDescent="0.3">
      <c r="B1335"/>
      <c r="C1335"/>
      <c r="D1335"/>
      <c r="E1335"/>
      <c r="F1335"/>
      <c r="H1335"/>
      <c r="I1335"/>
      <c r="J1335"/>
      <c r="K1335"/>
      <c r="L1335"/>
    </row>
    <row r="1336" spans="2:12" ht="14.4" x14ac:dyDescent="0.3">
      <c r="B1336"/>
      <c r="C1336"/>
      <c r="D1336"/>
      <c r="E1336"/>
      <c r="F1336"/>
      <c r="H1336"/>
      <c r="I1336"/>
      <c r="J1336"/>
      <c r="K1336"/>
      <c r="L1336"/>
    </row>
    <row r="1337" spans="2:12" ht="14.4" x14ac:dyDescent="0.3">
      <c r="B1337"/>
      <c r="C1337"/>
      <c r="D1337"/>
      <c r="E1337"/>
      <c r="F1337"/>
      <c r="H1337"/>
      <c r="I1337"/>
      <c r="J1337"/>
      <c r="K1337"/>
      <c r="L1337"/>
    </row>
    <row r="1338" spans="2:12" ht="14.4" x14ac:dyDescent="0.3">
      <c r="B1338"/>
      <c r="C1338"/>
      <c r="D1338"/>
      <c r="E1338"/>
      <c r="F1338"/>
      <c r="H1338"/>
      <c r="I1338"/>
      <c r="J1338"/>
      <c r="K1338"/>
      <c r="L1338"/>
    </row>
    <row r="1339" spans="2:12" ht="14.4" x14ac:dyDescent="0.3">
      <c r="B1339"/>
      <c r="C1339"/>
      <c r="D1339"/>
      <c r="E1339"/>
      <c r="F1339"/>
      <c r="H1339"/>
      <c r="I1339"/>
      <c r="J1339"/>
      <c r="K1339"/>
      <c r="L1339"/>
    </row>
    <row r="1340" spans="2:12" ht="14.4" x14ac:dyDescent="0.3">
      <c r="B1340"/>
      <c r="C1340"/>
      <c r="D1340"/>
      <c r="E1340"/>
      <c r="F1340"/>
      <c r="H1340"/>
      <c r="I1340"/>
      <c r="J1340"/>
      <c r="K1340"/>
      <c r="L1340"/>
    </row>
    <row r="1341" spans="2:12" ht="14.4" x14ac:dyDescent="0.3">
      <c r="B1341"/>
      <c r="C1341"/>
      <c r="D1341"/>
      <c r="E1341"/>
      <c r="F1341"/>
      <c r="H1341"/>
      <c r="I1341"/>
      <c r="J1341"/>
      <c r="K1341"/>
      <c r="L1341"/>
    </row>
    <row r="1342" spans="2:12" ht="14.4" x14ac:dyDescent="0.3">
      <c r="B1342"/>
      <c r="C1342"/>
      <c r="D1342"/>
      <c r="E1342"/>
      <c r="F1342"/>
      <c r="H1342"/>
      <c r="I1342"/>
      <c r="J1342"/>
      <c r="K1342"/>
      <c r="L1342"/>
    </row>
    <row r="1343" spans="2:12" ht="14.4" x14ac:dyDescent="0.3">
      <c r="B1343"/>
      <c r="C1343"/>
      <c r="D1343"/>
      <c r="E1343"/>
      <c r="F1343"/>
      <c r="H1343"/>
      <c r="I1343"/>
      <c r="J1343"/>
      <c r="K1343"/>
      <c r="L1343"/>
    </row>
    <row r="1344" spans="2:12" ht="14.4" x14ac:dyDescent="0.3">
      <c r="B1344"/>
      <c r="C1344"/>
      <c r="D1344"/>
      <c r="E1344"/>
      <c r="F1344"/>
      <c r="H1344"/>
      <c r="I1344"/>
      <c r="J1344"/>
      <c r="K1344"/>
      <c r="L1344"/>
    </row>
    <row r="1345" spans="2:12" ht="14.4" x14ac:dyDescent="0.3">
      <c r="B1345"/>
      <c r="C1345"/>
      <c r="D1345"/>
      <c r="E1345"/>
      <c r="F1345"/>
      <c r="H1345"/>
      <c r="I1345"/>
      <c r="J1345"/>
      <c r="K1345"/>
      <c r="L1345"/>
    </row>
    <row r="1346" spans="2:12" ht="14.4" x14ac:dyDescent="0.3">
      <c r="B1346"/>
      <c r="C1346"/>
      <c r="D1346"/>
      <c r="E1346"/>
      <c r="F1346"/>
      <c r="H1346"/>
      <c r="I1346"/>
      <c r="J1346"/>
      <c r="K1346"/>
      <c r="L1346"/>
    </row>
    <row r="1347" spans="2:12" ht="14.4" x14ac:dyDescent="0.3">
      <c r="B1347"/>
      <c r="C1347"/>
      <c r="D1347"/>
      <c r="E1347"/>
      <c r="F1347"/>
      <c r="H1347"/>
      <c r="I1347"/>
      <c r="J1347"/>
      <c r="K1347"/>
      <c r="L1347"/>
    </row>
    <row r="1348" spans="2:12" ht="14.4" x14ac:dyDescent="0.3">
      <c r="B1348"/>
      <c r="C1348"/>
      <c r="D1348"/>
      <c r="E1348"/>
      <c r="F1348"/>
      <c r="H1348"/>
      <c r="I1348"/>
      <c r="J1348"/>
      <c r="K1348"/>
      <c r="L1348"/>
    </row>
    <row r="1349" spans="2:12" ht="14.4" x14ac:dyDescent="0.3">
      <c r="B1349"/>
      <c r="C1349"/>
      <c r="D1349"/>
      <c r="E1349"/>
      <c r="F1349"/>
      <c r="H1349"/>
      <c r="I1349"/>
      <c r="J1349"/>
      <c r="K1349"/>
      <c r="L1349"/>
    </row>
    <row r="1350" spans="2:12" ht="14.4" x14ac:dyDescent="0.3">
      <c r="B1350"/>
      <c r="C1350"/>
      <c r="D1350"/>
      <c r="E1350"/>
      <c r="F1350"/>
      <c r="H1350"/>
      <c r="I1350"/>
      <c r="J1350"/>
      <c r="K1350"/>
      <c r="L1350"/>
    </row>
    <row r="1351" spans="2:12" ht="14.4" x14ac:dyDescent="0.3">
      <c r="B1351"/>
      <c r="C1351"/>
      <c r="D1351"/>
      <c r="E1351"/>
      <c r="F1351"/>
      <c r="H1351"/>
      <c r="I1351"/>
      <c r="J1351"/>
      <c r="K1351"/>
      <c r="L1351"/>
    </row>
    <row r="1352" spans="2:12" ht="14.4" x14ac:dyDescent="0.3">
      <c r="B1352"/>
      <c r="C1352"/>
      <c r="D1352"/>
      <c r="E1352"/>
      <c r="F1352"/>
      <c r="H1352"/>
      <c r="I1352"/>
      <c r="J1352"/>
      <c r="K1352"/>
      <c r="L1352"/>
    </row>
    <row r="1353" spans="2:12" ht="14.4" x14ac:dyDescent="0.3">
      <c r="B1353"/>
      <c r="C1353"/>
      <c r="D1353"/>
      <c r="E1353"/>
      <c r="F1353"/>
      <c r="H1353"/>
      <c r="I1353"/>
      <c r="J1353"/>
      <c r="K1353"/>
      <c r="L1353"/>
    </row>
    <row r="1354" spans="2:12" ht="14.4" x14ac:dyDescent="0.3">
      <c r="B1354"/>
      <c r="C1354"/>
      <c r="D1354"/>
      <c r="E1354"/>
      <c r="F1354"/>
      <c r="H1354"/>
      <c r="I1354"/>
      <c r="J1354"/>
      <c r="K1354"/>
      <c r="L1354"/>
    </row>
    <row r="1355" spans="2:12" ht="14.4" x14ac:dyDescent="0.3">
      <c r="B1355"/>
      <c r="C1355"/>
      <c r="D1355"/>
      <c r="E1355"/>
      <c r="F1355"/>
      <c r="H1355"/>
      <c r="I1355"/>
      <c r="J1355"/>
      <c r="K1355"/>
      <c r="L1355"/>
    </row>
    <row r="1356" spans="2:12" ht="14.4" x14ac:dyDescent="0.3">
      <c r="B1356"/>
      <c r="C1356"/>
      <c r="D1356"/>
      <c r="E1356"/>
      <c r="F1356"/>
      <c r="H1356"/>
      <c r="I1356"/>
      <c r="J1356"/>
      <c r="K1356"/>
      <c r="L1356"/>
    </row>
    <row r="1357" spans="2:12" ht="14.4" x14ac:dyDescent="0.3">
      <c r="B1357"/>
      <c r="C1357"/>
      <c r="D1357"/>
      <c r="E1357"/>
      <c r="F1357"/>
      <c r="H1357"/>
      <c r="I1357"/>
      <c r="J1357"/>
      <c r="K1357"/>
      <c r="L1357"/>
    </row>
    <row r="1358" spans="2:12" ht="14.4" x14ac:dyDescent="0.3">
      <c r="B1358"/>
      <c r="C1358"/>
      <c r="D1358"/>
      <c r="E1358"/>
      <c r="F1358"/>
      <c r="H1358"/>
      <c r="I1358"/>
      <c r="J1358"/>
      <c r="K1358"/>
      <c r="L1358"/>
    </row>
    <row r="1359" spans="2:12" ht="14.4" x14ac:dyDescent="0.3">
      <c r="B1359"/>
      <c r="C1359"/>
      <c r="D1359"/>
      <c r="E1359"/>
      <c r="F1359"/>
      <c r="H1359"/>
      <c r="I1359"/>
      <c r="J1359"/>
      <c r="K1359"/>
      <c r="L1359"/>
    </row>
    <row r="1360" spans="2:12" ht="14.4" x14ac:dyDescent="0.3">
      <c r="B1360"/>
      <c r="C1360"/>
      <c r="D1360"/>
      <c r="E1360"/>
      <c r="F1360"/>
      <c r="H1360"/>
      <c r="I1360"/>
      <c r="J1360"/>
      <c r="K1360"/>
      <c r="L1360"/>
    </row>
    <row r="1361" spans="2:12" ht="14.4" x14ac:dyDescent="0.3">
      <c r="B1361"/>
      <c r="C1361"/>
      <c r="D1361"/>
      <c r="E1361"/>
      <c r="F1361"/>
      <c r="H1361"/>
      <c r="I1361"/>
      <c r="J1361"/>
      <c r="K1361"/>
      <c r="L1361"/>
    </row>
    <row r="1362" spans="2:12" ht="14.4" x14ac:dyDescent="0.3">
      <c r="B1362"/>
      <c r="C1362"/>
      <c r="D1362"/>
      <c r="E1362"/>
      <c r="F1362"/>
      <c r="H1362"/>
      <c r="I1362"/>
      <c r="J1362"/>
      <c r="K1362"/>
      <c r="L1362"/>
    </row>
    <row r="1363" spans="2:12" ht="14.4" x14ac:dyDescent="0.3">
      <c r="B1363"/>
      <c r="C1363"/>
      <c r="D1363"/>
      <c r="E1363"/>
      <c r="F1363"/>
      <c r="H1363"/>
      <c r="I1363"/>
      <c r="J1363"/>
      <c r="K1363"/>
      <c r="L1363"/>
    </row>
    <row r="1364" spans="2:12" ht="14.4" x14ac:dyDescent="0.3">
      <c r="B1364"/>
      <c r="C1364"/>
      <c r="D1364"/>
      <c r="E1364"/>
      <c r="F1364"/>
      <c r="H1364"/>
      <c r="I1364"/>
      <c r="J1364"/>
      <c r="K1364"/>
      <c r="L1364"/>
    </row>
    <row r="1365" spans="2:12" ht="14.4" x14ac:dyDescent="0.3">
      <c r="B1365"/>
      <c r="C1365"/>
      <c r="D1365"/>
      <c r="E1365"/>
      <c r="F1365"/>
      <c r="H1365"/>
      <c r="I1365"/>
      <c r="J1365"/>
      <c r="K1365"/>
      <c r="L1365"/>
    </row>
    <row r="1366" spans="2:12" ht="14.4" x14ac:dyDescent="0.3">
      <c r="B1366"/>
      <c r="C1366"/>
      <c r="D1366"/>
      <c r="E1366"/>
      <c r="F1366"/>
      <c r="H1366"/>
      <c r="I1366"/>
      <c r="J1366"/>
      <c r="K1366"/>
      <c r="L1366"/>
    </row>
    <row r="1367" spans="2:12" ht="14.4" x14ac:dyDescent="0.3">
      <c r="B1367"/>
      <c r="C1367"/>
      <c r="D1367"/>
      <c r="E1367"/>
      <c r="F1367"/>
      <c r="H1367"/>
      <c r="I1367"/>
      <c r="J1367"/>
      <c r="K1367"/>
      <c r="L1367"/>
    </row>
    <row r="1368" spans="2:12" ht="14.4" x14ac:dyDescent="0.3">
      <c r="B1368"/>
      <c r="C1368"/>
      <c r="D1368"/>
      <c r="E1368"/>
      <c r="F1368"/>
      <c r="H1368"/>
      <c r="I1368"/>
      <c r="J1368"/>
      <c r="K1368"/>
      <c r="L1368"/>
    </row>
    <row r="1369" spans="2:12" ht="14.4" x14ac:dyDescent="0.3">
      <c r="B1369"/>
      <c r="C1369"/>
      <c r="D1369"/>
      <c r="E1369"/>
      <c r="F1369"/>
      <c r="H1369"/>
      <c r="I1369"/>
      <c r="J1369"/>
      <c r="K1369"/>
      <c r="L1369"/>
    </row>
    <row r="1370" spans="2:12" ht="14.4" x14ac:dyDescent="0.3">
      <c r="B1370"/>
      <c r="C1370"/>
      <c r="D1370"/>
      <c r="E1370"/>
      <c r="F1370"/>
      <c r="H1370"/>
      <c r="I1370"/>
      <c r="J1370"/>
      <c r="K1370"/>
      <c r="L1370"/>
    </row>
    <row r="1371" spans="2:12" ht="14.4" x14ac:dyDescent="0.3">
      <c r="B1371"/>
      <c r="C1371"/>
      <c r="D1371"/>
      <c r="E1371"/>
      <c r="F1371"/>
      <c r="H1371"/>
      <c r="I1371"/>
      <c r="J1371"/>
      <c r="K1371"/>
      <c r="L1371"/>
    </row>
    <row r="1372" spans="2:12" ht="14.4" x14ac:dyDescent="0.3">
      <c r="B1372"/>
      <c r="C1372"/>
      <c r="D1372"/>
      <c r="E1372"/>
      <c r="F1372"/>
      <c r="H1372"/>
      <c r="I1372"/>
      <c r="J1372"/>
      <c r="K1372"/>
      <c r="L1372"/>
    </row>
    <row r="1373" spans="2:12" ht="14.4" x14ac:dyDescent="0.3">
      <c r="B1373"/>
      <c r="C1373"/>
      <c r="D1373"/>
      <c r="E1373"/>
      <c r="F1373"/>
      <c r="H1373"/>
      <c r="I1373"/>
      <c r="J1373"/>
      <c r="K1373"/>
      <c r="L1373"/>
    </row>
    <row r="1374" spans="2:12" ht="14.4" x14ac:dyDescent="0.3">
      <c r="B1374"/>
      <c r="C1374"/>
      <c r="D1374"/>
      <c r="E1374"/>
      <c r="F1374"/>
      <c r="H1374"/>
      <c r="I1374"/>
      <c r="J1374"/>
      <c r="K1374"/>
      <c r="L1374"/>
    </row>
    <row r="1375" spans="2:12" ht="14.4" x14ac:dyDescent="0.3">
      <c r="B1375"/>
      <c r="C1375"/>
      <c r="D1375"/>
      <c r="E1375"/>
      <c r="F1375"/>
      <c r="H1375"/>
      <c r="I1375"/>
      <c r="J1375"/>
      <c r="K1375"/>
      <c r="L1375"/>
    </row>
    <row r="1376" spans="2:12" ht="14.4" x14ac:dyDescent="0.3">
      <c r="B1376"/>
      <c r="C1376"/>
      <c r="D1376"/>
      <c r="E1376"/>
      <c r="F1376"/>
      <c r="H1376"/>
      <c r="I1376"/>
      <c r="J1376"/>
      <c r="K1376"/>
      <c r="L1376"/>
    </row>
    <row r="1377" spans="2:12" ht="14.4" x14ac:dyDescent="0.3">
      <c r="B1377"/>
      <c r="C1377"/>
      <c r="D1377"/>
      <c r="E1377"/>
      <c r="F1377"/>
      <c r="H1377"/>
      <c r="I1377"/>
      <c r="J1377"/>
      <c r="K1377"/>
      <c r="L1377"/>
    </row>
    <row r="1378" spans="2:12" ht="14.4" x14ac:dyDescent="0.3">
      <c r="B1378"/>
      <c r="C1378"/>
      <c r="D1378"/>
      <c r="E1378"/>
      <c r="F1378"/>
      <c r="H1378"/>
      <c r="I1378"/>
      <c r="J1378"/>
      <c r="K1378"/>
      <c r="L1378"/>
    </row>
    <row r="1379" spans="2:12" ht="14.4" x14ac:dyDescent="0.3">
      <c r="B1379"/>
      <c r="C1379"/>
      <c r="D1379"/>
      <c r="E1379"/>
      <c r="F1379"/>
      <c r="H1379"/>
      <c r="I1379"/>
      <c r="J1379"/>
      <c r="K1379"/>
      <c r="L1379"/>
    </row>
    <row r="1380" spans="2:12" ht="14.4" x14ac:dyDescent="0.3">
      <c r="B1380"/>
      <c r="C1380"/>
      <c r="D1380"/>
      <c r="E1380"/>
      <c r="F1380"/>
      <c r="H1380"/>
      <c r="I1380"/>
      <c r="J1380"/>
      <c r="K1380"/>
      <c r="L1380"/>
    </row>
    <row r="1381" spans="2:12" ht="14.4" x14ac:dyDescent="0.3">
      <c r="B1381"/>
      <c r="C1381"/>
      <c r="D1381"/>
      <c r="E1381"/>
      <c r="F1381"/>
      <c r="H1381"/>
      <c r="I1381"/>
      <c r="J1381"/>
      <c r="K1381"/>
      <c r="L1381"/>
    </row>
    <row r="1382" spans="2:12" ht="14.4" x14ac:dyDescent="0.3">
      <c r="B1382"/>
      <c r="C1382"/>
      <c r="D1382"/>
      <c r="E1382"/>
      <c r="F1382"/>
      <c r="H1382"/>
      <c r="I1382"/>
      <c r="J1382"/>
      <c r="K1382"/>
      <c r="L1382"/>
    </row>
    <row r="1383" spans="2:12" ht="14.4" x14ac:dyDescent="0.3">
      <c r="B1383"/>
      <c r="C1383"/>
      <c r="D1383"/>
      <c r="E1383"/>
      <c r="F1383"/>
      <c r="H1383"/>
      <c r="I1383"/>
      <c r="J1383"/>
      <c r="K1383"/>
      <c r="L1383"/>
    </row>
    <row r="1384" spans="2:12" ht="14.4" x14ac:dyDescent="0.3">
      <c r="B1384"/>
      <c r="C1384"/>
      <c r="D1384"/>
      <c r="E1384"/>
      <c r="F1384"/>
      <c r="H1384"/>
      <c r="I1384"/>
      <c r="J1384"/>
      <c r="K1384"/>
      <c r="L1384"/>
    </row>
    <row r="1385" spans="2:12" ht="14.4" x14ac:dyDescent="0.3">
      <c r="B1385"/>
      <c r="C1385"/>
      <c r="D1385"/>
      <c r="E1385"/>
      <c r="F1385"/>
      <c r="H1385"/>
      <c r="I1385"/>
      <c r="J1385"/>
      <c r="K1385"/>
      <c r="L1385"/>
    </row>
    <row r="1386" spans="2:12" ht="14.4" x14ac:dyDescent="0.3">
      <c r="B1386"/>
      <c r="C1386"/>
      <c r="D1386"/>
      <c r="E1386"/>
      <c r="F1386"/>
      <c r="H1386"/>
      <c r="I1386"/>
      <c r="J1386"/>
      <c r="K1386"/>
      <c r="L1386"/>
    </row>
    <row r="1387" spans="2:12" ht="14.4" x14ac:dyDescent="0.3">
      <c r="B1387"/>
      <c r="C1387"/>
      <c r="D1387"/>
      <c r="E1387"/>
      <c r="F1387"/>
      <c r="H1387"/>
      <c r="I1387"/>
      <c r="J1387"/>
      <c r="K1387"/>
      <c r="L1387"/>
    </row>
    <row r="1388" spans="2:12" ht="14.4" x14ac:dyDescent="0.3">
      <c r="B1388"/>
      <c r="C1388"/>
      <c r="D1388"/>
      <c r="E1388"/>
      <c r="F1388"/>
      <c r="H1388"/>
      <c r="I1388"/>
      <c r="J1388"/>
      <c r="K1388"/>
      <c r="L1388"/>
    </row>
    <row r="1389" spans="2:12" ht="14.4" x14ac:dyDescent="0.3">
      <c r="B1389"/>
      <c r="C1389"/>
      <c r="D1389"/>
      <c r="E1389"/>
      <c r="F1389"/>
      <c r="H1389"/>
      <c r="I1389"/>
      <c r="J1389"/>
      <c r="K1389"/>
      <c r="L1389"/>
    </row>
    <row r="1390" spans="2:12" ht="14.4" x14ac:dyDescent="0.3">
      <c r="B1390"/>
      <c r="C1390"/>
      <c r="D1390"/>
      <c r="E1390"/>
      <c r="F1390"/>
      <c r="H1390"/>
      <c r="I1390"/>
      <c r="J1390"/>
      <c r="K1390"/>
      <c r="L1390"/>
    </row>
    <row r="1391" spans="2:12" ht="14.4" x14ac:dyDescent="0.3">
      <c r="B1391"/>
      <c r="C1391"/>
      <c r="D1391"/>
      <c r="E1391"/>
      <c r="F1391"/>
      <c r="H1391"/>
      <c r="I1391"/>
      <c r="J1391"/>
      <c r="K1391"/>
      <c r="L1391"/>
    </row>
    <row r="1392" spans="2:12" ht="14.4" x14ac:dyDescent="0.3">
      <c r="B1392"/>
      <c r="C1392"/>
      <c r="D1392"/>
      <c r="E1392"/>
      <c r="F1392"/>
      <c r="H1392"/>
      <c r="I1392"/>
      <c r="J1392"/>
      <c r="K1392"/>
      <c r="L1392"/>
    </row>
    <row r="1393" spans="2:12" ht="14.4" x14ac:dyDescent="0.3">
      <c r="B1393"/>
      <c r="C1393"/>
      <c r="D1393"/>
      <c r="E1393"/>
      <c r="F1393"/>
      <c r="H1393"/>
      <c r="I1393"/>
      <c r="J1393"/>
      <c r="K1393"/>
      <c r="L1393"/>
    </row>
    <row r="1394" spans="2:12" ht="14.4" x14ac:dyDescent="0.3">
      <c r="B1394"/>
      <c r="C1394"/>
      <c r="D1394"/>
      <c r="E1394"/>
      <c r="F1394"/>
      <c r="H1394"/>
      <c r="I1394"/>
      <c r="J1394"/>
      <c r="K1394"/>
      <c r="L1394"/>
    </row>
    <row r="1395" spans="2:12" ht="14.4" x14ac:dyDescent="0.3">
      <c r="B1395"/>
      <c r="C1395"/>
      <c r="D1395"/>
      <c r="E1395"/>
      <c r="F1395"/>
      <c r="H1395"/>
      <c r="I1395"/>
      <c r="J1395"/>
      <c r="K1395"/>
      <c r="L1395"/>
    </row>
    <row r="1396" spans="2:12" ht="14.4" x14ac:dyDescent="0.3">
      <c r="B1396"/>
      <c r="C1396"/>
      <c r="D1396"/>
      <c r="E1396"/>
      <c r="F1396"/>
      <c r="H1396"/>
      <c r="I1396"/>
      <c r="J1396"/>
      <c r="K1396"/>
      <c r="L1396"/>
    </row>
    <row r="1397" spans="2:12" ht="14.4" x14ac:dyDescent="0.3">
      <c r="B1397"/>
      <c r="C1397"/>
      <c r="D1397"/>
      <c r="E1397"/>
      <c r="F1397"/>
      <c r="H1397"/>
      <c r="I1397"/>
      <c r="J1397"/>
      <c r="K1397"/>
      <c r="L1397"/>
    </row>
    <row r="1398" spans="2:12" ht="14.4" x14ac:dyDescent="0.3">
      <c r="B1398"/>
      <c r="C1398"/>
      <c r="D1398"/>
      <c r="E1398"/>
      <c r="F1398"/>
      <c r="H1398"/>
      <c r="I1398"/>
      <c r="J1398"/>
      <c r="K1398"/>
      <c r="L1398"/>
    </row>
    <row r="1399" spans="2:12" ht="14.4" x14ac:dyDescent="0.3">
      <c r="B1399"/>
      <c r="C1399"/>
      <c r="D1399"/>
      <c r="E1399"/>
      <c r="F1399"/>
      <c r="H1399"/>
      <c r="I1399"/>
      <c r="J1399"/>
      <c r="K1399"/>
      <c r="L1399"/>
    </row>
    <row r="1400" spans="2:12" ht="14.4" x14ac:dyDescent="0.3">
      <c r="B1400"/>
      <c r="C1400"/>
      <c r="D1400"/>
      <c r="E1400"/>
      <c r="F1400"/>
      <c r="H1400"/>
      <c r="I1400"/>
      <c r="J1400"/>
      <c r="K1400"/>
      <c r="L1400"/>
    </row>
    <row r="1401" spans="2:12" ht="14.4" x14ac:dyDescent="0.3">
      <c r="B1401"/>
      <c r="C1401"/>
      <c r="D1401"/>
      <c r="E1401"/>
      <c r="F1401"/>
      <c r="H1401"/>
      <c r="I1401"/>
      <c r="J1401"/>
      <c r="K1401"/>
      <c r="L1401"/>
    </row>
    <row r="1402" spans="2:12" ht="14.4" x14ac:dyDescent="0.3">
      <c r="B1402"/>
      <c r="C1402"/>
      <c r="D1402"/>
      <c r="E1402"/>
      <c r="F1402"/>
      <c r="H1402"/>
      <c r="I1402"/>
      <c r="J1402"/>
      <c r="K1402"/>
      <c r="L1402"/>
    </row>
    <row r="1403" spans="2:12" ht="14.4" x14ac:dyDescent="0.3">
      <c r="B1403"/>
      <c r="C1403"/>
      <c r="D1403"/>
      <c r="E1403"/>
      <c r="F1403"/>
      <c r="H1403"/>
      <c r="I1403"/>
      <c r="J1403"/>
      <c r="K1403"/>
      <c r="L1403"/>
    </row>
    <row r="1404" spans="2:12" ht="14.4" x14ac:dyDescent="0.3">
      <c r="B1404"/>
      <c r="C1404"/>
      <c r="D1404"/>
      <c r="E1404"/>
      <c r="F1404"/>
      <c r="H1404"/>
      <c r="I1404"/>
      <c r="J1404"/>
      <c r="K1404"/>
      <c r="L1404"/>
    </row>
    <row r="1405" spans="2:12" ht="14.4" x14ac:dyDescent="0.3">
      <c r="B1405"/>
      <c r="C1405"/>
      <c r="D1405"/>
      <c r="E1405"/>
      <c r="F1405"/>
      <c r="H1405"/>
      <c r="I1405"/>
      <c r="J1405"/>
      <c r="K1405"/>
      <c r="L1405"/>
    </row>
    <row r="1406" spans="2:12" ht="14.4" x14ac:dyDescent="0.3">
      <c r="B1406"/>
      <c r="C1406"/>
      <c r="D1406"/>
      <c r="E1406"/>
      <c r="F1406"/>
      <c r="H1406"/>
      <c r="I1406"/>
      <c r="J1406"/>
      <c r="K1406"/>
      <c r="L1406"/>
    </row>
    <row r="1407" spans="2:12" ht="14.4" x14ac:dyDescent="0.3">
      <c r="B1407"/>
      <c r="C1407"/>
      <c r="D1407"/>
      <c r="E1407"/>
      <c r="F1407"/>
      <c r="H1407"/>
      <c r="I1407"/>
      <c r="J1407"/>
      <c r="K1407"/>
      <c r="L1407"/>
    </row>
    <row r="1408" spans="2:12" ht="14.4" x14ac:dyDescent="0.3">
      <c r="B1408"/>
      <c r="C1408"/>
      <c r="D1408"/>
      <c r="E1408"/>
      <c r="F1408"/>
      <c r="H1408"/>
      <c r="I1408"/>
      <c r="J1408"/>
      <c r="K1408"/>
      <c r="L1408"/>
    </row>
    <row r="1409" spans="2:12" ht="14.4" x14ac:dyDescent="0.3">
      <c r="B1409"/>
      <c r="C1409"/>
      <c r="D1409"/>
      <c r="E1409"/>
      <c r="F1409"/>
      <c r="H1409"/>
      <c r="I1409"/>
      <c r="J1409"/>
      <c r="K1409"/>
      <c r="L1409"/>
    </row>
    <row r="1410" spans="2:12" ht="14.4" x14ac:dyDescent="0.3">
      <c r="B1410"/>
      <c r="C1410"/>
      <c r="D1410"/>
      <c r="E1410"/>
      <c r="F1410"/>
      <c r="H1410"/>
      <c r="I1410"/>
      <c r="J1410"/>
      <c r="K1410"/>
      <c r="L1410"/>
    </row>
    <row r="1411" spans="2:12" ht="14.4" x14ac:dyDescent="0.3">
      <c r="B1411"/>
      <c r="C1411"/>
      <c r="D1411"/>
      <c r="E1411"/>
      <c r="F1411"/>
      <c r="H1411"/>
      <c r="I1411"/>
      <c r="J1411"/>
      <c r="K1411"/>
      <c r="L1411"/>
    </row>
    <row r="1412" spans="2:12" ht="14.4" x14ac:dyDescent="0.3">
      <c r="B1412"/>
      <c r="C1412"/>
      <c r="D1412"/>
      <c r="E1412"/>
      <c r="F1412"/>
      <c r="H1412"/>
      <c r="I1412"/>
      <c r="J1412"/>
      <c r="K1412"/>
      <c r="L1412"/>
    </row>
    <row r="1413" spans="2:12" ht="14.4" x14ac:dyDescent="0.3">
      <c r="B1413"/>
      <c r="C1413"/>
      <c r="D1413"/>
      <c r="E1413"/>
      <c r="F1413"/>
      <c r="H1413"/>
      <c r="I1413"/>
      <c r="J1413"/>
      <c r="K1413"/>
      <c r="L1413"/>
    </row>
    <row r="1414" spans="2:12" ht="14.4" x14ac:dyDescent="0.3">
      <c r="B1414"/>
      <c r="C1414"/>
      <c r="D1414"/>
      <c r="E1414"/>
      <c r="F1414"/>
      <c r="H1414"/>
      <c r="I1414"/>
      <c r="J1414"/>
      <c r="K1414"/>
      <c r="L1414"/>
    </row>
    <row r="1415" spans="2:12" ht="14.4" x14ac:dyDescent="0.3">
      <c r="B1415"/>
      <c r="C1415"/>
      <c r="D1415"/>
      <c r="E1415"/>
      <c r="F1415"/>
      <c r="H1415"/>
      <c r="I1415"/>
      <c r="J1415"/>
      <c r="K1415"/>
      <c r="L1415"/>
    </row>
    <row r="1416" spans="2:12" ht="14.4" x14ac:dyDescent="0.3">
      <c r="B1416"/>
      <c r="C1416"/>
      <c r="D1416"/>
      <c r="E1416"/>
      <c r="F1416"/>
      <c r="H1416"/>
      <c r="I1416"/>
      <c r="J1416"/>
      <c r="K1416"/>
      <c r="L1416"/>
    </row>
    <row r="1417" spans="2:12" ht="14.4" x14ac:dyDescent="0.3">
      <c r="B1417"/>
      <c r="C1417"/>
      <c r="D1417"/>
      <c r="E1417"/>
      <c r="F1417"/>
      <c r="H1417"/>
      <c r="I1417"/>
      <c r="J1417"/>
      <c r="K1417"/>
      <c r="L1417"/>
    </row>
    <row r="1418" spans="2:12" ht="14.4" x14ac:dyDescent="0.3">
      <c r="B1418"/>
      <c r="C1418"/>
      <c r="D1418"/>
      <c r="E1418"/>
      <c r="F1418"/>
      <c r="H1418"/>
      <c r="I1418"/>
      <c r="J1418"/>
      <c r="K1418"/>
      <c r="L1418"/>
    </row>
    <row r="1419" spans="2:12" ht="14.4" x14ac:dyDescent="0.3">
      <c r="B1419"/>
      <c r="C1419"/>
      <c r="D1419"/>
      <c r="E1419"/>
      <c r="F1419"/>
      <c r="H1419"/>
      <c r="I1419"/>
      <c r="J1419"/>
      <c r="K1419"/>
      <c r="L1419"/>
    </row>
    <row r="1420" spans="2:12" ht="14.4" x14ac:dyDescent="0.3">
      <c r="B1420"/>
      <c r="C1420"/>
      <c r="D1420"/>
      <c r="E1420"/>
      <c r="F1420"/>
      <c r="H1420"/>
      <c r="I1420"/>
      <c r="J1420"/>
      <c r="K1420"/>
      <c r="L1420"/>
    </row>
    <row r="1421" spans="2:12" ht="14.4" x14ac:dyDescent="0.3">
      <c r="B1421"/>
      <c r="C1421"/>
      <c r="D1421"/>
      <c r="E1421"/>
      <c r="F1421"/>
      <c r="H1421"/>
      <c r="I1421"/>
      <c r="J1421"/>
      <c r="K1421"/>
      <c r="L1421"/>
    </row>
    <row r="1422" spans="2:12" ht="14.4" x14ac:dyDescent="0.3">
      <c r="B1422"/>
      <c r="C1422"/>
      <c r="D1422"/>
      <c r="E1422"/>
      <c r="F1422"/>
      <c r="H1422"/>
      <c r="I1422"/>
      <c r="J1422"/>
      <c r="K1422"/>
      <c r="L1422"/>
    </row>
    <row r="1423" spans="2:12" ht="14.4" x14ac:dyDescent="0.3">
      <c r="B1423"/>
      <c r="C1423"/>
      <c r="D1423"/>
      <c r="E1423"/>
      <c r="F1423"/>
      <c r="H1423"/>
      <c r="I1423"/>
      <c r="J1423"/>
      <c r="K1423"/>
      <c r="L1423"/>
    </row>
    <row r="1424" spans="2:12" ht="14.4" x14ac:dyDescent="0.3">
      <c r="B1424"/>
      <c r="C1424"/>
      <c r="D1424"/>
      <c r="E1424"/>
      <c r="F1424"/>
      <c r="H1424"/>
      <c r="I1424"/>
      <c r="J1424"/>
      <c r="K1424"/>
      <c r="L1424"/>
    </row>
    <row r="1425" spans="2:12" ht="14.4" x14ac:dyDescent="0.3">
      <c r="B1425"/>
      <c r="C1425"/>
      <c r="D1425"/>
      <c r="E1425"/>
      <c r="F1425"/>
      <c r="H1425"/>
      <c r="I1425"/>
      <c r="J1425"/>
      <c r="K1425"/>
      <c r="L1425"/>
    </row>
    <row r="1426" spans="2:12" ht="14.4" x14ac:dyDescent="0.3">
      <c r="B1426"/>
      <c r="C1426"/>
      <c r="D1426"/>
      <c r="E1426"/>
      <c r="F1426"/>
      <c r="H1426"/>
      <c r="I1426"/>
      <c r="J1426"/>
      <c r="K1426"/>
      <c r="L1426"/>
    </row>
    <row r="1427" spans="2:12" ht="14.4" x14ac:dyDescent="0.3">
      <c r="B1427"/>
      <c r="C1427"/>
      <c r="D1427"/>
      <c r="E1427"/>
      <c r="F1427"/>
      <c r="H1427"/>
      <c r="I1427"/>
      <c r="J1427"/>
      <c r="K1427"/>
      <c r="L1427"/>
    </row>
    <row r="1428" spans="2:12" ht="14.4" x14ac:dyDescent="0.3">
      <c r="B1428"/>
      <c r="C1428"/>
      <c r="D1428"/>
      <c r="E1428"/>
      <c r="F1428"/>
      <c r="H1428"/>
      <c r="I1428"/>
      <c r="J1428"/>
      <c r="K1428"/>
      <c r="L1428"/>
    </row>
    <row r="1429" spans="2:12" ht="14.4" x14ac:dyDescent="0.3">
      <c r="B1429"/>
      <c r="C1429"/>
      <c r="D1429"/>
      <c r="E1429"/>
      <c r="F1429"/>
      <c r="H1429"/>
      <c r="I1429"/>
      <c r="J1429"/>
      <c r="K1429"/>
      <c r="L1429"/>
    </row>
    <row r="1430" spans="2:12" ht="14.4" x14ac:dyDescent="0.3">
      <c r="B1430"/>
      <c r="C1430"/>
      <c r="D1430"/>
      <c r="E1430"/>
      <c r="F1430"/>
      <c r="H1430"/>
      <c r="I1430"/>
      <c r="J1430"/>
      <c r="K1430"/>
      <c r="L1430"/>
    </row>
    <row r="1431" spans="2:12" ht="14.4" x14ac:dyDescent="0.3">
      <c r="B1431"/>
      <c r="C1431"/>
      <c r="D1431"/>
      <c r="E1431"/>
      <c r="F1431"/>
      <c r="H1431"/>
      <c r="I1431"/>
      <c r="J1431"/>
      <c r="K1431"/>
      <c r="L1431"/>
    </row>
    <row r="1432" spans="2:12" ht="14.4" x14ac:dyDescent="0.3">
      <c r="B1432"/>
      <c r="C1432"/>
      <c r="D1432"/>
      <c r="E1432"/>
      <c r="F1432"/>
      <c r="H1432"/>
      <c r="I1432"/>
      <c r="J1432"/>
      <c r="K1432"/>
      <c r="L1432"/>
    </row>
    <row r="1433" spans="2:12" ht="14.4" x14ac:dyDescent="0.3">
      <c r="B1433"/>
      <c r="C1433"/>
      <c r="D1433"/>
      <c r="E1433"/>
      <c r="F1433"/>
      <c r="H1433"/>
      <c r="I1433"/>
      <c r="J1433"/>
      <c r="K1433"/>
      <c r="L1433"/>
    </row>
    <row r="1434" spans="2:12" ht="14.4" x14ac:dyDescent="0.3">
      <c r="B1434"/>
      <c r="C1434"/>
      <c r="D1434"/>
      <c r="E1434"/>
      <c r="F1434"/>
      <c r="H1434"/>
      <c r="I1434"/>
      <c r="J1434"/>
      <c r="K1434"/>
      <c r="L1434"/>
    </row>
    <row r="1435" spans="2:12" ht="14.4" x14ac:dyDescent="0.3">
      <c r="B1435"/>
      <c r="C1435"/>
      <c r="D1435"/>
      <c r="E1435"/>
      <c r="F1435"/>
      <c r="H1435"/>
      <c r="I1435"/>
      <c r="J1435"/>
      <c r="K1435"/>
      <c r="L1435"/>
    </row>
    <row r="1436" spans="2:12" ht="14.4" x14ac:dyDescent="0.3">
      <c r="B1436"/>
      <c r="C1436"/>
      <c r="D1436"/>
      <c r="E1436"/>
      <c r="F1436"/>
      <c r="H1436"/>
      <c r="I1436"/>
      <c r="J1436"/>
      <c r="K1436"/>
      <c r="L1436"/>
    </row>
    <row r="1437" spans="2:12" ht="14.4" x14ac:dyDescent="0.3">
      <c r="B1437"/>
      <c r="C1437"/>
      <c r="D1437"/>
      <c r="E1437"/>
      <c r="F1437"/>
      <c r="H1437"/>
      <c r="I1437"/>
      <c r="J1437"/>
      <c r="K1437"/>
      <c r="L1437"/>
    </row>
    <row r="1438" spans="2:12" ht="14.4" x14ac:dyDescent="0.3">
      <c r="B1438"/>
      <c r="C1438"/>
      <c r="D1438"/>
      <c r="E1438"/>
      <c r="F1438"/>
      <c r="H1438"/>
      <c r="I1438"/>
      <c r="J1438"/>
      <c r="K1438"/>
      <c r="L1438"/>
    </row>
    <row r="1439" spans="2:12" ht="14.4" x14ac:dyDescent="0.3">
      <c r="B1439"/>
      <c r="C1439"/>
      <c r="D1439"/>
      <c r="E1439"/>
      <c r="F1439"/>
      <c r="H1439"/>
      <c r="I1439"/>
      <c r="J1439"/>
      <c r="K1439"/>
      <c r="L1439"/>
    </row>
    <row r="1440" spans="2:12" ht="14.4" x14ac:dyDescent="0.3">
      <c r="B1440"/>
      <c r="C1440"/>
      <c r="D1440"/>
      <c r="E1440"/>
      <c r="F1440"/>
      <c r="H1440"/>
      <c r="I1440"/>
      <c r="J1440"/>
      <c r="K1440"/>
      <c r="L1440"/>
    </row>
    <row r="1441" spans="2:12" ht="14.4" x14ac:dyDescent="0.3">
      <c r="B1441"/>
      <c r="C1441"/>
      <c r="D1441"/>
      <c r="E1441"/>
      <c r="F1441"/>
      <c r="H1441"/>
      <c r="I1441"/>
      <c r="J1441"/>
      <c r="K1441"/>
      <c r="L1441"/>
    </row>
    <row r="1442" spans="2:12" ht="14.4" x14ac:dyDescent="0.3">
      <c r="B1442"/>
      <c r="C1442"/>
      <c r="D1442"/>
      <c r="E1442"/>
      <c r="F1442"/>
      <c r="H1442"/>
      <c r="I1442"/>
      <c r="J1442"/>
      <c r="K1442"/>
      <c r="L1442"/>
    </row>
    <row r="1443" spans="2:12" ht="14.4" x14ac:dyDescent="0.3">
      <c r="B1443"/>
      <c r="C1443"/>
      <c r="D1443"/>
      <c r="E1443"/>
      <c r="F1443"/>
      <c r="H1443"/>
      <c r="I1443"/>
      <c r="J1443"/>
      <c r="K1443"/>
      <c r="L1443"/>
    </row>
    <row r="1444" spans="2:12" ht="14.4" x14ac:dyDescent="0.3">
      <c r="B1444"/>
      <c r="C1444"/>
      <c r="D1444"/>
      <c r="E1444"/>
      <c r="F1444"/>
      <c r="H1444"/>
      <c r="I1444"/>
      <c r="J1444"/>
      <c r="K1444"/>
      <c r="L1444"/>
    </row>
    <row r="1445" spans="2:12" ht="14.4" x14ac:dyDescent="0.3">
      <c r="B1445"/>
      <c r="C1445"/>
      <c r="D1445"/>
      <c r="E1445"/>
      <c r="F1445"/>
      <c r="H1445"/>
      <c r="I1445"/>
      <c r="J1445"/>
      <c r="K1445"/>
      <c r="L1445"/>
    </row>
    <row r="1446" spans="2:12" ht="14.4" x14ac:dyDescent="0.3">
      <c r="B1446"/>
      <c r="C1446"/>
      <c r="D1446"/>
      <c r="E1446"/>
      <c r="F1446"/>
      <c r="H1446"/>
      <c r="I1446"/>
      <c r="J1446"/>
      <c r="K1446"/>
      <c r="L1446"/>
    </row>
    <row r="1447" spans="2:12" ht="14.4" x14ac:dyDescent="0.3">
      <c r="B1447"/>
      <c r="C1447"/>
      <c r="D1447"/>
      <c r="E1447"/>
      <c r="F1447"/>
      <c r="H1447"/>
      <c r="I1447"/>
      <c r="J1447"/>
      <c r="K1447"/>
      <c r="L1447"/>
    </row>
    <row r="1448" spans="2:12" ht="14.4" x14ac:dyDescent="0.3">
      <c r="B1448"/>
      <c r="C1448"/>
      <c r="D1448"/>
      <c r="E1448"/>
      <c r="F1448"/>
      <c r="H1448"/>
      <c r="I1448"/>
      <c r="J1448"/>
      <c r="K1448"/>
      <c r="L1448"/>
    </row>
    <row r="1449" spans="2:12" ht="14.4" x14ac:dyDescent="0.3">
      <c r="B1449"/>
      <c r="C1449"/>
      <c r="D1449"/>
      <c r="E1449"/>
      <c r="F1449"/>
      <c r="H1449"/>
      <c r="I1449"/>
      <c r="J1449"/>
      <c r="K1449"/>
      <c r="L1449"/>
    </row>
    <row r="1450" spans="2:12" ht="14.4" x14ac:dyDescent="0.3">
      <c r="B1450"/>
      <c r="C1450"/>
      <c r="D1450"/>
      <c r="E1450"/>
      <c r="F1450"/>
      <c r="H1450"/>
      <c r="I1450"/>
      <c r="J1450"/>
      <c r="K1450"/>
      <c r="L1450"/>
    </row>
    <row r="1451" spans="2:12" ht="14.4" x14ac:dyDescent="0.3">
      <c r="B1451"/>
      <c r="C1451"/>
      <c r="D1451"/>
      <c r="E1451"/>
      <c r="F1451"/>
      <c r="H1451"/>
      <c r="I1451"/>
      <c r="J1451"/>
      <c r="K1451"/>
      <c r="L1451"/>
    </row>
    <row r="1452" spans="2:12" ht="14.4" x14ac:dyDescent="0.3">
      <c r="B1452"/>
      <c r="C1452"/>
      <c r="D1452"/>
      <c r="E1452"/>
      <c r="F1452"/>
      <c r="H1452"/>
      <c r="I1452"/>
      <c r="J1452"/>
      <c r="K1452"/>
      <c r="L1452"/>
    </row>
    <row r="1453" spans="2:12" ht="14.4" x14ac:dyDescent="0.3">
      <c r="B1453"/>
      <c r="C1453"/>
      <c r="D1453"/>
      <c r="E1453"/>
      <c r="F1453"/>
      <c r="H1453"/>
      <c r="I1453"/>
      <c r="J1453"/>
      <c r="K1453"/>
      <c r="L1453"/>
    </row>
    <row r="1454" spans="2:12" ht="14.4" x14ac:dyDescent="0.3">
      <c r="B1454"/>
      <c r="C1454"/>
      <c r="D1454"/>
      <c r="E1454"/>
      <c r="F1454"/>
      <c r="H1454"/>
      <c r="I1454"/>
      <c r="J1454"/>
      <c r="K1454"/>
      <c r="L1454"/>
    </row>
    <row r="1455" spans="2:12" ht="14.4" x14ac:dyDescent="0.3">
      <c r="B1455"/>
      <c r="C1455"/>
      <c r="D1455"/>
      <c r="E1455"/>
      <c r="F1455"/>
      <c r="H1455"/>
      <c r="I1455"/>
      <c r="J1455"/>
      <c r="K1455"/>
      <c r="L1455"/>
    </row>
    <row r="1456" spans="2:12" ht="14.4" x14ac:dyDescent="0.3">
      <c r="B1456"/>
      <c r="C1456"/>
      <c r="D1456"/>
      <c r="E1456"/>
      <c r="F1456"/>
      <c r="H1456"/>
      <c r="I1456"/>
      <c r="J1456"/>
      <c r="K1456"/>
      <c r="L1456"/>
    </row>
    <row r="1457" spans="2:12" ht="14.4" x14ac:dyDescent="0.3">
      <c r="B1457"/>
      <c r="C1457"/>
      <c r="D1457"/>
      <c r="E1457"/>
      <c r="F1457"/>
      <c r="H1457"/>
      <c r="I1457"/>
      <c r="J1457"/>
      <c r="K1457"/>
      <c r="L1457"/>
    </row>
    <row r="1458" spans="2:12" ht="14.4" x14ac:dyDescent="0.3">
      <c r="B1458"/>
      <c r="C1458"/>
      <c r="D1458"/>
      <c r="E1458"/>
      <c r="F1458"/>
      <c r="H1458"/>
      <c r="I1458"/>
      <c r="J1458"/>
      <c r="K1458"/>
      <c r="L1458"/>
    </row>
    <row r="1459" spans="2:12" ht="14.4" x14ac:dyDescent="0.3">
      <c r="B1459"/>
      <c r="C1459"/>
      <c r="D1459"/>
      <c r="E1459"/>
      <c r="F1459"/>
      <c r="H1459"/>
      <c r="I1459"/>
      <c r="J1459"/>
      <c r="K1459"/>
      <c r="L1459"/>
    </row>
    <row r="1460" spans="2:12" ht="14.4" x14ac:dyDescent="0.3">
      <c r="B1460"/>
      <c r="C1460"/>
      <c r="D1460"/>
      <c r="E1460"/>
      <c r="F1460"/>
      <c r="H1460"/>
      <c r="I1460"/>
      <c r="J1460"/>
      <c r="K1460"/>
      <c r="L1460"/>
    </row>
    <row r="1461" spans="2:12" ht="14.4" x14ac:dyDescent="0.3">
      <c r="B1461"/>
      <c r="C1461"/>
      <c r="D1461"/>
      <c r="E1461"/>
      <c r="F1461"/>
      <c r="H1461"/>
      <c r="I1461"/>
      <c r="J1461"/>
      <c r="K1461"/>
      <c r="L1461"/>
    </row>
    <row r="1462" spans="2:12" ht="14.4" x14ac:dyDescent="0.3">
      <c r="B1462"/>
      <c r="C1462"/>
      <c r="D1462"/>
      <c r="E1462"/>
      <c r="F1462"/>
      <c r="H1462"/>
      <c r="I1462"/>
      <c r="J1462"/>
      <c r="K1462"/>
      <c r="L1462"/>
    </row>
    <row r="1463" spans="2:12" ht="14.4" x14ac:dyDescent="0.3">
      <c r="B1463"/>
      <c r="C1463"/>
      <c r="D1463"/>
      <c r="E1463"/>
      <c r="F1463"/>
      <c r="H1463"/>
      <c r="I1463"/>
      <c r="J1463"/>
      <c r="K1463"/>
      <c r="L1463"/>
    </row>
    <row r="1464" spans="2:12" ht="14.4" x14ac:dyDescent="0.3">
      <c r="B1464"/>
      <c r="C1464"/>
      <c r="D1464"/>
      <c r="E1464"/>
      <c r="F1464"/>
      <c r="H1464"/>
      <c r="I1464"/>
      <c r="J1464"/>
      <c r="K1464"/>
      <c r="L1464"/>
    </row>
    <row r="1465" spans="2:12" ht="14.4" x14ac:dyDescent="0.3">
      <c r="B1465"/>
      <c r="C1465"/>
      <c r="D1465"/>
      <c r="E1465"/>
      <c r="F1465"/>
      <c r="H1465"/>
      <c r="I1465"/>
      <c r="J1465"/>
      <c r="K1465"/>
      <c r="L1465"/>
    </row>
    <row r="1466" spans="2:12" ht="14.4" x14ac:dyDescent="0.3">
      <c r="B1466"/>
      <c r="C1466"/>
      <c r="D1466"/>
      <c r="E1466"/>
      <c r="F1466"/>
      <c r="H1466"/>
      <c r="I1466"/>
      <c r="J1466"/>
      <c r="K1466"/>
      <c r="L1466"/>
    </row>
    <row r="1467" spans="2:12" ht="14.4" x14ac:dyDescent="0.3">
      <c r="B1467"/>
      <c r="C1467"/>
      <c r="D1467"/>
      <c r="E1467"/>
      <c r="F1467"/>
      <c r="H1467"/>
      <c r="I1467"/>
      <c r="J1467"/>
      <c r="K1467"/>
      <c r="L1467"/>
    </row>
    <row r="1468" spans="2:12" ht="14.4" x14ac:dyDescent="0.3">
      <c r="B1468"/>
      <c r="C1468"/>
      <c r="D1468"/>
      <c r="E1468"/>
      <c r="F1468"/>
      <c r="H1468"/>
      <c r="I1468"/>
      <c r="J1468"/>
      <c r="K1468"/>
      <c r="L1468"/>
    </row>
    <row r="1469" spans="2:12" ht="14.4" x14ac:dyDescent="0.3">
      <c r="B1469"/>
      <c r="C1469"/>
      <c r="D1469"/>
      <c r="E1469"/>
      <c r="F1469"/>
      <c r="H1469"/>
      <c r="I1469"/>
      <c r="J1469"/>
      <c r="K1469"/>
      <c r="L1469"/>
    </row>
    <row r="1470" spans="2:12" ht="14.4" x14ac:dyDescent="0.3">
      <c r="B1470"/>
      <c r="C1470"/>
      <c r="D1470"/>
      <c r="E1470"/>
      <c r="F1470"/>
      <c r="H1470"/>
      <c r="I1470"/>
      <c r="J1470"/>
      <c r="K1470"/>
      <c r="L1470"/>
    </row>
    <row r="1471" spans="2:12" ht="14.4" x14ac:dyDescent="0.3">
      <c r="B1471"/>
      <c r="C1471"/>
      <c r="D1471"/>
      <c r="E1471"/>
      <c r="F1471"/>
      <c r="H1471"/>
      <c r="I1471"/>
      <c r="J1471"/>
      <c r="K1471"/>
      <c r="L1471"/>
    </row>
    <row r="1472" spans="2:12" ht="14.4" x14ac:dyDescent="0.3">
      <c r="B1472"/>
      <c r="C1472"/>
      <c r="D1472"/>
      <c r="E1472"/>
      <c r="F1472"/>
      <c r="H1472"/>
      <c r="I1472"/>
      <c r="J1472"/>
      <c r="K1472"/>
      <c r="L1472"/>
    </row>
    <row r="1473" spans="2:12" ht="14.4" x14ac:dyDescent="0.3">
      <c r="B1473"/>
      <c r="C1473"/>
      <c r="D1473"/>
      <c r="E1473"/>
      <c r="F1473"/>
      <c r="H1473"/>
      <c r="I1473"/>
      <c r="J1473"/>
      <c r="K1473"/>
      <c r="L1473"/>
    </row>
    <row r="1474" spans="2:12" ht="14.4" x14ac:dyDescent="0.3">
      <c r="B1474"/>
      <c r="C1474"/>
      <c r="D1474"/>
      <c r="E1474"/>
      <c r="F1474"/>
      <c r="H1474"/>
      <c r="I1474"/>
      <c r="J1474"/>
      <c r="K1474"/>
      <c r="L1474"/>
    </row>
    <row r="1475" spans="2:12" ht="14.4" x14ac:dyDescent="0.3">
      <c r="B1475"/>
      <c r="C1475"/>
      <c r="D1475"/>
      <c r="E1475"/>
      <c r="F1475"/>
      <c r="H1475"/>
      <c r="I1475"/>
      <c r="J1475"/>
      <c r="K1475"/>
      <c r="L1475"/>
    </row>
    <row r="1476" spans="2:12" ht="14.4" x14ac:dyDescent="0.3">
      <c r="B1476"/>
      <c r="C1476"/>
      <c r="D1476"/>
      <c r="E1476"/>
      <c r="F1476"/>
      <c r="H1476"/>
      <c r="I1476"/>
      <c r="J1476"/>
      <c r="K1476"/>
      <c r="L1476"/>
    </row>
    <row r="1477" spans="2:12" ht="14.4" x14ac:dyDescent="0.3">
      <c r="B1477"/>
      <c r="C1477"/>
      <c r="D1477"/>
      <c r="E1477"/>
      <c r="F1477"/>
      <c r="H1477"/>
      <c r="I1477"/>
      <c r="J1477"/>
      <c r="K1477"/>
      <c r="L1477"/>
    </row>
    <row r="1478" spans="2:12" ht="14.4" x14ac:dyDescent="0.3">
      <c r="B1478"/>
      <c r="C1478"/>
      <c r="D1478"/>
      <c r="E1478"/>
      <c r="F1478"/>
      <c r="H1478"/>
      <c r="I1478"/>
      <c r="J1478"/>
      <c r="K1478"/>
      <c r="L1478"/>
    </row>
    <row r="1479" spans="2:12" ht="14.4" x14ac:dyDescent="0.3">
      <c r="B1479"/>
      <c r="C1479"/>
      <c r="D1479"/>
      <c r="E1479"/>
      <c r="F1479"/>
      <c r="H1479"/>
      <c r="I1479"/>
      <c r="J1479"/>
      <c r="K1479"/>
      <c r="L1479"/>
    </row>
    <row r="1480" spans="2:12" ht="14.4" x14ac:dyDescent="0.3">
      <c r="B1480"/>
      <c r="C1480"/>
      <c r="D1480"/>
      <c r="E1480"/>
      <c r="F1480"/>
      <c r="H1480"/>
      <c r="I1480"/>
      <c r="J1480"/>
      <c r="K1480"/>
      <c r="L1480"/>
    </row>
    <row r="1481" spans="2:12" ht="14.4" x14ac:dyDescent="0.3">
      <c r="B1481"/>
      <c r="C1481"/>
      <c r="D1481"/>
      <c r="E1481"/>
      <c r="F1481"/>
      <c r="H1481"/>
      <c r="I1481"/>
      <c r="J1481"/>
      <c r="K1481"/>
      <c r="L1481"/>
    </row>
    <row r="1482" spans="2:12" ht="14.4" x14ac:dyDescent="0.3">
      <c r="B1482"/>
      <c r="C1482"/>
      <c r="D1482"/>
      <c r="E1482"/>
      <c r="F1482"/>
      <c r="H1482"/>
      <c r="I1482"/>
      <c r="J1482"/>
      <c r="K1482"/>
      <c r="L1482"/>
    </row>
    <row r="1483" spans="2:12" ht="14.4" x14ac:dyDescent="0.3">
      <c r="B1483"/>
      <c r="C1483"/>
      <c r="D1483"/>
      <c r="E1483"/>
      <c r="F1483"/>
      <c r="H1483"/>
      <c r="I1483"/>
      <c r="J1483"/>
      <c r="K1483"/>
      <c r="L1483"/>
    </row>
    <row r="1484" spans="2:12" ht="14.4" x14ac:dyDescent="0.3">
      <c r="B1484"/>
      <c r="C1484"/>
      <c r="D1484"/>
      <c r="E1484"/>
      <c r="F1484"/>
      <c r="H1484"/>
      <c r="I1484"/>
      <c r="J1484"/>
      <c r="K1484"/>
      <c r="L1484"/>
    </row>
    <row r="1485" spans="2:12" ht="14.4" x14ac:dyDescent="0.3">
      <c r="B1485"/>
      <c r="C1485"/>
      <c r="D1485"/>
      <c r="E1485"/>
      <c r="F1485"/>
      <c r="H1485"/>
      <c r="I1485"/>
      <c r="J1485"/>
      <c r="K1485"/>
      <c r="L1485"/>
    </row>
    <row r="1486" spans="2:12" ht="14.4" x14ac:dyDescent="0.3">
      <c r="B1486"/>
      <c r="C1486"/>
      <c r="D1486"/>
      <c r="E1486"/>
      <c r="F1486"/>
      <c r="H1486"/>
      <c r="I1486"/>
      <c r="J1486"/>
      <c r="K1486"/>
      <c r="L1486"/>
    </row>
    <row r="1487" spans="2:12" ht="14.4" x14ac:dyDescent="0.3">
      <c r="B1487"/>
      <c r="C1487"/>
      <c r="D1487"/>
      <c r="E1487"/>
      <c r="F1487"/>
      <c r="H1487"/>
      <c r="I1487"/>
      <c r="J1487"/>
      <c r="K1487"/>
      <c r="L1487"/>
    </row>
    <row r="1488" spans="2:12" ht="14.4" x14ac:dyDescent="0.3">
      <c r="B1488"/>
      <c r="C1488"/>
      <c r="D1488"/>
      <c r="E1488"/>
      <c r="F1488"/>
      <c r="H1488"/>
      <c r="I1488"/>
      <c r="J1488"/>
      <c r="K1488"/>
      <c r="L1488"/>
    </row>
    <row r="1489" spans="2:12" ht="14.4" x14ac:dyDescent="0.3">
      <c r="B1489"/>
      <c r="C1489"/>
      <c r="D1489"/>
      <c r="E1489"/>
      <c r="F1489"/>
      <c r="H1489"/>
      <c r="I1489"/>
      <c r="J1489"/>
      <c r="K1489"/>
      <c r="L1489"/>
    </row>
    <row r="1490" spans="2:12" ht="14.4" x14ac:dyDescent="0.3">
      <c r="B1490"/>
      <c r="C1490"/>
      <c r="D1490"/>
      <c r="E1490"/>
      <c r="F1490"/>
      <c r="H1490"/>
      <c r="I1490"/>
      <c r="J1490"/>
      <c r="K1490"/>
      <c r="L1490"/>
    </row>
    <row r="1491" spans="2:12" ht="14.4" x14ac:dyDescent="0.3">
      <c r="B1491"/>
      <c r="C1491"/>
      <c r="D1491"/>
      <c r="E1491"/>
      <c r="F1491"/>
      <c r="H1491"/>
      <c r="I1491"/>
      <c r="J1491"/>
      <c r="K1491"/>
      <c r="L1491"/>
    </row>
    <row r="1492" spans="2:12" ht="14.4" x14ac:dyDescent="0.3">
      <c r="B1492"/>
      <c r="C1492"/>
      <c r="D1492"/>
      <c r="E1492"/>
      <c r="F1492"/>
      <c r="H1492"/>
      <c r="I1492"/>
      <c r="J1492"/>
      <c r="K1492"/>
      <c r="L1492"/>
    </row>
    <row r="1493" spans="2:12" ht="14.4" x14ac:dyDescent="0.3">
      <c r="B1493"/>
      <c r="C1493"/>
      <c r="D1493"/>
      <c r="E1493"/>
      <c r="F1493"/>
      <c r="H1493"/>
      <c r="I1493"/>
      <c r="J1493"/>
      <c r="K1493"/>
      <c r="L1493"/>
    </row>
    <row r="1494" spans="2:12" ht="14.4" x14ac:dyDescent="0.3">
      <c r="B1494"/>
      <c r="C1494"/>
      <c r="D1494"/>
      <c r="E1494"/>
      <c r="F1494"/>
      <c r="H1494"/>
      <c r="I1494"/>
      <c r="J1494"/>
      <c r="K1494"/>
      <c r="L1494"/>
    </row>
    <row r="1495" spans="2:12" ht="14.4" x14ac:dyDescent="0.3">
      <c r="B1495"/>
      <c r="C1495"/>
      <c r="D1495"/>
      <c r="E1495"/>
      <c r="F1495"/>
      <c r="H1495"/>
      <c r="I1495"/>
      <c r="J1495"/>
      <c r="K1495"/>
      <c r="L1495"/>
    </row>
    <row r="1496" spans="2:12" ht="14.4" x14ac:dyDescent="0.3">
      <c r="B1496"/>
      <c r="C1496"/>
      <c r="D1496"/>
      <c r="E1496"/>
      <c r="F1496"/>
      <c r="H1496"/>
      <c r="I1496"/>
      <c r="J1496"/>
      <c r="K1496"/>
      <c r="L1496"/>
    </row>
    <row r="1497" spans="2:12" ht="14.4" x14ac:dyDescent="0.3">
      <c r="B1497"/>
      <c r="C1497"/>
      <c r="D1497"/>
      <c r="E1497"/>
      <c r="F1497"/>
      <c r="H1497"/>
      <c r="I1497"/>
      <c r="J1497"/>
      <c r="K1497"/>
      <c r="L1497"/>
    </row>
    <row r="1498" spans="2:12" ht="14.4" x14ac:dyDescent="0.3">
      <c r="B1498"/>
      <c r="C1498"/>
      <c r="D1498"/>
      <c r="E1498"/>
      <c r="F1498"/>
      <c r="H1498"/>
      <c r="I1498"/>
      <c r="J1498"/>
      <c r="K1498"/>
      <c r="L1498"/>
    </row>
    <row r="1499" spans="2:12" ht="14.4" x14ac:dyDescent="0.3">
      <c r="B1499"/>
      <c r="C1499"/>
      <c r="D1499"/>
      <c r="E1499"/>
      <c r="F1499"/>
      <c r="H1499"/>
      <c r="I1499"/>
      <c r="J1499"/>
      <c r="K1499"/>
      <c r="L1499"/>
    </row>
    <row r="1500" spans="2:12" ht="14.4" x14ac:dyDescent="0.3">
      <c r="B1500"/>
      <c r="C1500"/>
      <c r="D1500"/>
      <c r="E1500"/>
      <c r="F1500"/>
      <c r="H1500"/>
      <c r="I1500"/>
      <c r="J1500"/>
      <c r="K1500"/>
      <c r="L1500"/>
    </row>
    <row r="1501" spans="2:12" ht="14.4" x14ac:dyDescent="0.3">
      <c r="B1501"/>
      <c r="C1501"/>
      <c r="D1501"/>
      <c r="E1501"/>
      <c r="F1501"/>
      <c r="H1501"/>
      <c r="I1501"/>
      <c r="J1501"/>
      <c r="K1501"/>
      <c r="L1501"/>
    </row>
    <row r="1502" spans="2:12" ht="14.4" x14ac:dyDescent="0.3">
      <c r="B1502"/>
      <c r="C1502"/>
      <c r="D1502"/>
      <c r="E1502"/>
      <c r="F1502"/>
      <c r="H1502"/>
      <c r="I1502"/>
      <c r="J1502"/>
      <c r="K1502"/>
      <c r="L1502"/>
    </row>
    <row r="1503" spans="2:12" ht="14.4" x14ac:dyDescent="0.3">
      <c r="B1503"/>
      <c r="C1503"/>
      <c r="D1503"/>
      <c r="E1503"/>
      <c r="F1503"/>
      <c r="H1503"/>
      <c r="I1503"/>
      <c r="J1503"/>
      <c r="K1503"/>
      <c r="L1503"/>
    </row>
    <row r="1504" spans="2:12" ht="14.4" x14ac:dyDescent="0.3">
      <c r="B1504"/>
      <c r="C1504"/>
      <c r="D1504"/>
      <c r="E1504"/>
      <c r="F1504"/>
      <c r="H1504"/>
      <c r="I1504"/>
      <c r="J1504"/>
      <c r="K1504"/>
      <c r="L1504"/>
    </row>
    <row r="1505" spans="2:12" ht="14.4" x14ac:dyDescent="0.3">
      <c r="B1505"/>
      <c r="C1505"/>
      <c r="D1505"/>
      <c r="E1505"/>
      <c r="F1505"/>
      <c r="H1505"/>
      <c r="I1505"/>
      <c r="J1505"/>
      <c r="K1505"/>
      <c r="L1505"/>
    </row>
    <row r="1506" spans="2:12" ht="14.4" x14ac:dyDescent="0.3">
      <c r="B1506"/>
      <c r="C1506"/>
      <c r="D1506"/>
      <c r="E1506"/>
      <c r="F1506"/>
      <c r="H1506"/>
      <c r="I1506"/>
      <c r="J1506"/>
      <c r="K1506"/>
      <c r="L1506"/>
    </row>
    <row r="1507" spans="2:12" ht="14.4" x14ac:dyDescent="0.3">
      <c r="B1507"/>
      <c r="C1507"/>
      <c r="D1507"/>
      <c r="E1507"/>
      <c r="F1507"/>
      <c r="H1507"/>
      <c r="I1507"/>
      <c r="J1507"/>
      <c r="K1507"/>
      <c r="L1507"/>
    </row>
    <row r="1508" spans="2:12" ht="14.4" x14ac:dyDescent="0.3">
      <c r="B1508"/>
      <c r="C1508"/>
      <c r="D1508"/>
      <c r="E1508"/>
      <c r="F1508"/>
      <c r="H1508"/>
      <c r="I1508"/>
      <c r="J1508"/>
      <c r="K1508"/>
      <c r="L1508"/>
    </row>
    <row r="1509" spans="2:12" ht="14.4" x14ac:dyDescent="0.3">
      <c r="B1509"/>
      <c r="C1509"/>
      <c r="D1509"/>
      <c r="E1509"/>
      <c r="F1509"/>
      <c r="H1509"/>
      <c r="I1509"/>
      <c r="J1509"/>
      <c r="K1509"/>
      <c r="L1509"/>
    </row>
    <row r="1510" spans="2:12" ht="14.4" x14ac:dyDescent="0.3">
      <c r="B1510"/>
      <c r="C1510"/>
      <c r="D1510"/>
      <c r="E1510"/>
      <c r="F1510"/>
      <c r="H1510"/>
      <c r="I1510"/>
      <c r="J1510"/>
      <c r="K1510"/>
      <c r="L1510"/>
    </row>
    <row r="1511" spans="2:12" ht="14.4" x14ac:dyDescent="0.3">
      <c r="B1511"/>
      <c r="C1511"/>
      <c r="D1511"/>
      <c r="E1511"/>
      <c r="F1511"/>
      <c r="H1511"/>
      <c r="I1511"/>
      <c r="J1511"/>
      <c r="K1511"/>
      <c r="L1511"/>
    </row>
    <row r="1512" spans="2:12" ht="14.4" x14ac:dyDescent="0.3">
      <c r="B1512"/>
      <c r="C1512"/>
      <c r="D1512"/>
      <c r="E1512"/>
      <c r="F1512"/>
      <c r="H1512"/>
      <c r="I1512"/>
      <c r="J1512"/>
      <c r="K1512"/>
      <c r="L1512"/>
    </row>
    <row r="1513" spans="2:12" ht="14.4" x14ac:dyDescent="0.3">
      <c r="B1513"/>
      <c r="C1513"/>
      <c r="D1513"/>
      <c r="E1513"/>
      <c r="F1513"/>
      <c r="H1513"/>
      <c r="I1513"/>
      <c r="J1513"/>
      <c r="K1513"/>
      <c r="L1513"/>
    </row>
    <row r="1514" spans="2:12" ht="14.4" x14ac:dyDescent="0.3">
      <c r="B1514"/>
      <c r="C1514"/>
      <c r="D1514"/>
      <c r="E1514"/>
      <c r="F1514"/>
      <c r="H1514"/>
      <c r="I1514"/>
      <c r="J1514"/>
      <c r="K1514"/>
      <c r="L1514"/>
    </row>
    <row r="1515" spans="2:12" ht="14.4" x14ac:dyDescent="0.3">
      <c r="B1515"/>
      <c r="C1515"/>
      <c r="D1515"/>
      <c r="E1515"/>
      <c r="F1515"/>
      <c r="H1515"/>
      <c r="I1515"/>
      <c r="J1515"/>
      <c r="K1515"/>
      <c r="L1515"/>
    </row>
    <row r="1516" spans="2:12" ht="14.4" x14ac:dyDescent="0.3">
      <c r="B1516"/>
      <c r="C1516"/>
      <c r="D1516"/>
      <c r="E1516"/>
      <c r="F1516"/>
      <c r="H1516"/>
      <c r="I1516"/>
      <c r="J1516"/>
      <c r="K1516"/>
      <c r="L1516"/>
    </row>
    <row r="1517" spans="2:12" ht="14.4" x14ac:dyDescent="0.3">
      <c r="B1517"/>
      <c r="C1517"/>
      <c r="D1517"/>
      <c r="E1517"/>
      <c r="F1517"/>
      <c r="H1517"/>
      <c r="I1517"/>
      <c r="J1517"/>
      <c r="K1517"/>
      <c r="L1517"/>
    </row>
    <row r="1518" spans="2:12" ht="14.4" x14ac:dyDescent="0.3">
      <c r="B1518"/>
      <c r="C1518"/>
      <c r="D1518"/>
      <c r="E1518"/>
      <c r="F1518"/>
      <c r="H1518"/>
      <c r="I1518"/>
      <c r="J1518"/>
      <c r="K1518"/>
      <c r="L1518"/>
    </row>
    <row r="1519" spans="2:12" ht="14.4" x14ac:dyDescent="0.3">
      <c r="B1519"/>
      <c r="C1519"/>
      <c r="D1519"/>
      <c r="E1519"/>
      <c r="F1519"/>
      <c r="H1519"/>
      <c r="I1519"/>
      <c r="J1519"/>
      <c r="K1519"/>
      <c r="L1519"/>
    </row>
    <row r="1520" spans="2:12" ht="14.4" x14ac:dyDescent="0.3">
      <c r="B1520"/>
      <c r="C1520"/>
      <c r="D1520"/>
      <c r="E1520"/>
      <c r="F1520"/>
      <c r="H1520"/>
      <c r="I1520"/>
      <c r="J1520"/>
      <c r="K1520"/>
      <c r="L1520"/>
    </row>
    <row r="1521" spans="2:12" ht="14.4" x14ac:dyDescent="0.3">
      <c r="B1521"/>
      <c r="C1521"/>
      <c r="D1521"/>
      <c r="E1521"/>
      <c r="F1521"/>
      <c r="H1521"/>
      <c r="I1521"/>
      <c r="J1521"/>
      <c r="K1521"/>
      <c r="L1521"/>
    </row>
    <row r="1522" spans="2:12" ht="14.4" x14ac:dyDescent="0.3">
      <c r="B1522"/>
      <c r="C1522"/>
      <c r="D1522"/>
      <c r="E1522"/>
      <c r="F1522"/>
      <c r="H1522"/>
      <c r="I1522"/>
      <c r="J1522"/>
      <c r="K1522"/>
      <c r="L1522"/>
    </row>
    <row r="1523" spans="2:12" ht="14.4" x14ac:dyDescent="0.3">
      <c r="B1523"/>
      <c r="C1523"/>
      <c r="D1523"/>
      <c r="E1523"/>
      <c r="F1523"/>
      <c r="H1523"/>
      <c r="I1523"/>
      <c r="J1523"/>
      <c r="K1523"/>
      <c r="L1523"/>
    </row>
    <row r="1524" spans="2:12" ht="14.4" x14ac:dyDescent="0.3">
      <c r="B1524"/>
      <c r="C1524"/>
      <c r="D1524"/>
      <c r="E1524"/>
      <c r="F1524"/>
      <c r="H1524"/>
      <c r="I1524"/>
      <c r="J1524"/>
      <c r="K1524"/>
      <c r="L1524"/>
    </row>
    <row r="1525" spans="2:12" ht="14.4" x14ac:dyDescent="0.3">
      <c r="B1525"/>
      <c r="C1525"/>
      <c r="D1525"/>
      <c r="E1525"/>
      <c r="F1525"/>
      <c r="H1525"/>
      <c r="I1525"/>
      <c r="J1525"/>
      <c r="K1525"/>
      <c r="L1525"/>
    </row>
    <row r="1526" spans="2:12" ht="14.4" x14ac:dyDescent="0.3">
      <c r="B1526"/>
      <c r="C1526"/>
      <c r="D1526"/>
      <c r="E1526"/>
      <c r="F1526"/>
      <c r="H1526"/>
      <c r="I1526"/>
      <c r="J1526"/>
      <c r="K1526"/>
      <c r="L1526"/>
    </row>
    <row r="1527" spans="2:12" ht="14.4" x14ac:dyDescent="0.3">
      <c r="B1527"/>
      <c r="C1527"/>
      <c r="D1527"/>
      <c r="E1527"/>
      <c r="F1527"/>
      <c r="H1527"/>
      <c r="I1527"/>
      <c r="J1527"/>
      <c r="K1527"/>
      <c r="L1527"/>
    </row>
    <row r="1528" spans="2:12" ht="14.4" x14ac:dyDescent="0.3">
      <c r="B1528"/>
      <c r="C1528"/>
      <c r="D1528"/>
      <c r="E1528"/>
      <c r="F1528"/>
      <c r="H1528"/>
      <c r="I1528"/>
      <c r="J1528"/>
      <c r="K1528"/>
      <c r="L1528"/>
    </row>
    <row r="1529" spans="2:12" ht="14.4" x14ac:dyDescent="0.3">
      <c r="B1529"/>
      <c r="C1529"/>
      <c r="D1529"/>
      <c r="E1529"/>
      <c r="F1529"/>
      <c r="H1529"/>
      <c r="I1529"/>
      <c r="J1529"/>
      <c r="K1529"/>
      <c r="L1529"/>
    </row>
    <row r="1530" spans="2:12" ht="14.4" x14ac:dyDescent="0.3">
      <c r="B1530"/>
      <c r="C1530"/>
      <c r="D1530"/>
      <c r="E1530"/>
      <c r="F1530"/>
      <c r="H1530"/>
      <c r="I1530"/>
      <c r="J1530"/>
      <c r="K1530"/>
      <c r="L1530"/>
    </row>
    <row r="1531" spans="2:12" ht="14.4" x14ac:dyDescent="0.3">
      <c r="B1531"/>
      <c r="C1531"/>
      <c r="D1531"/>
      <c r="E1531"/>
      <c r="F1531"/>
      <c r="H1531"/>
      <c r="I1531"/>
      <c r="J1531"/>
      <c r="K1531"/>
      <c r="L1531"/>
    </row>
    <row r="1532" spans="2:12" ht="14.4" x14ac:dyDescent="0.3">
      <c r="B1532"/>
      <c r="C1532"/>
      <c r="D1532"/>
      <c r="E1532"/>
      <c r="F1532"/>
      <c r="H1532"/>
      <c r="I1532"/>
      <c r="J1532"/>
      <c r="K1532"/>
      <c r="L1532"/>
    </row>
    <row r="1533" spans="2:12" ht="14.4" x14ac:dyDescent="0.3">
      <c r="B1533"/>
      <c r="C1533"/>
      <c r="D1533"/>
      <c r="E1533"/>
      <c r="F1533"/>
      <c r="H1533"/>
      <c r="I1533"/>
      <c r="J1533"/>
      <c r="K1533"/>
      <c r="L1533"/>
    </row>
    <row r="1534" spans="2:12" ht="14.4" x14ac:dyDescent="0.3">
      <c r="B1534"/>
      <c r="C1534"/>
      <c r="D1534"/>
      <c r="E1534"/>
      <c r="F1534"/>
      <c r="H1534"/>
      <c r="I1534"/>
      <c r="J1534"/>
      <c r="K1534"/>
      <c r="L1534"/>
    </row>
    <row r="1535" spans="2:12" ht="14.4" x14ac:dyDescent="0.3">
      <c r="B1535"/>
      <c r="C1535"/>
      <c r="D1535"/>
      <c r="E1535"/>
      <c r="F1535"/>
      <c r="H1535"/>
      <c r="I1535"/>
      <c r="J1535"/>
      <c r="K1535"/>
      <c r="L1535"/>
    </row>
    <row r="1536" spans="2:12" ht="14.4" x14ac:dyDescent="0.3">
      <c r="B1536"/>
      <c r="C1536"/>
      <c r="D1536"/>
      <c r="E1536"/>
      <c r="F1536"/>
      <c r="H1536"/>
      <c r="I1536"/>
      <c r="J1536"/>
      <c r="K1536"/>
      <c r="L1536"/>
    </row>
    <row r="1537" spans="2:12" ht="14.4" x14ac:dyDescent="0.3">
      <c r="B1537"/>
      <c r="C1537"/>
      <c r="D1537"/>
      <c r="E1537"/>
      <c r="F1537"/>
      <c r="H1537"/>
      <c r="I1537"/>
      <c r="J1537"/>
      <c r="K1537"/>
      <c r="L1537"/>
    </row>
    <row r="1538" spans="2:12" ht="14.4" x14ac:dyDescent="0.3">
      <c r="B1538"/>
      <c r="C1538"/>
      <c r="D1538"/>
      <c r="E1538"/>
      <c r="F1538"/>
      <c r="H1538"/>
      <c r="I1538"/>
      <c r="J1538"/>
      <c r="K1538"/>
      <c r="L1538"/>
    </row>
    <row r="1539" spans="2:12" ht="14.4" x14ac:dyDescent="0.3">
      <c r="B1539"/>
      <c r="C1539"/>
      <c r="D1539"/>
      <c r="E1539"/>
      <c r="F1539"/>
      <c r="H1539"/>
      <c r="I1539"/>
      <c r="J1539"/>
      <c r="K1539"/>
      <c r="L1539"/>
    </row>
    <row r="1540" spans="2:12" ht="14.4" x14ac:dyDescent="0.3">
      <c r="B1540"/>
      <c r="C1540"/>
      <c r="D1540"/>
      <c r="E1540"/>
      <c r="F1540"/>
      <c r="H1540"/>
      <c r="I1540"/>
      <c r="J1540"/>
      <c r="K1540"/>
      <c r="L1540"/>
    </row>
    <row r="1541" spans="2:12" ht="14.4" x14ac:dyDescent="0.3">
      <c r="B1541"/>
      <c r="C1541"/>
      <c r="D1541"/>
      <c r="E1541"/>
      <c r="F1541"/>
      <c r="H1541"/>
      <c r="I1541"/>
      <c r="J1541"/>
      <c r="K1541"/>
      <c r="L1541"/>
    </row>
    <row r="1542" spans="2:12" ht="14.4" x14ac:dyDescent="0.3">
      <c r="B1542"/>
      <c r="C1542"/>
      <c r="D1542"/>
      <c r="E1542"/>
      <c r="F1542"/>
      <c r="H1542"/>
      <c r="I1542"/>
      <c r="J1542"/>
      <c r="K1542"/>
      <c r="L1542"/>
    </row>
    <row r="1543" spans="2:12" ht="14.4" x14ac:dyDescent="0.3">
      <c r="B1543"/>
      <c r="C1543"/>
      <c r="D1543"/>
      <c r="E1543"/>
      <c r="F1543"/>
      <c r="H1543"/>
      <c r="I1543"/>
      <c r="J1543"/>
      <c r="K1543"/>
      <c r="L1543"/>
    </row>
    <row r="1544" spans="2:12" ht="14.4" x14ac:dyDescent="0.3">
      <c r="B1544"/>
      <c r="C1544"/>
      <c r="D1544"/>
      <c r="E1544"/>
      <c r="F1544"/>
      <c r="H1544"/>
      <c r="I1544"/>
      <c r="J1544"/>
      <c r="K1544"/>
      <c r="L1544"/>
    </row>
    <row r="1545" spans="2:12" ht="14.4" x14ac:dyDescent="0.3">
      <c r="B1545"/>
      <c r="C1545"/>
      <c r="D1545"/>
      <c r="E1545"/>
      <c r="F1545"/>
      <c r="H1545"/>
      <c r="I1545"/>
      <c r="J1545"/>
      <c r="K1545"/>
      <c r="L1545"/>
    </row>
    <row r="1546" spans="2:12" ht="14.4" x14ac:dyDescent="0.3">
      <c r="B1546"/>
      <c r="C1546"/>
      <c r="D1546"/>
      <c r="E1546"/>
      <c r="F1546"/>
      <c r="H1546"/>
      <c r="I1546"/>
      <c r="J1546"/>
      <c r="K1546"/>
      <c r="L1546"/>
    </row>
    <row r="1547" spans="2:12" ht="14.4" x14ac:dyDescent="0.3">
      <c r="B1547"/>
      <c r="C1547"/>
      <c r="D1547"/>
      <c r="E1547"/>
      <c r="F1547"/>
      <c r="H1547"/>
      <c r="I1547"/>
      <c r="J1547"/>
      <c r="K1547"/>
      <c r="L1547"/>
    </row>
    <row r="1548" spans="2:12" ht="14.4" x14ac:dyDescent="0.3">
      <c r="B1548"/>
      <c r="C1548"/>
      <c r="D1548"/>
      <c r="E1548"/>
      <c r="F1548"/>
      <c r="H1548"/>
      <c r="I1548"/>
      <c r="J1548"/>
      <c r="K1548"/>
      <c r="L1548"/>
    </row>
    <row r="1549" spans="2:12" ht="14.4" x14ac:dyDescent="0.3">
      <c r="B1549"/>
      <c r="C1549"/>
      <c r="D1549"/>
      <c r="E1549"/>
      <c r="F1549"/>
      <c r="H1549"/>
      <c r="I1549"/>
      <c r="J1549"/>
      <c r="K1549"/>
      <c r="L1549"/>
    </row>
    <row r="1550" spans="2:12" ht="14.4" x14ac:dyDescent="0.3">
      <c r="B1550"/>
      <c r="C1550"/>
      <c r="D1550"/>
      <c r="E1550"/>
      <c r="F1550"/>
      <c r="H1550"/>
      <c r="I1550"/>
      <c r="J1550"/>
      <c r="K1550"/>
      <c r="L1550"/>
    </row>
    <row r="1551" spans="2:12" ht="14.4" x14ac:dyDescent="0.3">
      <c r="B1551"/>
      <c r="C1551"/>
      <c r="D1551"/>
      <c r="E1551"/>
      <c r="F1551"/>
      <c r="H1551"/>
      <c r="I1551"/>
      <c r="J1551"/>
      <c r="K1551"/>
      <c r="L1551"/>
    </row>
    <row r="1552" spans="2:12" ht="14.4" x14ac:dyDescent="0.3">
      <c r="B1552"/>
      <c r="C1552"/>
      <c r="D1552"/>
      <c r="E1552"/>
      <c r="F1552"/>
      <c r="H1552"/>
      <c r="I1552"/>
      <c r="J1552"/>
      <c r="K1552"/>
      <c r="L1552"/>
    </row>
    <row r="1553" spans="2:12" ht="14.4" x14ac:dyDescent="0.3">
      <c r="B1553"/>
      <c r="C1553"/>
      <c r="D1553"/>
      <c r="E1553"/>
      <c r="F1553"/>
      <c r="H1553"/>
      <c r="I1553"/>
      <c r="J1553"/>
      <c r="K1553"/>
      <c r="L1553"/>
    </row>
    <row r="1554" spans="2:12" ht="14.4" x14ac:dyDescent="0.3">
      <c r="B1554"/>
      <c r="C1554"/>
      <c r="D1554"/>
      <c r="E1554"/>
      <c r="F1554"/>
      <c r="H1554"/>
      <c r="I1554"/>
      <c r="J1554"/>
      <c r="K1554"/>
      <c r="L1554"/>
    </row>
    <row r="1555" spans="2:12" ht="14.4" x14ac:dyDescent="0.3">
      <c r="B1555"/>
      <c r="C1555"/>
      <c r="D1555"/>
      <c r="E1555"/>
      <c r="F1555"/>
      <c r="H1555"/>
      <c r="I1555"/>
      <c r="J1555"/>
      <c r="K1555"/>
      <c r="L1555"/>
    </row>
    <row r="1556" spans="2:12" ht="14.4" x14ac:dyDescent="0.3">
      <c r="B1556"/>
      <c r="C1556"/>
      <c r="D1556"/>
      <c r="E1556"/>
      <c r="F1556"/>
      <c r="H1556"/>
      <c r="I1556"/>
      <c r="J1556"/>
      <c r="K1556"/>
      <c r="L1556"/>
    </row>
    <row r="1557" spans="2:12" ht="14.4" x14ac:dyDescent="0.3">
      <c r="B1557"/>
      <c r="C1557"/>
      <c r="D1557"/>
      <c r="E1557"/>
      <c r="F1557"/>
      <c r="H1557"/>
      <c r="I1557"/>
      <c r="J1557"/>
      <c r="K1557"/>
      <c r="L1557"/>
    </row>
    <row r="1558" spans="2:12" ht="14.4" x14ac:dyDescent="0.3">
      <c r="B1558"/>
      <c r="C1558"/>
      <c r="D1558"/>
      <c r="E1558"/>
      <c r="F1558"/>
      <c r="H1558"/>
      <c r="I1558"/>
      <c r="J1558"/>
      <c r="K1558"/>
      <c r="L1558"/>
    </row>
    <row r="1559" spans="2:12" ht="14.4" x14ac:dyDescent="0.3">
      <c r="B1559"/>
      <c r="C1559"/>
      <c r="D1559"/>
      <c r="E1559"/>
      <c r="F1559"/>
      <c r="H1559"/>
      <c r="I1559"/>
      <c r="J1559"/>
      <c r="K1559"/>
      <c r="L1559"/>
    </row>
    <row r="1560" spans="2:12" ht="14.4" x14ac:dyDescent="0.3">
      <c r="B1560"/>
      <c r="C1560"/>
      <c r="D1560"/>
      <c r="E1560"/>
      <c r="F1560"/>
      <c r="H1560"/>
      <c r="I1560"/>
      <c r="J1560"/>
      <c r="K1560"/>
      <c r="L1560"/>
    </row>
    <row r="1561" spans="2:12" ht="14.4" x14ac:dyDescent="0.3">
      <c r="B1561"/>
      <c r="C1561"/>
      <c r="D1561"/>
      <c r="E1561"/>
      <c r="F1561"/>
      <c r="H1561"/>
      <c r="I1561"/>
      <c r="J1561"/>
      <c r="K1561"/>
      <c r="L1561"/>
    </row>
    <row r="1562" spans="2:12" ht="14.4" x14ac:dyDescent="0.3">
      <c r="B1562"/>
      <c r="C1562"/>
      <c r="D1562"/>
      <c r="E1562"/>
      <c r="F1562"/>
      <c r="H1562"/>
      <c r="I1562"/>
      <c r="J1562"/>
      <c r="K1562"/>
      <c r="L1562"/>
    </row>
    <row r="1563" spans="2:12" ht="14.4" x14ac:dyDescent="0.3">
      <c r="B1563"/>
      <c r="C1563"/>
      <c r="D1563"/>
      <c r="E1563"/>
      <c r="F1563"/>
      <c r="H1563"/>
      <c r="I1563"/>
      <c r="J1563"/>
      <c r="K1563"/>
      <c r="L1563"/>
    </row>
    <row r="1564" spans="2:12" ht="14.4" x14ac:dyDescent="0.3">
      <c r="B1564"/>
      <c r="C1564"/>
      <c r="D1564"/>
      <c r="E1564"/>
      <c r="F1564"/>
      <c r="H1564"/>
      <c r="I1564"/>
      <c r="J1564"/>
      <c r="K1564"/>
      <c r="L1564"/>
    </row>
    <row r="1565" spans="2:12" ht="14.4" x14ac:dyDescent="0.3">
      <c r="B1565"/>
      <c r="C1565"/>
      <c r="D1565"/>
      <c r="E1565"/>
      <c r="F1565"/>
      <c r="H1565"/>
      <c r="I1565"/>
      <c r="J1565"/>
      <c r="K1565"/>
      <c r="L1565"/>
    </row>
    <row r="1566" spans="2:12" ht="14.4" x14ac:dyDescent="0.3">
      <c r="B1566"/>
      <c r="C1566"/>
      <c r="D1566"/>
      <c r="E1566"/>
      <c r="F1566"/>
      <c r="H1566"/>
      <c r="I1566"/>
      <c r="J1566"/>
      <c r="K1566"/>
      <c r="L1566"/>
    </row>
    <row r="1567" spans="2:12" ht="14.4" x14ac:dyDescent="0.3">
      <c r="B1567"/>
      <c r="C1567"/>
      <c r="D1567"/>
      <c r="E1567"/>
      <c r="F1567"/>
      <c r="H1567"/>
      <c r="I1567"/>
      <c r="J1567"/>
      <c r="K1567"/>
      <c r="L1567"/>
    </row>
    <row r="1568" spans="2:12" ht="14.4" x14ac:dyDescent="0.3">
      <c r="B1568"/>
      <c r="C1568"/>
      <c r="D1568"/>
      <c r="E1568"/>
      <c r="F1568"/>
      <c r="H1568"/>
      <c r="I1568"/>
      <c r="J1568"/>
      <c r="K1568"/>
      <c r="L1568"/>
    </row>
    <row r="1569" spans="2:12" ht="14.4" x14ac:dyDescent="0.3">
      <c r="B1569"/>
      <c r="C1569"/>
      <c r="D1569"/>
      <c r="E1569"/>
      <c r="F1569"/>
      <c r="H1569"/>
      <c r="I1569"/>
      <c r="J1569"/>
      <c r="K1569"/>
      <c r="L1569"/>
    </row>
    <row r="1570" spans="2:12" ht="14.4" x14ac:dyDescent="0.3">
      <c r="B1570"/>
      <c r="C1570"/>
      <c r="D1570"/>
      <c r="E1570"/>
      <c r="F1570"/>
      <c r="H1570"/>
      <c r="I1570"/>
      <c r="J1570"/>
      <c r="K1570"/>
      <c r="L1570"/>
    </row>
    <row r="1571" spans="2:12" ht="14.4" x14ac:dyDescent="0.3">
      <c r="B1571"/>
      <c r="C1571"/>
      <c r="D1571"/>
      <c r="E1571"/>
      <c r="F1571"/>
      <c r="H1571"/>
      <c r="I1571"/>
      <c r="J1571"/>
      <c r="K1571"/>
      <c r="L1571"/>
    </row>
    <row r="1572" spans="2:12" ht="14.4" x14ac:dyDescent="0.3">
      <c r="B1572"/>
      <c r="C1572"/>
      <c r="D1572"/>
      <c r="E1572"/>
      <c r="F1572"/>
      <c r="H1572"/>
      <c r="I1572"/>
      <c r="J1572"/>
      <c r="K1572"/>
      <c r="L1572"/>
    </row>
    <row r="1573" spans="2:12" ht="14.4" x14ac:dyDescent="0.3">
      <c r="B1573"/>
      <c r="C1573"/>
      <c r="D1573"/>
      <c r="E1573"/>
      <c r="F1573"/>
      <c r="H1573"/>
      <c r="I1573"/>
      <c r="J1573"/>
      <c r="K1573"/>
      <c r="L1573"/>
    </row>
    <row r="1574" spans="2:12" ht="14.4" x14ac:dyDescent="0.3">
      <c r="B1574"/>
      <c r="C1574"/>
      <c r="D1574"/>
      <c r="E1574"/>
      <c r="F1574"/>
      <c r="H1574"/>
      <c r="I1574"/>
      <c r="J1574"/>
      <c r="K1574"/>
      <c r="L1574"/>
    </row>
    <row r="1575" spans="2:12" ht="14.4" x14ac:dyDescent="0.3">
      <c r="B1575"/>
      <c r="C1575"/>
      <c r="D1575"/>
      <c r="E1575"/>
      <c r="F1575"/>
      <c r="H1575"/>
      <c r="I1575"/>
      <c r="J1575"/>
      <c r="K1575"/>
      <c r="L1575"/>
    </row>
    <row r="1576" spans="2:12" ht="14.4" x14ac:dyDescent="0.3">
      <c r="B1576"/>
      <c r="C1576"/>
      <c r="D1576"/>
      <c r="E1576"/>
      <c r="F1576"/>
      <c r="H1576"/>
      <c r="I1576"/>
      <c r="J1576"/>
      <c r="K1576"/>
      <c r="L1576"/>
    </row>
    <row r="1577" spans="2:12" ht="14.4" x14ac:dyDescent="0.3">
      <c r="B1577"/>
      <c r="C1577"/>
      <c r="D1577"/>
      <c r="E1577"/>
      <c r="F1577"/>
      <c r="H1577"/>
      <c r="I1577"/>
      <c r="J1577"/>
      <c r="K1577"/>
      <c r="L1577"/>
    </row>
    <row r="1578" spans="2:12" ht="14.4" x14ac:dyDescent="0.3">
      <c r="B1578"/>
      <c r="C1578"/>
      <c r="D1578"/>
      <c r="E1578"/>
      <c r="F1578"/>
      <c r="H1578"/>
      <c r="I1578"/>
      <c r="J1578"/>
      <c r="K1578"/>
      <c r="L1578"/>
    </row>
    <row r="1579" spans="2:12" ht="14.4" x14ac:dyDescent="0.3">
      <c r="B1579"/>
      <c r="C1579"/>
      <c r="D1579"/>
      <c r="E1579"/>
      <c r="F1579"/>
      <c r="H1579"/>
      <c r="I1579"/>
      <c r="J1579"/>
      <c r="K1579"/>
      <c r="L1579"/>
    </row>
    <row r="1580" spans="2:12" ht="14.4" x14ac:dyDescent="0.3">
      <c r="B1580"/>
      <c r="C1580"/>
      <c r="D1580"/>
      <c r="E1580"/>
      <c r="F1580"/>
      <c r="H1580"/>
      <c r="I1580"/>
      <c r="J1580"/>
      <c r="K1580"/>
      <c r="L1580"/>
    </row>
    <row r="1581" spans="2:12" ht="14.4" x14ac:dyDescent="0.3">
      <c r="B1581"/>
      <c r="C1581"/>
      <c r="D1581"/>
      <c r="E1581"/>
      <c r="F1581"/>
      <c r="H1581"/>
      <c r="I1581"/>
      <c r="J1581"/>
      <c r="K1581"/>
      <c r="L1581"/>
    </row>
    <row r="1582" spans="2:12" ht="14.4" x14ac:dyDescent="0.3">
      <c r="B1582"/>
      <c r="C1582"/>
      <c r="D1582"/>
      <c r="E1582"/>
      <c r="F1582"/>
      <c r="H1582"/>
      <c r="I1582"/>
      <c r="J1582"/>
      <c r="K1582"/>
      <c r="L1582"/>
    </row>
    <row r="1583" spans="2:12" ht="14.4" x14ac:dyDescent="0.3">
      <c r="B1583"/>
      <c r="C1583"/>
      <c r="D1583"/>
      <c r="E1583"/>
      <c r="F1583"/>
      <c r="H1583"/>
      <c r="I1583"/>
      <c r="J1583"/>
      <c r="K1583"/>
      <c r="L1583"/>
    </row>
    <row r="1584" spans="2:12" ht="14.4" x14ac:dyDescent="0.3">
      <c r="B1584"/>
      <c r="C1584"/>
      <c r="D1584"/>
      <c r="E1584"/>
      <c r="F1584"/>
      <c r="H1584"/>
      <c r="I1584"/>
      <c r="J1584"/>
      <c r="K1584"/>
      <c r="L1584"/>
    </row>
    <row r="1585" spans="2:12" ht="14.4" x14ac:dyDescent="0.3">
      <c r="B1585"/>
      <c r="C1585"/>
      <c r="D1585"/>
      <c r="E1585"/>
      <c r="F1585"/>
      <c r="H1585"/>
      <c r="I1585"/>
      <c r="J1585"/>
      <c r="K1585"/>
      <c r="L1585"/>
    </row>
    <row r="1586" spans="2:12" ht="14.4" x14ac:dyDescent="0.3">
      <c r="B1586"/>
      <c r="C1586"/>
      <c r="D1586"/>
      <c r="E1586"/>
      <c r="F1586"/>
      <c r="H1586"/>
      <c r="I1586"/>
      <c r="J1586"/>
      <c r="K1586"/>
      <c r="L1586"/>
    </row>
    <row r="1587" spans="2:12" ht="14.4" x14ac:dyDescent="0.3">
      <c r="B1587"/>
      <c r="C1587"/>
      <c r="D1587"/>
      <c r="E1587"/>
      <c r="F1587"/>
      <c r="H1587"/>
      <c r="I1587"/>
      <c r="J1587"/>
      <c r="K1587"/>
      <c r="L1587"/>
    </row>
    <row r="1588" spans="2:12" ht="14.4" x14ac:dyDescent="0.3">
      <c r="B1588"/>
      <c r="C1588"/>
      <c r="D1588"/>
      <c r="E1588"/>
      <c r="F1588"/>
      <c r="H1588"/>
      <c r="I1588"/>
      <c r="J1588"/>
      <c r="K1588"/>
      <c r="L1588"/>
    </row>
    <row r="1589" spans="2:12" ht="14.4" x14ac:dyDescent="0.3">
      <c r="B1589"/>
      <c r="C1589"/>
      <c r="D1589"/>
      <c r="E1589"/>
      <c r="F1589"/>
      <c r="H1589"/>
      <c r="I1589"/>
      <c r="J1589"/>
      <c r="K1589"/>
      <c r="L1589"/>
    </row>
    <row r="1590" spans="2:12" ht="14.4" x14ac:dyDescent="0.3">
      <c r="B1590"/>
      <c r="C1590"/>
      <c r="D1590"/>
      <c r="E1590"/>
      <c r="F1590"/>
      <c r="H1590"/>
      <c r="I1590"/>
      <c r="J1590"/>
      <c r="K1590"/>
      <c r="L1590"/>
    </row>
    <row r="1591" spans="2:12" ht="14.4" x14ac:dyDescent="0.3">
      <c r="B1591"/>
      <c r="C1591"/>
      <c r="D1591"/>
      <c r="E1591"/>
      <c r="F1591"/>
      <c r="H1591"/>
      <c r="I1591"/>
      <c r="J1591"/>
      <c r="K1591"/>
      <c r="L1591"/>
    </row>
    <row r="1592" spans="2:12" ht="14.4" x14ac:dyDescent="0.3">
      <c r="B1592"/>
      <c r="C1592"/>
      <c r="D1592"/>
      <c r="E1592"/>
      <c r="F1592"/>
      <c r="H1592"/>
      <c r="I1592"/>
      <c r="J1592"/>
      <c r="K1592"/>
      <c r="L1592"/>
    </row>
    <row r="1593" spans="2:12" ht="14.4" x14ac:dyDescent="0.3">
      <c r="B1593"/>
      <c r="C1593"/>
      <c r="D1593"/>
      <c r="E1593"/>
      <c r="F1593"/>
      <c r="H1593"/>
      <c r="I1593"/>
      <c r="J1593"/>
      <c r="K1593"/>
      <c r="L1593"/>
    </row>
    <row r="1594" spans="2:12" ht="14.4" x14ac:dyDescent="0.3">
      <c r="B1594"/>
      <c r="C1594"/>
      <c r="D1594"/>
      <c r="E1594"/>
      <c r="F1594"/>
      <c r="H1594"/>
      <c r="I1594"/>
      <c r="J1594"/>
      <c r="K1594"/>
      <c r="L1594"/>
    </row>
    <row r="1595" spans="2:12" ht="14.4" x14ac:dyDescent="0.3">
      <c r="B1595"/>
      <c r="C1595"/>
      <c r="D1595"/>
      <c r="E1595"/>
      <c r="F1595"/>
      <c r="H1595"/>
      <c r="I1595"/>
      <c r="J1595"/>
      <c r="K1595"/>
      <c r="L1595"/>
    </row>
    <row r="1596" spans="2:12" ht="14.4" x14ac:dyDescent="0.3">
      <c r="B1596"/>
      <c r="C1596"/>
      <c r="D1596"/>
      <c r="E1596"/>
      <c r="F1596"/>
      <c r="H1596"/>
      <c r="I1596"/>
      <c r="J1596"/>
      <c r="K1596"/>
      <c r="L1596"/>
    </row>
    <row r="1597" spans="2:12" ht="14.4" x14ac:dyDescent="0.3">
      <c r="B1597"/>
      <c r="C1597"/>
      <c r="D1597"/>
      <c r="E1597"/>
      <c r="F1597"/>
      <c r="H1597"/>
      <c r="I1597"/>
      <c r="J1597"/>
      <c r="K1597"/>
      <c r="L1597"/>
    </row>
    <row r="1598" spans="2:12" ht="14.4" x14ac:dyDescent="0.3">
      <c r="B1598"/>
      <c r="C1598"/>
      <c r="D1598"/>
      <c r="E1598"/>
      <c r="F1598"/>
      <c r="H1598"/>
      <c r="I1598"/>
      <c r="J1598"/>
      <c r="K1598"/>
      <c r="L1598"/>
    </row>
    <row r="1599" spans="2:12" ht="14.4" x14ac:dyDescent="0.3">
      <c r="B1599"/>
      <c r="C1599"/>
      <c r="D1599"/>
      <c r="E1599"/>
      <c r="F1599"/>
      <c r="H1599"/>
      <c r="I1599"/>
      <c r="J1599"/>
      <c r="K1599"/>
      <c r="L1599"/>
    </row>
    <row r="1600" spans="2:12" ht="14.4" x14ac:dyDescent="0.3">
      <c r="B1600"/>
      <c r="C1600"/>
      <c r="D1600"/>
      <c r="E1600"/>
      <c r="F1600"/>
      <c r="H1600"/>
      <c r="I1600"/>
      <c r="J1600"/>
      <c r="K1600"/>
      <c r="L1600"/>
    </row>
    <row r="1601" spans="2:12" ht="14.4" x14ac:dyDescent="0.3">
      <c r="B1601"/>
      <c r="C1601"/>
      <c r="D1601"/>
      <c r="E1601"/>
      <c r="F1601"/>
      <c r="H1601"/>
      <c r="I1601"/>
      <c r="J1601"/>
      <c r="K1601"/>
      <c r="L1601"/>
    </row>
    <row r="1602" spans="2:12" ht="14.4" x14ac:dyDescent="0.3">
      <c r="B1602"/>
      <c r="C1602"/>
      <c r="D1602"/>
      <c r="E1602"/>
      <c r="F1602"/>
      <c r="H1602"/>
      <c r="I1602"/>
      <c r="J1602"/>
      <c r="K1602"/>
      <c r="L1602"/>
    </row>
    <row r="1603" spans="2:12" ht="14.4" x14ac:dyDescent="0.3">
      <c r="B1603"/>
      <c r="C1603"/>
      <c r="D1603"/>
      <c r="E1603"/>
      <c r="F1603"/>
      <c r="H1603"/>
      <c r="I1603"/>
      <c r="J1603"/>
      <c r="K1603"/>
      <c r="L1603"/>
    </row>
    <row r="1604" spans="2:12" ht="14.4" x14ac:dyDescent="0.3">
      <c r="B1604"/>
      <c r="C1604"/>
      <c r="D1604"/>
      <c r="E1604"/>
      <c r="F1604"/>
      <c r="H1604"/>
      <c r="I1604"/>
      <c r="J1604"/>
      <c r="K1604"/>
      <c r="L1604"/>
    </row>
    <row r="1605" spans="2:12" ht="14.4" x14ac:dyDescent="0.3">
      <c r="B1605"/>
      <c r="C1605"/>
      <c r="D1605"/>
      <c r="E1605"/>
      <c r="F1605"/>
      <c r="H1605"/>
      <c r="I1605"/>
      <c r="J1605"/>
      <c r="K1605"/>
      <c r="L1605"/>
    </row>
    <row r="1606" spans="2:12" ht="14.4" x14ac:dyDescent="0.3">
      <c r="B1606"/>
      <c r="C1606"/>
      <c r="D1606"/>
      <c r="E1606"/>
      <c r="F1606"/>
      <c r="H1606"/>
      <c r="I1606"/>
      <c r="J1606"/>
      <c r="K1606"/>
      <c r="L1606"/>
    </row>
    <row r="1607" spans="2:12" ht="14.4" x14ac:dyDescent="0.3">
      <c r="B1607"/>
      <c r="C1607"/>
      <c r="D1607"/>
      <c r="E1607"/>
      <c r="F1607"/>
      <c r="H1607"/>
      <c r="I1607"/>
      <c r="J1607"/>
      <c r="K1607"/>
      <c r="L1607"/>
    </row>
    <row r="1608" spans="2:12" ht="14.4" x14ac:dyDescent="0.3">
      <c r="B1608"/>
      <c r="C1608"/>
      <c r="D1608"/>
      <c r="E1608"/>
      <c r="F1608"/>
      <c r="H1608"/>
      <c r="I1608"/>
      <c r="J1608"/>
      <c r="K1608"/>
      <c r="L1608"/>
    </row>
    <row r="1609" spans="2:12" ht="14.4" x14ac:dyDescent="0.3">
      <c r="B1609"/>
      <c r="C1609"/>
      <c r="D1609"/>
      <c r="E1609"/>
      <c r="F1609"/>
      <c r="H1609"/>
      <c r="I1609"/>
      <c r="J1609"/>
      <c r="K1609"/>
      <c r="L1609"/>
    </row>
    <row r="1610" spans="2:12" ht="14.4" x14ac:dyDescent="0.3">
      <c r="B1610"/>
      <c r="C1610"/>
      <c r="D1610"/>
      <c r="E1610"/>
      <c r="F1610"/>
      <c r="H1610"/>
      <c r="I1610"/>
      <c r="J1610"/>
      <c r="K1610"/>
      <c r="L1610"/>
    </row>
    <row r="1611" spans="2:12" ht="14.4" x14ac:dyDescent="0.3">
      <c r="B1611"/>
      <c r="C1611"/>
      <c r="D1611"/>
      <c r="E1611"/>
      <c r="F1611"/>
      <c r="H1611"/>
      <c r="I1611"/>
      <c r="J1611"/>
      <c r="K1611"/>
      <c r="L1611"/>
    </row>
    <row r="1612" spans="2:12" ht="14.4" x14ac:dyDescent="0.3">
      <c r="B1612"/>
      <c r="C1612"/>
      <c r="D1612"/>
      <c r="E1612"/>
      <c r="F1612"/>
      <c r="H1612"/>
      <c r="I1612"/>
      <c r="J1612"/>
      <c r="K1612"/>
      <c r="L1612"/>
    </row>
    <row r="1613" spans="2:12" ht="14.4" x14ac:dyDescent="0.3">
      <c r="B1613"/>
      <c r="C1613"/>
      <c r="D1613"/>
      <c r="E1613"/>
      <c r="F1613"/>
      <c r="H1613"/>
      <c r="I1613"/>
      <c r="J1613"/>
      <c r="K1613"/>
      <c r="L1613"/>
    </row>
    <row r="1614" spans="2:12" ht="14.4" x14ac:dyDescent="0.3">
      <c r="B1614"/>
      <c r="C1614"/>
      <c r="D1614"/>
      <c r="E1614"/>
      <c r="F1614"/>
      <c r="H1614"/>
      <c r="I1614"/>
      <c r="J1614"/>
      <c r="K1614"/>
      <c r="L1614"/>
    </row>
    <row r="1615" spans="2:12" ht="14.4" x14ac:dyDescent="0.3">
      <c r="B1615"/>
      <c r="C1615"/>
      <c r="D1615"/>
      <c r="E1615"/>
      <c r="F1615"/>
      <c r="H1615"/>
      <c r="I1615"/>
      <c r="J1615"/>
      <c r="K1615"/>
      <c r="L1615"/>
    </row>
    <row r="1616" spans="2:12" ht="14.4" x14ac:dyDescent="0.3">
      <c r="B1616"/>
      <c r="C1616"/>
      <c r="D1616"/>
      <c r="E1616"/>
      <c r="F1616"/>
      <c r="H1616"/>
      <c r="I1616"/>
      <c r="J1616"/>
      <c r="K1616"/>
      <c r="L1616"/>
    </row>
    <row r="1617" spans="2:12" ht="14.4" x14ac:dyDescent="0.3">
      <c r="B1617"/>
      <c r="C1617"/>
      <c r="D1617"/>
      <c r="E1617"/>
      <c r="F1617"/>
      <c r="H1617"/>
      <c r="I1617"/>
      <c r="J1617"/>
      <c r="K1617"/>
      <c r="L1617"/>
    </row>
    <row r="1618" spans="2:12" ht="14.4" x14ac:dyDescent="0.3">
      <c r="B1618"/>
      <c r="C1618"/>
      <c r="D1618"/>
      <c r="E1618"/>
      <c r="F1618"/>
      <c r="H1618"/>
      <c r="I1618"/>
      <c r="J1618"/>
      <c r="K1618"/>
      <c r="L1618"/>
    </row>
    <row r="1619" spans="2:12" ht="14.4" x14ac:dyDescent="0.3">
      <c r="B1619"/>
      <c r="C1619"/>
      <c r="D1619"/>
      <c r="E1619"/>
      <c r="F1619"/>
      <c r="H1619"/>
      <c r="I1619"/>
      <c r="J1619"/>
      <c r="K1619"/>
      <c r="L1619"/>
    </row>
    <row r="1620" spans="2:12" ht="14.4" x14ac:dyDescent="0.3">
      <c r="B1620"/>
      <c r="C1620"/>
      <c r="D1620"/>
      <c r="E1620"/>
      <c r="F1620"/>
      <c r="H1620"/>
      <c r="I1620"/>
      <c r="J1620"/>
      <c r="K1620"/>
      <c r="L1620"/>
    </row>
    <row r="1621" spans="2:12" ht="14.4" x14ac:dyDescent="0.3">
      <c r="B1621"/>
      <c r="C1621"/>
      <c r="D1621"/>
      <c r="E1621"/>
      <c r="F1621"/>
      <c r="H1621"/>
      <c r="I1621"/>
      <c r="J1621"/>
      <c r="K1621"/>
      <c r="L1621"/>
    </row>
    <row r="1622" spans="2:12" ht="14.4" x14ac:dyDescent="0.3">
      <c r="B1622"/>
      <c r="C1622"/>
      <c r="D1622"/>
      <c r="E1622"/>
      <c r="F1622"/>
      <c r="H1622"/>
      <c r="I1622"/>
      <c r="J1622"/>
      <c r="K1622"/>
      <c r="L1622"/>
    </row>
    <row r="1623" spans="2:12" ht="14.4" x14ac:dyDescent="0.3">
      <c r="B1623"/>
      <c r="C1623"/>
      <c r="D1623"/>
      <c r="E1623"/>
      <c r="F1623"/>
      <c r="H1623"/>
      <c r="I1623"/>
      <c r="J1623"/>
      <c r="K1623"/>
      <c r="L1623"/>
    </row>
    <row r="1624" spans="2:12" ht="14.4" x14ac:dyDescent="0.3">
      <c r="B1624"/>
      <c r="C1624"/>
      <c r="D1624"/>
      <c r="E1624"/>
      <c r="F1624"/>
      <c r="H1624"/>
      <c r="I1624"/>
      <c r="J1624"/>
      <c r="K1624"/>
      <c r="L1624"/>
    </row>
    <row r="1625" spans="2:12" ht="14.4" x14ac:dyDescent="0.3">
      <c r="B1625"/>
      <c r="C1625"/>
      <c r="D1625"/>
      <c r="E1625"/>
      <c r="F1625"/>
      <c r="H1625"/>
      <c r="I1625"/>
      <c r="J1625"/>
      <c r="K1625"/>
      <c r="L1625"/>
    </row>
    <row r="1626" spans="2:12" ht="14.4" x14ac:dyDescent="0.3">
      <c r="B1626"/>
      <c r="C1626"/>
      <c r="D1626"/>
      <c r="E1626"/>
      <c r="F1626"/>
      <c r="H1626"/>
      <c r="I1626"/>
      <c r="J1626"/>
      <c r="K1626"/>
      <c r="L1626"/>
    </row>
    <row r="1627" spans="2:12" ht="14.4" x14ac:dyDescent="0.3">
      <c r="B1627"/>
      <c r="C1627"/>
      <c r="D1627"/>
      <c r="E1627"/>
      <c r="F1627"/>
      <c r="H1627"/>
      <c r="I1627"/>
      <c r="J1627"/>
      <c r="K1627"/>
      <c r="L1627"/>
    </row>
    <row r="1628" spans="2:12" ht="14.4" x14ac:dyDescent="0.3">
      <c r="B1628"/>
      <c r="C1628"/>
      <c r="D1628"/>
      <c r="E1628"/>
      <c r="F1628"/>
      <c r="H1628"/>
      <c r="I1628"/>
      <c r="J1628"/>
      <c r="K1628"/>
      <c r="L1628"/>
    </row>
    <row r="1629" spans="2:12" ht="14.4" x14ac:dyDescent="0.3">
      <c r="B1629"/>
      <c r="C1629"/>
      <c r="D1629"/>
      <c r="E1629"/>
      <c r="F1629"/>
      <c r="H1629"/>
      <c r="I1629"/>
      <c r="J1629"/>
      <c r="K1629"/>
      <c r="L1629"/>
    </row>
    <row r="1630" spans="2:12" ht="14.4" x14ac:dyDescent="0.3">
      <c r="B1630"/>
      <c r="C1630"/>
      <c r="D1630"/>
      <c r="E1630"/>
      <c r="F1630"/>
      <c r="H1630"/>
      <c r="I1630"/>
      <c r="J1630"/>
      <c r="K1630"/>
      <c r="L1630"/>
    </row>
    <row r="1631" spans="2:12" ht="14.4" x14ac:dyDescent="0.3">
      <c r="B1631"/>
      <c r="C1631"/>
      <c r="D1631"/>
      <c r="E1631"/>
      <c r="F1631"/>
      <c r="H1631"/>
      <c r="I1631"/>
      <c r="J1631"/>
      <c r="K1631"/>
      <c r="L1631"/>
    </row>
    <row r="1632" spans="2:12" ht="14.4" x14ac:dyDescent="0.3">
      <c r="B1632"/>
      <c r="C1632"/>
      <c r="D1632"/>
      <c r="E1632"/>
      <c r="F1632"/>
      <c r="H1632"/>
      <c r="I1632"/>
      <c r="J1632"/>
      <c r="K1632"/>
      <c r="L1632"/>
    </row>
    <row r="1633" spans="2:12" ht="14.4" x14ac:dyDescent="0.3">
      <c r="B1633"/>
      <c r="C1633"/>
      <c r="D1633"/>
      <c r="E1633"/>
      <c r="F1633"/>
      <c r="H1633"/>
      <c r="I1633"/>
      <c r="J1633"/>
      <c r="K1633"/>
      <c r="L1633"/>
    </row>
    <row r="1634" spans="2:12" ht="14.4" x14ac:dyDescent="0.3">
      <c r="B1634"/>
      <c r="C1634"/>
      <c r="D1634"/>
      <c r="E1634"/>
      <c r="F1634"/>
      <c r="H1634"/>
      <c r="I1634"/>
      <c r="J1634"/>
      <c r="K1634"/>
      <c r="L1634"/>
    </row>
    <row r="1635" spans="2:12" ht="14.4" x14ac:dyDescent="0.3">
      <c r="B1635"/>
      <c r="C1635"/>
      <c r="D1635"/>
      <c r="E1635"/>
      <c r="F1635"/>
      <c r="H1635"/>
      <c r="I1635"/>
      <c r="J1635"/>
      <c r="K1635"/>
      <c r="L1635"/>
    </row>
    <row r="1636" spans="2:12" ht="14.4" x14ac:dyDescent="0.3">
      <c r="B1636"/>
      <c r="C1636"/>
      <c r="D1636"/>
      <c r="E1636"/>
      <c r="F1636"/>
      <c r="H1636"/>
      <c r="I1636"/>
      <c r="J1636"/>
      <c r="K1636"/>
      <c r="L1636"/>
    </row>
    <row r="1637" spans="2:12" ht="14.4" x14ac:dyDescent="0.3">
      <c r="B1637"/>
      <c r="C1637"/>
      <c r="D1637"/>
      <c r="E1637"/>
      <c r="F1637"/>
      <c r="H1637"/>
      <c r="I1637"/>
      <c r="J1637"/>
      <c r="K1637"/>
      <c r="L1637"/>
    </row>
    <row r="1638" spans="2:12" ht="14.4" x14ac:dyDescent="0.3">
      <c r="B1638"/>
      <c r="C1638"/>
      <c r="D1638"/>
      <c r="E1638"/>
      <c r="F1638"/>
      <c r="H1638"/>
      <c r="I1638"/>
      <c r="J1638"/>
      <c r="K1638"/>
      <c r="L1638"/>
    </row>
    <row r="1639" spans="2:12" ht="14.4" x14ac:dyDescent="0.3">
      <c r="B1639"/>
      <c r="C1639"/>
      <c r="D1639"/>
      <c r="E1639"/>
      <c r="F1639"/>
      <c r="H1639"/>
      <c r="I1639"/>
      <c r="J1639"/>
      <c r="K1639"/>
      <c r="L1639"/>
    </row>
    <row r="1640" spans="2:12" ht="14.4" x14ac:dyDescent="0.3">
      <c r="B1640"/>
      <c r="C1640"/>
      <c r="D1640"/>
      <c r="E1640"/>
      <c r="F1640"/>
      <c r="H1640"/>
      <c r="I1640"/>
      <c r="J1640"/>
      <c r="K1640"/>
      <c r="L1640"/>
    </row>
    <row r="1641" spans="2:12" ht="14.4" x14ac:dyDescent="0.3">
      <c r="B1641"/>
      <c r="C1641"/>
      <c r="D1641"/>
      <c r="E1641"/>
      <c r="F1641"/>
      <c r="H1641"/>
      <c r="I1641"/>
      <c r="J1641"/>
      <c r="K1641"/>
      <c r="L1641"/>
    </row>
    <row r="1642" spans="2:12" ht="14.4" x14ac:dyDescent="0.3">
      <c r="B1642"/>
      <c r="C1642"/>
      <c r="D1642"/>
      <c r="E1642"/>
      <c r="F1642"/>
      <c r="H1642"/>
      <c r="I1642"/>
      <c r="J1642"/>
      <c r="K1642"/>
      <c r="L1642"/>
    </row>
    <row r="1643" spans="2:12" ht="14.4" x14ac:dyDescent="0.3">
      <c r="B1643"/>
      <c r="C1643"/>
      <c r="D1643"/>
      <c r="E1643"/>
      <c r="F1643"/>
      <c r="H1643"/>
      <c r="I1643"/>
      <c r="J1643"/>
      <c r="K1643"/>
      <c r="L1643"/>
    </row>
    <row r="1644" spans="2:12" ht="14.4" x14ac:dyDescent="0.3">
      <c r="B1644"/>
      <c r="C1644"/>
      <c r="D1644"/>
      <c r="E1644"/>
      <c r="F1644"/>
      <c r="H1644"/>
      <c r="I1644"/>
      <c r="J1644"/>
      <c r="K1644"/>
      <c r="L1644"/>
    </row>
    <row r="1645" spans="2:12" ht="14.4" x14ac:dyDescent="0.3">
      <c r="B1645"/>
      <c r="C1645"/>
      <c r="D1645"/>
      <c r="E1645"/>
      <c r="F1645"/>
      <c r="H1645"/>
      <c r="I1645"/>
      <c r="J1645"/>
      <c r="K1645"/>
      <c r="L1645"/>
    </row>
    <row r="1646" spans="2:12" ht="14.4" x14ac:dyDescent="0.3">
      <c r="B1646"/>
      <c r="C1646"/>
      <c r="D1646"/>
      <c r="E1646"/>
      <c r="F1646"/>
      <c r="H1646"/>
      <c r="I1646"/>
      <c r="J1646"/>
      <c r="K1646"/>
      <c r="L1646"/>
    </row>
    <row r="1647" spans="2:12" ht="14.4" x14ac:dyDescent="0.3">
      <c r="B1647"/>
      <c r="C1647"/>
      <c r="D1647"/>
      <c r="E1647"/>
      <c r="F1647"/>
      <c r="H1647"/>
      <c r="I1647"/>
      <c r="J1647"/>
      <c r="K1647"/>
      <c r="L1647"/>
    </row>
    <row r="1648" spans="2:12" ht="14.4" x14ac:dyDescent="0.3">
      <c r="B1648"/>
      <c r="C1648"/>
      <c r="D1648"/>
      <c r="E1648"/>
      <c r="F1648"/>
      <c r="H1648"/>
      <c r="I1648"/>
      <c r="J1648"/>
      <c r="K1648"/>
      <c r="L1648"/>
    </row>
    <row r="1649" spans="2:12" ht="14.4" x14ac:dyDescent="0.3">
      <c r="B1649"/>
      <c r="C1649"/>
      <c r="D1649"/>
      <c r="E1649"/>
      <c r="F1649"/>
      <c r="H1649"/>
      <c r="I1649"/>
      <c r="J1649"/>
      <c r="K1649"/>
      <c r="L1649"/>
    </row>
    <row r="1650" spans="2:12" ht="14.4" x14ac:dyDescent="0.3">
      <c r="B1650"/>
      <c r="C1650"/>
      <c r="D1650"/>
      <c r="E1650"/>
      <c r="F1650"/>
      <c r="H1650"/>
      <c r="I1650"/>
      <c r="J1650"/>
      <c r="K1650"/>
      <c r="L1650"/>
    </row>
    <row r="1651" spans="2:12" ht="14.4" x14ac:dyDescent="0.3">
      <c r="B1651"/>
      <c r="C1651"/>
      <c r="D1651"/>
      <c r="E1651"/>
      <c r="F1651"/>
      <c r="H1651"/>
      <c r="I1651"/>
      <c r="J1651"/>
      <c r="K1651"/>
      <c r="L1651"/>
    </row>
    <row r="1652" spans="2:12" ht="14.4" x14ac:dyDescent="0.3">
      <c r="B1652"/>
      <c r="C1652"/>
      <c r="D1652"/>
      <c r="E1652"/>
      <c r="F1652"/>
      <c r="H1652"/>
      <c r="I1652"/>
      <c r="J1652"/>
      <c r="K1652"/>
      <c r="L1652"/>
    </row>
    <row r="1653" spans="2:12" ht="14.4" x14ac:dyDescent="0.3">
      <c r="B1653"/>
      <c r="C1653"/>
      <c r="D1653"/>
      <c r="E1653"/>
      <c r="F1653"/>
      <c r="H1653"/>
      <c r="I1653"/>
      <c r="J1653"/>
      <c r="K1653"/>
      <c r="L1653"/>
    </row>
    <row r="1654" spans="2:12" ht="14.4" x14ac:dyDescent="0.3">
      <c r="B1654"/>
      <c r="C1654"/>
      <c r="D1654"/>
      <c r="E1654"/>
      <c r="F1654"/>
      <c r="H1654"/>
      <c r="I1654"/>
      <c r="J1654"/>
      <c r="K1654"/>
      <c r="L1654"/>
    </row>
    <row r="1655" spans="2:12" ht="14.4" x14ac:dyDescent="0.3">
      <c r="B1655"/>
      <c r="C1655"/>
      <c r="D1655"/>
      <c r="E1655"/>
      <c r="F1655"/>
      <c r="H1655"/>
      <c r="I1655"/>
      <c r="J1655"/>
      <c r="K1655"/>
      <c r="L1655"/>
    </row>
    <row r="1656" spans="2:12" ht="14.4" x14ac:dyDescent="0.3">
      <c r="B1656"/>
      <c r="C1656"/>
      <c r="D1656"/>
      <c r="E1656"/>
      <c r="F1656"/>
      <c r="H1656"/>
      <c r="I1656"/>
      <c r="J1656"/>
      <c r="K1656"/>
      <c r="L1656"/>
    </row>
    <row r="1657" spans="2:12" ht="14.4" x14ac:dyDescent="0.3">
      <c r="B1657"/>
      <c r="C1657"/>
      <c r="D1657"/>
      <c r="E1657"/>
      <c r="F1657"/>
      <c r="H1657"/>
      <c r="I1657"/>
      <c r="J1657"/>
      <c r="K1657"/>
      <c r="L1657"/>
    </row>
    <row r="1658" spans="2:12" ht="14.4" x14ac:dyDescent="0.3">
      <c r="B1658"/>
      <c r="C1658"/>
      <c r="D1658"/>
      <c r="E1658"/>
      <c r="F1658"/>
      <c r="H1658"/>
      <c r="I1658"/>
      <c r="J1658"/>
      <c r="K1658"/>
      <c r="L1658"/>
    </row>
    <row r="1659" spans="2:12" ht="14.4" x14ac:dyDescent="0.3">
      <c r="B1659"/>
      <c r="C1659"/>
      <c r="D1659"/>
      <c r="E1659"/>
      <c r="F1659"/>
      <c r="H1659"/>
      <c r="I1659"/>
      <c r="J1659"/>
      <c r="K1659"/>
      <c r="L1659"/>
    </row>
    <row r="1660" spans="2:12" ht="14.4" x14ac:dyDescent="0.3">
      <c r="B1660"/>
      <c r="C1660"/>
      <c r="D1660"/>
      <c r="E1660"/>
      <c r="F1660"/>
      <c r="H1660"/>
      <c r="I1660"/>
      <c r="J1660"/>
      <c r="K1660"/>
      <c r="L1660"/>
    </row>
    <row r="1661" spans="2:12" ht="14.4" x14ac:dyDescent="0.3">
      <c r="B1661"/>
      <c r="C1661"/>
      <c r="D1661"/>
      <c r="E1661"/>
      <c r="F1661"/>
      <c r="H1661"/>
      <c r="I1661"/>
      <c r="J1661"/>
      <c r="K1661"/>
      <c r="L1661"/>
    </row>
    <row r="1662" spans="2:12" ht="14.4" x14ac:dyDescent="0.3">
      <c r="B1662"/>
      <c r="C1662"/>
      <c r="D1662"/>
      <c r="E1662"/>
      <c r="F1662"/>
      <c r="H1662"/>
      <c r="I1662"/>
      <c r="J1662"/>
      <c r="K1662"/>
      <c r="L1662"/>
    </row>
    <row r="1663" spans="2:12" ht="14.4" x14ac:dyDescent="0.3">
      <c r="B1663"/>
      <c r="C1663"/>
      <c r="D1663"/>
      <c r="E1663"/>
      <c r="F1663"/>
      <c r="H1663"/>
      <c r="I1663"/>
      <c r="J1663"/>
      <c r="K1663"/>
      <c r="L1663"/>
    </row>
    <row r="1664" spans="2:12" ht="14.4" x14ac:dyDescent="0.3">
      <c r="B1664"/>
      <c r="C1664"/>
      <c r="D1664"/>
      <c r="E1664"/>
      <c r="F1664"/>
      <c r="H1664"/>
      <c r="I1664"/>
      <c r="J1664"/>
      <c r="K1664"/>
      <c r="L1664"/>
    </row>
    <row r="1665" spans="2:12" ht="14.4" x14ac:dyDescent="0.3">
      <c r="B1665"/>
      <c r="C1665"/>
      <c r="D1665"/>
      <c r="E1665"/>
      <c r="F1665"/>
      <c r="H1665"/>
      <c r="I1665"/>
      <c r="J1665"/>
      <c r="K1665"/>
      <c r="L1665"/>
    </row>
    <row r="1666" spans="2:12" ht="14.4" x14ac:dyDescent="0.3">
      <c r="B1666"/>
      <c r="C1666"/>
      <c r="D1666"/>
      <c r="E1666"/>
      <c r="F1666"/>
      <c r="H1666"/>
      <c r="I1666"/>
      <c r="J1666"/>
      <c r="K1666"/>
      <c r="L1666"/>
    </row>
    <row r="1667" spans="2:12" ht="14.4" x14ac:dyDescent="0.3">
      <c r="B1667"/>
      <c r="C1667"/>
      <c r="D1667"/>
      <c r="E1667"/>
      <c r="F1667"/>
      <c r="H1667"/>
      <c r="I1667"/>
      <c r="J1667"/>
      <c r="K1667"/>
      <c r="L1667"/>
    </row>
    <row r="1668" spans="2:12" ht="14.4" x14ac:dyDescent="0.3">
      <c r="B1668"/>
      <c r="C1668"/>
      <c r="D1668"/>
      <c r="E1668"/>
      <c r="F1668"/>
      <c r="H1668"/>
      <c r="I1668"/>
      <c r="J1668"/>
      <c r="K1668"/>
      <c r="L1668"/>
    </row>
    <row r="1669" spans="2:12" ht="14.4" x14ac:dyDescent="0.3">
      <c r="B1669"/>
      <c r="C1669"/>
      <c r="D1669"/>
      <c r="E1669"/>
      <c r="F1669"/>
      <c r="H1669"/>
      <c r="I1669"/>
      <c r="J1669"/>
      <c r="K1669"/>
      <c r="L1669"/>
    </row>
    <row r="1670" spans="2:12" ht="14.4" x14ac:dyDescent="0.3">
      <c r="B1670"/>
      <c r="C1670"/>
      <c r="D1670"/>
      <c r="E1670"/>
      <c r="F1670"/>
      <c r="H1670"/>
      <c r="I1670"/>
      <c r="J1670"/>
      <c r="K1670"/>
      <c r="L1670"/>
    </row>
    <row r="1671" spans="2:12" ht="14.4" x14ac:dyDescent="0.3">
      <c r="B1671"/>
      <c r="C1671"/>
      <c r="D1671"/>
      <c r="E1671"/>
      <c r="F1671"/>
      <c r="H1671"/>
      <c r="I1671"/>
      <c r="J1671"/>
      <c r="K1671"/>
      <c r="L1671"/>
    </row>
    <row r="1672" spans="2:12" ht="14.4" x14ac:dyDescent="0.3">
      <c r="B1672"/>
      <c r="C1672"/>
      <c r="D1672"/>
      <c r="E1672"/>
      <c r="F1672"/>
      <c r="H1672"/>
      <c r="I1672"/>
      <c r="J1672"/>
      <c r="K1672"/>
      <c r="L1672"/>
    </row>
    <row r="1673" spans="2:12" ht="14.4" x14ac:dyDescent="0.3">
      <c r="B1673"/>
      <c r="C1673"/>
      <c r="D1673"/>
      <c r="E1673"/>
      <c r="F1673"/>
      <c r="H1673"/>
      <c r="I1673"/>
      <c r="J1673"/>
      <c r="K1673"/>
      <c r="L1673"/>
    </row>
    <row r="1674" spans="2:12" ht="14.4" x14ac:dyDescent="0.3">
      <c r="B1674"/>
      <c r="C1674"/>
      <c r="D1674"/>
      <c r="E1674"/>
      <c r="F1674"/>
      <c r="H1674"/>
      <c r="I1674"/>
      <c r="J1674"/>
      <c r="K1674"/>
      <c r="L1674"/>
    </row>
    <row r="1675" spans="2:12" ht="14.4" x14ac:dyDescent="0.3">
      <c r="B1675"/>
      <c r="C1675"/>
      <c r="D1675"/>
      <c r="E1675"/>
      <c r="F1675"/>
      <c r="H1675"/>
      <c r="I1675"/>
      <c r="J1675"/>
      <c r="K1675"/>
      <c r="L1675"/>
    </row>
    <row r="1676" spans="2:12" ht="14.4" x14ac:dyDescent="0.3">
      <c r="B1676"/>
      <c r="C1676"/>
      <c r="D1676"/>
      <c r="E1676"/>
      <c r="F1676"/>
      <c r="H1676"/>
      <c r="I1676"/>
      <c r="J1676"/>
      <c r="K1676"/>
      <c r="L1676"/>
    </row>
    <row r="1677" spans="2:12" ht="14.4" x14ac:dyDescent="0.3">
      <c r="B1677"/>
      <c r="C1677"/>
      <c r="D1677"/>
      <c r="E1677"/>
      <c r="F1677"/>
      <c r="H1677"/>
      <c r="I1677"/>
      <c r="J1677"/>
      <c r="K1677"/>
      <c r="L1677"/>
    </row>
    <row r="1678" spans="2:12" ht="14.4" x14ac:dyDescent="0.3">
      <c r="B1678"/>
      <c r="C1678"/>
      <c r="D1678"/>
      <c r="E1678"/>
      <c r="F1678"/>
      <c r="H1678"/>
      <c r="I1678"/>
      <c r="J1678"/>
      <c r="K1678"/>
      <c r="L1678"/>
    </row>
    <row r="1679" spans="2:12" ht="14.4" x14ac:dyDescent="0.3">
      <c r="B1679"/>
      <c r="C1679"/>
      <c r="D1679"/>
      <c r="E1679"/>
      <c r="F1679"/>
      <c r="H1679"/>
      <c r="I1679"/>
      <c r="J1679"/>
      <c r="K1679"/>
      <c r="L1679"/>
    </row>
    <row r="1680" spans="2:12" ht="14.4" x14ac:dyDescent="0.3">
      <c r="B1680"/>
      <c r="C1680"/>
      <c r="D1680"/>
      <c r="E1680"/>
      <c r="F1680"/>
      <c r="H1680"/>
      <c r="I1680"/>
      <c r="J1680"/>
      <c r="K1680"/>
      <c r="L1680"/>
    </row>
    <row r="1681" spans="2:12" ht="14.4" x14ac:dyDescent="0.3">
      <c r="B1681"/>
      <c r="C1681"/>
      <c r="D1681"/>
      <c r="E1681"/>
      <c r="F1681"/>
      <c r="H1681"/>
      <c r="I1681"/>
      <c r="J1681"/>
      <c r="K1681"/>
      <c r="L1681"/>
    </row>
    <row r="1682" spans="2:12" ht="14.4" x14ac:dyDescent="0.3">
      <c r="B1682"/>
      <c r="C1682"/>
      <c r="D1682"/>
      <c r="E1682"/>
      <c r="F1682"/>
      <c r="H1682"/>
      <c r="I1682"/>
      <c r="J1682"/>
      <c r="K1682"/>
      <c r="L1682"/>
    </row>
    <row r="1683" spans="2:12" ht="14.4" x14ac:dyDescent="0.3">
      <c r="B1683"/>
      <c r="C1683"/>
      <c r="D1683"/>
      <c r="E1683"/>
      <c r="F1683"/>
      <c r="H1683"/>
      <c r="I1683"/>
      <c r="J1683"/>
      <c r="K1683"/>
      <c r="L1683"/>
    </row>
    <row r="1684" spans="2:12" ht="14.4" x14ac:dyDescent="0.3">
      <c r="B1684"/>
      <c r="C1684"/>
      <c r="D1684"/>
      <c r="E1684"/>
      <c r="F1684"/>
      <c r="H1684"/>
      <c r="I1684"/>
      <c r="J1684"/>
      <c r="K1684"/>
      <c r="L1684"/>
    </row>
    <row r="1685" spans="2:12" ht="14.4" x14ac:dyDescent="0.3">
      <c r="B1685"/>
      <c r="C1685"/>
      <c r="D1685"/>
      <c r="E1685"/>
      <c r="F1685"/>
      <c r="H1685"/>
      <c r="I1685"/>
      <c r="J1685"/>
      <c r="K1685"/>
      <c r="L1685"/>
    </row>
    <row r="1686" spans="2:12" ht="14.4" x14ac:dyDescent="0.3">
      <c r="B1686"/>
      <c r="C1686"/>
      <c r="D1686"/>
      <c r="E1686"/>
      <c r="F1686"/>
      <c r="H1686"/>
      <c r="I1686"/>
      <c r="J1686"/>
      <c r="K1686"/>
      <c r="L1686"/>
    </row>
    <row r="1687" spans="2:12" ht="14.4" x14ac:dyDescent="0.3">
      <c r="B1687"/>
      <c r="C1687"/>
      <c r="D1687"/>
      <c r="E1687"/>
      <c r="F1687"/>
      <c r="H1687"/>
      <c r="I1687"/>
      <c r="J1687"/>
      <c r="K1687"/>
      <c r="L1687"/>
    </row>
    <row r="1688" spans="2:12" ht="14.4" x14ac:dyDescent="0.3">
      <c r="B1688"/>
      <c r="C1688"/>
      <c r="D1688"/>
      <c r="E1688"/>
      <c r="F1688"/>
      <c r="H1688"/>
      <c r="I1688"/>
      <c r="J1688"/>
      <c r="K1688"/>
      <c r="L1688"/>
    </row>
    <row r="1689" spans="2:12" ht="14.4" x14ac:dyDescent="0.3">
      <c r="B1689"/>
      <c r="C1689"/>
      <c r="D1689"/>
      <c r="E1689"/>
      <c r="F1689"/>
      <c r="H1689"/>
      <c r="I1689"/>
      <c r="J1689"/>
      <c r="K1689"/>
      <c r="L1689"/>
    </row>
    <row r="1690" spans="2:12" ht="14.4" x14ac:dyDescent="0.3">
      <c r="B1690"/>
      <c r="C1690"/>
      <c r="D1690"/>
      <c r="E1690"/>
      <c r="F1690"/>
      <c r="H1690"/>
      <c r="I1690"/>
      <c r="J1690"/>
      <c r="K1690"/>
      <c r="L1690"/>
    </row>
    <row r="1691" spans="2:12" ht="14.4" x14ac:dyDescent="0.3">
      <c r="B1691"/>
      <c r="C1691"/>
      <c r="D1691"/>
      <c r="E1691"/>
      <c r="F1691"/>
      <c r="H1691"/>
      <c r="I1691"/>
      <c r="J1691"/>
      <c r="K1691"/>
      <c r="L1691"/>
    </row>
    <row r="1692" spans="2:12" ht="14.4" x14ac:dyDescent="0.3">
      <c r="B1692"/>
      <c r="C1692"/>
      <c r="D1692"/>
      <c r="E1692"/>
      <c r="F1692"/>
      <c r="H1692"/>
      <c r="I1692"/>
      <c r="J1692"/>
      <c r="K1692"/>
      <c r="L1692"/>
    </row>
    <row r="1693" spans="2:12" ht="14.4" x14ac:dyDescent="0.3">
      <c r="B1693"/>
      <c r="C1693"/>
      <c r="D1693"/>
      <c r="E1693"/>
      <c r="F1693"/>
      <c r="H1693"/>
      <c r="I1693"/>
      <c r="J1693"/>
      <c r="K1693"/>
      <c r="L1693"/>
    </row>
    <row r="1694" spans="2:12" ht="14.4" x14ac:dyDescent="0.3">
      <c r="B1694"/>
      <c r="C1694"/>
      <c r="D1694"/>
      <c r="E1694"/>
      <c r="F1694"/>
      <c r="H1694"/>
      <c r="I1694"/>
      <c r="J1694"/>
      <c r="K1694"/>
      <c r="L1694"/>
    </row>
    <row r="1695" spans="2:12" ht="14.4" x14ac:dyDescent="0.3">
      <c r="B1695"/>
      <c r="C1695"/>
      <c r="D1695"/>
      <c r="E1695"/>
      <c r="F1695"/>
      <c r="H1695"/>
      <c r="I1695"/>
      <c r="J1695"/>
      <c r="K1695"/>
      <c r="L1695"/>
    </row>
    <row r="1696" spans="2:12" ht="14.4" x14ac:dyDescent="0.3">
      <c r="B1696"/>
      <c r="C1696"/>
      <c r="D1696"/>
      <c r="E1696"/>
      <c r="F1696"/>
      <c r="H1696"/>
      <c r="I1696"/>
      <c r="J1696"/>
      <c r="K1696"/>
      <c r="L1696"/>
    </row>
    <row r="1697" spans="2:12" ht="14.4" x14ac:dyDescent="0.3">
      <c r="B1697"/>
      <c r="C1697"/>
      <c r="D1697"/>
      <c r="E1697"/>
      <c r="F1697"/>
      <c r="H1697"/>
      <c r="I1697"/>
      <c r="J1697"/>
      <c r="K1697"/>
      <c r="L1697"/>
    </row>
    <row r="1698" spans="2:12" ht="14.4" x14ac:dyDescent="0.3">
      <c r="B1698"/>
      <c r="C1698"/>
      <c r="D1698"/>
      <c r="E1698"/>
      <c r="F1698"/>
      <c r="H1698"/>
      <c r="I1698"/>
      <c r="J1698"/>
      <c r="K1698"/>
      <c r="L1698"/>
    </row>
    <row r="1699" spans="2:12" ht="14.4" x14ac:dyDescent="0.3">
      <c r="B1699"/>
      <c r="C1699"/>
      <c r="D1699"/>
      <c r="E1699"/>
      <c r="F1699"/>
      <c r="H1699"/>
      <c r="I1699"/>
      <c r="J1699"/>
      <c r="K1699"/>
      <c r="L1699"/>
    </row>
    <row r="1700" spans="2:12" ht="14.4" x14ac:dyDescent="0.3">
      <c r="B1700"/>
      <c r="C1700"/>
      <c r="D1700"/>
      <c r="E1700"/>
      <c r="F1700"/>
      <c r="H1700"/>
      <c r="I1700"/>
      <c r="J1700"/>
      <c r="K1700"/>
      <c r="L1700"/>
    </row>
    <row r="1701" spans="2:12" ht="14.4" x14ac:dyDescent="0.3">
      <c r="B1701"/>
      <c r="C1701"/>
      <c r="D1701"/>
      <c r="E1701"/>
      <c r="F1701"/>
      <c r="H1701"/>
      <c r="I1701"/>
      <c r="J1701"/>
      <c r="K1701"/>
      <c r="L1701"/>
    </row>
    <row r="1702" spans="2:12" ht="14.4" x14ac:dyDescent="0.3">
      <c r="B1702"/>
      <c r="C1702"/>
      <c r="D1702"/>
      <c r="E1702"/>
      <c r="F1702"/>
      <c r="H1702"/>
      <c r="I1702"/>
      <c r="J1702"/>
      <c r="K1702"/>
      <c r="L1702"/>
    </row>
    <row r="1703" spans="2:12" ht="14.4" x14ac:dyDescent="0.3">
      <c r="B1703"/>
      <c r="C1703"/>
      <c r="D1703"/>
      <c r="E1703"/>
      <c r="F1703"/>
      <c r="H1703"/>
      <c r="I1703"/>
      <c r="J1703"/>
      <c r="K1703"/>
      <c r="L1703"/>
    </row>
    <row r="1704" spans="2:12" ht="14.4" x14ac:dyDescent="0.3">
      <c r="B1704"/>
      <c r="C1704"/>
      <c r="D1704"/>
      <c r="E1704"/>
      <c r="F1704"/>
      <c r="H1704"/>
      <c r="I1704"/>
      <c r="J1704"/>
      <c r="K1704"/>
      <c r="L1704"/>
    </row>
    <row r="1705" spans="2:12" ht="14.4" x14ac:dyDescent="0.3">
      <c r="B1705"/>
      <c r="C1705"/>
      <c r="D1705"/>
      <c r="E1705"/>
      <c r="F1705"/>
      <c r="H1705"/>
      <c r="I1705"/>
      <c r="J1705"/>
      <c r="K1705"/>
      <c r="L1705"/>
    </row>
    <row r="1706" spans="2:12" ht="14.4" x14ac:dyDescent="0.3">
      <c r="B1706"/>
      <c r="C1706"/>
      <c r="D1706"/>
      <c r="E1706"/>
      <c r="F1706"/>
      <c r="H1706"/>
      <c r="I1706"/>
      <c r="J1706"/>
      <c r="K1706"/>
      <c r="L1706"/>
    </row>
    <row r="1707" spans="2:12" ht="14.4" x14ac:dyDescent="0.3">
      <c r="B1707"/>
      <c r="C1707"/>
      <c r="D1707"/>
      <c r="E1707"/>
      <c r="F1707"/>
      <c r="H1707"/>
      <c r="I1707"/>
      <c r="J1707"/>
      <c r="K1707"/>
      <c r="L1707"/>
    </row>
    <row r="1708" spans="2:12" ht="14.4" x14ac:dyDescent="0.3">
      <c r="B1708"/>
      <c r="C1708"/>
      <c r="D1708"/>
      <c r="E1708"/>
      <c r="F1708"/>
      <c r="H1708"/>
      <c r="I1708"/>
      <c r="J1708"/>
      <c r="K1708"/>
      <c r="L1708"/>
    </row>
    <row r="1709" spans="2:12" ht="14.4" x14ac:dyDescent="0.3">
      <c r="B1709"/>
      <c r="C1709"/>
      <c r="D1709"/>
      <c r="E1709"/>
      <c r="F1709"/>
      <c r="H1709"/>
      <c r="I1709"/>
      <c r="J1709"/>
      <c r="K1709"/>
      <c r="L1709"/>
    </row>
    <row r="1710" spans="2:12" ht="14.4" x14ac:dyDescent="0.3">
      <c r="B1710"/>
      <c r="C1710"/>
      <c r="D1710"/>
      <c r="E1710"/>
      <c r="F1710"/>
      <c r="H1710"/>
      <c r="I1710"/>
      <c r="J1710"/>
      <c r="K1710"/>
      <c r="L1710"/>
    </row>
    <row r="1711" spans="2:12" ht="14.4" x14ac:dyDescent="0.3">
      <c r="B1711"/>
      <c r="C1711"/>
      <c r="D1711"/>
      <c r="E1711"/>
      <c r="F1711"/>
      <c r="H1711"/>
      <c r="I1711"/>
      <c r="J1711"/>
      <c r="K1711"/>
      <c r="L1711"/>
    </row>
    <row r="1712" spans="2:12" ht="14.4" x14ac:dyDescent="0.3">
      <c r="B1712"/>
      <c r="C1712"/>
      <c r="D1712"/>
      <c r="E1712"/>
      <c r="F1712"/>
      <c r="H1712"/>
      <c r="I1712"/>
      <c r="J1712"/>
      <c r="K1712"/>
      <c r="L1712"/>
    </row>
    <row r="1713" spans="2:12" ht="14.4" x14ac:dyDescent="0.3">
      <c r="B1713"/>
      <c r="C1713"/>
      <c r="D1713"/>
      <c r="E1713"/>
      <c r="F1713"/>
      <c r="H1713"/>
      <c r="I1713"/>
      <c r="J1713"/>
      <c r="K1713"/>
      <c r="L1713"/>
    </row>
    <row r="1714" spans="2:12" ht="14.4" x14ac:dyDescent="0.3">
      <c r="B1714"/>
      <c r="C1714"/>
      <c r="D1714"/>
      <c r="E1714"/>
      <c r="F1714"/>
      <c r="H1714"/>
      <c r="I1714"/>
      <c r="J1714"/>
      <c r="K1714"/>
      <c r="L1714"/>
    </row>
    <row r="1715" spans="2:12" ht="14.4" x14ac:dyDescent="0.3">
      <c r="B1715"/>
      <c r="C1715"/>
      <c r="D1715"/>
      <c r="E1715"/>
      <c r="F1715"/>
      <c r="H1715"/>
      <c r="I1715"/>
      <c r="J1715"/>
      <c r="K1715"/>
      <c r="L1715"/>
    </row>
    <row r="1716" spans="2:12" ht="14.4" x14ac:dyDescent="0.3">
      <c r="B1716"/>
      <c r="C1716"/>
      <c r="D1716"/>
      <c r="E1716"/>
      <c r="F1716"/>
      <c r="H1716"/>
      <c r="I1716"/>
      <c r="J1716"/>
      <c r="K1716"/>
      <c r="L1716"/>
    </row>
    <row r="1717" spans="2:12" ht="14.4" x14ac:dyDescent="0.3">
      <c r="B1717"/>
      <c r="C1717"/>
      <c r="D1717"/>
      <c r="E1717"/>
      <c r="F1717"/>
      <c r="H1717"/>
      <c r="I1717"/>
      <c r="J1717"/>
      <c r="K1717"/>
      <c r="L1717"/>
    </row>
    <row r="1718" spans="2:12" ht="14.4" x14ac:dyDescent="0.3">
      <c r="B1718"/>
      <c r="C1718"/>
      <c r="D1718"/>
      <c r="E1718"/>
      <c r="F1718"/>
      <c r="H1718"/>
      <c r="I1718"/>
      <c r="J1718"/>
      <c r="K1718"/>
      <c r="L1718"/>
    </row>
    <row r="1719" spans="2:12" ht="14.4" x14ac:dyDescent="0.3">
      <c r="B1719"/>
      <c r="C1719"/>
      <c r="D1719"/>
      <c r="E1719"/>
      <c r="F1719"/>
      <c r="H1719"/>
      <c r="I1719"/>
      <c r="J1719"/>
      <c r="K1719"/>
      <c r="L1719"/>
    </row>
    <row r="1720" spans="2:12" ht="14.4" x14ac:dyDescent="0.3">
      <c r="B1720"/>
      <c r="C1720"/>
      <c r="D1720"/>
      <c r="E1720"/>
      <c r="F1720"/>
      <c r="H1720"/>
      <c r="I1720"/>
      <c r="J1720"/>
      <c r="K1720"/>
      <c r="L1720"/>
    </row>
    <row r="1721" spans="2:12" ht="14.4" x14ac:dyDescent="0.3">
      <c r="B1721"/>
      <c r="C1721"/>
      <c r="D1721"/>
      <c r="E1721"/>
      <c r="F1721"/>
      <c r="H1721"/>
      <c r="I1721"/>
      <c r="J1721"/>
      <c r="K1721"/>
      <c r="L1721"/>
    </row>
    <row r="1722" spans="2:12" ht="14.4" x14ac:dyDescent="0.3">
      <c r="B1722"/>
      <c r="C1722"/>
      <c r="D1722"/>
      <c r="E1722"/>
      <c r="F1722"/>
      <c r="H1722"/>
      <c r="I1722"/>
      <c r="J1722"/>
      <c r="K1722"/>
      <c r="L1722"/>
    </row>
    <row r="1723" spans="2:12" ht="14.4" x14ac:dyDescent="0.3">
      <c r="B1723"/>
      <c r="C1723"/>
      <c r="D1723"/>
      <c r="E1723"/>
      <c r="F1723"/>
      <c r="H1723"/>
      <c r="I1723"/>
      <c r="J1723"/>
      <c r="K1723"/>
      <c r="L1723"/>
    </row>
    <row r="1724" spans="2:12" ht="14.4" x14ac:dyDescent="0.3">
      <c r="B1724"/>
      <c r="C1724"/>
      <c r="D1724"/>
      <c r="E1724"/>
      <c r="F1724"/>
      <c r="H1724"/>
      <c r="I1724"/>
      <c r="J1724"/>
      <c r="K1724"/>
      <c r="L1724"/>
    </row>
    <row r="1725" spans="2:12" ht="14.4" x14ac:dyDescent="0.3">
      <c r="B1725"/>
      <c r="C1725"/>
      <c r="D1725"/>
      <c r="E1725"/>
      <c r="F1725"/>
      <c r="H1725"/>
      <c r="I1725"/>
      <c r="J1725"/>
      <c r="K1725"/>
      <c r="L1725"/>
    </row>
    <row r="1726" spans="2:12" ht="14.4" x14ac:dyDescent="0.3">
      <c r="B1726"/>
      <c r="C1726"/>
      <c r="D1726"/>
      <c r="E1726"/>
      <c r="F1726"/>
      <c r="H1726"/>
      <c r="I1726"/>
      <c r="J1726"/>
      <c r="K1726"/>
      <c r="L1726"/>
    </row>
    <row r="1727" spans="2:12" ht="14.4" x14ac:dyDescent="0.3">
      <c r="B1727"/>
      <c r="C1727"/>
      <c r="D1727"/>
      <c r="E1727"/>
      <c r="F1727"/>
      <c r="H1727"/>
      <c r="I1727"/>
      <c r="J1727"/>
      <c r="K1727"/>
      <c r="L1727"/>
    </row>
    <row r="1728" spans="2:12" ht="14.4" x14ac:dyDescent="0.3">
      <c r="B1728"/>
      <c r="C1728"/>
      <c r="D1728"/>
      <c r="E1728"/>
      <c r="F1728"/>
      <c r="H1728"/>
      <c r="I1728"/>
      <c r="J1728"/>
      <c r="K1728"/>
      <c r="L1728"/>
    </row>
    <row r="1729" spans="2:12" ht="14.4" x14ac:dyDescent="0.3">
      <c r="B1729"/>
      <c r="C1729"/>
      <c r="D1729"/>
      <c r="E1729"/>
      <c r="F1729"/>
      <c r="H1729"/>
      <c r="I1729"/>
      <c r="J1729"/>
      <c r="K1729"/>
      <c r="L1729"/>
    </row>
    <row r="1730" spans="2:12" ht="14.4" x14ac:dyDescent="0.3">
      <c r="B1730"/>
      <c r="C1730"/>
      <c r="D1730"/>
      <c r="E1730"/>
      <c r="F1730"/>
      <c r="H1730"/>
      <c r="I1730"/>
      <c r="J1730"/>
      <c r="K1730"/>
      <c r="L1730"/>
    </row>
    <row r="1731" spans="2:12" ht="14.4" x14ac:dyDescent="0.3">
      <c r="B1731"/>
      <c r="C1731"/>
      <c r="D1731"/>
      <c r="E1731"/>
      <c r="F1731"/>
      <c r="H1731"/>
      <c r="I1731"/>
      <c r="J1731"/>
      <c r="K1731"/>
      <c r="L1731"/>
    </row>
    <row r="1732" spans="2:12" ht="14.4" x14ac:dyDescent="0.3">
      <c r="B1732"/>
      <c r="C1732"/>
      <c r="D1732"/>
      <c r="E1732"/>
      <c r="F1732"/>
      <c r="H1732"/>
      <c r="I1732"/>
      <c r="J1732"/>
      <c r="K1732"/>
      <c r="L1732"/>
    </row>
    <row r="1733" spans="2:12" ht="14.4" x14ac:dyDescent="0.3">
      <c r="B1733"/>
      <c r="C1733"/>
      <c r="D1733"/>
      <c r="E1733"/>
      <c r="F1733"/>
      <c r="H1733"/>
      <c r="I1733"/>
      <c r="J1733"/>
      <c r="K1733"/>
      <c r="L1733"/>
    </row>
    <row r="1734" spans="2:12" ht="14.4" x14ac:dyDescent="0.3">
      <c r="B1734"/>
      <c r="C1734"/>
      <c r="D1734"/>
      <c r="E1734"/>
      <c r="F1734"/>
      <c r="H1734"/>
      <c r="I1734"/>
      <c r="J1734"/>
      <c r="K1734"/>
      <c r="L1734"/>
    </row>
    <row r="1735" spans="2:12" ht="14.4" x14ac:dyDescent="0.3">
      <c r="B1735"/>
      <c r="C1735"/>
      <c r="D1735"/>
      <c r="E1735"/>
      <c r="F1735"/>
      <c r="H1735"/>
      <c r="I1735"/>
      <c r="J1735"/>
      <c r="K1735"/>
      <c r="L1735"/>
    </row>
    <row r="1736" spans="2:12" ht="14.4" x14ac:dyDescent="0.3">
      <c r="B1736"/>
      <c r="C1736"/>
      <c r="D1736"/>
      <c r="E1736"/>
      <c r="F1736"/>
      <c r="H1736"/>
      <c r="I1736"/>
      <c r="J1736"/>
      <c r="K1736"/>
      <c r="L1736"/>
    </row>
    <row r="1737" spans="2:12" ht="14.4" x14ac:dyDescent="0.3">
      <c r="B1737"/>
      <c r="C1737"/>
      <c r="D1737"/>
      <c r="E1737"/>
      <c r="F1737"/>
      <c r="H1737"/>
      <c r="I1737"/>
      <c r="J1737"/>
      <c r="K1737"/>
      <c r="L1737"/>
    </row>
    <row r="1738" spans="2:12" ht="14.4" x14ac:dyDescent="0.3">
      <c r="B1738"/>
      <c r="C1738"/>
      <c r="D1738"/>
      <c r="E1738"/>
      <c r="F1738"/>
      <c r="H1738"/>
      <c r="I1738"/>
      <c r="J1738"/>
      <c r="K1738"/>
      <c r="L1738"/>
    </row>
    <row r="1739" spans="2:12" ht="14.4" x14ac:dyDescent="0.3">
      <c r="B1739"/>
      <c r="C1739"/>
      <c r="D1739"/>
      <c r="E1739"/>
      <c r="F1739"/>
      <c r="H1739"/>
      <c r="I1739"/>
      <c r="J1739"/>
      <c r="K1739"/>
      <c r="L1739"/>
    </row>
    <row r="1740" spans="2:12" ht="14.4" x14ac:dyDescent="0.3">
      <c r="B1740"/>
      <c r="C1740"/>
      <c r="D1740"/>
      <c r="E1740"/>
      <c r="F1740"/>
      <c r="H1740"/>
      <c r="I1740"/>
      <c r="J1740"/>
      <c r="K1740"/>
      <c r="L1740"/>
    </row>
    <row r="1741" spans="2:12" ht="14.4" x14ac:dyDescent="0.3">
      <c r="B1741"/>
      <c r="C1741"/>
      <c r="D1741"/>
      <c r="E1741"/>
      <c r="F1741"/>
      <c r="H1741"/>
      <c r="I1741"/>
      <c r="J1741"/>
      <c r="K1741"/>
      <c r="L1741"/>
    </row>
    <row r="1742" spans="2:12" ht="14.4" x14ac:dyDescent="0.3">
      <c r="B1742"/>
      <c r="C1742"/>
      <c r="D1742"/>
      <c r="E1742"/>
      <c r="F1742"/>
      <c r="H1742"/>
      <c r="I1742"/>
      <c r="J1742"/>
      <c r="K1742"/>
      <c r="L1742"/>
    </row>
    <row r="1743" spans="2:12" ht="14.4" x14ac:dyDescent="0.3">
      <c r="B1743"/>
      <c r="C1743"/>
      <c r="D1743"/>
      <c r="E1743"/>
      <c r="F1743"/>
      <c r="H1743"/>
      <c r="I1743"/>
      <c r="J1743"/>
      <c r="K1743"/>
      <c r="L1743"/>
    </row>
    <row r="1744" spans="2:12" ht="14.4" x14ac:dyDescent="0.3">
      <c r="B1744"/>
      <c r="C1744"/>
      <c r="D1744"/>
      <c r="E1744"/>
      <c r="F1744"/>
      <c r="H1744"/>
      <c r="I1744"/>
      <c r="J1744"/>
      <c r="K1744"/>
      <c r="L1744"/>
    </row>
    <row r="1745" spans="2:12" ht="14.4" x14ac:dyDescent="0.3">
      <c r="B1745"/>
      <c r="C1745"/>
      <c r="D1745"/>
      <c r="E1745"/>
      <c r="F1745"/>
      <c r="H1745"/>
      <c r="I1745"/>
      <c r="J1745"/>
      <c r="K1745"/>
      <c r="L1745"/>
    </row>
    <row r="1746" spans="2:12" ht="14.4" x14ac:dyDescent="0.3">
      <c r="B1746"/>
      <c r="C1746"/>
      <c r="D1746"/>
      <c r="E1746"/>
      <c r="F1746"/>
      <c r="H1746"/>
      <c r="I1746"/>
      <c r="J1746"/>
      <c r="K1746"/>
      <c r="L1746"/>
    </row>
    <row r="1747" spans="2:12" ht="14.4" x14ac:dyDescent="0.3">
      <c r="B1747"/>
      <c r="C1747"/>
      <c r="D1747"/>
      <c r="E1747"/>
      <c r="F1747"/>
      <c r="H1747"/>
      <c r="I1747"/>
      <c r="J1747"/>
      <c r="K1747"/>
      <c r="L1747"/>
    </row>
    <row r="1748" spans="2:12" ht="14.4" x14ac:dyDescent="0.3">
      <c r="B1748"/>
      <c r="C1748"/>
      <c r="D1748"/>
      <c r="E1748"/>
      <c r="F1748"/>
      <c r="H1748"/>
      <c r="I1748"/>
      <c r="J1748"/>
      <c r="K1748"/>
      <c r="L1748"/>
    </row>
    <row r="1749" spans="2:12" ht="14.4" x14ac:dyDescent="0.3">
      <c r="B1749"/>
      <c r="C1749"/>
      <c r="D1749"/>
      <c r="E1749"/>
      <c r="F1749"/>
      <c r="H1749"/>
      <c r="I1749"/>
      <c r="J1749"/>
      <c r="K1749"/>
      <c r="L1749"/>
    </row>
    <row r="1750" spans="2:12" ht="14.4" x14ac:dyDescent="0.3">
      <c r="B1750"/>
      <c r="C1750"/>
      <c r="D1750"/>
      <c r="E1750"/>
      <c r="F1750"/>
      <c r="H1750"/>
      <c r="I1750"/>
      <c r="J1750"/>
      <c r="K1750"/>
      <c r="L1750"/>
    </row>
    <row r="1751" spans="2:12" ht="14.4" x14ac:dyDescent="0.3">
      <c r="B1751"/>
      <c r="C1751"/>
      <c r="D1751"/>
      <c r="E1751"/>
      <c r="F1751"/>
      <c r="H1751"/>
      <c r="I1751"/>
      <c r="J1751"/>
      <c r="K1751"/>
      <c r="L1751"/>
    </row>
    <row r="1752" spans="2:12" ht="14.4" x14ac:dyDescent="0.3">
      <c r="B1752"/>
      <c r="C1752"/>
      <c r="D1752"/>
      <c r="E1752"/>
      <c r="F1752"/>
      <c r="H1752"/>
      <c r="I1752"/>
      <c r="J1752"/>
      <c r="K1752"/>
      <c r="L1752"/>
    </row>
    <row r="1753" spans="2:12" ht="14.4" x14ac:dyDescent="0.3">
      <c r="B1753"/>
      <c r="C1753"/>
      <c r="D1753"/>
      <c r="E1753"/>
      <c r="F1753"/>
      <c r="H1753"/>
      <c r="I1753"/>
      <c r="J1753"/>
      <c r="K1753"/>
      <c r="L1753"/>
    </row>
    <row r="1754" spans="2:12" ht="14.4" x14ac:dyDescent="0.3">
      <c r="B1754"/>
      <c r="C1754"/>
      <c r="D1754"/>
      <c r="E1754"/>
      <c r="F1754"/>
      <c r="H1754"/>
      <c r="I1754"/>
      <c r="J1754"/>
      <c r="K1754"/>
      <c r="L1754"/>
    </row>
    <row r="1755" spans="2:12" ht="14.4" x14ac:dyDescent="0.3">
      <c r="B1755"/>
      <c r="C1755"/>
      <c r="D1755"/>
      <c r="E1755"/>
      <c r="F1755"/>
      <c r="H1755"/>
      <c r="I1755"/>
      <c r="J1755"/>
      <c r="K1755"/>
      <c r="L1755"/>
    </row>
    <row r="1756" spans="2:12" ht="14.4" x14ac:dyDescent="0.3">
      <c r="B1756"/>
      <c r="C1756"/>
      <c r="D1756"/>
      <c r="E1756"/>
      <c r="F1756"/>
      <c r="H1756"/>
      <c r="I1756"/>
      <c r="J1756"/>
      <c r="K1756"/>
      <c r="L1756"/>
    </row>
    <row r="1757" spans="2:12" ht="14.4" x14ac:dyDescent="0.3">
      <c r="B1757"/>
      <c r="C1757"/>
      <c r="D1757"/>
      <c r="E1757"/>
      <c r="F1757"/>
      <c r="H1757"/>
      <c r="I1757"/>
      <c r="J1757"/>
      <c r="K1757"/>
      <c r="L1757"/>
    </row>
    <row r="1758" spans="2:12" ht="14.4" x14ac:dyDescent="0.3">
      <c r="B1758"/>
      <c r="C1758"/>
      <c r="D1758"/>
      <c r="E1758"/>
      <c r="F1758"/>
      <c r="H1758"/>
      <c r="I1758"/>
      <c r="J1758"/>
      <c r="K1758"/>
      <c r="L1758"/>
    </row>
    <row r="1759" spans="2:12" ht="14.4" x14ac:dyDescent="0.3">
      <c r="B1759"/>
      <c r="C1759"/>
      <c r="D1759"/>
      <c r="E1759"/>
      <c r="F1759"/>
      <c r="H1759"/>
      <c r="I1759"/>
      <c r="J1759"/>
      <c r="K1759"/>
      <c r="L1759"/>
    </row>
    <row r="1760" spans="2:12" ht="14.4" x14ac:dyDescent="0.3">
      <c r="B1760"/>
      <c r="C1760"/>
      <c r="D1760"/>
      <c r="E1760"/>
      <c r="F1760"/>
      <c r="H1760"/>
      <c r="I1760"/>
      <c r="J1760"/>
      <c r="K1760"/>
      <c r="L1760"/>
    </row>
    <row r="1761" spans="2:12" ht="14.4" x14ac:dyDescent="0.3">
      <c r="B1761"/>
      <c r="C1761"/>
      <c r="D1761"/>
      <c r="E1761"/>
      <c r="F1761"/>
      <c r="H1761"/>
      <c r="I1761"/>
      <c r="J1761"/>
      <c r="K1761"/>
      <c r="L1761"/>
    </row>
    <row r="1762" spans="2:12" ht="14.4" x14ac:dyDescent="0.3">
      <c r="B1762"/>
      <c r="C1762"/>
      <c r="D1762"/>
      <c r="E1762"/>
      <c r="F1762"/>
      <c r="H1762"/>
      <c r="I1762"/>
      <c r="J1762"/>
      <c r="K1762"/>
      <c r="L1762"/>
    </row>
    <row r="1763" spans="2:12" ht="14.4" x14ac:dyDescent="0.3">
      <c r="B1763"/>
      <c r="C1763"/>
      <c r="D1763"/>
      <c r="E1763"/>
      <c r="F1763"/>
      <c r="H1763"/>
      <c r="I1763"/>
      <c r="J1763"/>
      <c r="K1763"/>
      <c r="L1763"/>
    </row>
    <row r="1764" spans="2:12" ht="14.4" x14ac:dyDescent="0.3">
      <c r="B1764"/>
      <c r="C1764"/>
      <c r="D1764"/>
      <c r="E1764"/>
      <c r="F1764"/>
      <c r="H1764"/>
      <c r="I1764"/>
      <c r="J1764"/>
      <c r="K1764"/>
      <c r="L1764"/>
    </row>
    <row r="1765" spans="2:12" ht="14.4" x14ac:dyDescent="0.3">
      <c r="B1765"/>
      <c r="C1765"/>
      <c r="D1765"/>
      <c r="E1765"/>
      <c r="F1765"/>
      <c r="H1765"/>
      <c r="I1765"/>
      <c r="J1765"/>
      <c r="K1765"/>
      <c r="L1765"/>
    </row>
    <row r="1766" spans="2:12" ht="14.4" x14ac:dyDescent="0.3">
      <c r="B1766"/>
      <c r="C1766"/>
      <c r="D1766"/>
      <c r="E1766"/>
      <c r="F1766"/>
      <c r="H1766"/>
      <c r="I1766"/>
      <c r="J1766"/>
      <c r="K1766"/>
      <c r="L1766"/>
    </row>
    <row r="1767" spans="2:12" ht="14.4" x14ac:dyDescent="0.3">
      <c r="B1767"/>
      <c r="C1767"/>
      <c r="D1767"/>
      <c r="E1767"/>
      <c r="F1767"/>
      <c r="H1767"/>
      <c r="I1767"/>
      <c r="J1767"/>
      <c r="K1767"/>
      <c r="L1767"/>
    </row>
    <row r="1768" spans="2:12" ht="14.4" x14ac:dyDescent="0.3">
      <c r="B1768"/>
      <c r="C1768"/>
      <c r="D1768"/>
      <c r="E1768"/>
      <c r="F1768"/>
      <c r="H1768"/>
      <c r="I1768"/>
      <c r="J1768"/>
      <c r="K1768"/>
      <c r="L1768"/>
    </row>
    <row r="1769" spans="2:12" ht="14.4" x14ac:dyDescent="0.3">
      <c r="B1769"/>
      <c r="C1769"/>
      <c r="D1769"/>
      <c r="E1769"/>
      <c r="F1769"/>
      <c r="H1769"/>
      <c r="I1769"/>
      <c r="J1769"/>
      <c r="K1769"/>
      <c r="L1769"/>
    </row>
    <row r="1770" spans="2:12" ht="14.4" x14ac:dyDescent="0.3">
      <c r="B1770"/>
      <c r="C1770"/>
      <c r="D1770"/>
      <c r="E1770"/>
      <c r="F1770"/>
      <c r="H1770"/>
      <c r="I1770"/>
      <c r="J1770"/>
      <c r="K1770"/>
      <c r="L1770"/>
    </row>
    <row r="1771" spans="2:12" ht="14.4" x14ac:dyDescent="0.3">
      <c r="B1771"/>
      <c r="C1771"/>
      <c r="D1771"/>
      <c r="E1771"/>
      <c r="F1771"/>
      <c r="H1771"/>
      <c r="I1771"/>
      <c r="J1771"/>
      <c r="K1771"/>
      <c r="L1771"/>
    </row>
    <row r="1772" spans="2:12" ht="14.4" x14ac:dyDescent="0.3">
      <c r="B1772"/>
      <c r="C1772"/>
      <c r="D1772"/>
      <c r="E1772"/>
      <c r="F1772"/>
      <c r="H1772"/>
      <c r="I1772"/>
      <c r="J1772"/>
      <c r="K1772"/>
      <c r="L1772"/>
    </row>
    <row r="1773" spans="2:12" ht="14.4" x14ac:dyDescent="0.3">
      <c r="B1773"/>
      <c r="C1773"/>
      <c r="D1773"/>
      <c r="E1773"/>
      <c r="F1773"/>
      <c r="H1773"/>
      <c r="I1773"/>
      <c r="J1773"/>
      <c r="K1773"/>
      <c r="L1773"/>
    </row>
    <row r="1774" spans="2:12" ht="14.4" x14ac:dyDescent="0.3">
      <c r="B1774"/>
      <c r="C1774"/>
      <c r="D1774"/>
      <c r="E1774"/>
      <c r="F1774"/>
      <c r="H1774"/>
      <c r="I1774"/>
      <c r="J1774"/>
      <c r="K1774"/>
      <c r="L1774"/>
    </row>
    <row r="1775" spans="2:12" ht="14.4" x14ac:dyDescent="0.3">
      <c r="B1775"/>
      <c r="C1775"/>
      <c r="D1775"/>
      <c r="E1775"/>
      <c r="F1775"/>
      <c r="H1775"/>
      <c r="I1775"/>
      <c r="J1775"/>
      <c r="K1775"/>
      <c r="L1775"/>
    </row>
    <row r="1776" spans="2:12" ht="14.4" x14ac:dyDescent="0.3">
      <c r="B1776"/>
      <c r="C1776"/>
      <c r="D1776"/>
      <c r="E1776"/>
      <c r="F1776"/>
      <c r="H1776"/>
      <c r="I1776"/>
      <c r="J1776"/>
      <c r="K1776"/>
      <c r="L1776"/>
    </row>
    <row r="1777" spans="2:12" ht="14.4" x14ac:dyDescent="0.3">
      <c r="B1777"/>
      <c r="C1777"/>
      <c r="D1777"/>
      <c r="E1777"/>
      <c r="F1777"/>
      <c r="H1777"/>
      <c r="I1777"/>
      <c r="J1777"/>
      <c r="K1777"/>
      <c r="L1777"/>
    </row>
    <row r="1778" spans="2:12" ht="14.4" x14ac:dyDescent="0.3">
      <c r="B1778"/>
      <c r="C1778"/>
      <c r="D1778"/>
      <c r="E1778"/>
      <c r="F1778"/>
      <c r="H1778"/>
      <c r="I1778"/>
      <c r="J1778"/>
      <c r="K1778"/>
      <c r="L1778"/>
    </row>
    <row r="1779" spans="2:12" ht="14.4" x14ac:dyDescent="0.3">
      <c r="B1779"/>
      <c r="C1779"/>
      <c r="D1779"/>
      <c r="E1779"/>
      <c r="F1779"/>
      <c r="H1779"/>
      <c r="I1779"/>
      <c r="J1779"/>
      <c r="K1779"/>
      <c r="L1779"/>
    </row>
    <row r="1780" spans="2:12" ht="14.4" x14ac:dyDescent="0.3">
      <c r="B1780"/>
      <c r="C1780"/>
      <c r="D1780"/>
      <c r="E1780"/>
      <c r="F1780"/>
      <c r="H1780"/>
      <c r="I1780"/>
      <c r="J1780"/>
      <c r="K1780"/>
      <c r="L1780"/>
    </row>
    <row r="1781" spans="2:12" ht="14.4" x14ac:dyDescent="0.3">
      <c r="B1781"/>
      <c r="C1781"/>
      <c r="D1781"/>
      <c r="E1781"/>
      <c r="F1781"/>
      <c r="H1781"/>
      <c r="I1781"/>
      <c r="J1781"/>
      <c r="K1781"/>
      <c r="L1781"/>
    </row>
    <row r="1782" spans="2:12" ht="14.4" x14ac:dyDescent="0.3">
      <c r="B1782"/>
      <c r="C1782"/>
      <c r="D1782"/>
      <c r="E1782"/>
      <c r="F1782"/>
      <c r="H1782"/>
      <c r="I1782"/>
      <c r="J1782"/>
      <c r="K1782"/>
      <c r="L1782"/>
    </row>
    <row r="1783" spans="2:12" ht="14.4" x14ac:dyDescent="0.3">
      <c r="B1783"/>
      <c r="C1783"/>
      <c r="D1783"/>
      <c r="E1783"/>
      <c r="F1783"/>
      <c r="H1783"/>
      <c r="I1783"/>
      <c r="J1783"/>
      <c r="K1783"/>
      <c r="L1783"/>
    </row>
    <row r="1784" spans="2:12" ht="14.4" x14ac:dyDescent="0.3">
      <c r="B1784"/>
      <c r="C1784"/>
      <c r="D1784"/>
      <c r="E1784"/>
      <c r="F1784"/>
      <c r="H1784"/>
      <c r="I1784"/>
      <c r="J1784"/>
      <c r="K1784"/>
      <c r="L1784"/>
    </row>
    <row r="1785" spans="2:12" ht="14.4" x14ac:dyDescent="0.3">
      <c r="B1785"/>
      <c r="C1785"/>
      <c r="D1785"/>
      <c r="E1785"/>
      <c r="F1785"/>
      <c r="H1785"/>
      <c r="I1785"/>
      <c r="J1785"/>
      <c r="K1785"/>
      <c r="L1785"/>
    </row>
    <row r="1786" spans="2:12" ht="14.4" x14ac:dyDescent="0.3">
      <c r="B1786"/>
      <c r="C1786"/>
      <c r="D1786"/>
      <c r="E1786"/>
      <c r="F1786"/>
      <c r="H1786"/>
      <c r="I1786"/>
      <c r="J1786"/>
      <c r="K1786"/>
      <c r="L1786"/>
    </row>
    <row r="1787" spans="2:12" ht="14.4" x14ac:dyDescent="0.3">
      <c r="B1787"/>
      <c r="C1787"/>
      <c r="D1787"/>
      <c r="E1787"/>
      <c r="F1787"/>
      <c r="H1787"/>
      <c r="I1787"/>
      <c r="J1787"/>
      <c r="K1787"/>
      <c r="L1787"/>
    </row>
    <row r="1788" spans="2:12" ht="14.4" x14ac:dyDescent="0.3">
      <c r="B1788"/>
      <c r="C1788"/>
      <c r="D1788"/>
      <c r="E1788"/>
      <c r="F1788"/>
      <c r="H1788"/>
      <c r="I1788"/>
      <c r="J1788"/>
      <c r="K1788"/>
      <c r="L1788"/>
    </row>
    <row r="1789" spans="2:12" ht="14.4" x14ac:dyDescent="0.3">
      <c r="B1789"/>
      <c r="C1789"/>
      <c r="D1789"/>
      <c r="E1789"/>
      <c r="F1789"/>
      <c r="H1789"/>
      <c r="I1789"/>
      <c r="J1789"/>
      <c r="K1789"/>
      <c r="L1789"/>
    </row>
    <row r="1790" spans="2:12" ht="14.4" x14ac:dyDescent="0.3">
      <c r="B1790"/>
      <c r="C1790"/>
      <c r="D1790"/>
      <c r="E1790"/>
      <c r="F1790"/>
      <c r="H1790"/>
      <c r="I1790"/>
      <c r="J1790"/>
      <c r="K1790"/>
      <c r="L1790"/>
    </row>
    <row r="1791" spans="2:12" ht="14.4" x14ac:dyDescent="0.3">
      <c r="B1791"/>
      <c r="C1791"/>
      <c r="D1791"/>
      <c r="E1791"/>
      <c r="F1791"/>
      <c r="H1791"/>
      <c r="I1791"/>
      <c r="J1791"/>
      <c r="K1791"/>
      <c r="L1791"/>
    </row>
    <row r="1792" spans="2:12" ht="14.4" x14ac:dyDescent="0.3">
      <c r="B1792"/>
      <c r="C1792"/>
      <c r="D1792"/>
      <c r="E1792"/>
      <c r="F1792"/>
      <c r="H1792"/>
      <c r="I1792"/>
      <c r="J1792"/>
      <c r="K1792"/>
      <c r="L1792"/>
    </row>
    <row r="1793" spans="2:12" ht="14.4" x14ac:dyDescent="0.3">
      <c r="B1793"/>
      <c r="C1793"/>
      <c r="D1793"/>
      <c r="E1793"/>
      <c r="F1793"/>
      <c r="H1793"/>
      <c r="I1793"/>
      <c r="J1793"/>
      <c r="K1793"/>
      <c r="L1793"/>
    </row>
    <row r="1794" spans="2:12" ht="14.4" x14ac:dyDescent="0.3">
      <c r="B1794"/>
      <c r="C1794"/>
      <c r="D1794"/>
      <c r="E1794"/>
      <c r="F1794"/>
      <c r="H1794"/>
      <c r="I1794"/>
      <c r="J1794"/>
      <c r="K1794"/>
      <c r="L1794"/>
    </row>
    <row r="1795" spans="2:12" ht="14.4" x14ac:dyDescent="0.3">
      <c r="B1795"/>
      <c r="C1795"/>
      <c r="D1795"/>
      <c r="E1795"/>
      <c r="F1795"/>
      <c r="H1795"/>
      <c r="I1795"/>
      <c r="J1795"/>
      <c r="K1795"/>
      <c r="L1795"/>
    </row>
    <row r="1796" spans="2:12" ht="14.4" x14ac:dyDescent="0.3">
      <c r="B1796"/>
      <c r="C1796"/>
      <c r="D1796"/>
      <c r="E1796"/>
      <c r="F1796"/>
      <c r="H1796"/>
      <c r="I1796"/>
      <c r="J1796"/>
      <c r="K1796"/>
      <c r="L1796"/>
    </row>
    <row r="1797" spans="2:12" ht="14.4" x14ac:dyDescent="0.3">
      <c r="B1797"/>
      <c r="C1797"/>
      <c r="D1797"/>
      <c r="E1797"/>
      <c r="F1797"/>
      <c r="H1797"/>
      <c r="I1797"/>
      <c r="J1797"/>
      <c r="K1797"/>
      <c r="L1797"/>
    </row>
    <row r="1798" spans="2:12" ht="14.4" x14ac:dyDescent="0.3">
      <c r="B1798"/>
      <c r="C1798"/>
      <c r="D1798"/>
      <c r="E1798"/>
      <c r="F1798"/>
      <c r="H1798"/>
      <c r="I1798"/>
      <c r="J1798"/>
      <c r="K1798"/>
      <c r="L1798"/>
    </row>
    <row r="1799" spans="2:12" ht="14.4" x14ac:dyDescent="0.3">
      <c r="B1799"/>
      <c r="C1799"/>
      <c r="D1799"/>
      <c r="E1799"/>
      <c r="F1799"/>
      <c r="H1799"/>
      <c r="I1799"/>
      <c r="J1799"/>
      <c r="K1799"/>
      <c r="L1799"/>
    </row>
    <row r="1800" spans="2:12" ht="14.4" x14ac:dyDescent="0.3">
      <c r="B1800"/>
      <c r="C1800"/>
      <c r="D1800"/>
      <c r="E1800"/>
      <c r="F1800"/>
      <c r="H1800"/>
      <c r="I1800"/>
      <c r="J1800"/>
      <c r="K1800"/>
      <c r="L1800"/>
    </row>
    <row r="1801" spans="2:12" ht="14.4" x14ac:dyDescent="0.3">
      <c r="B1801"/>
      <c r="C1801"/>
      <c r="D1801"/>
      <c r="E1801"/>
      <c r="F1801"/>
      <c r="H1801"/>
      <c r="I1801"/>
      <c r="J1801"/>
      <c r="K1801"/>
      <c r="L1801"/>
    </row>
    <row r="1802" spans="2:12" ht="14.4" x14ac:dyDescent="0.3">
      <c r="B1802"/>
      <c r="C1802"/>
      <c r="D1802"/>
      <c r="E1802"/>
      <c r="F1802"/>
      <c r="H1802"/>
      <c r="I1802"/>
      <c r="J1802"/>
      <c r="K1802"/>
      <c r="L1802"/>
    </row>
    <row r="1803" spans="2:12" ht="14.4" x14ac:dyDescent="0.3">
      <c r="B1803"/>
      <c r="C1803"/>
      <c r="D1803"/>
      <c r="E1803"/>
      <c r="F1803"/>
      <c r="H1803"/>
      <c r="I1803"/>
      <c r="J1803"/>
      <c r="K1803"/>
      <c r="L1803"/>
    </row>
    <row r="1804" spans="2:12" ht="14.4" x14ac:dyDescent="0.3">
      <c r="B1804"/>
      <c r="C1804"/>
      <c r="D1804"/>
      <c r="E1804"/>
      <c r="F1804"/>
      <c r="H1804"/>
      <c r="I1804"/>
      <c r="J1804"/>
      <c r="K1804"/>
      <c r="L1804"/>
    </row>
    <row r="1805" spans="2:12" ht="14.4" x14ac:dyDescent="0.3">
      <c r="B1805"/>
      <c r="C1805"/>
      <c r="D1805"/>
      <c r="E1805"/>
      <c r="F1805"/>
      <c r="H1805"/>
      <c r="I1805"/>
      <c r="J1805"/>
      <c r="K1805"/>
      <c r="L1805"/>
    </row>
    <row r="1806" spans="2:12" ht="14.4" x14ac:dyDescent="0.3">
      <c r="B1806"/>
      <c r="C1806"/>
      <c r="D1806"/>
      <c r="E1806"/>
      <c r="F1806"/>
      <c r="H1806"/>
      <c r="I1806"/>
      <c r="J1806"/>
      <c r="K1806"/>
      <c r="L1806"/>
    </row>
    <row r="1807" spans="2:12" ht="14.4" x14ac:dyDescent="0.3">
      <c r="B1807"/>
      <c r="C1807"/>
      <c r="D1807"/>
      <c r="E1807"/>
      <c r="F1807"/>
      <c r="H1807"/>
      <c r="I1807"/>
      <c r="J1807"/>
      <c r="K1807"/>
      <c r="L1807"/>
    </row>
    <row r="1808" spans="2:12" ht="14.4" x14ac:dyDescent="0.3">
      <c r="B1808"/>
      <c r="C1808"/>
      <c r="D1808"/>
      <c r="E1808"/>
      <c r="F1808"/>
      <c r="H1808"/>
      <c r="I1808"/>
      <c r="J1808"/>
      <c r="K1808"/>
      <c r="L1808"/>
    </row>
    <row r="1809" spans="2:12" ht="14.4" x14ac:dyDescent="0.3">
      <c r="B1809"/>
      <c r="C1809"/>
      <c r="D1809"/>
      <c r="E1809"/>
      <c r="F1809"/>
      <c r="H1809"/>
      <c r="I1809"/>
      <c r="J1809"/>
      <c r="K1809"/>
      <c r="L1809"/>
    </row>
    <row r="1810" spans="2:12" ht="14.4" x14ac:dyDescent="0.3">
      <c r="B1810"/>
      <c r="C1810"/>
      <c r="D1810"/>
      <c r="E1810"/>
      <c r="F1810"/>
      <c r="H1810"/>
      <c r="I1810"/>
      <c r="J1810"/>
      <c r="K1810"/>
      <c r="L1810"/>
    </row>
    <row r="1811" spans="2:12" ht="14.4" x14ac:dyDescent="0.3">
      <c r="B1811"/>
      <c r="C1811"/>
      <c r="D1811"/>
      <c r="E1811"/>
      <c r="F1811"/>
      <c r="H1811"/>
      <c r="I1811"/>
      <c r="J1811"/>
      <c r="K1811"/>
      <c r="L1811"/>
    </row>
    <row r="1812" spans="2:12" ht="14.4" x14ac:dyDescent="0.3">
      <c r="B1812"/>
      <c r="C1812"/>
      <c r="D1812"/>
      <c r="E1812"/>
      <c r="F1812"/>
      <c r="H1812"/>
      <c r="I1812"/>
      <c r="J1812"/>
      <c r="K1812"/>
      <c r="L1812"/>
    </row>
    <row r="1813" spans="2:12" ht="14.4" x14ac:dyDescent="0.3">
      <c r="B1813"/>
      <c r="C1813"/>
      <c r="D1813"/>
      <c r="E1813"/>
      <c r="F1813"/>
      <c r="H1813"/>
      <c r="I1813"/>
      <c r="J1813"/>
      <c r="K1813"/>
      <c r="L1813"/>
    </row>
    <row r="1814" spans="2:12" ht="14.4" x14ac:dyDescent="0.3">
      <c r="B1814"/>
      <c r="C1814"/>
      <c r="D1814"/>
      <c r="E1814"/>
      <c r="F1814"/>
      <c r="H1814"/>
      <c r="I1814"/>
      <c r="J1814"/>
      <c r="K1814"/>
      <c r="L1814"/>
    </row>
    <row r="1815" spans="2:12" ht="14.4" x14ac:dyDescent="0.3">
      <c r="B1815"/>
      <c r="C1815"/>
      <c r="D1815"/>
      <c r="E1815"/>
      <c r="F1815"/>
      <c r="H1815"/>
      <c r="I1815"/>
      <c r="J1815"/>
      <c r="K1815"/>
      <c r="L1815"/>
    </row>
    <row r="1816" spans="2:12" ht="14.4" x14ac:dyDescent="0.3">
      <c r="B1816"/>
      <c r="C1816"/>
      <c r="D1816"/>
      <c r="E1816"/>
      <c r="F1816"/>
      <c r="H1816"/>
      <c r="I1816"/>
      <c r="J1816"/>
      <c r="K1816"/>
      <c r="L1816"/>
    </row>
    <row r="1817" spans="2:12" ht="14.4" x14ac:dyDescent="0.3">
      <c r="B1817"/>
      <c r="C1817"/>
      <c r="D1817"/>
      <c r="E1817"/>
      <c r="F1817"/>
      <c r="H1817"/>
      <c r="I1817"/>
      <c r="J1817"/>
      <c r="K1817"/>
      <c r="L1817"/>
    </row>
    <row r="1818" spans="2:12" ht="14.4" x14ac:dyDescent="0.3">
      <c r="B1818"/>
      <c r="C1818"/>
      <c r="D1818"/>
      <c r="E1818"/>
      <c r="F1818"/>
      <c r="H1818"/>
      <c r="I1818"/>
      <c r="J1818"/>
      <c r="K1818"/>
      <c r="L1818"/>
    </row>
    <row r="1819" spans="2:12" ht="14.4" x14ac:dyDescent="0.3">
      <c r="B1819"/>
      <c r="C1819"/>
      <c r="D1819"/>
      <c r="E1819"/>
      <c r="F1819"/>
      <c r="H1819"/>
      <c r="I1819"/>
      <c r="J1819"/>
      <c r="K1819"/>
      <c r="L1819"/>
    </row>
    <row r="1820" spans="2:12" ht="14.4" x14ac:dyDescent="0.3">
      <c r="B1820"/>
      <c r="C1820"/>
      <c r="D1820"/>
      <c r="E1820"/>
      <c r="F1820"/>
      <c r="H1820"/>
      <c r="I1820"/>
      <c r="J1820"/>
      <c r="K1820"/>
      <c r="L1820"/>
    </row>
    <row r="1821" spans="2:12" ht="14.4" x14ac:dyDescent="0.3">
      <c r="B1821"/>
      <c r="C1821"/>
      <c r="D1821"/>
      <c r="E1821"/>
      <c r="F1821"/>
      <c r="H1821"/>
      <c r="I1821"/>
      <c r="J1821"/>
      <c r="K1821"/>
      <c r="L1821"/>
    </row>
    <row r="1822" spans="2:12" ht="14.4" x14ac:dyDescent="0.3">
      <c r="B1822"/>
      <c r="C1822"/>
      <c r="D1822"/>
      <c r="E1822"/>
      <c r="F1822"/>
      <c r="H1822"/>
      <c r="I1822"/>
      <c r="J1822"/>
      <c r="K1822"/>
      <c r="L1822"/>
    </row>
    <row r="1823" spans="2:12" ht="14.4" x14ac:dyDescent="0.3">
      <c r="B1823"/>
      <c r="C1823"/>
      <c r="D1823"/>
      <c r="E1823"/>
      <c r="F1823"/>
      <c r="H1823"/>
      <c r="I1823"/>
      <c r="J1823"/>
      <c r="K1823"/>
      <c r="L1823"/>
    </row>
    <row r="1824" spans="2:12" ht="14.4" x14ac:dyDescent="0.3">
      <c r="B1824"/>
      <c r="C1824"/>
      <c r="D1824"/>
      <c r="E1824"/>
      <c r="F1824"/>
      <c r="H1824"/>
      <c r="I1824"/>
      <c r="J1824"/>
      <c r="K1824"/>
      <c r="L1824"/>
    </row>
    <row r="1825" spans="2:12" ht="14.4" x14ac:dyDescent="0.3">
      <c r="B1825"/>
      <c r="C1825"/>
      <c r="D1825"/>
      <c r="E1825"/>
      <c r="F1825"/>
      <c r="H1825"/>
      <c r="I1825"/>
      <c r="J1825"/>
      <c r="K1825"/>
      <c r="L1825"/>
    </row>
    <row r="1826" spans="2:12" ht="14.4" x14ac:dyDescent="0.3">
      <c r="B1826"/>
      <c r="C1826"/>
      <c r="D1826"/>
      <c r="E1826"/>
      <c r="F1826"/>
      <c r="H1826"/>
      <c r="I1826"/>
      <c r="J1826"/>
      <c r="K1826"/>
      <c r="L1826"/>
    </row>
    <row r="1827" spans="2:12" ht="14.4" x14ac:dyDescent="0.3">
      <c r="B1827"/>
      <c r="C1827"/>
      <c r="D1827"/>
      <c r="E1827"/>
      <c r="F1827"/>
      <c r="H1827"/>
      <c r="I1827"/>
      <c r="J1827"/>
      <c r="K1827"/>
      <c r="L1827"/>
    </row>
    <row r="1828" spans="2:12" ht="14.4" x14ac:dyDescent="0.3">
      <c r="B1828"/>
      <c r="C1828"/>
      <c r="D1828"/>
      <c r="E1828"/>
      <c r="F1828"/>
      <c r="H1828"/>
      <c r="I1828"/>
      <c r="J1828"/>
      <c r="K1828"/>
      <c r="L1828"/>
    </row>
    <row r="1829" spans="2:12" ht="14.4" x14ac:dyDescent="0.3">
      <c r="B1829"/>
      <c r="C1829"/>
      <c r="D1829"/>
      <c r="E1829"/>
      <c r="F1829"/>
      <c r="H1829"/>
      <c r="I1829"/>
      <c r="J1829"/>
      <c r="K1829"/>
      <c r="L1829"/>
    </row>
    <row r="1830" spans="2:12" ht="14.4" x14ac:dyDescent="0.3">
      <c r="B1830"/>
      <c r="C1830"/>
      <c r="D1830"/>
      <c r="E1830"/>
      <c r="F1830"/>
      <c r="H1830"/>
      <c r="I1830"/>
      <c r="J1830"/>
      <c r="K1830"/>
      <c r="L1830"/>
    </row>
    <row r="1831" spans="2:12" ht="14.4" x14ac:dyDescent="0.3">
      <c r="B1831"/>
      <c r="C1831"/>
      <c r="D1831"/>
      <c r="E1831"/>
      <c r="F1831"/>
      <c r="H1831"/>
      <c r="I1831"/>
      <c r="J1831"/>
      <c r="K1831"/>
      <c r="L1831"/>
    </row>
    <row r="1832" spans="2:12" ht="14.4" x14ac:dyDescent="0.3">
      <c r="B1832"/>
      <c r="C1832"/>
      <c r="D1832"/>
      <c r="E1832"/>
      <c r="F1832"/>
      <c r="H1832"/>
      <c r="I1832"/>
      <c r="J1832"/>
      <c r="K1832"/>
      <c r="L1832"/>
    </row>
    <row r="1833" spans="2:12" ht="14.4" x14ac:dyDescent="0.3">
      <c r="B1833"/>
      <c r="C1833"/>
      <c r="D1833"/>
      <c r="E1833"/>
      <c r="F1833"/>
      <c r="H1833"/>
      <c r="I1833"/>
      <c r="J1833"/>
      <c r="K1833"/>
      <c r="L1833"/>
    </row>
    <row r="1834" spans="2:12" ht="14.4" x14ac:dyDescent="0.3">
      <c r="B1834"/>
      <c r="C1834"/>
      <c r="D1834"/>
      <c r="E1834"/>
      <c r="F1834"/>
      <c r="H1834"/>
      <c r="I1834"/>
      <c r="J1834"/>
      <c r="K1834"/>
      <c r="L1834"/>
    </row>
    <row r="1835" spans="2:12" ht="14.4" x14ac:dyDescent="0.3">
      <c r="B1835"/>
      <c r="C1835"/>
      <c r="D1835"/>
      <c r="E1835"/>
      <c r="F1835"/>
      <c r="H1835"/>
      <c r="I1835"/>
      <c r="J1835"/>
      <c r="K1835"/>
      <c r="L1835"/>
    </row>
    <row r="1836" spans="2:12" ht="14.4" x14ac:dyDescent="0.3">
      <c r="B1836"/>
      <c r="C1836"/>
      <c r="D1836"/>
      <c r="E1836"/>
      <c r="F1836"/>
      <c r="H1836"/>
      <c r="I1836"/>
      <c r="J1836"/>
      <c r="K1836"/>
      <c r="L1836"/>
    </row>
    <row r="1837" spans="2:12" ht="14.4" x14ac:dyDescent="0.3">
      <c r="B1837"/>
      <c r="C1837"/>
      <c r="D1837"/>
      <c r="E1837"/>
      <c r="F1837"/>
      <c r="H1837"/>
      <c r="I1837"/>
      <c r="J1837"/>
      <c r="K1837"/>
      <c r="L1837"/>
    </row>
    <row r="1838" spans="2:12" ht="14.4" x14ac:dyDescent="0.3">
      <c r="B1838"/>
      <c r="C1838"/>
      <c r="D1838"/>
      <c r="E1838"/>
      <c r="F1838"/>
      <c r="H1838"/>
      <c r="I1838"/>
      <c r="J1838"/>
      <c r="K1838"/>
      <c r="L1838"/>
    </row>
    <row r="1839" spans="2:12" ht="14.4" x14ac:dyDescent="0.3">
      <c r="B1839"/>
      <c r="C1839"/>
      <c r="D1839"/>
      <c r="E1839"/>
      <c r="F1839"/>
      <c r="H1839"/>
      <c r="I1839"/>
      <c r="J1839"/>
      <c r="K1839"/>
      <c r="L1839"/>
    </row>
    <row r="1840" spans="2:12" ht="14.4" x14ac:dyDescent="0.3">
      <c r="B1840"/>
      <c r="C1840"/>
      <c r="D1840"/>
      <c r="E1840"/>
      <c r="F1840"/>
      <c r="H1840"/>
      <c r="I1840"/>
      <c r="J1840"/>
      <c r="K1840"/>
      <c r="L1840"/>
    </row>
    <row r="1841" spans="2:12" ht="14.4" x14ac:dyDescent="0.3">
      <c r="B1841"/>
      <c r="C1841"/>
      <c r="D1841"/>
      <c r="E1841"/>
      <c r="F1841"/>
      <c r="H1841"/>
      <c r="I1841"/>
      <c r="J1841"/>
      <c r="K1841"/>
      <c r="L1841"/>
    </row>
    <row r="1842" spans="2:12" ht="14.4" x14ac:dyDescent="0.3">
      <c r="B1842"/>
      <c r="C1842"/>
      <c r="D1842"/>
      <c r="E1842"/>
      <c r="F1842"/>
      <c r="H1842"/>
      <c r="I1842"/>
      <c r="J1842"/>
      <c r="K1842"/>
      <c r="L1842"/>
    </row>
    <row r="1843" spans="2:12" ht="14.4" x14ac:dyDescent="0.3">
      <c r="B1843"/>
      <c r="C1843"/>
      <c r="D1843"/>
      <c r="E1843"/>
      <c r="F1843"/>
      <c r="H1843"/>
      <c r="I1843"/>
      <c r="J1843"/>
      <c r="K1843"/>
      <c r="L1843"/>
    </row>
    <row r="1844" spans="2:12" ht="14.4" x14ac:dyDescent="0.3">
      <c r="B1844"/>
      <c r="C1844"/>
      <c r="D1844"/>
      <c r="E1844"/>
      <c r="F1844"/>
      <c r="H1844"/>
      <c r="I1844"/>
      <c r="J1844"/>
      <c r="K1844"/>
      <c r="L1844"/>
    </row>
    <row r="1845" spans="2:12" ht="14.4" x14ac:dyDescent="0.3">
      <c r="B1845"/>
      <c r="C1845"/>
      <c r="D1845"/>
      <c r="E1845"/>
      <c r="F1845"/>
      <c r="H1845"/>
      <c r="I1845"/>
      <c r="J1845"/>
      <c r="K1845"/>
      <c r="L1845"/>
    </row>
    <row r="1846" spans="2:12" ht="14.4" x14ac:dyDescent="0.3">
      <c r="B1846"/>
      <c r="C1846"/>
      <c r="D1846"/>
      <c r="E1846"/>
      <c r="F1846"/>
      <c r="H1846"/>
      <c r="I1846"/>
      <c r="J1846"/>
      <c r="K1846"/>
      <c r="L1846"/>
    </row>
    <row r="1847" spans="2:12" ht="14.4" x14ac:dyDescent="0.3">
      <c r="B1847"/>
      <c r="C1847"/>
      <c r="D1847"/>
      <c r="E1847"/>
      <c r="F1847"/>
      <c r="H1847"/>
      <c r="I1847"/>
      <c r="J1847"/>
      <c r="K1847"/>
      <c r="L1847"/>
    </row>
    <row r="1848" spans="2:12" ht="14.4" x14ac:dyDescent="0.3">
      <c r="B1848"/>
      <c r="C1848"/>
      <c r="D1848"/>
      <c r="E1848"/>
      <c r="F1848"/>
      <c r="H1848"/>
      <c r="I1848"/>
      <c r="J1848"/>
      <c r="K1848"/>
      <c r="L1848"/>
    </row>
    <row r="1849" spans="2:12" ht="14.4" x14ac:dyDescent="0.3">
      <c r="B1849"/>
      <c r="C1849"/>
      <c r="D1849"/>
      <c r="E1849"/>
      <c r="F1849"/>
      <c r="H1849"/>
      <c r="I1849"/>
      <c r="J1849"/>
      <c r="K1849"/>
      <c r="L1849"/>
    </row>
    <row r="1850" spans="2:12" ht="14.4" x14ac:dyDescent="0.3">
      <c r="B1850"/>
      <c r="C1850"/>
      <c r="D1850"/>
      <c r="E1850"/>
      <c r="F1850"/>
      <c r="H1850"/>
      <c r="I1850"/>
      <c r="J1850"/>
      <c r="K1850"/>
      <c r="L1850"/>
    </row>
    <row r="1851" spans="2:12" ht="14.4" x14ac:dyDescent="0.3">
      <c r="B1851"/>
      <c r="C1851"/>
      <c r="D1851"/>
      <c r="E1851"/>
      <c r="F1851"/>
      <c r="H1851"/>
      <c r="I1851"/>
      <c r="J1851"/>
      <c r="K1851"/>
      <c r="L1851"/>
    </row>
    <row r="1852" spans="2:12" ht="14.4" x14ac:dyDescent="0.3">
      <c r="B1852"/>
      <c r="C1852"/>
      <c r="D1852"/>
      <c r="E1852"/>
      <c r="F1852"/>
      <c r="H1852"/>
      <c r="I1852"/>
      <c r="J1852"/>
      <c r="K1852"/>
      <c r="L1852"/>
    </row>
    <row r="1853" spans="2:12" ht="14.4" x14ac:dyDescent="0.3">
      <c r="B1853"/>
      <c r="C1853"/>
      <c r="D1853"/>
      <c r="E1853"/>
      <c r="F1853"/>
      <c r="H1853"/>
      <c r="I1853"/>
      <c r="J1853"/>
      <c r="K1853"/>
      <c r="L1853"/>
    </row>
    <row r="1854" spans="2:12" ht="14.4" x14ac:dyDescent="0.3">
      <c r="B1854"/>
      <c r="C1854"/>
      <c r="D1854"/>
      <c r="E1854"/>
      <c r="F1854"/>
      <c r="H1854"/>
      <c r="I1854"/>
      <c r="J1854"/>
      <c r="K1854"/>
      <c r="L1854"/>
    </row>
    <row r="1855" spans="2:12" ht="14.4" x14ac:dyDescent="0.3">
      <c r="B1855"/>
      <c r="C1855"/>
      <c r="D1855"/>
      <c r="E1855"/>
      <c r="F1855"/>
      <c r="H1855"/>
      <c r="I1855"/>
      <c r="J1855"/>
      <c r="K1855"/>
      <c r="L1855"/>
    </row>
    <row r="1856" spans="2:12" ht="14.4" x14ac:dyDescent="0.3">
      <c r="B1856"/>
      <c r="C1856"/>
      <c r="D1856"/>
      <c r="E1856"/>
      <c r="F1856"/>
      <c r="H1856"/>
      <c r="I1856"/>
      <c r="J1856"/>
      <c r="K1856"/>
      <c r="L1856"/>
    </row>
    <row r="1857" spans="2:12" ht="14.4" x14ac:dyDescent="0.3">
      <c r="B1857"/>
      <c r="C1857"/>
      <c r="D1857"/>
      <c r="E1857"/>
      <c r="F1857"/>
      <c r="H1857"/>
      <c r="I1857"/>
      <c r="J1857"/>
      <c r="K1857"/>
      <c r="L1857"/>
    </row>
    <row r="1858" spans="2:12" ht="14.4" x14ac:dyDescent="0.3">
      <c r="B1858"/>
      <c r="C1858"/>
      <c r="D1858"/>
      <c r="E1858"/>
      <c r="F1858"/>
      <c r="H1858"/>
      <c r="I1858"/>
      <c r="J1858"/>
      <c r="K1858"/>
      <c r="L1858"/>
    </row>
    <row r="1859" spans="2:12" ht="14.4" x14ac:dyDescent="0.3">
      <c r="B1859"/>
      <c r="C1859"/>
      <c r="D1859"/>
      <c r="E1859"/>
      <c r="F1859"/>
      <c r="H1859"/>
      <c r="I1859"/>
      <c r="J1859"/>
      <c r="K1859"/>
      <c r="L1859"/>
    </row>
    <row r="1860" spans="2:12" ht="14.4" x14ac:dyDescent="0.3">
      <c r="B1860"/>
      <c r="C1860"/>
      <c r="D1860"/>
      <c r="E1860"/>
      <c r="F1860"/>
      <c r="H1860"/>
      <c r="I1860"/>
      <c r="J1860"/>
      <c r="K1860"/>
      <c r="L1860"/>
    </row>
    <row r="1861" spans="2:12" ht="14.4" x14ac:dyDescent="0.3">
      <c r="B1861"/>
      <c r="C1861"/>
      <c r="D1861"/>
      <c r="E1861"/>
      <c r="F1861"/>
      <c r="H1861"/>
      <c r="I1861"/>
      <c r="J1861"/>
      <c r="K1861"/>
      <c r="L1861"/>
    </row>
    <row r="1862" spans="2:12" ht="14.4" x14ac:dyDescent="0.3">
      <c r="B1862"/>
      <c r="C1862"/>
      <c r="D1862"/>
      <c r="E1862"/>
      <c r="F1862"/>
      <c r="H1862"/>
      <c r="I1862"/>
      <c r="J1862"/>
      <c r="K1862"/>
      <c r="L1862"/>
    </row>
    <row r="1863" spans="2:12" ht="14.4" x14ac:dyDescent="0.3">
      <c r="B1863"/>
      <c r="C1863"/>
      <c r="D1863"/>
      <c r="E1863"/>
      <c r="F1863"/>
      <c r="H1863"/>
      <c r="I1863"/>
      <c r="J1863"/>
      <c r="K1863"/>
      <c r="L1863"/>
    </row>
    <row r="1864" spans="2:12" ht="14.4" x14ac:dyDescent="0.3">
      <c r="B1864"/>
      <c r="C1864"/>
      <c r="D1864"/>
      <c r="E1864"/>
      <c r="F1864"/>
      <c r="H1864"/>
      <c r="I1864"/>
      <c r="J1864"/>
      <c r="K1864"/>
      <c r="L1864"/>
    </row>
    <row r="1865" spans="2:12" ht="14.4" x14ac:dyDescent="0.3">
      <c r="B1865"/>
      <c r="C1865"/>
      <c r="D1865"/>
      <c r="E1865"/>
      <c r="F1865"/>
      <c r="H1865"/>
      <c r="I1865"/>
      <c r="J1865"/>
      <c r="K1865"/>
      <c r="L1865"/>
    </row>
    <row r="1866" spans="2:12" ht="14.4" x14ac:dyDescent="0.3">
      <c r="B1866"/>
      <c r="C1866"/>
      <c r="D1866"/>
      <c r="E1866"/>
      <c r="F1866"/>
      <c r="H1866"/>
      <c r="I1866"/>
      <c r="J1866"/>
      <c r="K1866"/>
      <c r="L1866"/>
    </row>
    <row r="1867" spans="2:12" ht="14.4" x14ac:dyDescent="0.3">
      <c r="B1867"/>
      <c r="C1867"/>
      <c r="D1867"/>
      <c r="E1867"/>
      <c r="F1867"/>
      <c r="H1867"/>
      <c r="I1867"/>
      <c r="J1867"/>
      <c r="K1867"/>
      <c r="L1867"/>
    </row>
    <row r="1868" spans="2:12" ht="14.4" x14ac:dyDescent="0.3">
      <c r="B1868"/>
      <c r="C1868"/>
      <c r="D1868"/>
      <c r="E1868"/>
      <c r="F1868"/>
      <c r="H1868"/>
      <c r="I1868"/>
      <c r="J1868"/>
      <c r="K1868"/>
      <c r="L1868"/>
    </row>
    <row r="1869" spans="2:12" ht="14.4" x14ac:dyDescent="0.3">
      <c r="B1869"/>
      <c r="C1869"/>
      <c r="D1869"/>
      <c r="E1869"/>
      <c r="F1869"/>
      <c r="H1869"/>
      <c r="I1869"/>
      <c r="J1869"/>
      <c r="K1869"/>
      <c r="L1869"/>
    </row>
    <row r="1870" spans="2:12" ht="14.4" x14ac:dyDescent="0.3">
      <c r="B1870"/>
      <c r="C1870"/>
      <c r="D1870"/>
      <c r="E1870"/>
      <c r="F1870"/>
      <c r="H1870"/>
      <c r="I1870"/>
      <c r="J1870"/>
      <c r="K1870"/>
      <c r="L1870"/>
    </row>
    <row r="1871" spans="2:12" ht="14.4" x14ac:dyDescent="0.3">
      <c r="B1871"/>
      <c r="C1871"/>
      <c r="D1871"/>
      <c r="E1871"/>
      <c r="F1871"/>
      <c r="H1871"/>
      <c r="I1871"/>
      <c r="J1871"/>
      <c r="K1871"/>
      <c r="L1871"/>
    </row>
    <row r="1872" spans="2:12" ht="14.4" x14ac:dyDescent="0.3">
      <c r="B1872"/>
      <c r="C1872"/>
      <c r="D1872"/>
      <c r="E1872"/>
      <c r="F1872"/>
      <c r="H1872"/>
      <c r="I1872"/>
      <c r="J1872"/>
      <c r="K1872"/>
      <c r="L1872"/>
    </row>
    <row r="1873" spans="2:12" ht="14.4" x14ac:dyDescent="0.3">
      <c r="B1873"/>
      <c r="C1873"/>
      <c r="D1873"/>
      <c r="E1873"/>
      <c r="F1873"/>
      <c r="H1873"/>
      <c r="I1873"/>
      <c r="J1873"/>
      <c r="K1873"/>
      <c r="L1873"/>
    </row>
    <row r="1874" spans="2:12" ht="14.4" x14ac:dyDescent="0.3">
      <c r="B1874"/>
      <c r="C1874"/>
      <c r="D1874"/>
      <c r="E1874"/>
      <c r="F1874"/>
      <c r="H1874"/>
      <c r="I1874"/>
      <c r="J1874"/>
      <c r="K1874"/>
      <c r="L1874"/>
    </row>
    <row r="1875" spans="2:12" ht="14.4" x14ac:dyDescent="0.3">
      <c r="B1875"/>
      <c r="C1875"/>
      <c r="D1875"/>
      <c r="E1875"/>
      <c r="F1875"/>
      <c r="H1875"/>
      <c r="I1875"/>
      <c r="J1875"/>
      <c r="K1875"/>
      <c r="L1875"/>
    </row>
    <row r="1876" spans="2:12" ht="14.4" x14ac:dyDescent="0.3">
      <c r="B1876"/>
      <c r="C1876"/>
      <c r="D1876"/>
      <c r="E1876"/>
      <c r="F1876"/>
      <c r="H1876"/>
      <c r="I1876"/>
      <c r="J1876"/>
      <c r="K1876"/>
      <c r="L1876"/>
    </row>
    <row r="1877" spans="2:12" ht="14.4" x14ac:dyDescent="0.3">
      <c r="B1877"/>
      <c r="C1877"/>
      <c r="D1877"/>
      <c r="E1877"/>
      <c r="F1877"/>
      <c r="H1877"/>
      <c r="I1877"/>
      <c r="J1877"/>
      <c r="K1877"/>
      <c r="L1877"/>
    </row>
    <row r="1878" spans="2:12" ht="14.4" x14ac:dyDescent="0.3">
      <c r="B1878"/>
      <c r="C1878"/>
      <c r="D1878"/>
      <c r="E1878"/>
      <c r="F1878"/>
      <c r="H1878"/>
      <c r="I1878"/>
      <c r="J1878"/>
      <c r="K1878"/>
      <c r="L1878"/>
    </row>
    <row r="1879" spans="2:12" ht="14.4" x14ac:dyDescent="0.3">
      <c r="B1879"/>
      <c r="C1879"/>
      <c r="D1879"/>
      <c r="E1879"/>
      <c r="F1879"/>
      <c r="H1879"/>
      <c r="I1879"/>
      <c r="J1879"/>
      <c r="K1879"/>
      <c r="L1879"/>
    </row>
    <row r="1880" spans="2:12" ht="14.4" x14ac:dyDescent="0.3">
      <c r="B1880"/>
      <c r="C1880"/>
      <c r="D1880"/>
      <c r="E1880"/>
      <c r="F1880"/>
      <c r="H1880"/>
      <c r="I1880"/>
      <c r="J1880"/>
      <c r="K1880"/>
      <c r="L1880"/>
    </row>
    <row r="1881" spans="2:12" ht="14.4" x14ac:dyDescent="0.3">
      <c r="B1881"/>
      <c r="C1881"/>
      <c r="D1881"/>
      <c r="E1881"/>
      <c r="F1881"/>
      <c r="H1881"/>
      <c r="I1881"/>
      <c r="J1881"/>
      <c r="K1881"/>
      <c r="L1881"/>
    </row>
    <row r="1882" spans="2:12" ht="14.4" x14ac:dyDescent="0.3">
      <c r="B1882"/>
      <c r="C1882"/>
      <c r="D1882"/>
      <c r="E1882"/>
      <c r="F1882"/>
      <c r="H1882"/>
      <c r="I1882"/>
      <c r="J1882"/>
      <c r="K1882"/>
      <c r="L1882"/>
    </row>
    <row r="1883" spans="2:12" ht="14.4" x14ac:dyDescent="0.3">
      <c r="B1883"/>
      <c r="C1883"/>
      <c r="D1883"/>
      <c r="E1883"/>
      <c r="F1883"/>
      <c r="H1883"/>
      <c r="I1883"/>
      <c r="J1883"/>
      <c r="K1883"/>
      <c r="L1883"/>
    </row>
    <row r="1884" spans="2:12" ht="14.4" x14ac:dyDescent="0.3">
      <c r="B1884"/>
      <c r="C1884"/>
      <c r="D1884"/>
      <c r="E1884"/>
      <c r="F1884"/>
      <c r="H1884"/>
      <c r="I1884"/>
      <c r="J1884"/>
      <c r="K1884"/>
      <c r="L1884"/>
    </row>
    <row r="1885" spans="2:12" ht="14.4" x14ac:dyDescent="0.3">
      <c r="B1885"/>
      <c r="C1885"/>
      <c r="D1885"/>
      <c r="E1885"/>
      <c r="F1885"/>
      <c r="H1885"/>
      <c r="I1885"/>
      <c r="J1885"/>
      <c r="K1885"/>
      <c r="L1885"/>
    </row>
    <row r="1886" spans="2:12" ht="14.4" x14ac:dyDescent="0.3">
      <c r="B1886"/>
      <c r="C1886"/>
      <c r="D1886"/>
      <c r="E1886"/>
      <c r="F1886"/>
      <c r="H1886"/>
      <c r="I1886"/>
      <c r="J1886"/>
      <c r="K1886"/>
      <c r="L1886"/>
    </row>
    <row r="1887" spans="2:12" ht="14.4" x14ac:dyDescent="0.3">
      <c r="B1887"/>
      <c r="C1887"/>
      <c r="D1887"/>
      <c r="E1887"/>
      <c r="F1887"/>
      <c r="H1887"/>
      <c r="I1887"/>
      <c r="J1887"/>
      <c r="K1887"/>
      <c r="L1887"/>
    </row>
    <row r="1888" spans="2:12" ht="14.4" x14ac:dyDescent="0.3">
      <c r="B1888"/>
      <c r="C1888"/>
      <c r="D1888"/>
      <c r="E1888"/>
      <c r="F1888"/>
      <c r="H1888"/>
      <c r="I1888"/>
      <c r="J1888"/>
      <c r="K1888"/>
      <c r="L1888"/>
    </row>
    <row r="1889" spans="2:12" ht="14.4" x14ac:dyDescent="0.3">
      <c r="B1889"/>
      <c r="C1889"/>
      <c r="D1889"/>
      <c r="E1889"/>
      <c r="F1889"/>
      <c r="H1889"/>
      <c r="I1889"/>
      <c r="J1889"/>
      <c r="K1889"/>
      <c r="L1889"/>
    </row>
    <row r="1890" spans="2:12" ht="14.4" x14ac:dyDescent="0.3">
      <c r="B1890"/>
      <c r="C1890"/>
      <c r="D1890"/>
      <c r="E1890"/>
      <c r="F1890"/>
      <c r="H1890"/>
      <c r="I1890"/>
      <c r="J1890"/>
      <c r="K1890"/>
      <c r="L1890"/>
    </row>
    <row r="1891" spans="2:12" ht="14.4" x14ac:dyDescent="0.3">
      <c r="B1891"/>
      <c r="C1891"/>
      <c r="D1891"/>
      <c r="E1891"/>
      <c r="F1891"/>
      <c r="H1891"/>
      <c r="I1891"/>
      <c r="J1891"/>
      <c r="K1891"/>
      <c r="L1891"/>
    </row>
    <row r="1892" spans="2:12" ht="14.4" x14ac:dyDescent="0.3">
      <c r="B1892"/>
      <c r="C1892"/>
      <c r="D1892"/>
      <c r="E1892"/>
      <c r="F1892"/>
      <c r="H1892"/>
      <c r="I1892"/>
      <c r="J1892"/>
      <c r="K1892"/>
      <c r="L1892"/>
    </row>
    <row r="1893" spans="2:12" ht="14.4" x14ac:dyDescent="0.3">
      <c r="B1893"/>
      <c r="C1893"/>
      <c r="D1893"/>
      <c r="E1893"/>
      <c r="F1893"/>
      <c r="H1893"/>
      <c r="I1893"/>
      <c r="J1893"/>
      <c r="K1893"/>
      <c r="L1893"/>
    </row>
    <row r="1894" spans="2:12" ht="14.4" x14ac:dyDescent="0.3">
      <c r="B1894"/>
      <c r="C1894"/>
      <c r="D1894"/>
      <c r="E1894"/>
      <c r="F1894"/>
      <c r="H1894"/>
      <c r="I1894"/>
      <c r="J1894"/>
      <c r="K1894"/>
      <c r="L1894"/>
    </row>
    <row r="1895" spans="2:12" ht="14.4" x14ac:dyDescent="0.3">
      <c r="B1895"/>
      <c r="C1895"/>
      <c r="D1895"/>
      <c r="E1895"/>
      <c r="F1895"/>
      <c r="H1895"/>
      <c r="I1895"/>
      <c r="J1895"/>
      <c r="K1895"/>
      <c r="L1895"/>
    </row>
    <row r="1896" spans="2:12" ht="14.4" x14ac:dyDescent="0.3">
      <c r="B1896"/>
      <c r="C1896"/>
      <c r="D1896"/>
      <c r="E1896"/>
      <c r="F1896"/>
      <c r="H1896"/>
      <c r="I1896"/>
      <c r="J1896"/>
      <c r="K1896"/>
      <c r="L1896"/>
    </row>
    <row r="1897" spans="2:12" ht="14.4" x14ac:dyDescent="0.3">
      <c r="B1897"/>
      <c r="C1897"/>
      <c r="D1897"/>
      <c r="E1897"/>
      <c r="F1897"/>
      <c r="H1897"/>
      <c r="I1897"/>
      <c r="J1897"/>
      <c r="K1897"/>
      <c r="L1897"/>
    </row>
    <row r="1898" spans="2:12" ht="14.4" x14ac:dyDescent="0.3">
      <c r="B1898"/>
      <c r="C1898"/>
      <c r="D1898"/>
      <c r="E1898"/>
      <c r="F1898"/>
      <c r="H1898"/>
      <c r="I1898"/>
      <c r="J1898"/>
      <c r="K1898"/>
      <c r="L1898"/>
    </row>
    <row r="1899" spans="2:12" ht="14.4" x14ac:dyDescent="0.3">
      <c r="B1899"/>
      <c r="C1899"/>
      <c r="D1899"/>
      <c r="E1899"/>
      <c r="F1899"/>
      <c r="H1899"/>
      <c r="I1899"/>
      <c r="J1899"/>
      <c r="K1899"/>
      <c r="L1899"/>
    </row>
    <row r="1900" spans="2:12" ht="14.4" x14ac:dyDescent="0.3">
      <c r="B1900"/>
      <c r="C1900"/>
      <c r="D1900"/>
      <c r="E1900"/>
      <c r="F1900"/>
      <c r="H1900"/>
      <c r="I1900"/>
      <c r="J1900"/>
      <c r="K1900"/>
      <c r="L1900"/>
    </row>
    <row r="1901" spans="2:12" ht="14.4" x14ac:dyDescent="0.3">
      <c r="B1901"/>
      <c r="C1901"/>
      <c r="D1901"/>
      <c r="E1901"/>
      <c r="F1901"/>
      <c r="H1901"/>
      <c r="I1901"/>
      <c r="J1901"/>
      <c r="K1901"/>
      <c r="L1901"/>
    </row>
    <row r="1902" spans="2:12" ht="14.4" x14ac:dyDescent="0.3">
      <c r="B1902"/>
      <c r="C1902"/>
      <c r="D1902"/>
      <c r="E1902"/>
      <c r="F1902"/>
      <c r="H1902"/>
      <c r="I1902"/>
      <c r="J1902"/>
      <c r="K1902"/>
      <c r="L1902"/>
    </row>
    <row r="1903" spans="2:12" ht="14.4" x14ac:dyDescent="0.3">
      <c r="B1903"/>
      <c r="C1903"/>
      <c r="D1903"/>
      <c r="E1903"/>
      <c r="F1903"/>
      <c r="H1903"/>
      <c r="I1903"/>
      <c r="J1903"/>
      <c r="K1903"/>
      <c r="L1903"/>
    </row>
    <row r="1904" spans="2:12" ht="14.4" x14ac:dyDescent="0.3">
      <c r="B1904"/>
      <c r="C1904"/>
      <c r="D1904"/>
      <c r="E1904"/>
      <c r="F1904"/>
      <c r="H1904"/>
      <c r="I1904"/>
      <c r="J1904"/>
      <c r="K1904"/>
      <c r="L1904"/>
    </row>
    <row r="1905" spans="2:12" ht="14.4" x14ac:dyDescent="0.3">
      <c r="B1905"/>
      <c r="C1905"/>
      <c r="D1905"/>
      <c r="E1905"/>
      <c r="F1905"/>
      <c r="H1905"/>
      <c r="I1905"/>
      <c r="J1905"/>
      <c r="K1905"/>
      <c r="L1905"/>
    </row>
    <row r="1906" spans="2:12" ht="14.4" x14ac:dyDescent="0.3">
      <c r="B1906"/>
      <c r="C1906"/>
      <c r="D1906"/>
      <c r="E1906"/>
      <c r="F1906"/>
      <c r="H1906"/>
      <c r="I1906"/>
      <c r="J1906"/>
      <c r="K1906"/>
      <c r="L1906"/>
    </row>
    <row r="1907" spans="2:12" ht="14.4" x14ac:dyDescent="0.3">
      <c r="B1907"/>
      <c r="C1907"/>
      <c r="D1907"/>
      <c r="E1907"/>
      <c r="F1907"/>
      <c r="H1907"/>
      <c r="I1907"/>
      <c r="J1907"/>
      <c r="K1907"/>
      <c r="L1907"/>
    </row>
    <row r="1908" spans="2:12" ht="14.4" x14ac:dyDescent="0.3">
      <c r="B1908"/>
      <c r="C1908"/>
      <c r="D1908"/>
      <c r="E1908"/>
      <c r="F1908"/>
      <c r="H1908"/>
      <c r="I1908"/>
      <c r="J1908"/>
      <c r="K1908"/>
      <c r="L1908"/>
    </row>
    <row r="1909" spans="2:12" ht="14.4" x14ac:dyDescent="0.3">
      <c r="B1909"/>
      <c r="C1909"/>
      <c r="D1909"/>
      <c r="E1909"/>
      <c r="F1909"/>
      <c r="H1909"/>
      <c r="I1909"/>
      <c r="J1909"/>
      <c r="K1909"/>
      <c r="L1909"/>
    </row>
    <row r="1910" spans="2:12" ht="14.4" x14ac:dyDescent="0.3">
      <c r="B1910"/>
      <c r="C1910"/>
      <c r="D1910"/>
      <c r="E1910"/>
      <c r="F1910"/>
      <c r="H1910"/>
      <c r="I1910"/>
      <c r="J1910"/>
      <c r="K1910"/>
      <c r="L1910"/>
    </row>
    <row r="1911" spans="2:12" ht="14.4" x14ac:dyDescent="0.3">
      <c r="B1911"/>
      <c r="C1911"/>
      <c r="D1911"/>
      <c r="E1911"/>
      <c r="F1911"/>
      <c r="H1911"/>
      <c r="I1911"/>
      <c r="J1911"/>
      <c r="K1911"/>
      <c r="L1911"/>
    </row>
    <row r="1912" spans="2:12" ht="14.4" x14ac:dyDescent="0.3">
      <c r="B1912"/>
      <c r="C1912"/>
      <c r="D1912"/>
      <c r="E1912"/>
      <c r="F1912"/>
      <c r="H1912"/>
      <c r="I1912"/>
      <c r="J1912"/>
      <c r="K1912"/>
      <c r="L1912"/>
    </row>
    <row r="1913" spans="2:12" ht="14.4" x14ac:dyDescent="0.3">
      <c r="B1913"/>
      <c r="C1913"/>
      <c r="D1913"/>
      <c r="E1913"/>
      <c r="F1913"/>
      <c r="H1913"/>
      <c r="I1913"/>
      <c r="J1913"/>
      <c r="K1913"/>
      <c r="L1913"/>
    </row>
    <row r="1914" spans="2:12" ht="14.4" x14ac:dyDescent="0.3">
      <c r="B1914"/>
      <c r="C1914"/>
      <c r="D1914"/>
      <c r="E1914"/>
      <c r="F1914"/>
      <c r="H1914"/>
      <c r="I1914"/>
      <c r="J1914"/>
      <c r="K1914"/>
      <c r="L1914"/>
    </row>
    <row r="1915" spans="2:12" ht="14.4" x14ac:dyDescent="0.3">
      <c r="B1915"/>
      <c r="C1915"/>
      <c r="D1915"/>
      <c r="E1915"/>
      <c r="F1915"/>
      <c r="H1915"/>
      <c r="I1915"/>
      <c r="J1915"/>
      <c r="K1915"/>
      <c r="L1915"/>
    </row>
    <row r="1916" spans="2:12" ht="14.4" x14ac:dyDescent="0.3">
      <c r="B1916"/>
      <c r="C1916"/>
      <c r="D1916"/>
      <c r="E1916"/>
      <c r="F1916"/>
      <c r="H1916"/>
      <c r="I1916"/>
      <c r="J1916"/>
      <c r="K1916"/>
      <c r="L1916"/>
    </row>
    <row r="1917" spans="2:12" ht="14.4" x14ac:dyDescent="0.3">
      <c r="B1917"/>
      <c r="C1917"/>
      <c r="D1917"/>
      <c r="E1917"/>
      <c r="F1917"/>
      <c r="H1917"/>
      <c r="I1917"/>
      <c r="J1917"/>
      <c r="K1917"/>
      <c r="L1917"/>
    </row>
    <row r="1918" spans="2:12" ht="14.4" x14ac:dyDescent="0.3">
      <c r="B1918"/>
      <c r="C1918"/>
      <c r="D1918"/>
      <c r="E1918"/>
      <c r="F1918"/>
      <c r="H1918"/>
      <c r="I1918"/>
      <c r="J1918"/>
      <c r="K1918"/>
      <c r="L1918"/>
    </row>
    <row r="1919" spans="2:12" ht="14.4" x14ac:dyDescent="0.3">
      <c r="B1919"/>
      <c r="C1919"/>
      <c r="D1919"/>
      <c r="E1919"/>
      <c r="F1919"/>
      <c r="H1919"/>
      <c r="I1919"/>
      <c r="J1919"/>
      <c r="K1919"/>
      <c r="L1919"/>
    </row>
    <row r="1920" spans="2:12" ht="14.4" x14ac:dyDescent="0.3">
      <c r="B1920"/>
      <c r="C1920"/>
      <c r="D1920"/>
      <c r="E1920"/>
      <c r="F1920"/>
      <c r="H1920"/>
      <c r="I1920"/>
      <c r="J1920"/>
      <c r="K1920"/>
      <c r="L1920"/>
    </row>
    <row r="1921" spans="2:12" ht="14.4" x14ac:dyDescent="0.3">
      <c r="B1921"/>
      <c r="C1921"/>
      <c r="D1921"/>
      <c r="E1921"/>
      <c r="F1921"/>
      <c r="H1921"/>
      <c r="I1921"/>
      <c r="J1921"/>
      <c r="K1921"/>
      <c r="L1921"/>
    </row>
    <row r="1922" spans="2:12" ht="14.4" x14ac:dyDescent="0.3">
      <c r="B1922"/>
      <c r="C1922"/>
      <c r="D1922"/>
      <c r="E1922"/>
      <c r="F1922"/>
      <c r="H1922"/>
      <c r="I1922"/>
      <c r="J1922"/>
      <c r="K1922"/>
      <c r="L1922"/>
    </row>
    <row r="1923" spans="2:12" ht="14.4" x14ac:dyDescent="0.3">
      <c r="B1923"/>
      <c r="C1923"/>
      <c r="D1923"/>
      <c r="E1923"/>
      <c r="F1923"/>
      <c r="H1923"/>
      <c r="I1923"/>
      <c r="J1923"/>
      <c r="K1923"/>
      <c r="L1923"/>
    </row>
    <row r="1924" spans="2:12" ht="14.4" x14ac:dyDescent="0.3">
      <c r="B1924"/>
      <c r="C1924"/>
      <c r="D1924"/>
      <c r="E1924"/>
      <c r="F1924"/>
      <c r="H1924"/>
      <c r="I1924"/>
      <c r="J1924"/>
      <c r="K1924"/>
      <c r="L1924"/>
    </row>
    <row r="1925" spans="2:12" ht="14.4" x14ac:dyDescent="0.3">
      <c r="B1925"/>
      <c r="C1925"/>
      <c r="D1925"/>
      <c r="E1925"/>
      <c r="F1925"/>
      <c r="H1925"/>
      <c r="I1925"/>
      <c r="J1925"/>
      <c r="K1925"/>
      <c r="L1925"/>
    </row>
    <row r="1926" spans="2:12" ht="14.4" x14ac:dyDescent="0.3">
      <c r="B1926"/>
      <c r="C1926"/>
      <c r="D1926"/>
      <c r="E1926"/>
      <c r="F1926"/>
      <c r="H1926"/>
      <c r="I1926"/>
      <c r="J1926"/>
      <c r="K1926"/>
      <c r="L1926"/>
    </row>
    <row r="1927" spans="2:12" ht="14.4" x14ac:dyDescent="0.3">
      <c r="B1927"/>
      <c r="C1927"/>
      <c r="D1927"/>
      <c r="E1927"/>
      <c r="F1927"/>
      <c r="H1927"/>
      <c r="I1927"/>
      <c r="J1927"/>
      <c r="K1927"/>
      <c r="L1927"/>
    </row>
    <row r="1928" spans="2:12" ht="14.4" x14ac:dyDescent="0.3">
      <c r="B1928"/>
      <c r="C1928"/>
      <c r="D1928"/>
      <c r="E1928"/>
      <c r="F1928"/>
      <c r="H1928"/>
      <c r="I1928"/>
      <c r="J1928"/>
      <c r="K1928"/>
      <c r="L1928"/>
    </row>
    <row r="1929" spans="2:12" ht="14.4" x14ac:dyDescent="0.3">
      <c r="B1929"/>
      <c r="C1929"/>
      <c r="D1929"/>
      <c r="E1929"/>
      <c r="F1929"/>
      <c r="H1929"/>
      <c r="I1929"/>
      <c r="J1929"/>
      <c r="K1929"/>
      <c r="L1929"/>
    </row>
    <row r="1930" spans="2:12" ht="14.4" x14ac:dyDescent="0.3">
      <c r="B1930"/>
      <c r="C1930"/>
      <c r="D1930"/>
      <c r="E1930"/>
      <c r="F1930"/>
      <c r="H1930"/>
      <c r="I1930"/>
      <c r="J1930"/>
      <c r="K1930"/>
      <c r="L1930"/>
    </row>
    <row r="1931" spans="2:12" ht="14.4" x14ac:dyDescent="0.3">
      <c r="B1931"/>
      <c r="C1931"/>
      <c r="D1931"/>
      <c r="E1931"/>
      <c r="F1931"/>
      <c r="H1931"/>
      <c r="I1931"/>
      <c r="J1931"/>
      <c r="K1931"/>
      <c r="L1931"/>
    </row>
    <row r="1932" spans="2:12" ht="14.4" x14ac:dyDescent="0.3">
      <c r="B1932"/>
      <c r="C1932"/>
      <c r="D1932"/>
      <c r="E1932"/>
      <c r="F1932"/>
      <c r="H1932"/>
      <c r="I1932"/>
      <c r="J1932"/>
      <c r="K1932"/>
      <c r="L1932"/>
    </row>
    <row r="1933" spans="2:12" ht="14.4" x14ac:dyDescent="0.3">
      <c r="B1933"/>
      <c r="C1933"/>
      <c r="D1933"/>
      <c r="E1933"/>
      <c r="F1933"/>
      <c r="H1933"/>
      <c r="I1933"/>
      <c r="J1933"/>
      <c r="K1933"/>
      <c r="L1933"/>
    </row>
    <row r="1934" spans="2:12" ht="14.4" x14ac:dyDescent="0.3">
      <c r="B1934"/>
      <c r="C1934"/>
      <c r="D1934"/>
      <c r="E1934"/>
      <c r="F1934"/>
      <c r="H1934"/>
      <c r="I1934"/>
      <c r="J1934"/>
      <c r="K1934"/>
      <c r="L1934"/>
    </row>
    <row r="1935" spans="2:12" ht="14.4" x14ac:dyDescent="0.3">
      <c r="B1935"/>
      <c r="C1935"/>
      <c r="D1935"/>
      <c r="E1935"/>
      <c r="F1935"/>
      <c r="H1935"/>
      <c r="I1935"/>
      <c r="J1935"/>
      <c r="K1935"/>
      <c r="L1935"/>
    </row>
    <row r="1936" spans="2:12" ht="14.4" x14ac:dyDescent="0.3">
      <c r="B1936"/>
      <c r="C1936"/>
      <c r="D1936"/>
      <c r="E1936"/>
      <c r="F1936"/>
      <c r="H1936"/>
      <c r="I1936"/>
      <c r="J1936"/>
      <c r="K1936"/>
      <c r="L1936"/>
    </row>
    <row r="1937" spans="2:12" ht="14.4" x14ac:dyDescent="0.3">
      <c r="B1937"/>
      <c r="C1937"/>
      <c r="D1937"/>
      <c r="E1937"/>
      <c r="F1937"/>
      <c r="H1937"/>
      <c r="I1937"/>
      <c r="J1937"/>
      <c r="K1937"/>
      <c r="L1937"/>
    </row>
    <row r="1938" spans="2:12" ht="14.4" x14ac:dyDescent="0.3">
      <c r="B1938"/>
      <c r="C1938"/>
      <c r="D1938"/>
      <c r="E1938"/>
      <c r="F1938"/>
      <c r="H1938"/>
      <c r="I1938"/>
      <c r="J1938"/>
      <c r="K1938"/>
      <c r="L1938"/>
    </row>
    <row r="1939" spans="2:12" ht="14.4" x14ac:dyDescent="0.3">
      <c r="B1939"/>
      <c r="C1939"/>
      <c r="D1939"/>
      <c r="E1939"/>
      <c r="F1939"/>
      <c r="H1939"/>
      <c r="I1939"/>
      <c r="J1939"/>
      <c r="K1939"/>
      <c r="L1939"/>
    </row>
    <row r="1940" spans="2:12" ht="14.4" x14ac:dyDescent="0.3">
      <c r="B1940"/>
      <c r="C1940"/>
      <c r="D1940"/>
      <c r="E1940"/>
      <c r="F1940"/>
      <c r="H1940"/>
      <c r="I1940"/>
      <c r="J1940"/>
      <c r="K1940"/>
      <c r="L1940"/>
    </row>
    <row r="1941" spans="2:12" ht="14.4" x14ac:dyDescent="0.3">
      <c r="B1941"/>
      <c r="C1941"/>
      <c r="D1941"/>
      <c r="E1941"/>
      <c r="F1941"/>
      <c r="H1941"/>
      <c r="I1941"/>
      <c r="J1941"/>
      <c r="K1941"/>
      <c r="L1941"/>
    </row>
    <row r="1942" spans="2:12" ht="14.4" x14ac:dyDescent="0.3">
      <c r="B1942"/>
      <c r="C1942"/>
      <c r="D1942"/>
      <c r="E1942"/>
      <c r="F1942"/>
      <c r="H1942"/>
      <c r="I1942"/>
      <c r="J1942"/>
      <c r="K1942"/>
      <c r="L1942"/>
    </row>
    <row r="1943" spans="2:12" ht="14.4" x14ac:dyDescent="0.3">
      <c r="B1943"/>
      <c r="C1943"/>
      <c r="D1943"/>
      <c r="E1943"/>
      <c r="F1943"/>
      <c r="H1943"/>
      <c r="I1943"/>
      <c r="J1943"/>
      <c r="K1943"/>
      <c r="L1943"/>
    </row>
    <row r="1944" spans="2:12" ht="14.4" x14ac:dyDescent="0.3">
      <c r="B1944"/>
      <c r="C1944"/>
      <c r="D1944"/>
      <c r="E1944"/>
      <c r="F1944"/>
      <c r="H1944"/>
      <c r="I1944"/>
      <c r="J1944"/>
      <c r="K1944"/>
      <c r="L1944"/>
    </row>
    <row r="1945" spans="2:12" ht="14.4" x14ac:dyDescent="0.3">
      <c r="B1945"/>
      <c r="C1945"/>
      <c r="D1945"/>
      <c r="E1945"/>
      <c r="F1945"/>
      <c r="H1945"/>
      <c r="I1945"/>
      <c r="J1945"/>
      <c r="K1945"/>
      <c r="L1945"/>
    </row>
    <row r="1946" spans="2:12" ht="14.4" x14ac:dyDescent="0.3">
      <c r="B1946"/>
      <c r="C1946"/>
      <c r="D1946"/>
      <c r="E1946"/>
      <c r="F1946"/>
      <c r="H1946"/>
      <c r="I1946"/>
      <c r="J1946"/>
      <c r="K1946"/>
      <c r="L1946"/>
    </row>
    <row r="1947" spans="2:12" ht="14.4" x14ac:dyDescent="0.3">
      <c r="B1947"/>
      <c r="C1947"/>
      <c r="D1947"/>
      <c r="E1947"/>
      <c r="F1947"/>
      <c r="H1947"/>
      <c r="I1947"/>
      <c r="J1947"/>
      <c r="K1947"/>
      <c r="L1947"/>
    </row>
    <row r="1948" spans="2:12" ht="14.4" x14ac:dyDescent="0.3">
      <c r="B1948"/>
      <c r="C1948"/>
      <c r="D1948"/>
      <c r="E1948"/>
      <c r="F1948"/>
      <c r="H1948"/>
      <c r="I1948"/>
      <c r="J1948"/>
      <c r="K1948"/>
      <c r="L1948"/>
    </row>
    <row r="1949" spans="2:12" ht="14.4" x14ac:dyDescent="0.3">
      <c r="B1949"/>
      <c r="C1949"/>
      <c r="D1949"/>
      <c r="E1949"/>
      <c r="F1949"/>
      <c r="H1949"/>
      <c r="I1949"/>
      <c r="J1949"/>
      <c r="K1949"/>
      <c r="L1949"/>
    </row>
    <row r="1950" spans="2:12" ht="14.4" x14ac:dyDescent="0.3">
      <c r="B1950"/>
      <c r="C1950"/>
      <c r="D1950"/>
      <c r="E1950"/>
      <c r="F1950"/>
      <c r="H1950"/>
      <c r="I1950"/>
      <c r="J1950"/>
      <c r="K1950"/>
      <c r="L1950"/>
    </row>
    <row r="1951" spans="2:12" ht="14.4" x14ac:dyDescent="0.3">
      <c r="B1951"/>
      <c r="C1951"/>
      <c r="D1951"/>
      <c r="E1951"/>
      <c r="F1951"/>
      <c r="H1951"/>
      <c r="I1951"/>
      <c r="J1951"/>
      <c r="K1951"/>
      <c r="L1951"/>
    </row>
    <row r="1952" spans="2:12" ht="14.4" x14ac:dyDescent="0.3">
      <c r="B1952"/>
      <c r="C1952"/>
      <c r="D1952"/>
      <c r="E1952"/>
      <c r="F1952"/>
      <c r="H1952"/>
      <c r="I1952"/>
      <c r="J1952"/>
      <c r="K1952"/>
      <c r="L1952"/>
    </row>
    <row r="1953" spans="2:12" ht="14.4" x14ac:dyDescent="0.3">
      <c r="B1953"/>
      <c r="C1953"/>
      <c r="D1953"/>
      <c r="E1953"/>
      <c r="F1953"/>
      <c r="H1953"/>
      <c r="I1953"/>
      <c r="J1953"/>
      <c r="K1953"/>
      <c r="L1953"/>
    </row>
    <row r="1954" spans="2:12" ht="14.4" x14ac:dyDescent="0.3">
      <c r="B1954"/>
      <c r="C1954"/>
      <c r="D1954"/>
      <c r="E1954"/>
      <c r="F1954"/>
      <c r="H1954"/>
      <c r="I1954"/>
      <c r="J1954"/>
      <c r="K1954"/>
      <c r="L1954"/>
    </row>
    <row r="1955" spans="2:12" ht="14.4" x14ac:dyDescent="0.3">
      <c r="B1955"/>
      <c r="C1955"/>
      <c r="D1955"/>
      <c r="E1955"/>
      <c r="F1955"/>
      <c r="H1955"/>
      <c r="I1955"/>
      <c r="J1955"/>
      <c r="K1955"/>
      <c r="L1955"/>
    </row>
    <row r="1956" spans="2:12" ht="14.4" x14ac:dyDescent="0.3">
      <c r="B1956"/>
      <c r="C1956"/>
      <c r="D1956"/>
      <c r="E1956"/>
      <c r="F1956"/>
      <c r="H1956"/>
      <c r="I1956"/>
      <c r="J1956"/>
      <c r="K1956"/>
      <c r="L1956"/>
    </row>
    <row r="1957" spans="2:12" ht="14.4" x14ac:dyDescent="0.3">
      <c r="B1957"/>
      <c r="C1957"/>
      <c r="D1957"/>
      <c r="E1957"/>
      <c r="F1957"/>
      <c r="H1957"/>
      <c r="I1957"/>
      <c r="J1957"/>
      <c r="K1957"/>
      <c r="L1957"/>
    </row>
    <row r="1958" spans="2:12" ht="14.4" x14ac:dyDescent="0.3">
      <c r="B1958"/>
      <c r="C1958"/>
      <c r="D1958"/>
      <c r="E1958"/>
      <c r="F1958"/>
      <c r="H1958"/>
      <c r="I1958"/>
      <c r="J1958"/>
      <c r="K1958"/>
      <c r="L1958"/>
    </row>
    <row r="1959" spans="2:12" ht="14.4" x14ac:dyDescent="0.3">
      <c r="B1959"/>
      <c r="C1959"/>
      <c r="D1959"/>
      <c r="E1959"/>
      <c r="F1959"/>
      <c r="H1959"/>
      <c r="I1959"/>
      <c r="J1959"/>
      <c r="K1959"/>
      <c r="L1959"/>
    </row>
    <row r="1960" spans="2:12" ht="14.4" x14ac:dyDescent="0.3">
      <c r="B1960"/>
      <c r="C1960"/>
      <c r="D1960"/>
      <c r="E1960"/>
      <c r="F1960"/>
      <c r="H1960"/>
      <c r="I1960"/>
      <c r="J1960"/>
      <c r="K1960"/>
      <c r="L1960"/>
    </row>
    <row r="1961" spans="2:12" ht="14.4" x14ac:dyDescent="0.3">
      <c r="B1961"/>
      <c r="C1961"/>
      <c r="D1961"/>
      <c r="E1961"/>
      <c r="F1961"/>
      <c r="H1961"/>
      <c r="I1961"/>
      <c r="J1961"/>
      <c r="K1961"/>
      <c r="L1961"/>
    </row>
    <row r="1962" spans="2:12" ht="14.4" x14ac:dyDescent="0.3">
      <c r="B1962"/>
      <c r="C1962"/>
      <c r="D1962"/>
      <c r="E1962"/>
      <c r="F1962"/>
      <c r="H1962"/>
      <c r="I1962"/>
      <c r="J1962"/>
      <c r="K1962"/>
      <c r="L1962"/>
    </row>
    <row r="1963" spans="2:12" ht="14.4" x14ac:dyDescent="0.3">
      <c r="B1963"/>
      <c r="C1963"/>
      <c r="D1963"/>
      <c r="E1963"/>
      <c r="F1963"/>
      <c r="H1963"/>
      <c r="I1963"/>
      <c r="J1963"/>
      <c r="K1963"/>
      <c r="L1963"/>
    </row>
    <row r="1964" spans="2:12" ht="14.4" x14ac:dyDescent="0.3">
      <c r="B1964"/>
      <c r="C1964"/>
      <c r="D1964"/>
      <c r="E1964"/>
      <c r="F1964"/>
      <c r="H1964"/>
      <c r="I1964"/>
      <c r="J1964"/>
      <c r="K1964"/>
      <c r="L1964"/>
    </row>
    <row r="1965" spans="2:12" ht="14.4" x14ac:dyDescent="0.3">
      <c r="B1965"/>
      <c r="C1965"/>
      <c r="D1965"/>
      <c r="E1965"/>
      <c r="F1965"/>
      <c r="H1965"/>
      <c r="I1965"/>
      <c r="J1965"/>
      <c r="K1965"/>
      <c r="L1965"/>
    </row>
    <row r="1966" spans="2:12" ht="14.4" x14ac:dyDescent="0.3">
      <c r="B1966"/>
      <c r="C1966"/>
      <c r="D1966"/>
      <c r="E1966"/>
      <c r="F1966"/>
      <c r="H1966"/>
      <c r="I1966"/>
      <c r="J1966"/>
      <c r="K1966"/>
      <c r="L1966"/>
    </row>
    <row r="1967" spans="2:12" ht="14.4" x14ac:dyDescent="0.3">
      <c r="B1967"/>
      <c r="C1967"/>
      <c r="D1967"/>
      <c r="E1967"/>
      <c r="F1967"/>
      <c r="H1967"/>
      <c r="I1967"/>
      <c r="J1967"/>
      <c r="K1967"/>
      <c r="L1967"/>
    </row>
    <row r="1968" spans="2:12" ht="14.4" x14ac:dyDescent="0.3">
      <c r="B1968"/>
      <c r="C1968"/>
      <c r="D1968"/>
      <c r="E1968"/>
      <c r="F1968"/>
      <c r="H1968"/>
      <c r="I1968"/>
      <c r="J1968"/>
      <c r="K1968"/>
      <c r="L1968"/>
    </row>
    <row r="1969" spans="2:12" ht="14.4" x14ac:dyDescent="0.3">
      <c r="B1969"/>
      <c r="C1969"/>
      <c r="D1969"/>
      <c r="E1969"/>
      <c r="F1969"/>
      <c r="H1969"/>
      <c r="I1969"/>
      <c r="J1969"/>
      <c r="K1969"/>
      <c r="L1969"/>
    </row>
    <row r="1970" spans="2:12" ht="14.4" x14ac:dyDescent="0.3">
      <c r="B1970"/>
      <c r="C1970"/>
      <c r="D1970"/>
      <c r="E1970"/>
      <c r="F1970"/>
      <c r="H1970"/>
      <c r="I1970"/>
      <c r="J1970"/>
      <c r="K1970"/>
      <c r="L1970"/>
    </row>
    <row r="1971" spans="2:12" ht="14.4" x14ac:dyDescent="0.3">
      <c r="B1971"/>
      <c r="C1971"/>
      <c r="D1971"/>
      <c r="E1971"/>
      <c r="F1971"/>
      <c r="H1971"/>
      <c r="I1971"/>
      <c r="J1971"/>
      <c r="K1971"/>
      <c r="L1971"/>
    </row>
    <row r="1972" spans="2:12" ht="14.4" x14ac:dyDescent="0.3">
      <c r="B1972"/>
      <c r="C1972"/>
      <c r="D1972"/>
      <c r="E1972"/>
      <c r="F1972"/>
      <c r="H1972"/>
      <c r="I1972"/>
      <c r="J1972"/>
      <c r="K1972"/>
      <c r="L1972"/>
    </row>
    <row r="1973" spans="2:12" ht="14.4" x14ac:dyDescent="0.3">
      <c r="B1973"/>
      <c r="C1973"/>
      <c r="D1973"/>
      <c r="E1973"/>
      <c r="F1973"/>
      <c r="H1973"/>
      <c r="I1973"/>
      <c r="J1973"/>
      <c r="K1973"/>
      <c r="L1973"/>
    </row>
    <row r="1974" spans="2:12" ht="14.4" x14ac:dyDescent="0.3">
      <c r="B1974"/>
      <c r="C1974"/>
      <c r="D1974"/>
      <c r="E1974"/>
      <c r="F1974"/>
      <c r="H1974"/>
      <c r="I1974"/>
      <c r="J1974"/>
      <c r="K1974"/>
      <c r="L1974"/>
    </row>
    <row r="1975" spans="2:12" ht="14.4" x14ac:dyDescent="0.3">
      <c r="B1975"/>
      <c r="C1975"/>
      <c r="D1975"/>
      <c r="E1975"/>
      <c r="F1975"/>
      <c r="H1975"/>
      <c r="I1975"/>
      <c r="J1975"/>
      <c r="K1975"/>
      <c r="L1975"/>
    </row>
    <row r="1976" spans="2:12" ht="14.4" x14ac:dyDescent="0.3">
      <c r="B1976"/>
      <c r="C1976"/>
      <c r="D1976"/>
      <c r="E1976"/>
      <c r="F1976"/>
      <c r="H1976"/>
      <c r="I1976"/>
      <c r="J1976"/>
      <c r="K1976"/>
      <c r="L1976"/>
    </row>
    <row r="1977" spans="2:12" ht="14.4" x14ac:dyDescent="0.3">
      <c r="B1977"/>
      <c r="C1977"/>
      <c r="D1977"/>
      <c r="E1977"/>
      <c r="F1977"/>
      <c r="H1977"/>
      <c r="I1977"/>
      <c r="J1977"/>
      <c r="K1977"/>
      <c r="L1977"/>
    </row>
    <row r="1978" spans="2:12" ht="14.4" x14ac:dyDescent="0.3">
      <c r="B1978"/>
      <c r="C1978"/>
      <c r="D1978"/>
      <c r="E1978"/>
      <c r="F1978"/>
      <c r="H1978"/>
      <c r="I1978"/>
      <c r="J1978"/>
      <c r="K1978"/>
      <c r="L1978"/>
    </row>
    <row r="1979" spans="2:12" ht="14.4" x14ac:dyDescent="0.3">
      <c r="B1979"/>
      <c r="C1979"/>
      <c r="D1979"/>
      <c r="E1979"/>
      <c r="F1979"/>
      <c r="H1979"/>
      <c r="I1979"/>
      <c r="J1979"/>
      <c r="K1979"/>
      <c r="L1979"/>
    </row>
    <row r="1980" spans="2:12" ht="14.4" x14ac:dyDescent="0.3">
      <c r="B1980"/>
      <c r="C1980"/>
      <c r="D1980"/>
      <c r="E1980"/>
      <c r="F1980"/>
      <c r="H1980"/>
      <c r="I1980"/>
      <c r="J1980"/>
      <c r="K1980"/>
      <c r="L1980"/>
    </row>
    <row r="1981" spans="2:12" ht="14.4" x14ac:dyDescent="0.3">
      <c r="B1981"/>
      <c r="C1981"/>
      <c r="D1981"/>
      <c r="E1981"/>
      <c r="F1981"/>
      <c r="H1981"/>
      <c r="I1981"/>
      <c r="J1981"/>
      <c r="K1981"/>
      <c r="L1981"/>
    </row>
    <row r="1982" spans="2:12" ht="14.4" x14ac:dyDescent="0.3">
      <c r="B1982"/>
      <c r="C1982"/>
      <c r="D1982"/>
      <c r="E1982"/>
      <c r="F1982"/>
      <c r="H1982"/>
      <c r="I1982"/>
      <c r="J1982"/>
      <c r="K1982"/>
      <c r="L1982"/>
    </row>
    <row r="1983" spans="2:12" ht="14.4" x14ac:dyDescent="0.3">
      <c r="B1983"/>
      <c r="C1983"/>
      <c r="D1983"/>
      <c r="E1983"/>
      <c r="F1983"/>
      <c r="H1983"/>
      <c r="I1983"/>
      <c r="J1983"/>
      <c r="K1983"/>
      <c r="L1983"/>
    </row>
    <row r="1984" spans="2:12" ht="14.4" x14ac:dyDescent="0.3">
      <c r="B1984"/>
      <c r="C1984"/>
      <c r="D1984"/>
      <c r="E1984"/>
      <c r="F1984"/>
      <c r="H1984"/>
      <c r="I1984"/>
      <c r="J1984"/>
      <c r="K1984"/>
      <c r="L1984"/>
    </row>
    <row r="1985" spans="2:12" ht="14.4" x14ac:dyDescent="0.3">
      <c r="B1985"/>
      <c r="C1985"/>
      <c r="D1985"/>
      <c r="E1985"/>
      <c r="F1985"/>
      <c r="H1985"/>
      <c r="I1985"/>
      <c r="J1985"/>
      <c r="K1985"/>
      <c r="L1985"/>
    </row>
    <row r="1986" spans="2:12" ht="14.4" x14ac:dyDescent="0.3">
      <c r="B1986"/>
      <c r="C1986"/>
      <c r="D1986"/>
      <c r="E1986"/>
      <c r="F1986"/>
      <c r="H1986"/>
      <c r="I1986"/>
      <c r="J1986"/>
      <c r="K1986"/>
      <c r="L1986"/>
    </row>
    <row r="1987" spans="2:12" ht="14.4" x14ac:dyDescent="0.3">
      <c r="B1987"/>
      <c r="C1987"/>
      <c r="D1987"/>
      <c r="E1987"/>
      <c r="F1987"/>
      <c r="H1987"/>
      <c r="I1987"/>
      <c r="J1987"/>
      <c r="K1987"/>
      <c r="L1987"/>
    </row>
    <row r="1988" spans="2:12" ht="14.4" x14ac:dyDescent="0.3">
      <c r="B1988"/>
      <c r="C1988"/>
      <c r="D1988"/>
      <c r="E1988"/>
      <c r="F1988"/>
      <c r="H1988"/>
      <c r="I1988"/>
      <c r="J1988"/>
      <c r="K1988"/>
      <c r="L1988"/>
    </row>
    <row r="1989" spans="2:12" ht="14.4" x14ac:dyDescent="0.3">
      <c r="B1989"/>
      <c r="C1989"/>
      <c r="D1989"/>
      <c r="E1989"/>
      <c r="F1989"/>
      <c r="H1989"/>
      <c r="I1989"/>
      <c r="J1989"/>
      <c r="K1989"/>
      <c r="L1989"/>
    </row>
    <row r="1990" spans="2:12" ht="14.4" x14ac:dyDescent="0.3">
      <c r="B1990"/>
      <c r="C1990"/>
      <c r="D1990"/>
      <c r="E1990"/>
      <c r="F1990"/>
      <c r="H1990"/>
      <c r="I1990"/>
      <c r="J1990"/>
      <c r="K1990"/>
      <c r="L1990"/>
    </row>
    <row r="1991" spans="2:12" ht="14.4" x14ac:dyDescent="0.3">
      <c r="B1991"/>
      <c r="C1991"/>
      <c r="D1991"/>
      <c r="E1991"/>
      <c r="F1991"/>
      <c r="H1991"/>
      <c r="I1991"/>
      <c r="J1991"/>
      <c r="K1991"/>
      <c r="L1991"/>
    </row>
    <row r="1992" spans="2:12" ht="14.4" x14ac:dyDescent="0.3">
      <c r="B1992"/>
      <c r="C1992"/>
      <c r="D1992"/>
      <c r="E1992"/>
      <c r="F1992"/>
      <c r="H1992"/>
      <c r="I1992"/>
      <c r="J1992"/>
      <c r="K1992"/>
      <c r="L1992"/>
    </row>
    <row r="1993" spans="2:12" ht="14.4" x14ac:dyDescent="0.3">
      <c r="B1993"/>
      <c r="C1993"/>
      <c r="D1993"/>
      <c r="E1993"/>
      <c r="F1993"/>
      <c r="H1993"/>
      <c r="I1993"/>
      <c r="J1993"/>
      <c r="K1993"/>
      <c r="L1993"/>
    </row>
    <row r="1994" spans="2:12" ht="14.4" x14ac:dyDescent="0.3">
      <c r="B1994"/>
      <c r="C1994"/>
      <c r="D1994"/>
      <c r="E1994"/>
      <c r="F1994"/>
      <c r="H1994"/>
      <c r="I1994"/>
      <c r="J1994"/>
      <c r="K1994"/>
      <c r="L1994"/>
    </row>
    <row r="1995" spans="2:12" ht="14.4" x14ac:dyDescent="0.3">
      <c r="B1995"/>
      <c r="C1995"/>
      <c r="D1995"/>
      <c r="E1995"/>
      <c r="F1995"/>
      <c r="H1995"/>
      <c r="I1995"/>
      <c r="J1995"/>
      <c r="K1995"/>
      <c r="L1995"/>
    </row>
    <row r="1996" spans="2:12" ht="14.4" x14ac:dyDescent="0.3">
      <c r="B1996"/>
      <c r="C1996"/>
      <c r="D1996"/>
      <c r="E1996"/>
      <c r="F1996"/>
      <c r="H1996"/>
      <c r="I1996"/>
      <c r="J1996"/>
      <c r="K1996"/>
      <c r="L1996"/>
    </row>
    <row r="1997" spans="2:12" ht="14.4" x14ac:dyDescent="0.3">
      <c r="B1997"/>
      <c r="C1997"/>
      <c r="D1997"/>
      <c r="E1997"/>
      <c r="F1997"/>
      <c r="H1997"/>
      <c r="I1997"/>
      <c r="J1997"/>
      <c r="K1997"/>
      <c r="L1997"/>
    </row>
    <row r="1998" spans="2:12" ht="14.4" x14ac:dyDescent="0.3">
      <c r="B1998"/>
      <c r="C1998"/>
      <c r="D1998"/>
      <c r="E1998"/>
      <c r="F1998"/>
      <c r="H1998"/>
      <c r="I1998"/>
      <c r="J1998"/>
      <c r="K1998"/>
      <c r="L1998"/>
    </row>
    <row r="1999" spans="2:12" ht="14.4" x14ac:dyDescent="0.3">
      <c r="B1999"/>
      <c r="C1999"/>
      <c r="D1999"/>
      <c r="E1999"/>
      <c r="F1999"/>
      <c r="H1999"/>
      <c r="I1999"/>
      <c r="J1999"/>
      <c r="K1999"/>
      <c r="L1999"/>
    </row>
    <row r="2000" spans="2:12" ht="14.4" x14ac:dyDescent="0.3">
      <c r="B2000"/>
      <c r="C2000"/>
      <c r="D2000"/>
      <c r="E2000"/>
      <c r="F2000"/>
      <c r="H2000"/>
      <c r="I2000"/>
      <c r="J2000"/>
      <c r="K2000"/>
      <c r="L2000"/>
    </row>
    <row r="2001" spans="2:12" ht="14.4" x14ac:dyDescent="0.3">
      <c r="B2001"/>
      <c r="C2001"/>
      <c r="D2001"/>
      <c r="E2001"/>
      <c r="F2001"/>
      <c r="H2001"/>
      <c r="I2001"/>
      <c r="J2001"/>
      <c r="K2001"/>
      <c r="L2001"/>
    </row>
    <row r="2002" spans="2:12" ht="14.4" x14ac:dyDescent="0.3">
      <c r="B2002"/>
      <c r="C2002"/>
      <c r="D2002"/>
      <c r="E2002"/>
      <c r="F2002"/>
      <c r="H2002"/>
      <c r="I2002"/>
      <c r="J2002"/>
      <c r="K2002"/>
      <c r="L2002"/>
    </row>
    <row r="2003" spans="2:12" ht="14.4" x14ac:dyDescent="0.3">
      <c r="B2003"/>
      <c r="C2003"/>
      <c r="D2003"/>
      <c r="E2003"/>
      <c r="F2003"/>
      <c r="H2003"/>
      <c r="I2003"/>
      <c r="J2003"/>
      <c r="K2003"/>
      <c r="L2003"/>
    </row>
    <row r="2004" spans="2:12" ht="14.4" x14ac:dyDescent="0.3">
      <c r="B2004"/>
      <c r="C2004"/>
      <c r="D2004"/>
      <c r="E2004"/>
      <c r="F2004"/>
      <c r="H2004"/>
      <c r="I2004"/>
      <c r="J2004"/>
      <c r="K2004"/>
      <c r="L2004"/>
    </row>
    <row r="2005" spans="2:12" ht="14.4" x14ac:dyDescent="0.3">
      <c r="B2005"/>
      <c r="C2005"/>
      <c r="D2005"/>
      <c r="E2005"/>
      <c r="F2005"/>
      <c r="H2005"/>
      <c r="I2005"/>
      <c r="J2005"/>
      <c r="K2005"/>
      <c r="L2005"/>
    </row>
    <row r="2006" spans="2:12" ht="14.4" x14ac:dyDescent="0.3">
      <c r="B2006"/>
      <c r="C2006"/>
      <c r="D2006"/>
      <c r="E2006"/>
      <c r="F2006"/>
      <c r="H2006"/>
      <c r="I2006"/>
      <c r="J2006"/>
      <c r="K2006"/>
      <c r="L2006"/>
    </row>
    <row r="2007" spans="2:12" ht="14.4" x14ac:dyDescent="0.3">
      <c r="B2007"/>
      <c r="C2007"/>
      <c r="D2007"/>
      <c r="E2007"/>
      <c r="F2007"/>
      <c r="H2007"/>
      <c r="I2007"/>
      <c r="J2007"/>
      <c r="K2007"/>
      <c r="L2007"/>
    </row>
    <row r="2008" spans="2:12" ht="14.4" x14ac:dyDescent="0.3">
      <c r="B2008"/>
      <c r="C2008"/>
      <c r="D2008"/>
      <c r="E2008"/>
      <c r="F2008"/>
      <c r="H2008"/>
      <c r="I2008"/>
      <c r="J2008"/>
      <c r="K2008"/>
      <c r="L2008"/>
    </row>
    <row r="2009" spans="2:12" ht="14.4" x14ac:dyDescent="0.3">
      <c r="B2009"/>
      <c r="C2009"/>
      <c r="D2009"/>
      <c r="E2009"/>
      <c r="F2009"/>
      <c r="H2009"/>
      <c r="I2009"/>
      <c r="J2009"/>
      <c r="K2009"/>
      <c r="L2009"/>
    </row>
    <row r="2010" spans="2:12" ht="14.4" x14ac:dyDescent="0.3">
      <c r="B2010"/>
      <c r="C2010"/>
      <c r="D2010"/>
      <c r="E2010"/>
      <c r="F2010"/>
      <c r="H2010"/>
      <c r="I2010"/>
      <c r="J2010"/>
      <c r="K2010"/>
      <c r="L2010"/>
    </row>
    <row r="2011" spans="2:12" ht="14.4" x14ac:dyDescent="0.3">
      <c r="B2011"/>
      <c r="C2011"/>
      <c r="D2011"/>
      <c r="E2011"/>
      <c r="F2011"/>
      <c r="H2011"/>
      <c r="I2011"/>
      <c r="J2011"/>
      <c r="K2011"/>
      <c r="L2011"/>
    </row>
    <row r="2012" spans="2:12" ht="14.4" x14ac:dyDescent="0.3">
      <c r="B2012"/>
      <c r="C2012"/>
      <c r="D2012"/>
      <c r="E2012"/>
      <c r="F2012"/>
      <c r="H2012"/>
      <c r="I2012"/>
      <c r="J2012"/>
      <c r="K2012"/>
      <c r="L2012"/>
    </row>
    <row r="2013" spans="2:12" ht="14.4" x14ac:dyDescent="0.3">
      <c r="B2013"/>
      <c r="C2013"/>
      <c r="D2013"/>
      <c r="E2013"/>
      <c r="F2013"/>
      <c r="H2013"/>
      <c r="I2013"/>
      <c r="J2013"/>
      <c r="K2013"/>
      <c r="L2013"/>
    </row>
    <row r="2014" spans="2:12" ht="14.4" x14ac:dyDescent="0.3">
      <c r="B2014"/>
      <c r="C2014"/>
      <c r="D2014"/>
      <c r="E2014"/>
      <c r="F2014"/>
      <c r="H2014"/>
      <c r="I2014"/>
      <c r="J2014"/>
      <c r="K2014"/>
      <c r="L2014"/>
    </row>
    <row r="2015" spans="2:12" ht="14.4" x14ac:dyDescent="0.3">
      <c r="B2015"/>
      <c r="C2015"/>
      <c r="D2015"/>
      <c r="E2015"/>
      <c r="F2015"/>
      <c r="H2015"/>
      <c r="I2015"/>
      <c r="J2015"/>
      <c r="K2015"/>
      <c r="L2015"/>
    </row>
    <row r="2016" spans="2:12" ht="14.4" x14ac:dyDescent="0.3">
      <c r="B2016"/>
      <c r="C2016"/>
      <c r="D2016"/>
      <c r="E2016"/>
      <c r="F2016"/>
      <c r="H2016"/>
      <c r="I2016"/>
      <c r="J2016"/>
      <c r="K2016"/>
      <c r="L2016"/>
    </row>
    <row r="2017" spans="2:12" ht="14.4" x14ac:dyDescent="0.3">
      <c r="B2017"/>
      <c r="C2017"/>
      <c r="D2017"/>
      <c r="E2017"/>
      <c r="F2017"/>
      <c r="H2017"/>
      <c r="I2017"/>
      <c r="J2017"/>
      <c r="K2017"/>
      <c r="L2017"/>
    </row>
    <row r="2018" spans="2:12" ht="14.4" x14ac:dyDescent="0.3">
      <c r="B2018"/>
      <c r="C2018"/>
      <c r="D2018"/>
      <c r="E2018"/>
      <c r="F2018"/>
      <c r="H2018"/>
      <c r="I2018"/>
      <c r="J2018"/>
      <c r="K2018"/>
      <c r="L2018"/>
    </row>
    <row r="2019" spans="2:12" ht="14.4" x14ac:dyDescent="0.3">
      <c r="B2019"/>
      <c r="C2019"/>
      <c r="D2019"/>
      <c r="E2019"/>
      <c r="F2019"/>
      <c r="H2019"/>
      <c r="I2019"/>
      <c r="J2019"/>
      <c r="K2019"/>
      <c r="L2019"/>
    </row>
    <row r="2020" spans="2:12" ht="14.4" x14ac:dyDescent="0.3">
      <c r="B2020"/>
      <c r="C2020"/>
      <c r="D2020"/>
      <c r="E2020"/>
      <c r="F2020"/>
      <c r="H2020"/>
      <c r="I2020"/>
      <c r="J2020"/>
      <c r="K2020"/>
      <c r="L2020"/>
    </row>
    <row r="2021" spans="2:12" ht="14.4" x14ac:dyDescent="0.3">
      <c r="B2021"/>
      <c r="C2021"/>
      <c r="D2021"/>
      <c r="E2021"/>
      <c r="F2021"/>
      <c r="H2021"/>
      <c r="I2021"/>
      <c r="J2021"/>
      <c r="K2021"/>
      <c r="L2021"/>
    </row>
    <row r="2022" spans="2:12" ht="14.4" x14ac:dyDescent="0.3">
      <c r="B2022"/>
      <c r="C2022"/>
      <c r="D2022"/>
      <c r="E2022"/>
      <c r="F2022"/>
      <c r="H2022"/>
      <c r="I2022"/>
      <c r="J2022"/>
      <c r="K2022"/>
      <c r="L2022"/>
    </row>
    <row r="2023" spans="2:12" ht="14.4" x14ac:dyDescent="0.3">
      <c r="B2023"/>
      <c r="C2023"/>
      <c r="D2023"/>
      <c r="E2023"/>
      <c r="F2023"/>
      <c r="H2023"/>
      <c r="I2023"/>
      <c r="J2023"/>
      <c r="K2023"/>
      <c r="L2023"/>
    </row>
    <row r="2024" spans="2:12" ht="14.4" x14ac:dyDescent="0.3">
      <c r="B2024"/>
      <c r="C2024"/>
      <c r="D2024"/>
      <c r="E2024"/>
      <c r="F2024"/>
      <c r="H2024"/>
      <c r="I2024"/>
      <c r="J2024"/>
      <c r="K2024"/>
      <c r="L2024"/>
    </row>
    <row r="2025" spans="2:12" ht="14.4" x14ac:dyDescent="0.3">
      <c r="B2025"/>
      <c r="C2025"/>
      <c r="D2025"/>
      <c r="E2025"/>
      <c r="F2025"/>
      <c r="H2025"/>
      <c r="I2025"/>
      <c r="J2025"/>
      <c r="K2025"/>
      <c r="L2025"/>
    </row>
    <row r="2026" spans="2:12" ht="14.4" x14ac:dyDescent="0.3">
      <c r="B2026"/>
      <c r="C2026"/>
      <c r="D2026"/>
      <c r="E2026"/>
      <c r="F2026"/>
      <c r="H2026"/>
      <c r="I2026"/>
      <c r="J2026"/>
      <c r="K2026"/>
      <c r="L2026"/>
    </row>
    <row r="2027" spans="2:12" ht="14.4" x14ac:dyDescent="0.3">
      <c r="B2027"/>
      <c r="C2027"/>
      <c r="D2027"/>
      <c r="E2027"/>
      <c r="F2027"/>
      <c r="H2027"/>
      <c r="I2027"/>
      <c r="J2027"/>
      <c r="K2027"/>
      <c r="L2027"/>
    </row>
    <row r="2028" spans="2:12" ht="14.4" x14ac:dyDescent="0.3">
      <c r="B2028"/>
      <c r="C2028"/>
      <c r="D2028"/>
      <c r="E2028"/>
      <c r="F2028"/>
      <c r="H2028"/>
      <c r="I2028"/>
      <c r="J2028"/>
      <c r="K2028"/>
      <c r="L2028"/>
    </row>
    <row r="2029" spans="2:12" ht="14.4" x14ac:dyDescent="0.3">
      <c r="B2029"/>
      <c r="C2029"/>
      <c r="D2029"/>
      <c r="E2029"/>
      <c r="F2029"/>
      <c r="H2029"/>
      <c r="I2029"/>
      <c r="J2029"/>
      <c r="K2029"/>
      <c r="L2029"/>
    </row>
    <row r="2030" spans="2:12" ht="14.4" x14ac:dyDescent="0.3">
      <c r="B2030"/>
      <c r="C2030"/>
      <c r="D2030"/>
      <c r="E2030"/>
      <c r="F2030"/>
      <c r="H2030"/>
      <c r="I2030"/>
      <c r="J2030"/>
      <c r="K2030"/>
      <c r="L2030"/>
    </row>
    <row r="2031" spans="2:12" ht="14.4" x14ac:dyDescent="0.3">
      <c r="B2031"/>
      <c r="C2031"/>
      <c r="D2031"/>
      <c r="E2031"/>
      <c r="F2031"/>
      <c r="H2031"/>
      <c r="I2031"/>
      <c r="J2031"/>
      <c r="K2031"/>
      <c r="L2031"/>
    </row>
    <row r="2032" spans="2:12" ht="14.4" x14ac:dyDescent="0.3">
      <c r="B2032"/>
      <c r="C2032"/>
      <c r="D2032"/>
      <c r="E2032"/>
      <c r="F2032"/>
      <c r="H2032"/>
      <c r="I2032"/>
      <c r="J2032"/>
      <c r="K2032"/>
      <c r="L2032"/>
    </row>
    <row r="2033" spans="2:12" ht="14.4" x14ac:dyDescent="0.3">
      <c r="B2033"/>
      <c r="C2033"/>
      <c r="D2033"/>
      <c r="E2033"/>
      <c r="F2033"/>
      <c r="H2033"/>
      <c r="I2033"/>
      <c r="J2033"/>
      <c r="K2033"/>
      <c r="L2033"/>
    </row>
    <row r="2034" spans="2:12" ht="14.4" x14ac:dyDescent="0.3">
      <c r="B2034"/>
      <c r="C2034"/>
      <c r="D2034"/>
      <c r="E2034"/>
      <c r="F2034"/>
      <c r="H2034"/>
      <c r="I2034"/>
      <c r="J2034"/>
      <c r="K2034"/>
      <c r="L2034"/>
    </row>
    <row r="2035" spans="2:12" ht="14.4" x14ac:dyDescent="0.3">
      <c r="B2035"/>
      <c r="C2035"/>
      <c r="D2035"/>
      <c r="E2035"/>
      <c r="F2035"/>
      <c r="H2035"/>
      <c r="I2035"/>
      <c r="J2035"/>
      <c r="K2035"/>
      <c r="L2035"/>
    </row>
    <row r="2036" spans="2:12" ht="14.4" x14ac:dyDescent="0.3">
      <c r="B2036"/>
      <c r="C2036"/>
      <c r="D2036"/>
      <c r="E2036"/>
      <c r="F2036"/>
      <c r="H2036"/>
      <c r="I2036"/>
      <c r="J2036"/>
      <c r="K2036"/>
      <c r="L2036"/>
    </row>
    <row r="2037" spans="2:12" ht="14.4" x14ac:dyDescent="0.3">
      <c r="B2037"/>
      <c r="C2037"/>
      <c r="D2037"/>
      <c r="E2037"/>
      <c r="F2037"/>
      <c r="H2037"/>
      <c r="I2037"/>
      <c r="J2037"/>
      <c r="K2037"/>
      <c r="L2037"/>
    </row>
    <row r="2038" spans="2:12" ht="14.4" x14ac:dyDescent="0.3">
      <c r="B2038"/>
      <c r="C2038"/>
      <c r="D2038"/>
      <c r="E2038"/>
      <c r="F2038"/>
      <c r="H2038"/>
      <c r="I2038"/>
      <c r="J2038"/>
      <c r="K2038"/>
      <c r="L2038"/>
    </row>
    <row r="2039" spans="2:12" ht="14.4" x14ac:dyDescent="0.3">
      <c r="B2039"/>
      <c r="C2039"/>
      <c r="D2039"/>
      <c r="E2039"/>
      <c r="F2039"/>
      <c r="H2039"/>
      <c r="I2039"/>
      <c r="J2039"/>
      <c r="K2039"/>
      <c r="L2039"/>
    </row>
    <row r="2040" spans="2:12" ht="14.4" x14ac:dyDescent="0.3">
      <c r="B2040"/>
      <c r="C2040"/>
      <c r="D2040"/>
      <c r="E2040"/>
      <c r="F2040"/>
      <c r="H2040"/>
      <c r="I2040"/>
      <c r="J2040"/>
      <c r="K2040"/>
      <c r="L2040"/>
    </row>
    <row r="2041" spans="2:12" ht="14.4" x14ac:dyDescent="0.3">
      <c r="B2041"/>
      <c r="C2041"/>
      <c r="D2041"/>
      <c r="E2041"/>
      <c r="F2041"/>
      <c r="H2041"/>
      <c r="I2041"/>
      <c r="J2041"/>
      <c r="K2041"/>
      <c r="L2041"/>
    </row>
    <row r="2042" spans="2:12" ht="14.4" x14ac:dyDescent="0.3">
      <c r="B2042"/>
      <c r="C2042"/>
      <c r="D2042"/>
      <c r="E2042"/>
      <c r="F2042"/>
      <c r="H2042"/>
      <c r="I2042"/>
      <c r="J2042"/>
      <c r="K2042"/>
      <c r="L2042"/>
    </row>
    <row r="2043" spans="2:12" ht="14.4" x14ac:dyDescent="0.3">
      <c r="B2043"/>
      <c r="C2043"/>
      <c r="D2043"/>
      <c r="E2043"/>
      <c r="F2043"/>
      <c r="H2043"/>
      <c r="I2043"/>
      <c r="J2043"/>
      <c r="K2043"/>
      <c r="L2043"/>
    </row>
    <row r="2044" spans="2:12" ht="14.4" x14ac:dyDescent="0.3">
      <c r="B2044"/>
      <c r="C2044"/>
      <c r="D2044"/>
      <c r="E2044"/>
      <c r="F2044"/>
      <c r="H2044"/>
      <c r="I2044"/>
      <c r="J2044"/>
      <c r="K2044"/>
      <c r="L2044"/>
    </row>
    <row r="2045" spans="2:12" ht="14.4" x14ac:dyDescent="0.3">
      <c r="B2045"/>
      <c r="C2045"/>
      <c r="D2045"/>
      <c r="E2045"/>
      <c r="F2045"/>
      <c r="H2045"/>
      <c r="I2045"/>
      <c r="J2045"/>
      <c r="K2045"/>
      <c r="L2045"/>
    </row>
    <row r="2046" spans="2:12" ht="14.4" x14ac:dyDescent="0.3">
      <c r="B2046"/>
      <c r="C2046"/>
      <c r="D2046"/>
      <c r="E2046"/>
      <c r="F2046"/>
      <c r="H2046"/>
      <c r="I2046"/>
      <c r="J2046"/>
      <c r="K2046"/>
      <c r="L2046"/>
    </row>
    <row r="2047" spans="2:12" ht="14.4" x14ac:dyDescent="0.3">
      <c r="B2047"/>
      <c r="C2047"/>
      <c r="D2047"/>
      <c r="E2047"/>
      <c r="F2047"/>
      <c r="H2047"/>
      <c r="I2047"/>
      <c r="J2047"/>
      <c r="K2047"/>
      <c r="L2047"/>
    </row>
    <row r="2048" spans="2:12" ht="14.4" x14ac:dyDescent="0.3">
      <c r="B2048"/>
      <c r="C2048"/>
      <c r="D2048"/>
      <c r="E2048"/>
      <c r="F2048"/>
      <c r="H2048"/>
      <c r="I2048"/>
      <c r="J2048"/>
      <c r="K2048"/>
      <c r="L2048"/>
    </row>
    <row r="2049" spans="2:12" ht="14.4" x14ac:dyDescent="0.3">
      <c r="B2049"/>
      <c r="C2049"/>
      <c r="D2049"/>
      <c r="E2049"/>
      <c r="F2049"/>
      <c r="H2049"/>
      <c r="I2049"/>
      <c r="J2049"/>
      <c r="K2049"/>
      <c r="L2049"/>
    </row>
    <row r="2050" spans="2:12" ht="14.4" x14ac:dyDescent="0.3">
      <c r="B2050"/>
      <c r="C2050"/>
      <c r="D2050"/>
      <c r="E2050"/>
      <c r="F2050"/>
      <c r="H2050"/>
      <c r="I2050"/>
      <c r="J2050"/>
      <c r="K2050"/>
      <c r="L2050"/>
    </row>
    <row r="2051" spans="2:12" ht="14.4" x14ac:dyDescent="0.3">
      <c r="B2051"/>
      <c r="C2051"/>
      <c r="D2051"/>
      <c r="E2051"/>
      <c r="F2051"/>
      <c r="H2051"/>
      <c r="I2051"/>
      <c r="J2051"/>
      <c r="K2051"/>
      <c r="L2051"/>
    </row>
    <row r="2052" spans="2:12" ht="14.4" x14ac:dyDescent="0.3">
      <c r="B2052"/>
      <c r="C2052"/>
      <c r="D2052"/>
      <c r="E2052"/>
      <c r="F2052"/>
      <c r="H2052"/>
      <c r="I2052"/>
      <c r="J2052"/>
      <c r="K2052"/>
      <c r="L2052"/>
    </row>
    <row r="2053" spans="2:12" ht="14.4" x14ac:dyDescent="0.3">
      <c r="B2053"/>
      <c r="C2053"/>
      <c r="D2053"/>
      <c r="E2053"/>
      <c r="F2053"/>
      <c r="H2053"/>
      <c r="I2053"/>
      <c r="J2053"/>
      <c r="K2053"/>
      <c r="L2053"/>
    </row>
    <row r="2054" spans="2:12" ht="14.4" x14ac:dyDescent="0.3">
      <c r="B2054"/>
      <c r="C2054"/>
      <c r="D2054"/>
      <c r="E2054"/>
      <c r="F2054"/>
      <c r="H2054"/>
      <c r="I2054"/>
      <c r="J2054"/>
      <c r="K2054"/>
      <c r="L2054"/>
    </row>
    <row r="2055" spans="2:12" ht="14.4" x14ac:dyDescent="0.3">
      <c r="B2055"/>
      <c r="C2055"/>
      <c r="D2055"/>
      <c r="E2055"/>
      <c r="F2055"/>
      <c r="H2055"/>
      <c r="I2055"/>
      <c r="J2055"/>
      <c r="K2055"/>
      <c r="L2055"/>
    </row>
    <row r="2056" spans="2:12" ht="14.4" x14ac:dyDescent="0.3">
      <c r="B2056"/>
      <c r="C2056"/>
      <c r="D2056"/>
      <c r="E2056"/>
      <c r="F2056"/>
      <c r="H2056"/>
      <c r="I2056"/>
      <c r="J2056"/>
      <c r="K2056"/>
      <c r="L2056"/>
    </row>
    <row r="2057" spans="2:12" ht="14.4" x14ac:dyDescent="0.3">
      <c r="B2057"/>
      <c r="C2057"/>
      <c r="D2057"/>
      <c r="E2057"/>
      <c r="F2057"/>
      <c r="H2057"/>
      <c r="I2057"/>
      <c r="J2057"/>
      <c r="K2057"/>
      <c r="L2057"/>
    </row>
    <row r="2058" spans="2:12" ht="14.4" x14ac:dyDescent="0.3">
      <c r="B2058"/>
      <c r="C2058"/>
      <c r="D2058"/>
      <c r="E2058"/>
      <c r="F2058"/>
      <c r="H2058"/>
      <c r="I2058"/>
      <c r="J2058"/>
      <c r="K2058"/>
      <c r="L2058"/>
    </row>
    <row r="2059" spans="2:12" ht="14.4" x14ac:dyDescent="0.3">
      <c r="B2059"/>
      <c r="C2059"/>
      <c r="D2059"/>
      <c r="E2059"/>
      <c r="F2059"/>
      <c r="H2059"/>
      <c r="I2059"/>
      <c r="J2059"/>
      <c r="K2059"/>
      <c r="L2059"/>
    </row>
    <row r="2060" spans="2:12" ht="14.4" x14ac:dyDescent="0.3">
      <c r="B2060"/>
      <c r="C2060"/>
      <c r="D2060"/>
      <c r="E2060"/>
      <c r="F2060"/>
      <c r="H2060"/>
      <c r="I2060"/>
      <c r="J2060"/>
      <c r="K2060"/>
      <c r="L2060"/>
    </row>
    <row r="2061" spans="2:12" ht="14.4" x14ac:dyDescent="0.3">
      <c r="B2061"/>
      <c r="C2061"/>
      <c r="D2061"/>
      <c r="E2061"/>
      <c r="F2061"/>
      <c r="H2061"/>
      <c r="I2061"/>
      <c r="J2061"/>
      <c r="K2061"/>
      <c r="L2061"/>
    </row>
    <row r="2062" spans="2:12" ht="14.4" x14ac:dyDescent="0.3">
      <c r="B2062"/>
      <c r="C2062"/>
      <c r="D2062"/>
      <c r="E2062"/>
      <c r="F2062"/>
      <c r="H2062"/>
      <c r="I2062"/>
      <c r="J2062"/>
      <c r="K2062"/>
      <c r="L2062"/>
    </row>
    <row r="2063" spans="2:12" ht="14.4" x14ac:dyDescent="0.3">
      <c r="B2063"/>
      <c r="C2063"/>
      <c r="D2063"/>
      <c r="E2063"/>
      <c r="F2063"/>
      <c r="H2063"/>
      <c r="I2063"/>
      <c r="J2063"/>
      <c r="K2063"/>
      <c r="L2063"/>
    </row>
    <row r="2064" spans="2:12" ht="14.4" x14ac:dyDescent="0.3">
      <c r="B2064"/>
      <c r="C2064"/>
      <c r="D2064"/>
      <c r="E2064"/>
      <c r="F2064"/>
      <c r="H2064"/>
      <c r="I2064"/>
      <c r="J2064"/>
      <c r="K2064"/>
      <c r="L2064"/>
    </row>
    <row r="2065" spans="2:12" ht="14.4" x14ac:dyDescent="0.3">
      <c r="B2065"/>
      <c r="C2065"/>
      <c r="D2065"/>
      <c r="E2065"/>
      <c r="F2065"/>
      <c r="H2065"/>
      <c r="I2065"/>
      <c r="J2065"/>
      <c r="K2065"/>
      <c r="L2065"/>
    </row>
    <row r="2066" spans="2:12" ht="14.4" x14ac:dyDescent="0.3">
      <c r="B2066"/>
      <c r="C2066"/>
      <c r="D2066"/>
      <c r="E2066"/>
      <c r="F2066"/>
      <c r="H2066"/>
      <c r="I2066"/>
      <c r="J2066"/>
      <c r="K2066"/>
      <c r="L2066"/>
    </row>
    <row r="2067" spans="2:12" ht="14.4" x14ac:dyDescent="0.3">
      <c r="B2067"/>
      <c r="C2067"/>
      <c r="D2067"/>
      <c r="E2067"/>
      <c r="F2067"/>
      <c r="H2067"/>
      <c r="I2067"/>
      <c r="J2067"/>
      <c r="K2067"/>
      <c r="L2067"/>
    </row>
    <row r="2068" spans="2:12" ht="14.4" x14ac:dyDescent="0.3">
      <c r="B2068"/>
      <c r="C2068"/>
      <c r="D2068"/>
      <c r="E2068"/>
      <c r="F2068"/>
      <c r="H2068"/>
      <c r="I2068"/>
      <c r="J2068"/>
      <c r="K2068"/>
      <c r="L2068"/>
    </row>
    <row r="2069" spans="2:12" ht="14.4" x14ac:dyDescent="0.3">
      <c r="B2069"/>
      <c r="C2069"/>
      <c r="D2069"/>
      <c r="E2069"/>
      <c r="F2069"/>
      <c r="H2069"/>
      <c r="I2069"/>
      <c r="J2069"/>
      <c r="K2069"/>
      <c r="L2069"/>
    </row>
    <row r="2070" spans="2:12" ht="14.4" x14ac:dyDescent="0.3">
      <c r="B2070"/>
      <c r="C2070"/>
      <c r="D2070"/>
      <c r="E2070"/>
      <c r="F2070"/>
      <c r="H2070"/>
      <c r="I2070"/>
      <c r="J2070"/>
      <c r="K2070"/>
      <c r="L2070"/>
    </row>
    <row r="2071" spans="2:12" ht="14.4" x14ac:dyDescent="0.3">
      <c r="B2071"/>
      <c r="C2071"/>
      <c r="D2071"/>
      <c r="E2071"/>
      <c r="F2071"/>
      <c r="H2071"/>
      <c r="I2071"/>
      <c r="J2071"/>
      <c r="K2071"/>
      <c r="L2071"/>
    </row>
    <row r="2072" spans="2:12" ht="14.4" x14ac:dyDescent="0.3">
      <c r="B2072"/>
      <c r="C2072"/>
      <c r="D2072"/>
      <c r="E2072"/>
      <c r="F2072"/>
      <c r="H2072"/>
      <c r="I2072"/>
      <c r="J2072"/>
      <c r="K2072"/>
      <c r="L2072"/>
    </row>
    <row r="2073" spans="2:12" ht="14.4" x14ac:dyDescent="0.3">
      <c r="B2073"/>
      <c r="C2073"/>
      <c r="D2073"/>
      <c r="E2073"/>
      <c r="F2073"/>
      <c r="H2073"/>
      <c r="I2073"/>
      <c r="J2073"/>
      <c r="K2073"/>
      <c r="L2073"/>
    </row>
    <row r="2074" spans="2:12" ht="14.4" x14ac:dyDescent="0.3">
      <c r="B2074"/>
      <c r="C2074"/>
      <c r="D2074"/>
      <c r="E2074"/>
      <c r="F2074"/>
      <c r="H2074"/>
      <c r="I2074"/>
      <c r="J2074"/>
      <c r="K2074"/>
      <c r="L2074"/>
    </row>
    <row r="2075" spans="2:12" ht="14.4" x14ac:dyDescent="0.3">
      <c r="B2075"/>
      <c r="C2075"/>
      <c r="D2075"/>
      <c r="E2075"/>
      <c r="F2075"/>
      <c r="H2075"/>
      <c r="I2075"/>
      <c r="J2075"/>
      <c r="K2075"/>
      <c r="L2075"/>
    </row>
    <row r="2076" spans="2:12" ht="14.4" x14ac:dyDescent="0.3">
      <c r="B2076"/>
      <c r="C2076"/>
      <c r="D2076"/>
      <c r="E2076"/>
      <c r="F2076"/>
      <c r="H2076"/>
      <c r="I2076"/>
      <c r="J2076"/>
      <c r="K2076"/>
      <c r="L2076"/>
    </row>
    <row r="2077" spans="2:12" ht="14.4" x14ac:dyDescent="0.3">
      <c r="B2077"/>
      <c r="C2077"/>
      <c r="D2077"/>
      <c r="E2077"/>
      <c r="F2077"/>
      <c r="H2077"/>
      <c r="I2077"/>
      <c r="J2077"/>
      <c r="K2077"/>
      <c r="L2077"/>
    </row>
    <row r="2078" spans="2:12" ht="14.4" x14ac:dyDescent="0.3">
      <c r="B2078"/>
      <c r="C2078"/>
      <c r="D2078"/>
      <c r="E2078"/>
      <c r="F2078"/>
      <c r="H2078"/>
      <c r="I2078"/>
      <c r="J2078"/>
      <c r="K2078"/>
      <c r="L2078"/>
    </row>
    <row r="2079" spans="2:12" ht="14.4" x14ac:dyDescent="0.3">
      <c r="B2079"/>
      <c r="C2079"/>
      <c r="D2079"/>
      <c r="E2079"/>
      <c r="F2079"/>
      <c r="H2079"/>
      <c r="I2079"/>
      <c r="J2079"/>
      <c r="K2079"/>
      <c r="L2079"/>
    </row>
    <row r="2080" spans="2:12" ht="14.4" x14ac:dyDescent="0.3">
      <c r="B2080"/>
      <c r="C2080"/>
      <c r="D2080"/>
      <c r="E2080"/>
      <c r="F2080"/>
      <c r="H2080"/>
      <c r="I2080"/>
      <c r="J2080"/>
      <c r="K2080"/>
      <c r="L2080"/>
    </row>
    <row r="2081" spans="2:12" ht="14.4" x14ac:dyDescent="0.3">
      <c r="B2081"/>
      <c r="C2081"/>
      <c r="D2081"/>
      <c r="E2081"/>
      <c r="F2081"/>
      <c r="H2081"/>
      <c r="I2081"/>
      <c r="J2081"/>
      <c r="K2081"/>
      <c r="L2081"/>
    </row>
    <row r="2082" spans="2:12" ht="14.4" x14ac:dyDescent="0.3">
      <c r="B2082"/>
      <c r="C2082"/>
      <c r="D2082"/>
      <c r="E2082"/>
      <c r="F2082"/>
      <c r="H2082"/>
      <c r="I2082"/>
      <c r="J2082"/>
      <c r="K2082"/>
      <c r="L2082"/>
    </row>
    <row r="2083" spans="2:12" ht="14.4" x14ac:dyDescent="0.3">
      <c r="B2083"/>
      <c r="C2083"/>
      <c r="D2083"/>
      <c r="E2083"/>
      <c r="F2083"/>
      <c r="H2083"/>
      <c r="I2083"/>
      <c r="J2083"/>
      <c r="K2083"/>
      <c r="L2083"/>
    </row>
    <row r="2084" spans="2:12" ht="14.4" x14ac:dyDescent="0.3">
      <c r="B2084"/>
      <c r="C2084"/>
      <c r="D2084"/>
      <c r="E2084"/>
      <c r="F2084"/>
      <c r="H2084"/>
      <c r="I2084"/>
      <c r="J2084"/>
      <c r="K2084"/>
      <c r="L2084"/>
    </row>
    <row r="2085" spans="2:12" ht="14.4" x14ac:dyDescent="0.3">
      <c r="B2085"/>
      <c r="C2085"/>
      <c r="D2085"/>
      <c r="E2085"/>
      <c r="F2085"/>
      <c r="H2085"/>
      <c r="I2085"/>
      <c r="J2085"/>
      <c r="K2085"/>
      <c r="L2085"/>
    </row>
    <row r="2086" spans="2:12" ht="14.4" x14ac:dyDescent="0.3">
      <c r="B2086"/>
      <c r="C2086"/>
      <c r="D2086"/>
      <c r="E2086"/>
      <c r="F2086"/>
      <c r="H2086"/>
      <c r="I2086"/>
      <c r="J2086"/>
      <c r="K2086"/>
      <c r="L2086"/>
    </row>
    <row r="2087" spans="2:12" ht="14.4" x14ac:dyDescent="0.3">
      <c r="B2087"/>
      <c r="C2087"/>
      <c r="D2087"/>
      <c r="E2087"/>
      <c r="F2087"/>
      <c r="H2087"/>
      <c r="I2087"/>
      <c r="J2087"/>
      <c r="K2087"/>
      <c r="L2087"/>
    </row>
    <row r="2088" spans="2:12" ht="14.4" x14ac:dyDescent="0.3">
      <c r="B2088"/>
      <c r="C2088"/>
      <c r="D2088"/>
      <c r="E2088"/>
      <c r="F2088"/>
      <c r="H2088"/>
      <c r="I2088"/>
      <c r="J2088"/>
      <c r="K2088"/>
      <c r="L2088"/>
    </row>
    <row r="2089" spans="2:12" ht="14.4" x14ac:dyDescent="0.3">
      <c r="B2089"/>
      <c r="C2089"/>
      <c r="D2089"/>
      <c r="E2089"/>
      <c r="F2089"/>
      <c r="H2089"/>
      <c r="I2089"/>
      <c r="J2089"/>
      <c r="K2089"/>
      <c r="L2089"/>
    </row>
    <row r="2090" spans="2:12" ht="14.4" x14ac:dyDescent="0.3">
      <c r="B2090"/>
      <c r="C2090"/>
      <c r="D2090"/>
      <c r="E2090"/>
      <c r="F2090"/>
      <c r="H2090"/>
      <c r="I2090"/>
      <c r="J2090"/>
      <c r="K2090"/>
      <c r="L2090"/>
    </row>
    <row r="2091" spans="2:12" ht="14.4" x14ac:dyDescent="0.3">
      <c r="B2091"/>
      <c r="C2091"/>
      <c r="D2091"/>
      <c r="E2091"/>
      <c r="F2091"/>
      <c r="H2091"/>
      <c r="I2091"/>
      <c r="J2091"/>
      <c r="K2091"/>
      <c r="L2091"/>
    </row>
    <row r="2092" spans="2:12" ht="14.4" x14ac:dyDescent="0.3">
      <c r="B2092"/>
      <c r="C2092"/>
      <c r="D2092"/>
      <c r="E2092"/>
      <c r="F2092"/>
      <c r="H2092"/>
      <c r="I2092"/>
      <c r="J2092"/>
      <c r="K2092"/>
      <c r="L2092"/>
    </row>
    <row r="2093" spans="2:12" ht="14.4" x14ac:dyDescent="0.3">
      <c r="B2093"/>
      <c r="C2093"/>
      <c r="D2093"/>
      <c r="E2093"/>
      <c r="F2093"/>
      <c r="H2093"/>
      <c r="I2093"/>
      <c r="J2093"/>
      <c r="K2093"/>
      <c r="L2093"/>
    </row>
    <row r="2094" spans="2:12" ht="14.4" x14ac:dyDescent="0.3">
      <c r="B2094"/>
      <c r="C2094"/>
      <c r="D2094"/>
      <c r="E2094"/>
      <c r="F2094"/>
      <c r="H2094"/>
      <c r="I2094"/>
      <c r="J2094"/>
      <c r="K2094"/>
      <c r="L2094"/>
    </row>
    <row r="2095" spans="2:12" ht="14.4" x14ac:dyDescent="0.3">
      <c r="B2095"/>
      <c r="C2095"/>
      <c r="D2095"/>
      <c r="E2095"/>
      <c r="F2095"/>
      <c r="H2095"/>
      <c r="I2095"/>
      <c r="J2095"/>
      <c r="K2095"/>
      <c r="L2095"/>
    </row>
    <row r="2096" spans="2:12" ht="14.4" x14ac:dyDescent="0.3">
      <c r="B2096"/>
      <c r="C2096"/>
      <c r="D2096"/>
      <c r="E2096"/>
      <c r="F2096"/>
      <c r="H2096"/>
      <c r="I2096"/>
      <c r="J2096"/>
      <c r="K2096"/>
      <c r="L2096"/>
    </row>
    <row r="2097" spans="2:12" ht="14.4" x14ac:dyDescent="0.3">
      <c r="B2097"/>
      <c r="C2097"/>
      <c r="D2097"/>
      <c r="E2097"/>
      <c r="F2097"/>
      <c r="H2097"/>
      <c r="I2097"/>
      <c r="J2097"/>
      <c r="K2097"/>
      <c r="L2097"/>
    </row>
    <row r="2098" spans="2:12" ht="14.4" x14ac:dyDescent="0.3">
      <c r="B2098"/>
      <c r="C2098"/>
      <c r="D2098"/>
      <c r="E2098"/>
      <c r="F2098"/>
      <c r="H2098"/>
      <c r="I2098"/>
      <c r="J2098"/>
      <c r="K2098"/>
      <c r="L2098"/>
    </row>
    <row r="2099" spans="2:12" ht="14.4" x14ac:dyDescent="0.3">
      <c r="B2099"/>
      <c r="C2099"/>
      <c r="D2099"/>
      <c r="E2099"/>
      <c r="F2099"/>
      <c r="H2099"/>
      <c r="I2099"/>
      <c r="J2099"/>
      <c r="K2099"/>
      <c r="L2099"/>
    </row>
    <row r="2100" spans="2:12" ht="14.4" x14ac:dyDescent="0.3">
      <c r="B2100"/>
      <c r="C2100"/>
      <c r="D2100"/>
      <c r="E2100"/>
      <c r="F2100"/>
      <c r="H2100"/>
      <c r="I2100"/>
      <c r="J2100"/>
      <c r="K2100"/>
      <c r="L2100"/>
    </row>
    <row r="2101" spans="2:12" ht="14.4" x14ac:dyDescent="0.3">
      <c r="B2101"/>
      <c r="C2101"/>
      <c r="D2101"/>
      <c r="E2101"/>
      <c r="F2101"/>
      <c r="H2101"/>
      <c r="I2101"/>
      <c r="J2101"/>
      <c r="K2101"/>
      <c r="L2101"/>
    </row>
    <row r="2102" spans="2:12" ht="14.4" x14ac:dyDescent="0.3">
      <c r="B2102"/>
      <c r="C2102"/>
      <c r="D2102"/>
      <c r="E2102"/>
      <c r="F2102"/>
      <c r="H2102"/>
      <c r="I2102"/>
      <c r="J2102"/>
      <c r="K2102"/>
      <c r="L2102"/>
    </row>
    <row r="2103" spans="2:12" ht="14.4" x14ac:dyDescent="0.3">
      <c r="B2103"/>
      <c r="C2103"/>
      <c r="D2103"/>
      <c r="E2103"/>
      <c r="F2103"/>
      <c r="H2103"/>
      <c r="I2103"/>
      <c r="J2103"/>
      <c r="K2103"/>
      <c r="L2103"/>
    </row>
    <row r="2104" spans="2:12" ht="14.4" x14ac:dyDescent="0.3">
      <c r="B2104"/>
      <c r="C2104"/>
      <c r="D2104"/>
      <c r="E2104"/>
      <c r="F2104"/>
      <c r="H2104"/>
      <c r="I2104"/>
      <c r="J2104"/>
      <c r="K2104"/>
      <c r="L2104"/>
    </row>
    <row r="2105" spans="2:12" ht="14.4" x14ac:dyDescent="0.3">
      <c r="B2105"/>
      <c r="C2105"/>
      <c r="D2105"/>
      <c r="E2105"/>
      <c r="F2105"/>
      <c r="H2105"/>
      <c r="I2105"/>
      <c r="J2105"/>
      <c r="K2105"/>
      <c r="L2105"/>
    </row>
    <row r="2106" spans="2:12" ht="14.4" x14ac:dyDescent="0.3">
      <c r="B2106"/>
      <c r="C2106"/>
      <c r="D2106"/>
      <c r="E2106"/>
      <c r="F2106"/>
      <c r="H2106"/>
      <c r="I2106"/>
      <c r="J2106"/>
      <c r="K2106"/>
      <c r="L2106"/>
    </row>
    <row r="2107" spans="2:12" ht="14.4" x14ac:dyDescent="0.3">
      <c r="B2107"/>
      <c r="C2107"/>
      <c r="D2107"/>
      <c r="E2107"/>
      <c r="F2107"/>
      <c r="H2107"/>
      <c r="I2107"/>
      <c r="J2107"/>
      <c r="K2107"/>
      <c r="L2107"/>
    </row>
    <row r="2108" spans="2:12" ht="14.4" x14ac:dyDescent="0.3">
      <c r="B2108"/>
      <c r="C2108"/>
      <c r="D2108"/>
      <c r="E2108"/>
      <c r="F2108"/>
      <c r="H2108"/>
      <c r="I2108"/>
      <c r="J2108"/>
      <c r="K2108"/>
      <c r="L2108"/>
    </row>
    <row r="2109" spans="2:12" ht="14.4" x14ac:dyDescent="0.3">
      <c r="B2109"/>
      <c r="C2109"/>
      <c r="D2109"/>
      <c r="E2109"/>
      <c r="F2109"/>
      <c r="H2109"/>
      <c r="I2109"/>
      <c r="J2109"/>
      <c r="K2109"/>
      <c r="L2109"/>
    </row>
    <row r="2110" spans="2:12" ht="14.4" x14ac:dyDescent="0.3">
      <c r="B2110"/>
      <c r="C2110"/>
      <c r="D2110"/>
      <c r="E2110"/>
      <c r="F2110"/>
      <c r="H2110"/>
      <c r="I2110"/>
      <c r="J2110"/>
      <c r="K2110"/>
      <c r="L2110"/>
    </row>
    <row r="2111" spans="2:12" ht="14.4" x14ac:dyDescent="0.3">
      <c r="B2111"/>
      <c r="C2111"/>
      <c r="D2111"/>
      <c r="E2111"/>
      <c r="F2111"/>
      <c r="H2111"/>
      <c r="I2111"/>
      <c r="J2111"/>
      <c r="K2111"/>
      <c r="L2111"/>
    </row>
    <row r="2112" spans="2:12" ht="14.4" x14ac:dyDescent="0.3">
      <c r="B2112"/>
      <c r="C2112"/>
      <c r="D2112"/>
      <c r="E2112"/>
      <c r="F2112"/>
      <c r="H2112"/>
      <c r="I2112"/>
      <c r="J2112"/>
      <c r="K2112"/>
      <c r="L2112"/>
    </row>
    <row r="2113" spans="2:12" ht="14.4" x14ac:dyDescent="0.3">
      <c r="B2113"/>
      <c r="C2113"/>
      <c r="D2113"/>
      <c r="E2113"/>
      <c r="F2113"/>
      <c r="H2113"/>
      <c r="I2113"/>
      <c r="J2113"/>
      <c r="K2113"/>
      <c r="L2113"/>
    </row>
    <row r="2114" spans="2:12" ht="14.4" x14ac:dyDescent="0.3">
      <c r="B2114"/>
      <c r="C2114"/>
      <c r="D2114"/>
      <c r="E2114"/>
      <c r="F2114"/>
      <c r="H2114"/>
      <c r="I2114"/>
      <c r="J2114"/>
      <c r="K2114"/>
      <c r="L2114"/>
    </row>
    <row r="2115" spans="2:12" ht="14.4" x14ac:dyDescent="0.3">
      <c r="B2115"/>
      <c r="C2115"/>
      <c r="D2115"/>
      <c r="E2115"/>
      <c r="F2115"/>
      <c r="H2115"/>
      <c r="I2115"/>
      <c r="J2115"/>
      <c r="K2115"/>
      <c r="L2115"/>
    </row>
    <row r="2116" spans="2:12" ht="14.4" x14ac:dyDescent="0.3">
      <c r="B2116"/>
      <c r="C2116"/>
      <c r="D2116"/>
      <c r="E2116"/>
      <c r="F2116"/>
      <c r="H2116"/>
      <c r="I2116"/>
      <c r="J2116"/>
      <c r="K2116"/>
      <c r="L2116"/>
    </row>
    <row r="2117" spans="2:12" ht="14.4" x14ac:dyDescent="0.3">
      <c r="B2117"/>
      <c r="C2117"/>
      <c r="D2117"/>
      <c r="E2117"/>
      <c r="F2117"/>
      <c r="H2117"/>
      <c r="I2117"/>
      <c r="J2117"/>
      <c r="K2117"/>
      <c r="L2117"/>
    </row>
    <row r="2118" spans="2:12" ht="14.4" x14ac:dyDescent="0.3">
      <c r="B2118"/>
      <c r="C2118"/>
      <c r="D2118"/>
      <c r="E2118"/>
      <c r="F2118"/>
      <c r="H2118"/>
      <c r="I2118"/>
      <c r="J2118"/>
      <c r="K2118"/>
      <c r="L2118"/>
    </row>
    <row r="2119" spans="2:12" ht="14.4" x14ac:dyDescent="0.3">
      <c r="B2119"/>
      <c r="C2119"/>
      <c r="D2119"/>
      <c r="E2119"/>
      <c r="F2119"/>
      <c r="H2119"/>
      <c r="I2119"/>
      <c r="J2119"/>
      <c r="K2119"/>
      <c r="L2119"/>
    </row>
    <row r="2120" spans="2:12" ht="14.4" x14ac:dyDescent="0.3">
      <c r="B2120"/>
      <c r="C2120"/>
      <c r="D2120"/>
      <c r="E2120"/>
      <c r="F2120"/>
      <c r="H2120"/>
      <c r="I2120"/>
      <c r="J2120"/>
      <c r="K2120"/>
      <c r="L2120"/>
    </row>
    <row r="2121" spans="2:12" ht="14.4" x14ac:dyDescent="0.3">
      <c r="B2121"/>
      <c r="C2121"/>
      <c r="D2121"/>
      <c r="E2121"/>
      <c r="F2121"/>
      <c r="H2121"/>
      <c r="I2121"/>
      <c r="J2121"/>
      <c r="K2121"/>
      <c r="L2121"/>
    </row>
    <row r="2122" spans="2:12" ht="14.4" x14ac:dyDescent="0.3">
      <c r="B2122"/>
      <c r="C2122"/>
      <c r="D2122"/>
      <c r="E2122"/>
      <c r="F2122"/>
      <c r="H2122"/>
      <c r="I2122"/>
      <c r="J2122"/>
      <c r="K2122"/>
      <c r="L2122"/>
    </row>
    <row r="2123" spans="2:12" ht="14.4" x14ac:dyDescent="0.3">
      <c r="B2123"/>
      <c r="C2123"/>
      <c r="D2123"/>
      <c r="E2123"/>
      <c r="F2123"/>
      <c r="H2123"/>
      <c r="I2123"/>
      <c r="J2123"/>
      <c r="K2123"/>
      <c r="L2123"/>
    </row>
    <row r="2124" spans="2:12" ht="14.4" x14ac:dyDescent="0.3">
      <c r="B2124"/>
      <c r="C2124"/>
      <c r="D2124"/>
      <c r="E2124"/>
      <c r="F2124"/>
      <c r="H2124"/>
      <c r="I2124"/>
      <c r="J2124"/>
      <c r="K2124"/>
      <c r="L2124"/>
    </row>
    <row r="2125" spans="2:12" ht="14.4" x14ac:dyDescent="0.3">
      <c r="B2125"/>
      <c r="C2125"/>
      <c r="D2125"/>
      <c r="E2125"/>
      <c r="F2125"/>
      <c r="H2125"/>
      <c r="I2125"/>
      <c r="J2125"/>
      <c r="K2125"/>
      <c r="L2125"/>
    </row>
    <row r="2126" spans="2:12" ht="14.4" x14ac:dyDescent="0.3">
      <c r="B2126"/>
      <c r="C2126"/>
      <c r="D2126"/>
      <c r="E2126"/>
      <c r="F2126"/>
      <c r="H2126"/>
      <c r="I2126"/>
      <c r="J2126"/>
      <c r="K2126"/>
      <c r="L2126"/>
    </row>
    <row r="2127" spans="2:12" ht="14.4" x14ac:dyDescent="0.3">
      <c r="B2127"/>
      <c r="C2127"/>
      <c r="D2127"/>
      <c r="E2127"/>
      <c r="F2127"/>
      <c r="H2127"/>
      <c r="I2127"/>
      <c r="J2127"/>
      <c r="K2127"/>
      <c r="L2127"/>
    </row>
    <row r="2128" spans="2:12" ht="14.4" x14ac:dyDescent="0.3">
      <c r="B2128"/>
      <c r="C2128"/>
      <c r="D2128"/>
      <c r="E2128"/>
      <c r="F2128"/>
      <c r="H2128"/>
      <c r="I2128"/>
      <c r="J2128"/>
      <c r="K2128"/>
      <c r="L2128"/>
    </row>
    <row r="2129" spans="2:12" ht="14.4" x14ac:dyDescent="0.3">
      <c r="B2129"/>
      <c r="C2129"/>
      <c r="D2129"/>
      <c r="E2129"/>
      <c r="F2129"/>
      <c r="H2129"/>
      <c r="I2129"/>
      <c r="J2129"/>
      <c r="K2129"/>
      <c r="L2129"/>
    </row>
    <row r="2130" spans="2:12" ht="14.4" x14ac:dyDescent="0.3">
      <c r="B2130"/>
      <c r="C2130"/>
      <c r="D2130"/>
      <c r="E2130"/>
      <c r="F2130"/>
      <c r="H2130"/>
      <c r="I2130"/>
      <c r="J2130"/>
      <c r="K2130"/>
      <c r="L2130"/>
    </row>
    <row r="2131" spans="2:12" ht="14.4" x14ac:dyDescent="0.3">
      <c r="B2131"/>
      <c r="C2131"/>
      <c r="D2131"/>
      <c r="E2131"/>
      <c r="F2131"/>
      <c r="H2131"/>
      <c r="I2131"/>
      <c r="J2131"/>
      <c r="K2131"/>
      <c r="L2131"/>
    </row>
    <row r="2132" spans="2:12" ht="14.4" x14ac:dyDescent="0.3">
      <c r="B2132"/>
      <c r="C2132"/>
      <c r="D2132"/>
      <c r="E2132"/>
      <c r="F2132"/>
      <c r="H2132"/>
      <c r="I2132"/>
      <c r="J2132"/>
      <c r="K2132"/>
      <c r="L2132"/>
    </row>
    <row r="2133" spans="2:12" ht="14.4" x14ac:dyDescent="0.3">
      <c r="B2133"/>
      <c r="C2133"/>
      <c r="D2133"/>
      <c r="E2133"/>
      <c r="F2133"/>
      <c r="H2133"/>
      <c r="I2133"/>
      <c r="J2133"/>
      <c r="K2133"/>
      <c r="L2133"/>
    </row>
    <row r="2134" spans="2:12" ht="14.4" x14ac:dyDescent="0.3">
      <c r="B2134"/>
      <c r="C2134"/>
      <c r="D2134"/>
      <c r="E2134"/>
      <c r="F2134"/>
      <c r="H2134"/>
      <c r="I2134"/>
      <c r="J2134"/>
      <c r="K2134"/>
      <c r="L2134"/>
    </row>
    <row r="2135" spans="2:12" ht="14.4" x14ac:dyDescent="0.3">
      <c r="B2135"/>
      <c r="C2135"/>
      <c r="D2135"/>
      <c r="E2135"/>
      <c r="F2135"/>
      <c r="H2135"/>
      <c r="I2135"/>
      <c r="J2135"/>
      <c r="K2135"/>
      <c r="L2135"/>
    </row>
    <row r="2136" spans="2:12" ht="14.4" x14ac:dyDescent="0.3">
      <c r="B2136"/>
      <c r="C2136"/>
      <c r="D2136"/>
      <c r="E2136"/>
      <c r="F2136"/>
      <c r="H2136"/>
      <c r="I2136"/>
      <c r="J2136"/>
      <c r="K2136"/>
      <c r="L2136"/>
    </row>
    <row r="2137" spans="2:12" ht="14.4" x14ac:dyDescent="0.3">
      <c r="B2137"/>
      <c r="C2137"/>
      <c r="D2137"/>
      <c r="E2137"/>
      <c r="F2137"/>
      <c r="H2137"/>
      <c r="I2137"/>
      <c r="J2137"/>
      <c r="K2137"/>
      <c r="L2137"/>
    </row>
    <row r="2138" spans="2:12" ht="14.4" x14ac:dyDescent="0.3">
      <c r="B2138"/>
      <c r="C2138"/>
      <c r="D2138"/>
      <c r="E2138"/>
      <c r="F2138"/>
      <c r="H2138"/>
      <c r="I2138"/>
      <c r="J2138"/>
      <c r="K2138"/>
      <c r="L2138"/>
    </row>
    <row r="2139" spans="2:12" ht="14.4" x14ac:dyDescent="0.3">
      <c r="B2139"/>
      <c r="C2139"/>
      <c r="D2139"/>
      <c r="E2139"/>
      <c r="F2139"/>
      <c r="H2139"/>
      <c r="I2139"/>
      <c r="J2139"/>
      <c r="K2139"/>
      <c r="L2139"/>
    </row>
    <row r="2140" spans="2:12" ht="14.4" x14ac:dyDescent="0.3">
      <c r="B2140"/>
      <c r="C2140"/>
      <c r="D2140"/>
      <c r="E2140"/>
      <c r="F2140"/>
      <c r="H2140"/>
      <c r="I2140"/>
      <c r="J2140"/>
      <c r="K2140"/>
      <c r="L2140"/>
    </row>
    <row r="2141" spans="2:12" ht="14.4" x14ac:dyDescent="0.3">
      <c r="B2141"/>
      <c r="C2141"/>
      <c r="D2141"/>
      <c r="E2141"/>
      <c r="F2141"/>
      <c r="H2141"/>
      <c r="I2141"/>
      <c r="J2141"/>
      <c r="K2141"/>
      <c r="L2141"/>
    </row>
    <row r="2142" spans="2:12" ht="14.4" x14ac:dyDescent="0.3">
      <c r="B2142"/>
      <c r="C2142"/>
      <c r="D2142"/>
      <c r="E2142"/>
      <c r="F2142"/>
      <c r="H2142"/>
      <c r="I2142"/>
      <c r="J2142"/>
      <c r="K2142"/>
      <c r="L2142"/>
    </row>
    <row r="2143" spans="2:12" ht="14.4" x14ac:dyDescent="0.3">
      <c r="B2143"/>
      <c r="C2143"/>
      <c r="D2143"/>
      <c r="E2143"/>
      <c r="F2143"/>
      <c r="H2143"/>
      <c r="I2143"/>
      <c r="J2143"/>
      <c r="K2143"/>
      <c r="L2143"/>
    </row>
    <row r="2144" spans="2:12" ht="14.4" x14ac:dyDescent="0.3">
      <c r="B2144"/>
      <c r="C2144"/>
      <c r="D2144"/>
      <c r="E2144"/>
      <c r="F2144"/>
      <c r="H2144"/>
      <c r="I2144"/>
      <c r="J2144"/>
      <c r="K2144"/>
      <c r="L2144"/>
    </row>
    <row r="2145" spans="2:12" ht="14.4" x14ac:dyDescent="0.3">
      <c r="B2145"/>
      <c r="C2145"/>
      <c r="D2145"/>
      <c r="E2145"/>
      <c r="F2145"/>
      <c r="H2145"/>
      <c r="I2145"/>
      <c r="J2145"/>
      <c r="K2145"/>
      <c r="L2145"/>
    </row>
    <row r="2146" spans="2:12" ht="14.4" x14ac:dyDescent="0.3">
      <c r="B2146"/>
      <c r="C2146"/>
      <c r="D2146"/>
      <c r="E2146"/>
      <c r="F2146"/>
      <c r="H2146"/>
      <c r="I2146"/>
      <c r="J2146"/>
      <c r="K2146"/>
      <c r="L2146"/>
    </row>
    <row r="2147" spans="2:12" ht="14.4" x14ac:dyDescent="0.3">
      <c r="B2147"/>
      <c r="C2147"/>
      <c r="D2147"/>
      <c r="E2147"/>
      <c r="F2147"/>
      <c r="H2147"/>
      <c r="I2147"/>
      <c r="J2147"/>
      <c r="K2147"/>
      <c r="L2147"/>
    </row>
    <row r="2148" spans="2:12" ht="14.4" x14ac:dyDescent="0.3">
      <c r="B2148"/>
      <c r="C2148"/>
      <c r="D2148"/>
      <c r="E2148"/>
      <c r="F2148"/>
      <c r="H2148"/>
      <c r="I2148"/>
      <c r="J2148"/>
      <c r="K2148"/>
      <c r="L2148"/>
    </row>
    <row r="2149" spans="2:12" ht="14.4" x14ac:dyDescent="0.3">
      <c r="B2149"/>
      <c r="C2149"/>
      <c r="D2149"/>
      <c r="E2149"/>
      <c r="F2149"/>
      <c r="H2149"/>
      <c r="I2149"/>
      <c r="J2149"/>
      <c r="K2149"/>
      <c r="L2149"/>
    </row>
    <row r="2150" spans="2:12" ht="14.4" x14ac:dyDescent="0.3">
      <c r="B2150"/>
      <c r="C2150"/>
      <c r="D2150"/>
      <c r="E2150"/>
      <c r="F2150"/>
      <c r="H2150"/>
      <c r="I2150"/>
      <c r="J2150"/>
      <c r="K2150"/>
      <c r="L2150"/>
    </row>
    <row r="2151" spans="2:12" ht="14.4" x14ac:dyDescent="0.3">
      <c r="B2151"/>
      <c r="C2151"/>
      <c r="D2151"/>
      <c r="E2151"/>
      <c r="F2151"/>
      <c r="H2151"/>
      <c r="I2151"/>
      <c r="J2151"/>
      <c r="K2151"/>
      <c r="L2151"/>
    </row>
    <row r="2152" spans="2:12" ht="14.4" x14ac:dyDescent="0.3">
      <c r="B2152"/>
      <c r="C2152"/>
      <c r="D2152"/>
      <c r="E2152"/>
      <c r="F2152"/>
      <c r="H2152"/>
      <c r="I2152"/>
      <c r="J2152"/>
      <c r="K2152"/>
      <c r="L2152"/>
    </row>
    <row r="2153" spans="2:12" ht="14.4" x14ac:dyDescent="0.3">
      <c r="B2153"/>
      <c r="C2153"/>
      <c r="D2153"/>
      <c r="E2153"/>
      <c r="F2153"/>
      <c r="H2153"/>
      <c r="I2153"/>
      <c r="J2153"/>
      <c r="K2153"/>
      <c r="L2153"/>
    </row>
    <row r="2154" spans="2:12" ht="14.4" x14ac:dyDescent="0.3">
      <c r="B2154"/>
      <c r="C2154"/>
      <c r="D2154"/>
      <c r="E2154"/>
      <c r="F2154"/>
      <c r="H2154"/>
      <c r="I2154"/>
      <c r="J2154"/>
      <c r="K2154"/>
      <c r="L2154"/>
    </row>
    <row r="2155" spans="2:12" ht="14.4" x14ac:dyDescent="0.3">
      <c r="B2155"/>
      <c r="C2155"/>
      <c r="D2155"/>
      <c r="E2155"/>
      <c r="F2155"/>
      <c r="H2155"/>
      <c r="I2155"/>
      <c r="J2155"/>
      <c r="K2155"/>
      <c r="L2155"/>
    </row>
    <row r="2156" spans="2:12" ht="14.4" x14ac:dyDescent="0.3">
      <c r="B2156"/>
      <c r="C2156"/>
      <c r="D2156"/>
      <c r="E2156"/>
      <c r="F2156"/>
      <c r="H2156"/>
      <c r="I2156"/>
      <c r="J2156"/>
      <c r="K2156"/>
      <c r="L2156"/>
    </row>
    <row r="2157" spans="2:12" ht="14.4" x14ac:dyDescent="0.3">
      <c r="B2157"/>
      <c r="C2157"/>
      <c r="D2157"/>
      <c r="E2157"/>
      <c r="F2157"/>
      <c r="H2157"/>
      <c r="I2157"/>
      <c r="J2157"/>
      <c r="K2157"/>
      <c r="L2157"/>
    </row>
    <row r="2158" spans="2:12" ht="14.4" x14ac:dyDescent="0.3">
      <c r="B2158"/>
      <c r="C2158"/>
      <c r="D2158"/>
      <c r="E2158"/>
      <c r="F2158"/>
      <c r="H2158"/>
      <c r="I2158"/>
      <c r="J2158"/>
      <c r="K2158"/>
      <c r="L2158"/>
    </row>
    <row r="2159" spans="2:12" ht="14.4" x14ac:dyDescent="0.3">
      <c r="B2159"/>
      <c r="C2159"/>
      <c r="D2159"/>
      <c r="E2159"/>
      <c r="F2159"/>
      <c r="H2159"/>
      <c r="I2159"/>
      <c r="J2159"/>
      <c r="K2159"/>
      <c r="L2159"/>
    </row>
    <row r="2160" spans="2:12" ht="14.4" x14ac:dyDescent="0.3">
      <c r="B2160"/>
      <c r="C2160"/>
      <c r="D2160"/>
      <c r="E2160"/>
      <c r="F2160"/>
      <c r="H2160"/>
      <c r="I2160"/>
      <c r="J2160"/>
      <c r="K2160"/>
      <c r="L2160"/>
    </row>
    <row r="2161" spans="2:12" ht="14.4" x14ac:dyDescent="0.3">
      <c r="B2161"/>
      <c r="C2161"/>
      <c r="D2161"/>
      <c r="E2161"/>
      <c r="F2161"/>
      <c r="H2161"/>
      <c r="I2161"/>
      <c r="J2161"/>
      <c r="K2161"/>
      <c r="L2161"/>
    </row>
    <row r="2162" spans="2:12" ht="14.4" x14ac:dyDescent="0.3">
      <c r="B2162"/>
      <c r="C2162"/>
      <c r="D2162"/>
      <c r="E2162"/>
      <c r="F2162"/>
      <c r="H2162"/>
      <c r="I2162"/>
      <c r="J2162"/>
      <c r="K2162"/>
      <c r="L2162"/>
    </row>
    <row r="2163" spans="2:12" ht="14.4" x14ac:dyDescent="0.3">
      <c r="B2163"/>
      <c r="C2163"/>
      <c r="D2163"/>
      <c r="E2163"/>
      <c r="F2163"/>
      <c r="H2163"/>
      <c r="I2163"/>
      <c r="J2163"/>
      <c r="K2163"/>
      <c r="L2163"/>
    </row>
    <row r="2164" spans="2:12" ht="14.4" x14ac:dyDescent="0.3">
      <c r="B2164"/>
      <c r="C2164"/>
      <c r="D2164"/>
      <c r="E2164"/>
      <c r="F2164"/>
      <c r="H2164"/>
      <c r="I2164"/>
      <c r="J2164"/>
      <c r="K2164"/>
      <c r="L2164"/>
    </row>
    <row r="2165" spans="2:12" ht="14.4" x14ac:dyDescent="0.3">
      <c r="B2165"/>
      <c r="C2165"/>
      <c r="D2165"/>
      <c r="E2165"/>
      <c r="F2165"/>
      <c r="H2165"/>
      <c r="I2165"/>
      <c r="J2165"/>
      <c r="K2165"/>
      <c r="L2165"/>
    </row>
    <row r="2166" spans="2:12" ht="14.4" x14ac:dyDescent="0.3">
      <c r="B2166"/>
      <c r="C2166"/>
      <c r="D2166"/>
      <c r="E2166"/>
      <c r="F2166"/>
      <c r="H2166"/>
      <c r="I2166"/>
      <c r="J2166"/>
      <c r="K2166"/>
      <c r="L2166"/>
    </row>
    <row r="2167" spans="2:12" ht="14.4" x14ac:dyDescent="0.3">
      <c r="B2167"/>
      <c r="C2167"/>
      <c r="D2167"/>
      <c r="E2167"/>
      <c r="F2167"/>
      <c r="H2167"/>
      <c r="I2167"/>
      <c r="J2167"/>
      <c r="K2167"/>
      <c r="L2167"/>
    </row>
    <row r="2168" spans="2:12" ht="14.4" x14ac:dyDescent="0.3">
      <c r="B2168"/>
      <c r="C2168"/>
      <c r="D2168"/>
      <c r="E2168"/>
      <c r="F2168"/>
      <c r="H2168"/>
      <c r="I2168"/>
      <c r="J2168"/>
      <c r="K2168"/>
      <c r="L2168"/>
    </row>
    <row r="2169" spans="2:12" ht="14.4" x14ac:dyDescent="0.3">
      <c r="B2169"/>
      <c r="C2169"/>
      <c r="D2169"/>
      <c r="E2169"/>
      <c r="F2169"/>
      <c r="H2169"/>
      <c r="I2169"/>
      <c r="J2169"/>
      <c r="K2169"/>
      <c r="L2169"/>
    </row>
    <row r="2170" spans="2:12" ht="14.4" x14ac:dyDescent="0.3">
      <c r="B2170"/>
      <c r="C2170"/>
      <c r="D2170"/>
      <c r="E2170"/>
      <c r="F2170"/>
      <c r="H2170"/>
      <c r="I2170"/>
      <c r="J2170"/>
      <c r="K2170"/>
      <c r="L2170"/>
    </row>
    <row r="2171" spans="2:12" ht="14.4" x14ac:dyDescent="0.3">
      <c r="B2171"/>
      <c r="C2171"/>
      <c r="D2171"/>
      <c r="E2171"/>
      <c r="F2171"/>
      <c r="H2171"/>
      <c r="I2171"/>
      <c r="J2171"/>
      <c r="K2171"/>
      <c r="L2171"/>
    </row>
    <row r="2172" spans="2:12" ht="14.4" x14ac:dyDescent="0.3">
      <c r="B2172"/>
      <c r="C2172"/>
      <c r="D2172"/>
      <c r="E2172"/>
      <c r="F2172"/>
      <c r="H2172"/>
      <c r="I2172"/>
      <c r="J2172"/>
      <c r="K2172"/>
      <c r="L2172"/>
    </row>
    <row r="2173" spans="2:12" ht="14.4" x14ac:dyDescent="0.3">
      <c r="B2173"/>
      <c r="C2173"/>
      <c r="D2173"/>
      <c r="E2173"/>
      <c r="F2173"/>
      <c r="H2173"/>
      <c r="I2173"/>
      <c r="J2173"/>
      <c r="K2173"/>
      <c r="L2173"/>
    </row>
    <row r="2174" spans="2:12" ht="14.4" x14ac:dyDescent="0.3">
      <c r="B2174"/>
      <c r="C2174"/>
      <c r="D2174"/>
      <c r="E2174"/>
      <c r="F2174"/>
      <c r="H2174"/>
      <c r="I2174"/>
      <c r="J2174"/>
      <c r="K2174"/>
      <c r="L2174"/>
    </row>
    <row r="2175" spans="2:12" ht="14.4" x14ac:dyDescent="0.3">
      <c r="B2175"/>
      <c r="C2175"/>
      <c r="D2175"/>
      <c r="E2175"/>
      <c r="F2175"/>
      <c r="H2175"/>
      <c r="I2175"/>
      <c r="J2175"/>
      <c r="K2175"/>
      <c r="L2175"/>
    </row>
    <row r="2176" spans="2:12" ht="14.4" x14ac:dyDescent="0.3">
      <c r="B2176"/>
      <c r="C2176"/>
      <c r="D2176"/>
      <c r="E2176"/>
      <c r="F2176"/>
      <c r="H2176"/>
      <c r="I2176"/>
      <c r="J2176"/>
      <c r="K2176"/>
      <c r="L2176"/>
    </row>
    <row r="2177" spans="2:12" ht="14.4" x14ac:dyDescent="0.3">
      <c r="B2177"/>
      <c r="C2177"/>
      <c r="D2177"/>
      <c r="E2177"/>
      <c r="F2177"/>
      <c r="H2177"/>
      <c r="I2177"/>
      <c r="J2177"/>
      <c r="K2177"/>
      <c r="L2177"/>
    </row>
    <row r="2178" spans="2:12" ht="14.4" x14ac:dyDescent="0.3">
      <c r="B2178"/>
      <c r="C2178"/>
      <c r="D2178"/>
      <c r="E2178"/>
      <c r="F2178"/>
      <c r="H2178"/>
      <c r="I2178"/>
      <c r="J2178"/>
      <c r="K2178"/>
      <c r="L2178"/>
    </row>
    <row r="2179" spans="2:12" ht="14.4" x14ac:dyDescent="0.3">
      <c r="B2179"/>
      <c r="C2179"/>
      <c r="D2179"/>
      <c r="E2179"/>
      <c r="F2179"/>
      <c r="H2179"/>
      <c r="I2179"/>
      <c r="J2179"/>
      <c r="K2179"/>
      <c r="L2179"/>
    </row>
    <row r="2180" spans="2:12" ht="14.4" x14ac:dyDescent="0.3">
      <c r="B2180"/>
      <c r="C2180"/>
      <c r="D2180"/>
      <c r="E2180"/>
      <c r="F2180"/>
      <c r="H2180"/>
      <c r="I2180"/>
      <c r="J2180"/>
      <c r="K2180"/>
      <c r="L2180"/>
    </row>
    <row r="2181" spans="2:12" ht="14.4" x14ac:dyDescent="0.3">
      <c r="B2181"/>
      <c r="C2181"/>
      <c r="D2181"/>
      <c r="E2181"/>
      <c r="F2181"/>
      <c r="H2181"/>
      <c r="I2181"/>
      <c r="J2181"/>
      <c r="K2181"/>
      <c r="L2181"/>
    </row>
    <row r="2182" spans="2:12" ht="14.4" x14ac:dyDescent="0.3">
      <c r="B2182"/>
      <c r="C2182"/>
      <c r="D2182"/>
      <c r="E2182"/>
      <c r="F2182"/>
      <c r="H2182"/>
      <c r="I2182"/>
      <c r="J2182"/>
      <c r="K2182"/>
      <c r="L2182"/>
    </row>
    <row r="2183" spans="2:12" ht="14.4" x14ac:dyDescent="0.3">
      <c r="B2183"/>
      <c r="C2183"/>
      <c r="D2183"/>
      <c r="E2183"/>
      <c r="F2183"/>
      <c r="H2183"/>
      <c r="I2183"/>
      <c r="J2183"/>
      <c r="K2183"/>
      <c r="L2183"/>
    </row>
    <row r="2184" spans="2:12" ht="14.4" x14ac:dyDescent="0.3">
      <c r="B2184"/>
      <c r="C2184"/>
      <c r="D2184"/>
      <c r="E2184"/>
      <c r="F2184"/>
      <c r="H2184"/>
      <c r="I2184"/>
      <c r="J2184"/>
      <c r="K2184"/>
      <c r="L2184"/>
    </row>
    <row r="2185" spans="2:12" ht="14.4" x14ac:dyDescent="0.3">
      <c r="B2185"/>
      <c r="C2185"/>
      <c r="D2185"/>
      <c r="E2185"/>
      <c r="F2185"/>
      <c r="H2185"/>
      <c r="I2185"/>
      <c r="J2185"/>
      <c r="K2185"/>
      <c r="L2185"/>
    </row>
    <row r="2186" spans="2:12" ht="14.4" x14ac:dyDescent="0.3">
      <c r="B2186"/>
      <c r="C2186"/>
      <c r="D2186"/>
      <c r="E2186"/>
      <c r="F2186"/>
      <c r="H2186"/>
      <c r="I2186"/>
      <c r="J2186"/>
      <c r="K2186"/>
      <c r="L2186"/>
    </row>
    <row r="2187" spans="2:12" ht="14.4" x14ac:dyDescent="0.3">
      <c r="B2187"/>
      <c r="C2187"/>
      <c r="D2187"/>
      <c r="E2187"/>
      <c r="F2187"/>
      <c r="H2187"/>
      <c r="I2187"/>
      <c r="J2187"/>
      <c r="K2187"/>
      <c r="L2187"/>
    </row>
    <row r="2188" spans="2:12" ht="14.4" x14ac:dyDescent="0.3">
      <c r="B2188"/>
      <c r="C2188"/>
      <c r="D2188"/>
      <c r="E2188"/>
      <c r="F2188"/>
      <c r="H2188"/>
      <c r="I2188"/>
      <c r="J2188"/>
      <c r="K2188"/>
      <c r="L2188"/>
    </row>
    <row r="2189" spans="2:12" ht="14.4" x14ac:dyDescent="0.3">
      <c r="B2189"/>
      <c r="C2189"/>
      <c r="D2189"/>
      <c r="E2189"/>
      <c r="F2189"/>
      <c r="H2189"/>
      <c r="I2189"/>
      <c r="J2189"/>
      <c r="K2189"/>
      <c r="L2189"/>
    </row>
    <row r="2190" spans="2:12" ht="14.4" x14ac:dyDescent="0.3">
      <c r="B2190"/>
      <c r="C2190"/>
      <c r="D2190"/>
      <c r="E2190"/>
      <c r="F2190"/>
      <c r="H2190"/>
      <c r="I2190"/>
      <c r="J2190"/>
      <c r="K2190"/>
      <c r="L2190"/>
    </row>
    <row r="2191" spans="2:12" ht="14.4" x14ac:dyDescent="0.3">
      <c r="B2191"/>
      <c r="C2191"/>
      <c r="D2191"/>
      <c r="E2191"/>
      <c r="F2191"/>
      <c r="H2191"/>
      <c r="I2191"/>
      <c r="J2191"/>
      <c r="K2191"/>
      <c r="L2191"/>
    </row>
    <row r="2192" spans="2:12" ht="14.4" x14ac:dyDescent="0.3">
      <c r="B2192"/>
      <c r="C2192"/>
      <c r="D2192"/>
      <c r="E2192"/>
      <c r="F2192"/>
      <c r="H2192"/>
      <c r="I2192"/>
      <c r="J2192"/>
      <c r="K2192"/>
      <c r="L2192"/>
    </row>
    <row r="2193" spans="2:12" ht="14.4" x14ac:dyDescent="0.3">
      <c r="B2193"/>
      <c r="C2193"/>
      <c r="D2193"/>
      <c r="E2193"/>
      <c r="F2193"/>
      <c r="H2193"/>
      <c r="I2193"/>
      <c r="J2193"/>
      <c r="K2193"/>
      <c r="L2193"/>
    </row>
    <row r="2194" spans="2:12" ht="14.4" x14ac:dyDescent="0.3">
      <c r="B2194"/>
      <c r="C2194"/>
      <c r="D2194"/>
      <c r="E2194"/>
      <c r="F2194"/>
      <c r="H2194"/>
      <c r="I2194"/>
      <c r="J2194"/>
      <c r="K2194"/>
      <c r="L2194"/>
    </row>
    <row r="2195" spans="2:12" ht="14.4" x14ac:dyDescent="0.3">
      <c r="B2195"/>
      <c r="C2195"/>
      <c r="D2195"/>
      <c r="E2195"/>
      <c r="F2195"/>
      <c r="H2195"/>
      <c r="I2195"/>
      <c r="J2195"/>
      <c r="K2195"/>
      <c r="L2195"/>
    </row>
    <row r="2196" spans="2:12" ht="14.4" x14ac:dyDescent="0.3">
      <c r="B2196"/>
      <c r="C2196"/>
      <c r="D2196"/>
      <c r="E2196"/>
      <c r="F2196"/>
      <c r="H2196"/>
      <c r="I2196"/>
      <c r="J2196"/>
      <c r="K2196"/>
      <c r="L2196"/>
    </row>
    <row r="2197" spans="2:12" ht="14.4" x14ac:dyDescent="0.3">
      <c r="B2197"/>
      <c r="C2197"/>
      <c r="D2197"/>
      <c r="E2197"/>
      <c r="F2197"/>
      <c r="H2197"/>
      <c r="I2197"/>
      <c r="J2197"/>
      <c r="K2197"/>
      <c r="L2197"/>
    </row>
    <row r="2198" spans="2:12" ht="14.4" x14ac:dyDescent="0.3">
      <c r="B2198"/>
      <c r="C2198"/>
      <c r="D2198"/>
      <c r="E2198"/>
      <c r="F2198"/>
      <c r="H2198"/>
      <c r="I2198"/>
      <c r="J2198"/>
      <c r="K2198"/>
      <c r="L2198"/>
    </row>
    <row r="2199" spans="2:12" ht="14.4" x14ac:dyDescent="0.3">
      <c r="B2199"/>
      <c r="C2199"/>
      <c r="D2199"/>
      <c r="E2199"/>
      <c r="F2199"/>
      <c r="H2199"/>
      <c r="I2199"/>
      <c r="J2199"/>
      <c r="K2199"/>
      <c r="L2199"/>
    </row>
    <row r="2200" spans="2:12" ht="14.4" x14ac:dyDescent="0.3">
      <c r="B2200"/>
      <c r="C2200"/>
      <c r="D2200"/>
      <c r="E2200"/>
      <c r="F2200"/>
      <c r="H2200"/>
      <c r="I2200"/>
      <c r="J2200"/>
      <c r="K2200"/>
      <c r="L2200"/>
    </row>
    <row r="2201" spans="2:12" ht="14.4" x14ac:dyDescent="0.3">
      <c r="B2201"/>
      <c r="C2201"/>
      <c r="D2201"/>
      <c r="E2201"/>
      <c r="F2201"/>
      <c r="H2201"/>
      <c r="I2201"/>
      <c r="J2201"/>
      <c r="K2201"/>
      <c r="L2201"/>
    </row>
    <row r="2202" spans="2:12" ht="14.4" x14ac:dyDescent="0.3">
      <c r="B2202"/>
      <c r="C2202"/>
      <c r="D2202"/>
      <c r="E2202"/>
      <c r="F2202"/>
      <c r="H2202"/>
      <c r="I2202"/>
      <c r="J2202"/>
      <c r="K2202"/>
      <c r="L2202"/>
    </row>
    <row r="2203" spans="2:12" ht="14.4" x14ac:dyDescent="0.3">
      <c r="B2203"/>
      <c r="C2203"/>
      <c r="D2203"/>
      <c r="E2203"/>
      <c r="F2203"/>
      <c r="H2203"/>
      <c r="I2203"/>
      <c r="J2203"/>
      <c r="K2203"/>
      <c r="L2203"/>
    </row>
    <row r="2204" spans="2:12" ht="14.4" x14ac:dyDescent="0.3">
      <c r="B2204"/>
      <c r="C2204"/>
      <c r="D2204"/>
      <c r="E2204"/>
      <c r="F2204"/>
      <c r="H2204"/>
      <c r="I2204"/>
      <c r="J2204"/>
      <c r="K2204"/>
      <c r="L2204"/>
    </row>
    <row r="2205" spans="2:12" ht="14.4" x14ac:dyDescent="0.3">
      <c r="B2205"/>
      <c r="C2205"/>
      <c r="D2205"/>
      <c r="E2205"/>
      <c r="F2205"/>
      <c r="H2205"/>
      <c r="I2205"/>
      <c r="J2205"/>
      <c r="K2205"/>
      <c r="L2205"/>
    </row>
    <row r="2206" spans="2:12" ht="14.4" x14ac:dyDescent="0.3">
      <c r="B2206"/>
      <c r="C2206"/>
      <c r="D2206"/>
      <c r="E2206"/>
      <c r="F2206"/>
      <c r="H2206"/>
      <c r="I2206"/>
      <c r="J2206"/>
      <c r="K2206"/>
      <c r="L2206"/>
    </row>
    <row r="2207" spans="2:12" ht="14.4" x14ac:dyDescent="0.3">
      <c r="B2207"/>
      <c r="C2207"/>
      <c r="D2207"/>
      <c r="E2207"/>
      <c r="F2207"/>
      <c r="H2207"/>
      <c r="I2207"/>
      <c r="J2207"/>
      <c r="K2207"/>
      <c r="L2207"/>
    </row>
    <row r="2208" spans="2:12" ht="14.4" x14ac:dyDescent="0.3">
      <c r="B2208"/>
      <c r="C2208"/>
      <c r="D2208"/>
      <c r="E2208"/>
      <c r="F2208"/>
      <c r="H2208"/>
      <c r="I2208"/>
      <c r="J2208"/>
      <c r="K2208"/>
      <c r="L2208"/>
    </row>
    <row r="2209" spans="2:12" ht="14.4" x14ac:dyDescent="0.3">
      <c r="B2209"/>
      <c r="C2209"/>
      <c r="D2209"/>
      <c r="E2209"/>
      <c r="F2209"/>
      <c r="H2209"/>
      <c r="I2209"/>
      <c r="J2209"/>
      <c r="K2209"/>
      <c r="L2209"/>
    </row>
    <row r="2210" spans="2:12" ht="14.4" x14ac:dyDescent="0.3">
      <c r="B2210"/>
      <c r="C2210"/>
      <c r="D2210"/>
      <c r="E2210"/>
      <c r="F2210"/>
      <c r="H2210"/>
      <c r="I2210"/>
      <c r="J2210"/>
      <c r="K2210"/>
      <c r="L2210"/>
    </row>
    <row r="2211" spans="2:12" ht="14.4" x14ac:dyDescent="0.3">
      <c r="B2211"/>
      <c r="C2211"/>
      <c r="D2211"/>
      <c r="E2211"/>
      <c r="F2211"/>
      <c r="H2211"/>
      <c r="I2211"/>
      <c r="J2211"/>
      <c r="K2211"/>
      <c r="L2211"/>
    </row>
    <row r="2212" spans="2:12" ht="14.4" x14ac:dyDescent="0.3">
      <c r="B2212"/>
      <c r="C2212"/>
      <c r="D2212"/>
      <c r="E2212"/>
      <c r="F2212"/>
      <c r="H2212"/>
      <c r="I2212"/>
      <c r="J2212"/>
      <c r="K2212"/>
      <c r="L2212"/>
    </row>
    <row r="2213" spans="2:12" ht="14.4" x14ac:dyDescent="0.3">
      <c r="B2213"/>
      <c r="C2213"/>
      <c r="D2213"/>
      <c r="E2213"/>
      <c r="F2213"/>
      <c r="H2213"/>
      <c r="I2213"/>
      <c r="J2213"/>
      <c r="K2213"/>
      <c r="L2213"/>
    </row>
    <row r="2214" spans="2:12" ht="14.4" x14ac:dyDescent="0.3">
      <c r="B2214"/>
      <c r="C2214"/>
      <c r="D2214"/>
      <c r="E2214"/>
      <c r="F2214"/>
      <c r="H2214"/>
      <c r="I2214"/>
      <c r="J2214"/>
      <c r="K2214"/>
      <c r="L2214"/>
    </row>
    <row r="2215" spans="2:12" ht="14.4" x14ac:dyDescent="0.3">
      <c r="B2215"/>
      <c r="C2215"/>
      <c r="D2215"/>
      <c r="E2215"/>
      <c r="F2215"/>
      <c r="H2215"/>
      <c r="I2215"/>
      <c r="J2215"/>
      <c r="K2215"/>
      <c r="L2215"/>
    </row>
    <row r="2216" spans="2:12" ht="14.4" x14ac:dyDescent="0.3">
      <c r="B2216"/>
      <c r="C2216"/>
      <c r="D2216"/>
      <c r="E2216"/>
      <c r="F2216"/>
      <c r="H2216"/>
      <c r="I2216"/>
      <c r="J2216"/>
      <c r="K2216"/>
      <c r="L2216"/>
    </row>
    <row r="2217" spans="2:12" ht="14.4" x14ac:dyDescent="0.3">
      <c r="B2217"/>
      <c r="C2217"/>
      <c r="D2217"/>
      <c r="E2217"/>
      <c r="F2217"/>
      <c r="H2217"/>
      <c r="I2217"/>
      <c r="J2217"/>
      <c r="K2217"/>
      <c r="L2217"/>
    </row>
    <row r="2218" spans="2:12" ht="14.4" x14ac:dyDescent="0.3">
      <c r="B2218"/>
      <c r="C2218"/>
      <c r="D2218"/>
      <c r="E2218"/>
      <c r="F2218"/>
      <c r="H2218"/>
      <c r="I2218"/>
      <c r="J2218"/>
      <c r="K2218"/>
      <c r="L2218"/>
    </row>
    <row r="2219" spans="2:12" ht="14.4" x14ac:dyDescent="0.3">
      <c r="B2219"/>
      <c r="C2219"/>
      <c r="D2219"/>
      <c r="E2219"/>
      <c r="F2219"/>
      <c r="H2219"/>
      <c r="I2219"/>
      <c r="J2219"/>
      <c r="K2219"/>
      <c r="L2219"/>
    </row>
    <row r="2220" spans="2:12" ht="14.4" x14ac:dyDescent="0.3">
      <c r="B2220"/>
      <c r="C2220"/>
      <c r="D2220"/>
      <c r="E2220"/>
      <c r="F2220"/>
      <c r="H2220"/>
      <c r="I2220"/>
      <c r="J2220"/>
      <c r="K2220"/>
      <c r="L2220"/>
    </row>
    <row r="2221" spans="2:12" ht="14.4" x14ac:dyDescent="0.3">
      <c r="B2221"/>
      <c r="C2221"/>
      <c r="D2221"/>
      <c r="E2221"/>
      <c r="F2221"/>
      <c r="H2221"/>
      <c r="I2221"/>
      <c r="J2221"/>
      <c r="K2221"/>
      <c r="L2221"/>
    </row>
    <row r="2222" spans="2:12" ht="14.4" x14ac:dyDescent="0.3">
      <c r="B2222"/>
      <c r="C2222"/>
      <c r="D2222"/>
      <c r="E2222"/>
      <c r="F2222"/>
      <c r="H2222"/>
      <c r="I2222"/>
      <c r="J2222"/>
      <c r="K2222"/>
      <c r="L2222"/>
    </row>
    <row r="2223" spans="2:12" ht="14.4" x14ac:dyDescent="0.3">
      <c r="B2223"/>
      <c r="C2223"/>
      <c r="D2223"/>
      <c r="E2223"/>
      <c r="F2223"/>
      <c r="H2223"/>
      <c r="I2223"/>
      <c r="J2223"/>
      <c r="K2223"/>
      <c r="L2223"/>
    </row>
    <row r="2224" spans="2:12" ht="14.4" x14ac:dyDescent="0.3">
      <c r="B2224"/>
      <c r="C2224"/>
      <c r="D2224"/>
      <c r="E2224"/>
      <c r="F2224"/>
      <c r="H2224"/>
      <c r="I2224"/>
      <c r="J2224"/>
      <c r="K2224"/>
      <c r="L2224"/>
    </row>
    <row r="2225" spans="2:12" ht="14.4" x14ac:dyDescent="0.3">
      <c r="B2225"/>
      <c r="C2225"/>
      <c r="D2225"/>
      <c r="E2225"/>
      <c r="F2225"/>
      <c r="H2225"/>
      <c r="I2225"/>
      <c r="J2225"/>
      <c r="K2225"/>
      <c r="L2225"/>
    </row>
    <row r="2226" spans="2:12" ht="14.4" x14ac:dyDescent="0.3">
      <c r="B2226"/>
      <c r="C2226"/>
      <c r="D2226"/>
      <c r="E2226"/>
      <c r="F2226"/>
      <c r="H2226"/>
      <c r="I2226"/>
      <c r="J2226"/>
      <c r="K2226"/>
      <c r="L2226"/>
    </row>
    <row r="2227" spans="2:12" ht="14.4" x14ac:dyDescent="0.3">
      <c r="B2227"/>
      <c r="C2227"/>
      <c r="D2227"/>
      <c r="E2227"/>
      <c r="F2227"/>
      <c r="H2227"/>
      <c r="I2227"/>
      <c r="J2227"/>
      <c r="K2227"/>
      <c r="L2227"/>
    </row>
    <row r="2228" spans="2:12" ht="14.4" x14ac:dyDescent="0.3">
      <c r="B2228"/>
      <c r="C2228"/>
      <c r="D2228"/>
      <c r="E2228"/>
      <c r="F2228"/>
      <c r="H2228"/>
      <c r="I2228"/>
      <c r="J2228"/>
      <c r="K2228"/>
      <c r="L2228"/>
    </row>
    <row r="2229" spans="2:12" ht="14.4" x14ac:dyDescent="0.3">
      <c r="B2229"/>
      <c r="C2229"/>
      <c r="D2229"/>
      <c r="E2229"/>
      <c r="F2229"/>
      <c r="H2229"/>
      <c r="I2229"/>
      <c r="J2229"/>
      <c r="K2229"/>
      <c r="L2229"/>
    </row>
    <row r="2230" spans="2:12" ht="14.4" x14ac:dyDescent="0.3">
      <c r="B2230"/>
      <c r="C2230"/>
      <c r="D2230"/>
      <c r="E2230"/>
      <c r="F2230"/>
      <c r="H2230"/>
      <c r="I2230"/>
      <c r="J2230"/>
      <c r="K2230"/>
      <c r="L2230"/>
    </row>
    <row r="2231" spans="2:12" ht="14.4" x14ac:dyDescent="0.3">
      <c r="B2231"/>
      <c r="C2231"/>
      <c r="D2231"/>
      <c r="E2231"/>
      <c r="F2231"/>
      <c r="H2231"/>
      <c r="I2231"/>
      <c r="J2231"/>
      <c r="K2231"/>
      <c r="L2231"/>
    </row>
    <row r="2232" spans="2:12" ht="14.4" x14ac:dyDescent="0.3">
      <c r="B2232"/>
      <c r="C2232"/>
      <c r="D2232"/>
      <c r="E2232"/>
      <c r="F2232"/>
      <c r="H2232"/>
      <c r="I2232"/>
      <c r="J2232"/>
      <c r="K2232"/>
      <c r="L2232"/>
    </row>
    <row r="2233" spans="2:12" ht="14.4" x14ac:dyDescent="0.3">
      <c r="B2233"/>
      <c r="C2233"/>
      <c r="D2233"/>
      <c r="E2233"/>
      <c r="F2233"/>
      <c r="H2233"/>
      <c r="I2233"/>
      <c r="J2233"/>
      <c r="K2233"/>
      <c r="L2233"/>
    </row>
    <row r="2234" spans="2:12" ht="14.4" x14ac:dyDescent="0.3">
      <c r="B2234"/>
      <c r="C2234"/>
      <c r="D2234"/>
      <c r="E2234"/>
      <c r="F2234"/>
      <c r="H2234"/>
      <c r="I2234"/>
      <c r="J2234"/>
      <c r="K2234"/>
      <c r="L2234"/>
    </row>
    <row r="2235" spans="2:12" ht="14.4" x14ac:dyDescent="0.3">
      <c r="B2235"/>
      <c r="C2235"/>
      <c r="D2235"/>
      <c r="E2235"/>
      <c r="F2235"/>
      <c r="H2235"/>
      <c r="I2235"/>
      <c r="J2235"/>
      <c r="K2235"/>
      <c r="L2235"/>
    </row>
    <row r="2236" spans="2:12" ht="14.4" x14ac:dyDescent="0.3">
      <c r="B2236"/>
      <c r="C2236"/>
      <c r="D2236"/>
      <c r="E2236"/>
      <c r="F2236"/>
      <c r="H2236"/>
      <c r="I2236"/>
      <c r="J2236"/>
      <c r="K2236"/>
      <c r="L2236"/>
    </row>
    <row r="2237" spans="2:12" ht="14.4" x14ac:dyDescent="0.3">
      <c r="B2237"/>
      <c r="C2237"/>
      <c r="D2237"/>
      <c r="E2237"/>
      <c r="F2237"/>
      <c r="H2237"/>
      <c r="I2237"/>
      <c r="J2237"/>
      <c r="K2237"/>
      <c r="L2237"/>
    </row>
    <row r="2238" spans="2:12" ht="14.4" x14ac:dyDescent="0.3">
      <c r="B2238"/>
      <c r="C2238"/>
      <c r="D2238"/>
      <c r="E2238"/>
      <c r="F2238"/>
      <c r="H2238"/>
      <c r="I2238"/>
      <c r="J2238"/>
      <c r="K2238"/>
      <c r="L2238"/>
    </row>
    <row r="2239" spans="2:12" ht="14.4" x14ac:dyDescent="0.3">
      <c r="B2239"/>
      <c r="C2239"/>
      <c r="D2239"/>
      <c r="E2239"/>
      <c r="F2239"/>
      <c r="H2239"/>
      <c r="I2239"/>
      <c r="J2239"/>
      <c r="K2239"/>
      <c r="L2239"/>
    </row>
    <row r="2240" spans="2:12" ht="14.4" x14ac:dyDescent="0.3">
      <c r="B2240"/>
      <c r="C2240"/>
      <c r="D2240"/>
      <c r="E2240"/>
      <c r="F2240"/>
      <c r="H2240"/>
      <c r="I2240"/>
      <c r="J2240"/>
      <c r="K2240"/>
      <c r="L2240"/>
    </row>
    <row r="2241" spans="2:12" ht="14.4" x14ac:dyDescent="0.3">
      <c r="B2241"/>
      <c r="C2241"/>
      <c r="D2241"/>
      <c r="E2241"/>
      <c r="F2241"/>
      <c r="H2241"/>
      <c r="I2241"/>
      <c r="J2241"/>
      <c r="K2241"/>
      <c r="L2241"/>
    </row>
    <row r="2242" spans="2:12" ht="14.4" x14ac:dyDescent="0.3">
      <c r="B2242"/>
      <c r="C2242"/>
      <c r="D2242"/>
      <c r="E2242"/>
      <c r="F2242"/>
      <c r="H2242"/>
      <c r="I2242"/>
      <c r="J2242"/>
      <c r="K2242"/>
      <c r="L2242"/>
    </row>
    <row r="2243" spans="2:12" ht="14.4" x14ac:dyDescent="0.3">
      <c r="B2243"/>
      <c r="C2243"/>
      <c r="D2243"/>
      <c r="E2243"/>
      <c r="F2243"/>
      <c r="H2243"/>
      <c r="I2243"/>
      <c r="J2243"/>
      <c r="K2243"/>
      <c r="L2243"/>
    </row>
    <row r="2244" spans="2:12" ht="14.4" x14ac:dyDescent="0.3">
      <c r="B2244"/>
      <c r="C2244"/>
      <c r="D2244"/>
      <c r="E2244"/>
      <c r="F2244"/>
      <c r="H2244"/>
      <c r="I2244"/>
      <c r="J2244"/>
      <c r="K2244"/>
      <c r="L2244"/>
    </row>
    <row r="2245" spans="2:12" ht="14.4" x14ac:dyDescent="0.3">
      <c r="B2245"/>
      <c r="C2245"/>
      <c r="D2245"/>
      <c r="E2245"/>
      <c r="F2245"/>
      <c r="H2245"/>
      <c r="I2245"/>
      <c r="J2245"/>
      <c r="K2245"/>
      <c r="L2245"/>
    </row>
    <row r="2246" spans="2:12" ht="14.4" x14ac:dyDescent="0.3">
      <c r="B2246"/>
      <c r="C2246"/>
      <c r="D2246"/>
      <c r="E2246"/>
      <c r="F2246"/>
      <c r="H2246"/>
      <c r="I2246"/>
      <c r="J2246"/>
      <c r="K2246"/>
      <c r="L2246"/>
    </row>
    <row r="2247" spans="2:12" ht="14.4" x14ac:dyDescent="0.3">
      <c r="B2247"/>
      <c r="C2247"/>
      <c r="D2247"/>
      <c r="E2247"/>
      <c r="F2247"/>
      <c r="H2247"/>
      <c r="I2247"/>
      <c r="J2247"/>
      <c r="K2247"/>
      <c r="L2247"/>
    </row>
    <row r="2248" spans="2:12" ht="14.4" x14ac:dyDescent="0.3">
      <c r="B2248"/>
      <c r="C2248"/>
      <c r="D2248"/>
      <c r="E2248"/>
      <c r="F2248"/>
      <c r="H2248"/>
      <c r="I2248"/>
      <c r="J2248"/>
      <c r="K2248"/>
      <c r="L2248"/>
    </row>
    <row r="2249" spans="2:12" ht="14.4" x14ac:dyDescent="0.3">
      <c r="B2249"/>
      <c r="C2249"/>
      <c r="D2249"/>
      <c r="E2249"/>
      <c r="F2249"/>
      <c r="H2249"/>
      <c r="I2249"/>
      <c r="J2249"/>
      <c r="K2249"/>
      <c r="L2249"/>
    </row>
    <row r="2250" spans="2:12" ht="14.4" x14ac:dyDescent="0.3">
      <c r="B2250"/>
      <c r="C2250"/>
      <c r="D2250"/>
      <c r="E2250"/>
      <c r="F2250"/>
      <c r="H2250"/>
      <c r="I2250"/>
      <c r="J2250"/>
      <c r="K2250"/>
      <c r="L2250"/>
    </row>
    <row r="2251" spans="2:12" ht="14.4" x14ac:dyDescent="0.3">
      <c r="B2251"/>
      <c r="C2251"/>
      <c r="D2251"/>
      <c r="E2251"/>
      <c r="F2251"/>
      <c r="H2251"/>
      <c r="I2251"/>
      <c r="J2251"/>
      <c r="K2251"/>
      <c r="L2251"/>
    </row>
    <row r="2252" spans="2:12" ht="14.4" x14ac:dyDescent="0.3">
      <c r="B2252"/>
      <c r="C2252"/>
      <c r="D2252"/>
      <c r="E2252"/>
      <c r="F2252"/>
      <c r="H2252"/>
      <c r="I2252"/>
      <c r="J2252"/>
      <c r="K2252"/>
      <c r="L2252"/>
    </row>
    <row r="2253" spans="2:12" ht="14.4" x14ac:dyDescent="0.3">
      <c r="B2253"/>
      <c r="C2253"/>
      <c r="D2253"/>
      <c r="E2253"/>
      <c r="F2253"/>
      <c r="H2253"/>
      <c r="I2253"/>
      <c r="J2253"/>
      <c r="K2253"/>
      <c r="L2253"/>
    </row>
    <row r="2254" spans="2:12" ht="14.4" x14ac:dyDescent="0.3">
      <c r="B2254"/>
      <c r="C2254"/>
      <c r="D2254"/>
      <c r="E2254"/>
      <c r="F2254"/>
      <c r="H2254"/>
      <c r="I2254"/>
      <c r="J2254"/>
      <c r="K2254"/>
      <c r="L2254"/>
    </row>
    <row r="2255" spans="2:12" ht="14.4" x14ac:dyDescent="0.3">
      <c r="B2255"/>
      <c r="C2255"/>
      <c r="D2255"/>
      <c r="E2255"/>
      <c r="F2255"/>
      <c r="H2255"/>
      <c r="I2255"/>
      <c r="J2255"/>
      <c r="K2255"/>
      <c r="L2255"/>
    </row>
    <row r="2256" spans="2:12" ht="14.4" x14ac:dyDescent="0.3">
      <c r="B2256"/>
      <c r="C2256"/>
      <c r="D2256"/>
      <c r="E2256"/>
      <c r="F2256"/>
      <c r="H2256"/>
      <c r="I2256"/>
      <c r="J2256"/>
      <c r="K2256"/>
      <c r="L2256"/>
    </row>
    <row r="2257" spans="2:12" ht="14.4" x14ac:dyDescent="0.3">
      <c r="B2257"/>
      <c r="C2257"/>
      <c r="D2257"/>
      <c r="E2257"/>
      <c r="F2257"/>
      <c r="H2257"/>
      <c r="I2257"/>
      <c r="J2257"/>
      <c r="K2257"/>
      <c r="L2257"/>
    </row>
    <row r="2258" spans="2:12" ht="14.4" x14ac:dyDescent="0.3">
      <c r="B2258"/>
      <c r="C2258"/>
      <c r="D2258"/>
      <c r="E2258"/>
      <c r="F2258"/>
      <c r="H2258"/>
      <c r="I2258"/>
      <c r="J2258"/>
      <c r="K2258"/>
      <c r="L2258"/>
    </row>
    <row r="2259" spans="2:12" ht="14.4" x14ac:dyDescent="0.3">
      <c r="B2259"/>
      <c r="C2259"/>
      <c r="D2259"/>
      <c r="E2259"/>
      <c r="F2259"/>
      <c r="H2259"/>
      <c r="I2259"/>
      <c r="J2259"/>
      <c r="K2259"/>
      <c r="L2259"/>
    </row>
    <row r="2260" spans="2:12" ht="14.4" x14ac:dyDescent="0.3">
      <c r="B2260"/>
      <c r="C2260"/>
      <c r="D2260"/>
      <c r="E2260"/>
      <c r="F2260"/>
      <c r="H2260"/>
      <c r="I2260"/>
      <c r="J2260"/>
      <c r="K2260"/>
      <c r="L2260"/>
    </row>
    <row r="2261" spans="2:12" ht="14.4" x14ac:dyDescent="0.3">
      <c r="B2261"/>
      <c r="C2261"/>
      <c r="D2261"/>
      <c r="E2261"/>
      <c r="F2261"/>
      <c r="H2261"/>
      <c r="I2261"/>
      <c r="J2261"/>
      <c r="K2261"/>
      <c r="L2261"/>
    </row>
    <row r="2262" spans="2:12" ht="14.4" x14ac:dyDescent="0.3">
      <c r="B2262"/>
      <c r="C2262"/>
      <c r="D2262"/>
      <c r="E2262"/>
      <c r="F2262"/>
      <c r="H2262"/>
      <c r="I2262"/>
      <c r="J2262"/>
      <c r="K2262"/>
      <c r="L2262"/>
    </row>
    <row r="2263" spans="2:12" ht="14.4" x14ac:dyDescent="0.3">
      <c r="B2263"/>
      <c r="C2263"/>
      <c r="D2263"/>
      <c r="E2263"/>
      <c r="F2263"/>
      <c r="H2263"/>
      <c r="I2263"/>
      <c r="J2263"/>
      <c r="K2263"/>
      <c r="L2263"/>
    </row>
    <row r="2264" spans="2:12" ht="14.4" x14ac:dyDescent="0.3">
      <c r="B2264"/>
      <c r="C2264"/>
      <c r="D2264"/>
      <c r="E2264"/>
      <c r="F2264"/>
      <c r="H2264"/>
      <c r="I2264"/>
      <c r="J2264"/>
      <c r="K2264"/>
      <c r="L2264"/>
    </row>
    <row r="2265" spans="2:12" ht="14.4" x14ac:dyDescent="0.3">
      <c r="B2265"/>
      <c r="C2265"/>
      <c r="D2265"/>
      <c r="E2265"/>
      <c r="F2265"/>
      <c r="H2265"/>
      <c r="I2265"/>
      <c r="J2265"/>
      <c r="K2265"/>
      <c r="L2265"/>
    </row>
    <row r="2266" spans="2:12" ht="14.4" x14ac:dyDescent="0.3">
      <c r="B2266"/>
      <c r="C2266"/>
      <c r="D2266"/>
      <c r="E2266"/>
      <c r="F2266"/>
      <c r="H2266"/>
      <c r="I2266"/>
      <c r="J2266"/>
      <c r="K2266"/>
      <c r="L2266"/>
    </row>
    <row r="2267" spans="2:12" ht="14.4" x14ac:dyDescent="0.3">
      <c r="B2267"/>
      <c r="C2267"/>
      <c r="D2267"/>
      <c r="E2267"/>
      <c r="F2267"/>
      <c r="H2267"/>
      <c r="I2267"/>
      <c r="J2267"/>
      <c r="K2267"/>
      <c r="L2267"/>
    </row>
    <row r="2268" spans="2:12" ht="14.4" x14ac:dyDescent="0.3">
      <c r="B2268"/>
      <c r="C2268"/>
      <c r="D2268"/>
      <c r="E2268"/>
      <c r="F2268"/>
      <c r="H2268"/>
      <c r="I2268"/>
      <c r="J2268"/>
      <c r="K2268"/>
      <c r="L2268"/>
    </row>
    <row r="2269" spans="2:12" ht="14.4" x14ac:dyDescent="0.3">
      <c r="B2269"/>
      <c r="C2269"/>
      <c r="D2269"/>
      <c r="E2269"/>
      <c r="F2269"/>
      <c r="H2269"/>
      <c r="I2269"/>
      <c r="J2269"/>
      <c r="K2269"/>
      <c r="L2269"/>
    </row>
    <row r="2270" spans="2:12" ht="14.4" x14ac:dyDescent="0.3">
      <c r="B2270"/>
      <c r="C2270"/>
      <c r="D2270"/>
      <c r="E2270"/>
      <c r="F2270"/>
      <c r="H2270"/>
      <c r="I2270"/>
      <c r="J2270"/>
      <c r="K2270"/>
      <c r="L2270"/>
    </row>
    <row r="2271" spans="2:12" ht="14.4" x14ac:dyDescent="0.3">
      <c r="B2271"/>
      <c r="C2271"/>
      <c r="D2271"/>
      <c r="E2271"/>
      <c r="F2271"/>
      <c r="H2271"/>
      <c r="I2271"/>
      <c r="J2271"/>
      <c r="K2271"/>
      <c r="L2271"/>
    </row>
    <row r="2272" spans="2:12" ht="14.4" x14ac:dyDescent="0.3">
      <c r="B2272"/>
      <c r="C2272"/>
      <c r="D2272"/>
      <c r="E2272"/>
      <c r="F2272"/>
      <c r="H2272"/>
      <c r="I2272"/>
      <c r="J2272"/>
      <c r="K2272"/>
      <c r="L2272"/>
    </row>
    <row r="2273" spans="2:12" ht="14.4" x14ac:dyDescent="0.3">
      <c r="B2273"/>
      <c r="C2273"/>
      <c r="D2273"/>
      <c r="E2273"/>
      <c r="F2273"/>
      <c r="H2273"/>
      <c r="I2273"/>
      <c r="J2273"/>
      <c r="K2273"/>
      <c r="L2273"/>
    </row>
    <row r="2274" spans="2:12" ht="14.4" x14ac:dyDescent="0.3">
      <c r="B2274"/>
      <c r="C2274"/>
      <c r="D2274"/>
      <c r="E2274"/>
      <c r="F2274"/>
      <c r="H2274"/>
      <c r="I2274"/>
      <c r="J2274"/>
      <c r="K2274"/>
      <c r="L2274"/>
    </row>
    <row r="2275" spans="2:12" ht="14.4" x14ac:dyDescent="0.3">
      <c r="B2275"/>
      <c r="C2275"/>
      <c r="D2275"/>
      <c r="E2275"/>
      <c r="F2275"/>
      <c r="H2275"/>
      <c r="I2275"/>
      <c r="J2275"/>
      <c r="K2275"/>
      <c r="L2275"/>
    </row>
    <row r="2276" spans="2:12" ht="14.4" x14ac:dyDescent="0.3">
      <c r="B2276"/>
      <c r="C2276"/>
      <c r="D2276"/>
      <c r="E2276"/>
      <c r="F2276"/>
      <c r="H2276"/>
      <c r="I2276"/>
      <c r="J2276"/>
      <c r="K2276"/>
      <c r="L2276"/>
    </row>
    <row r="2277" spans="2:12" ht="14.4" x14ac:dyDescent="0.3">
      <c r="B2277"/>
      <c r="C2277"/>
      <c r="D2277"/>
      <c r="E2277"/>
      <c r="F2277"/>
      <c r="H2277"/>
      <c r="I2277"/>
      <c r="J2277"/>
      <c r="K2277"/>
      <c r="L2277"/>
    </row>
    <row r="2278" spans="2:12" ht="14.4" x14ac:dyDescent="0.3">
      <c r="B2278"/>
      <c r="C2278"/>
      <c r="D2278"/>
      <c r="E2278"/>
      <c r="F2278"/>
      <c r="H2278"/>
      <c r="I2278"/>
      <c r="J2278"/>
      <c r="K2278"/>
      <c r="L2278"/>
    </row>
    <row r="2279" spans="2:12" ht="14.4" x14ac:dyDescent="0.3">
      <c r="B2279"/>
      <c r="C2279"/>
      <c r="D2279"/>
      <c r="E2279"/>
      <c r="F2279"/>
      <c r="H2279"/>
      <c r="I2279"/>
      <c r="J2279"/>
      <c r="K2279"/>
      <c r="L2279"/>
    </row>
    <row r="2280" spans="2:12" ht="14.4" x14ac:dyDescent="0.3">
      <c r="B2280"/>
      <c r="C2280"/>
      <c r="D2280"/>
      <c r="E2280"/>
      <c r="F2280"/>
      <c r="H2280"/>
      <c r="I2280"/>
      <c r="J2280"/>
      <c r="K2280"/>
      <c r="L2280"/>
    </row>
    <row r="2281" spans="2:12" ht="14.4" x14ac:dyDescent="0.3">
      <c r="B2281"/>
      <c r="C2281"/>
      <c r="D2281"/>
      <c r="E2281"/>
      <c r="F2281"/>
      <c r="H2281"/>
      <c r="I2281"/>
      <c r="J2281"/>
      <c r="K2281"/>
      <c r="L2281"/>
    </row>
    <row r="2282" spans="2:12" ht="14.4" x14ac:dyDescent="0.3">
      <c r="B2282"/>
      <c r="C2282"/>
      <c r="D2282"/>
      <c r="E2282"/>
      <c r="F2282"/>
      <c r="H2282"/>
      <c r="I2282"/>
      <c r="J2282"/>
      <c r="K2282"/>
      <c r="L2282"/>
    </row>
    <row r="2283" spans="2:12" ht="14.4" x14ac:dyDescent="0.3">
      <c r="B2283"/>
      <c r="C2283"/>
      <c r="D2283"/>
      <c r="E2283"/>
      <c r="F2283"/>
      <c r="H2283"/>
      <c r="I2283"/>
      <c r="J2283"/>
      <c r="K2283"/>
      <c r="L2283"/>
    </row>
    <row r="2284" spans="2:12" ht="14.4" x14ac:dyDescent="0.3">
      <c r="B2284"/>
      <c r="C2284"/>
      <c r="D2284"/>
      <c r="E2284"/>
      <c r="F2284"/>
      <c r="H2284"/>
      <c r="I2284"/>
      <c r="J2284"/>
      <c r="K2284"/>
      <c r="L2284"/>
    </row>
    <row r="2285" spans="2:12" ht="14.4" x14ac:dyDescent="0.3">
      <c r="B2285"/>
      <c r="C2285"/>
      <c r="D2285"/>
      <c r="E2285"/>
      <c r="F2285"/>
      <c r="H2285"/>
      <c r="I2285"/>
      <c r="J2285"/>
      <c r="K2285"/>
      <c r="L2285"/>
    </row>
    <row r="2286" spans="2:12" ht="14.4" x14ac:dyDescent="0.3">
      <c r="B2286"/>
      <c r="C2286"/>
      <c r="D2286"/>
      <c r="E2286"/>
      <c r="F2286"/>
      <c r="H2286"/>
      <c r="I2286"/>
      <c r="J2286"/>
      <c r="K2286"/>
      <c r="L2286"/>
    </row>
    <row r="2287" spans="2:12" ht="14.4" x14ac:dyDescent="0.3">
      <c r="B2287"/>
      <c r="C2287"/>
      <c r="D2287"/>
      <c r="E2287"/>
      <c r="F2287"/>
      <c r="H2287"/>
      <c r="I2287"/>
      <c r="J2287"/>
      <c r="K2287"/>
      <c r="L2287"/>
    </row>
    <row r="2288" spans="2:12" ht="14.4" x14ac:dyDescent="0.3">
      <c r="B2288"/>
      <c r="C2288"/>
      <c r="D2288"/>
      <c r="E2288"/>
      <c r="F2288"/>
      <c r="H2288"/>
      <c r="I2288"/>
      <c r="J2288"/>
      <c r="K2288"/>
      <c r="L2288"/>
    </row>
    <row r="2289" spans="2:12" ht="14.4" x14ac:dyDescent="0.3">
      <c r="B2289"/>
      <c r="C2289"/>
      <c r="D2289"/>
      <c r="E2289"/>
      <c r="F2289"/>
      <c r="H2289"/>
      <c r="I2289"/>
      <c r="J2289"/>
      <c r="K2289"/>
      <c r="L2289"/>
    </row>
    <row r="2290" spans="2:12" ht="14.4" x14ac:dyDescent="0.3">
      <c r="B2290"/>
      <c r="C2290"/>
      <c r="D2290"/>
      <c r="E2290"/>
      <c r="F2290"/>
      <c r="H2290"/>
      <c r="I2290"/>
      <c r="J2290"/>
      <c r="K2290"/>
      <c r="L2290"/>
    </row>
    <row r="2291" spans="2:12" ht="14.4" x14ac:dyDescent="0.3">
      <c r="B2291"/>
      <c r="C2291"/>
      <c r="D2291"/>
      <c r="E2291"/>
      <c r="F2291"/>
      <c r="H2291"/>
      <c r="I2291"/>
      <c r="J2291"/>
      <c r="K2291"/>
      <c r="L2291"/>
    </row>
    <row r="2292" spans="2:12" ht="14.4" x14ac:dyDescent="0.3">
      <c r="B2292"/>
      <c r="C2292"/>
      <c r="D2292"/>
      <c r="E2292"/>
      <c r="F2292"/>
      <c r="H2292"/>
      <c r="I2292"/>
      <c r="J2292"/>
      <c r="K2292"/>
      <c r="L2292"/>
    </row>
    <row r="2293" spans="2:12" ht="14.4" x14ac:dyDescent="0.3">
      <c r="B2293"/>
      <c r="C2293"/>
      <c r="D2293"/>
      <c r="E2293"/>
      <c r="F2293"/>
      <c r="H2293"/>
      <c r="I2293"/>
      <c r="J2293"/>
      <c r="K2293"/>
      <c r="L2293"/>
    </row>
    <row r="2294" spans="2:12" ht="14.4" x14ac:dyDescent="0.3">
      <c r="B2294"/>
      <c r="C2294"/>
      <c r="D2294"/>
      <c r="E2294"/>
      <c r="F2294"/>
      <c r="H2294"/>
      <c r="I2294"/>
      <c r="J2294"/>
      <c r="K2294"/>
      <c r="L2294"/>
    </row>
    <row r="2295" spans="2:12" ht="14.4" x14ac:dyDescent="0.3">
      <c r="B2295"/>
      <c r="C2295"/>
      <c r="D2295"/>
      <c r="E2295"/>
      <c r="F2295"/>
      <c r="H2295"/>
      <c r="I2295"/>
      <c r="J2295"/>
      <c r="K2295"/>
      <c r="L2295"/>
    </row>
    <row r="2296" spans="2:12" ht="14.4" x14ac:dyDescent="0.3">
      <c r="B2296"/>
      <c r="C2296"/>
      <c r="D2296"/>
      <c r="E2296"/>
      <c r="F2296"/>
      <c r="H2296"/>
      <c r="I2296"/>
      <c r="J2296"/>
      <c r="K2296"/>
      <c r="L2296"/>
    </row>
    <row r="2297" spans="2:12" ht="14.4" x14ac:dyDescent="0.3">
      <c r="B2297"/>
      <c r="C2297"/>
      <c r="D2297"/>
      <c r="E2297"/>
      <c r="F2297"/>
      <c r="H2297"/>
      <c r="I2297"/>
      <c r="J2297"/>
      <c r="K2297"/>
      <c r="L2297"/>
    </row>
    <row r="2298" spans="2:12" ht="14.4" x14ac:dyDescent="0.3">
      <c r="B2298"/>
      <c r="C2298"/>
      <c r="D2298"/>
      <c r="E2298"/>
      <c r="F2298"/>
      <c r="H2298"/>
      <c r="I2298"/>
      <c r="J2298"/>
      <c r="K2298"/>
      <c r="L2298"/>
    </row>
    <row r="2299" spans="2:12" ht="14.4" x14ac:dyDescent="0.3">
      <c r="B2299"/>
      <c r="C2299"/>
      <c r="D2299"/>
      <c r="E2299"/>
      <c r="F2299"/>
      <c r="H2299"/>
      <c r="I2299"/>
      <c r="J2299"/>
      <c r="K2299"/>
      <c r="L2299"/>
    </row>
    <row r="2300" spans="2:12" ht="14.4" x14ac:dyDescent="0.3">
      <c r="B2300"/>
      <c r="C2300"/>
      <c r="D2300"/>
      <c r="E2300"/>
      <c r="F2300"/>
      <c r="H2300"/>
      <c r="I2300"/>
      <c r="J2300"/>
      <c r="K2300"/>
      <c r="L2300"/>
    </row>
    <row r="2301" spans="2:12" ht="14.4" x14ac:dyDescent="0.3">
      <c r="B2301"/>
      <c r="C2301"/>
      <c r="D2301"/>
      <c r="E2301"/>
      <c r="F2301"/>
      <c r="H2301"/>
      <c r="I2301"/>
      <c r="J2301"/>
      <c r="K2301"/>
      <c r="L2301"/>
    </row>
    <row r="2302" spans="2:12" ht="14.4" x14ac:dyDescent="0.3">
      <c r="B2302"/>
      <c r="C2302"/>
      <c r="D2302"/>
      <c r="E2302"/>
      <c r="F2302"/>
      <c r="H2302"/>
      <c r="I2302"/>
      <c r="J2302"/>
      <c r="K2302"/>
      <c r="L2302"/>
    </row>
    <row r="2303" spans="2:12" ht="14.4" x14ac:dyDescent="0.3">
      <c r="B2303"/>
      <c r="C2303"/>
      <c r="D2303"/>
      <c r="E2303"/>
      <c r="F2303"/>
      <c r="H2303"/>
      <c r="I2303"/>
      <c r="J2303"/>
      <c r="K2303"/>
      <c r="L2303"/>
    </row>
    <row r="2304" spans="2:12" ht="14.4" x14ac:dyDescent="0.3">
      <c r="B2304"/>
      <c r="C2304"/>
      <c r="D2304"/>
      <c r="E2304"/>
      <c r="F2304"/>
      <c r="H2304"/>
      <c r="I2304"/>
      <c r="J2304"/>
      <c r="K2304"/>
      <c r="L2304"/>
    </row>
    <row r="2305" spans="2:12" ht="14.4" x14ac:dyDescent="0.3">
      <c r="B2305"/>
      <c r="C2305"/>
      <c r="D2305"/>
      <c r="E2305"/>
      <c r="F2305"/>
      <c r="H2305"/>
      <c r="I2305"/>
      <c r="J2305"/>
      <c r="K2305"/>
      <c r="L2305"/>
    </row>
    <row r="2306" spans="2:12" ht="14.4" x14ac:dyDescent="0.3">
      <c r="B2306"/>
      <c r="C2306"/>
      <c r="D2306"/>
      <c r="E2306"/>
      <c r="F2306"/>
      <c r="H2306"/>
      <c r="I2306"/>
      <c r="J2306"/>
      <c r="K2306"/>
      <c r="L2306"/>
    </row>
    <row r="2307" spans="2:12" ht="14.4" x14ac:dyDescent="0.3">
      <c r="B2307"/>
      <c r="C2307"/>
      <c r="D2307"/>
      <c r="E2307"/>
      <c r="F2307"/>
      <c r="H2307"/>
      <c r="I2307"/>
      <c r="J2307"/>
      <c r="K2307"/>
      <c r="L2307"/>
    </row>
    <row r="2308" spans="2:12" ht="14.4" x14ac:dyDescent="0.3">
      <c r="B2308"/>
      <c r="C2308"/>
      <c r="D2308"/>
      <c r="E2308"/>
      <c r="F2308"/>
      <c r="H2308"/>
      <c r="I2308"/>
      <c r="J2308"/>
      <c r="K2308"/>
      <c r="L2308"/>
    </row>
    <row r="2309" spans="2:12" ht="14.4" x14ac:dyDescent="0.3">
      <c r="B2309"/>
      <c r="C2309"/>
      <c r="D2309"/>
      <c r="E2309"/>
      <c r="F2309"/>
      <c r="H2309"/>
      <c r="I2309"/>
      <c r="J2309"/>
      <c r="K2309"/>
      <c r="L2309"/>
    </row>
    <row r="2310" spans="2:12" ht="14.4" x14ac:dyDescent="0.3">
      <c r="B2310"/>
      <c r="C2310"/>
      <c r="D2310"/>
      <c r="E2310"/>
      <c r="F2310"/>
      <c r="H2310"/>
      <c r="I2310"/>
      <c r="J2310"/>
      <c r="K2310"/>
      <c r="L2310"/>
    </row>
    <row r="2311" spans="2:12" ht="14.4" x14ac:dyDescent="0.3">
      <c r="B2311"/>
      <c r="C2311"/>
      <c r="D2311"/>
      <c r="E2311"/>
      <c r="F2311"/>
      <c r="H2311"/>
      <c r="I2311"/>
      <c r="J2311"/>
      <c r="K2311"/>
      <c r="L2311"/>
    </row>
    <row r="2312" spans="2:12" ht="14.4" x14ac:dyDescent="0.3">
      <c r="B2312"/>
      <c r="C2312"/>
      <c r="D2312"/>
      <c r="E2312"/>
      <c r="F2312"/>
      <c r="H2312"/>
      <c r="I2312"/>
      <c r="J2312"/>
      <c r="K2312"/>
      <c r="L2312"/>
    </row>
    <row r="2313" spans="2:12" ht="14.4" x14ac:dyDescent="0.3">
      <c r="B2313"/>
      <c r="C2313"/>
      <c r="D2313"/>
      <c r="E2313"/>
      <c r="F2313"/>
      <c r="H2313"/>
      <c r="I2313"/>
      <c r="J2313"/>
      <c r="K2313"/>
      <c r="L2313"/>
    </row>
    <row r="2314" spans="2:12" ht="14.4" x14ac:dyDescent="0.3">
      <c r="B2314"/>
      <c r="C2314"/>
      <c r="D2314"/>
      <c r="E2314"/>
      <c r="F2314"/>
      <c r="H2314"/>
      <c r="I2314"/>
      <c r="J2314"/>
      <c r="K2314"/>
      <c r="L2314"/>
    </row>
    <row r="2315" spans="2:12" ht="14.4" x14ac:dyDescent="0.3">
      <c r="B2315"/>
      <c r="C2315"/>
      <c r="D2315"/>
      <c r="E2315"/>
      <c r="F2315"/>
      <c r="H2315"/>
      <c r="I2315"/>
      <c r="J2315"/>
      <c r="K2315"/>
      <c r="L2315"/>
    </row>
    <row r="2316" spans="2:12" ht="14.4" x14ac:dyDescent="0.3">
      <c r="B2316"/>
      <c r="C2316"/>
      <c r="D2316"/>
      <c r="E2316"/>
      <c r="F2316"/>
      <c r="H2316"/>
      <c r="I2316"/>
      <c r="J2316"/>
      <c r="K2316"/>
      <c r="L2316"/>
    </row>
    <row r="2317" spans="2:12" ht="14.4" x14ac:dyDescent="0.3">
      <c r="B2317"/>
      <c r="C2317"/>
      <c r="D2317"/>
      <c r="E2317"/>
      <c r="F2317"/>
      <c r="H2317"/>
      <c r="I2317"/>
      <c r="J2317"/>
      <c r="K2317"/>
      <c r="L2317"/>
    </row>
    <row r="2318" spans="2:12" ht="14.4" x14ac:dyDescent="0.3">
      <c r="B2318"/>
      <c r="C2318"/>
      <c r="D2318"/>
      <c r="E2318"/>
      <c r="F2318"/>
      <c r="H2318"/>
      <c r="I2318"/>
      <c r="J2318"/>
      <c r="K2318"/>
      <c r="L2318"/>
    </row>
    <row r="2319" spans="2:12" ht="14.4" x14ac:dyDescent="0.3">
      <c r="B2319"/>
      <c r="C2319"/>
      <c r="D2319"/>
      <c r="E2319"/>
      <c r="F2319"/>
      <c r="H2319"/>
      <c r="I2319"/>
      <c r="J2319"/>
      <c r="K2319"/>
      <c r="L2319"/>
    </row>
    <row r="2320" spans="2:12" ht="14.4" x14ac:dyDescent="0.3">
      <c r="B2320"/>
      <c r="C2320"/>
      <c r="D2320"/>
      <c r="E2320"/>
      <c r="F2320"/>
      <c r="H2320"/>
      <c r="I2320"/>
      <c r="J2320"/>
      <c r="K2320"/>
      <c r="L2320"/>
    </row>
    <row r="2321" spans="2:12" ht="14.4" x14ac:dyDescent="0.3">
      <c r="B2321"/>
      <c r="C2321"/>
      <c r="D2321"/>
      <c r="E2321"/>
      <c r="F2321"/>
      <c r="H2321"/>
      <c r="I2321"/>
      <c r="J2321"/>
      <c r="K2321"/>
      <c r="L2321"/>
    </row>
    <row r="2322" spans="2:12" ht="14.4" x14ac:dyDescent="0.3">
      <c r="B2322"/>
      <c r="C2322"/>
      <c r="D2322"/>
      <c r="E2322"/>
      <c r="F2322"/>
      <c r="H2322"/>
      <c r="I2322"/>
      <c r="J2322"/>
      <c r="K2322"/>
      <c r="L2322"/>
    </row>
    <row r="2323" spans="2:12" ht="14.4" x14ac:dyDescent="0.3">
      <c r="B2323"/>
      <c r="C2323"/>
      <c r="D2323"/>
      <c r="E2323"/>
      <c r="F2323"/>
      <c r="H2323"/>
      <c r="I2323"/>
      <c r="J2323"/>
      <c r="K2323"/>
      <c r="L2323"/>
    </row>
    <row r="2324" spans="2:12" ht="14.4" x14ac:dyDescent="0.3">
      <c r="B2324"/>
      <c r="C2324"/>
      <c r="D2324"/>
      <c r="E2324"/>
      <c r="F2324"/>
      <c r="H2324"/>
      <c r="I2324"/>
      <c r="J2324"/>
      <c r="K2324"/>
      <c r="L2324"/>
    </row>
    <row r="2325" spans="2:12" ht="14.4" x14ac:dyDescent="0.3">
      <c r="B2325"/>
      <c r="C2325"/>
      <c r="D2325"/>
      <c r="E2325"/>
      <c r="F2325"/>
      <c r="H2325"/>
      <c r="I2325"/>
      <c r="J2325"/>
      <c r="K2325"/>
      <c r="L2325"/>
    </row>
    <row r="2326" spans="2:12" ht="14.4" x14ac:dyDescent="0.3">
      <c r="B2326"/>
      <c r="C2326"/>
      <c r="D2326"/>
      <c r="E2326"/>
      <c r="F2326"/>
      <c r="H2326"/>
      <c r="I2326"/>
      <c r="J2326"/>
      <c r="K2326"/>
      <c r="L2326"/>
    </row>
    <row r="2327" spans="2:12" ht="14.4" x14ac:dyDescent="0.3">
      <c r="B2327"/>
      <c r="C2327"/>
      <c r="D2327"/>
      <c r="E2327"/>
      <c r="F2327"/>
      <c r="H2327"/>
      <c r="I2327"/>
      <c r="J2327"/>
      <c r="K2327"/>
      <c r="L2327"/>
    </row>
    <row r="2328" spans="2:12" ht="14.4" x14ac:dyDescent="0.3">
      <c r="B2328"/>
      <c r="C2328"/>
      <c r="D2328"/>
      <c r="E2328"/>
      <c r="F2328"/>
      <c r="H2328"/>
      <c r="I2328"/>
      <c r="J2328"/>
      <c r="K2328"/>
      <c r="L2328"/>
    </row>
    <row r="2329" spans="2:12" ht="14.4" x14ac:dyDescent="0.3">
      <c r="B2329"/>
      <c r="C2329"/>
      <c r="D2329"/>
      <c r="E2329"/>
      <c r="F2329"/>
      <c r="H2329"/>
      <c r="I2329"/>
      <c r="J2329"/>
      <c r="K2329"/>
      <c r="L2329"/>
    </row>
    <row r="2330" spans="2:12" ht="14.4" x14ac:dyDescent="0.3">
      <c r="B2330"/>
      <c r="C2330"/>
      <c r="D2330"/>
      <c r="E2330"/>
      <c r="F2330"/>
      <c r="H2330"/>
      <c r="I2330"/>
      <c r="J2330"/>
      <c r="K2330"/>
      <c r="L2330"/>
    </row>
    <row r="2331" spans="2:12" ht="14.4" x14ac:dyDescent="0.3">
      <c r="B2331"/>
      <c r="C2331"/>
      <c r="D2331"/>
      <c r="E2331"/>
      <c r="F2331"/>
      <c r="H2331"/>
      <c r="I2331"/>
      <c r="J2331"/>
      <c r="K2331"/>
      <c r="L2331"/>
    </row>
    <row r="2332" spans="2:12" ht="14.4" x14ac:dyDescent="0.3">
      <c r="B2332"/>
      <c r="C2332"/>
      <c r="D2332"/>
      <c r="E2332"/>
      <c r="F2332"/>
      <c r="H2332"/>
      <c r="I2332"/>
      <c r="J2332"/>
      <c r="K2332"/>
      <c r="L2332"/>
    </row>
    <row r="2333" spans="2:12" ht="14.4" x14ac:dyDescent="0.3">
      <c r="B2333"/>
      <c r="C2333"/>
      <c r="D2333"/>
      <c r="E2333"/>
      <c r="F2333"/>
      <c r="H2333"/>
      <c r="I2333"/>
      <c r="J2333"/>
      <c r="K2333"/>
      <c r="L2333"/>
    </row>
    <row r="2334" spans="2:12" ht="14.4" x14ac:dyDescent="0.3">
      <c r="B2334"/>
      <c r="C2334"/>
      <c r="D2334"/>
      <c r="E2334"/>
      <c r="F2334"/>
      <c r="H2334"/>
      <c r="I2334"/>
      <c r="J2334"/>
      <c r="K2334"/>
      <c r="L2334"/>
    </row>
    <row r="2335" spans="2:12" ht="14.4" x14ac:dyDescent="0.3">
      <c r="B2335"/>
      <c r="C2335"/>
      <c r="D2335"/>
      <c r="E2335"/>
      <c r="F2335"/>
      <c r="H2335"/>
      <c r="I2335"/>
      <c r="J2335"/>
      <c r="K2335"/>
      <c r="L2335"/>
    </row>
    <row r="2336" spans="2:12" ht="14.4" x14ac:dyDescent="0.3">
      <c r="B2336"/>
      <c r="C2336"/>
      <c r="D2336"/>
      <c r="E2336"/>
      <c r="F2336"/>
      <c r="H2336"/>
      <c r="I2336"/>
      <c r="J2336"/>
      <c r="K2336"/>
      <c r="L2336"/>
    </row>
    <row r="2337" spans="2:12" ht="14.4" x14ac:dyDescent="0.3">
      <c r="B2337"/>
      <c r="C2337"/>
      <c r="D2337"/>
      <c r="E2337"/>
      <c r="F2337"/>
      <c r="H2337"/>
      <c r="I2337"/>
      <c r="J2337"/>
      <c r="K2337"/>
      <c r="L2337"/>
    </row>
    <row r="2338" spans="2:12" ht="14.4" x14ac:dyDescent="0.3">
      <c r="B2338"/>
      <c r="C2338"/>
      <c r="D2338"/>
      <c r="E2338"/>
      <c r="F2338"/>
      <c r="H2338"/>
      <c r="I2338"/>
      <c r="J2338"/>
      <c r="K2338"/>
      <c r="L2338"/>
    </row>
    <row r="2339" spans="2:12" ht="14.4" x14ac:dyDescent="0.3">
      <c r="B2339"/>
      <c r="C2339"/>
      <c r="D2339"/>
      <c r="E2339"/>
      <c r="F2339"/>
      <c r="H2339"/>
      <c r="I2339"/>
      <c r="J2339"/>
      <c r="K2339"/>
      <c r="L2339"/>
    </row>
    <row r="2340" spans="2:12" ht="14.4" x14ac:dyDescent="0.3">
      <c r="B2340"/>
      <c r="C2340"/>
      <c r="D2340"/>
      <c r="E2340"/>
      <c r="F2340"/>
      <c r="H2340"/>
      <c r="I2340"/>
      <c r="J2340"/>
      <c r="K2340"/>
      <c r="L2340"/>
    </row>
    <row r="2341" spans="2:12" ht="14.4" x14ac:dyDescent="0.3">
      <c r="B2341"/>
      <c r="C2341"/>
      <c r="D2341"/>
      <c r="E2341"/>
      <c r="F2341"/>
      <c r="H2341"/>
      <c r="I2341"/>
      <c r="J2341"/>
      <c r="K2341"/>
      <c r="L2341"/>
    </row>
    <row r="2342" spans="2:12" ht="14.4" x14ac:dyDescent="0.3">
      <c r="B2342"/>
      <c r="C2342"/>
      <c r="D2342"/>
      <c r="E2342"/>
      <c r="F2342"/>
      <c r="H2342"/>
      <c r="I2342"/>
      <c r="J2342"/>
      <c r="K2342"/>
      <c r="L2342"/>
    </row>
    <row r="2343" spans="2:12" ht="14.4" x14ac:dyDescent="0.3">
      <c r="B2343"/>
      <c r="C2343"/>
      <c r="D2343"/>
      <c r="E2343"/>
      <c r="F2343"/>
      <c r="H2343"/>
      <c r="I2343"/>
      <c r="J2343"/>
      <c r="K2343"/>
      <c r="L2343"/>
    </row>
    <row r="2344" spans="2:12" ht="14.4" x14ac:dyDescent="0.3">
      <c r="B2344"/>
      <c r="C2344"/>
      <c r="D2344"/>
      <c r="E2344"/>
      <c r="F2344"/>
      <c r="H2344"/>
      <c r="I2344"/>
      <c r="J2344"/>
      <c r="K2344"/>
      <c r="L2344"/>
    </row>
    <row r="2345" spans="2:12" ht="14.4" x14ac:dyDescent="0.3">
      <c r="B2345"/>
      <c r="C2345"/>
      <c r="D2345"/>
      <c r="E2345"/>
      <c r="F2345"/>
      <c r="H2345"/>
      <c r="I2345"/>
      <c r="J2345"/>
      <c r="K2345"/>
      <c r="L2345"/>
    </row>
    <row r="2346" spans="2:12" ht="14.4" x14ac:dyDescent="0.3">
      <c r="B2346"/>
      <c r="C2346"/>
      <c r="D2346"/>
      <c r="E2346"/>
      <c r="F2346"/>
      <c r="H2346"/>
      <c r="I2346"/>
      <c r="J2346"/>
      <c r="K2346"/>
      <c r="L2346"/>
    </row>
    <row r="2347" spans="2:12" ht="14.4" x14ac:dyDescent="0.3">
      <c r="B2347"/>
      <c r="C2347"/>
      <c r="D2347"/>
      <c r="E2347"/>
      <c r="F2347"/>
      <c r="H2347"/>
      <c r="I2347"/>
      <c r="J2347"/>
      <c r="K2347"/>
      <c r="L2347"/>
    </row>
    <row r="2348" spans="2:12" ht="14.4" x14ac:dyDescent="0.3">
      <c r="B2348"/>
      <c r="C2348"/>
      <c r="D2348"/>
      <c r="E2348"/>
      <c r="F2348"/>
      <c r="H2348"/>
      <c r="I2348"/>
      <c r="J2348"/>
      <c r="K2348"/>
      <c r="L2348"/>
    </row>
    <row r="2349" spans="2:12" ht="14.4" x14ac:dyDescent="0.3">
      <c r="B2349"/>
      <c r="C2349"/>
      <c r="D2349"/>
      <c r="E2349"/>
      <c r="F2349"/>
      <c r="H2349"/>
      <c r="I2349"/>
      <c r="J2349"/>
      <c r="K2349"/>
      <c r="L2349"/>
    </row>
    <row r="2350" spans="2:12" ht="14.4" x14ac:dyDescent="0.3">
      <c r="B2350"/>
      <c r="C2350"/>
      <c r="D2350"/>
      <c r="E2350"/>
      <c r="F2350"/>
      <c r="H2350"/>
      <c r="I2350"/>
      <c r="J2350"/>
      <c r="K2350"/>
      <c r="L2350"/>
    </row>
    <row r="2351" spans="2:12" ht="14.4" x14ac:dyDescent="0.3">
      <c r="B2351"/>
      <c r="C2351"/>
      <c r="D2351"/>
      <c r="E2351"/>
      <c r="F2351"/>
      <c r="H2351"/>
      <c r="I2351"/>
      <c r="J2351"/>
      <c r="K2351"/>
      <c r="L2351"/>
    </row>
    <row r="2352" spans="2:12" ht="14.4" x14ac:dyDescent="0.3">
      <c r="B2352"/>
      <c r="C2352"/>
      <c r="D2352"/>
      <c r="E2352"/>
      <c r="F2352"/>
      <c r="H2352"/>
      <c r="I2352"/>
      <c r="J2352"/>
      <c r="K2352"/>
      <c r="L2352"/>
    </row>
    <row r="2353" spans="2:12" ht="14.4" x14ac:dyDescent="0.3">
      <c r="B2353"/>
      <c r="C2353"/>
      <c r="D2353"/>
      <c r="E2353"/>
      <c r="F2353"/>
      <c r="H2353"/>
      <c r="I2353"/>
      <c r="J2353"/>
      <c r="K2353"/>
      <c r="L2353"/>
    </row>
    <row r="2354" spans="2:12" ht="14.4" x14ac:dyDescent="0.3">
      <c r="B2354"/>
      <c r="C2354"/>
      <c r="D2354"/>
      <c r="E2354"/>
      <c r="F2354"/>
      <c r="H2354"/>
      <c r="I2354"/>
      <c r="J2354"/>
      <c r="K2354"/>
      <c r="L2354"/>
    </row>
    <row r="2355" spans="2:12" ht="14.4" x14ac:dyDescent="0.3">
      <c r="B2355"/>
      <c r="C2355"/>
      <c r="D2355"/>
      <c r="E2355"/>
      <c r="F2355"/>
      <c r="H2355"/>
      <c r="I2355"/>
      <c r="J2355"/>
      <c r="K2355"/>
      <c r="L2355"/>
    </row>
    <row r="2356" spans="2:12" ht="14.4" x14ac:dyDescent="0.3">
      <c r="B2356"/>
      <c r="C2356"/>
      <c r="D2356"/>
      <c r="E2356"/>
      <c r="F2356"/>
      <c r="H2356"/>
      <c r="I2356"/>
      <c r="J2356"/>
      <c r="K2356"/>
      <c r="L2356"/>
    </row>
    <row r="2357" spans="2:12" ht="14.4" x14ac:dyDescent="0.3">
      <c r="B2357"/>
      <c r="C2357"/>
      <c r="D2357"/>
      <c r="E2357"/>
      <c r="F2357"/>
      <c r="H2357"/>
      <c r="I2357"/>
      <c r="J2357"/>
      <c r="K2357"/>
      <c r="L2357"/>
    </row>
    <row r="2358" spans="2:12" ht="14.4" x14ac:dyDescent="0.3">
      <c r="B2358"/>
      <c r="C2358"/>
      <c r="D2358"/>
      <c r="E2358"/>
      <c r="F2358"/>
      <c r="H2358"/>
      <c r="I2358"/>
      <c r="J2358"/>
      <c r="K2358"/>
      <c r="L2358"/>
    </row>
    <row r="2359" spans="2:12" ht="14.4" x14ac:dyDescent="0.3">
      <c r="B2359"/>
      <c r="C2359"/>
      <c r="D2359"/>
      <c r="E2359"/>
      <c r="F2359"/>
      <c r="H2359"/>
      <c r="I2359"/>
      <c r="J2359"/>
      <c r="K2359"/>
      <c r="L2359"/>
    </row>
    <row r="2360" spans="2:12" ht="14.4" x14ac:dyDescent="0.3">
      <c r="B2360"/>
      <c r="C2360"/>
      <c r="D2360"/>
      <c r="E2360"/>
      <c r="F2360"/>
      <c r="H2360"/>
      <c r="I2360"/>
      <c r="J2360"/>
      <c r="K2360"/>
      <c r="L2360"/>
    </row>
    <row r="2361" spans="2:12" ht="14.4" x14ac:dyDescent="0.3">
      <c r="B2361"/>
      <c r="C2361"/>
      <c r="D2361"/>
      <c r="E2361"/>
      <c r="F2361"/>
      <c r="H2361"/>
      <c r="I2361"/>
      <c r="J2361"/>
      <c r="K2361"/>
      <c r="L2361"/>
    </row>
    <row r="2362" spans="2:12" ht="14.4" x14ac:dyDescent="0.3">
      <c r="B2362"/>
      <c r="C2362"/>
      <c r="D2362"/>
      <c r="E2362"/>
      <c r="F2362"/>
      <c r="H2362"/>
      <c r="I2362"/>
      <c r="J2362"/>
      <c r="K2362"/>
      <c r="L2362"/>
    </row>
    <row r="2363" spans="2:12" ht="14.4" x14ac:dyDescent="0.3">
      <c r="B2363"/>
      <c r="C2363"/>
      <c r="D2363"/>
      <c r="E2363"/>
      <c r="F2363"/>
      <c r="H2363"/>
      <c r="I2363"/>
      <c r="J2363"/>
      <c r="K2363"/>
      <c r="L2363"/>
    </row>
    <row r="2364" spans="2:12" ht="14.4" x14ac:dyDescent="0.3">
      <c r="B2364"/>
      <c r="C2364"/>
      <c r="D2364"/>
      <c r="E2364"/>
      <c r="F2364"/>
      <c r="H2364"/>
      <c r="I2364"/>
      <c r="J2364"/>
      <c r="K2364"/>
      <c r="L2364"/>
    </row>
    <row r="2365" spans="2:12" ht="14.4" x14ac:dyDescent="0.3">
      <c r="B2365"/>
      <c r="C2365"/>
      <c r="D2365"/>
      <c r="E2365"/>
      <c r="F2365"/>
      <c r="H2365"/>
      <c r="I2365"/>
      <c r="J2365"/>
      <c r="K2365"/>
      <c r="L2365"/>
    </row>
    <row r="2366" spans="2:12" ht="14.4" x14ac:dyDescent="0.3">
      <c r="B2366"/>
      <c r="C2366"/>
      <c r="D2366"/>
      <c r="E2366"/>
      <c r="F2366"/>
      <c r="H2366"/>
      <c r="I2366"/>
      <c r="J2366"/>
      <c r="K2366"/>
      <c r="L2366"/>
    </row>
    <row r="2367" spans="2:12" ht="14.4" x14ac:dyDescent="0.3">
      <c r="B2367"/>
      <c r="C2367"/>
      <c r="D2367"/>
      <c r="E2367"/>
      <c r="F2367"/>
      <c r="H2367"/>
      <c r="I2367"/>
      <c r="J2367"/>
      <c r="K2367"/>
      <c r="L2367"/>
    </row>
    <row r="2368" spans="2:12" ht="14.4" x14ac:dyDescent="0.3">
      <c r="B2368"/>
      <c r="C2368"/>
      <c r="D2368"/>
      <c r="E2368"/>
      <c r="F2368"/>
      <c r="H2368"/>
      <c r="I2368"/>
      <c r="J2368"/>
      <c r="K2368"/>
      <c r="L2368"/>
    </row>
    <row r="2369" spans="2:12" ht="14.4" x14ac:dyDescent="0.3">
      <c r="B2369"/>
      <c r="C2369"/>
      <c r="D2369"/>
      <c r="E2369"/>
      <c r="F2369"/>
      <c r="H2369"/>
      <c r="I2369"/>
      <c r="J2369"/>
      <c r="K2369"/>
      <c r="L2369"/>
    </row>
    <row r="2370" spans="2:12" ht="14.4" x14ac:dyDescent="0.3">
      <c r="B2370"/>
      <c r="C2370"/>
      <c r="D2370"/>
      <c r="E2370"/>
      <c r="F2370"/>
      <c r="H2370"/>
      <c r="I2370"/>
      <c r="J2370"/>
      <c r="K2370"/>
      <c r="L2370"/>
    </row>
    <row r="2371" spans="2:12" ht="14.4" x14ac:dyDescent="0.3">
      <c r="B2371"/>
      <c r="C2371"/>
      <c r="D2371"/>
      <c r="E2371"/>
      <c r="F2371"/>
      <c r="H2371"/>
      <c r="I2371"/>
      <c r="J2371"/>
      <c r="K2371"/>
      <c r="L2371"/>
    </row>
    <row r="2372" spans="2:12" ht="14.4" x14ac:dyDescent="0.3">
      <c r="B2372"/>
      <c r="C2372"/>
      <c r="D2372"/>
      <c r="E2372"/>
      <c r="F2372"/>
      <c r="H2372"/>
      <c r="I2372"/>
      <c r="J2372"/>
      <c r="K2372"/>
      <c r="L2372"/>
    </row>
    <row r="2373" spans="2:12" ht="14.4" x14ac:dyDescent="0.3">
      <c r="B2373"/>
      <c r="C2373"/>
      <c r="D2373"/>
      <c r="E2373"/>
      <c r="F2373"/>
      <c r="H2373"/>
      <c r="I2373"/>
      <c r="J2373"/>
      <c r="K2373"/>
      <c r="L2373"/>
    </row>
    <row r="2374" spans="2:12" ht="14.4" x14ac:dyDescent="0.3">
      <c r="B2374"/>
      <c r="C2374"/>
      <c r="D2374"/>
      <c r="E2374"/>
      <c r="F2374"/>
      <c r="H2374"/>
      <c r="I2374"/>
      <c r="J2374"/>
      <c r="K2374"/>
      <c r="L2374"/>
    </row>
    <row r="2375" spans="2:12" ht="14.4" x14ac:dyDescent="0.3">
      <c r="B2375"/>
      <c r="C2375"/>
      <c r="D2375"/>
      <c r="E2375"/>
      <c r="F2375"/>
      <c r="H2375"/>
      <c r="I2375"/>
      <c r="J2375"/>
      <c r="K2375"/>
      <c r="L2375"/>
    </row>
    <row r="2376" spans="2:12" ht="14.4" x14ac:dyDescent="0.3">
      <c r="B2376"/>
      <c r="C2376"/>
      <c r="D2376"/>
      <c r="E2376"/>
      <c r="F2376"/>
      <c r="H2376"/>
      <c r="I2376"/>
      <c r="J2376"/>
      <c r="K2376"/>
      <c r="L2376"/>
    </row>
    <row r="2377" spans="2:12" ht="14.4" x14ac:dyDescent="0.3">
      <c r="B2377"/>
      <c r="C2377"/>
      <c r="D2377"/>
      <c r="E2377"/>
      <c r="F2377"/>
      <c r="H2377"/>
      <c r="I2377"/>
      <c r="J2377"/>
      <c r="K2377"/>
      <c r="L2377"/>
    </row>
    <row r="2378" spans="2:12" ht="14.4" x14ac:dyDescent="0.3">
      <c r="B2378"/>
      <c r="C2378"/>
      <c r="D2378"/>
      <c r="E2378"/>
      <c r="F2378"/>
      <c r="H2378"/>
      <c r="I2378"/>
      <c r="J2378"/>
      <c r="K2378"/>
      <c r="L2378"/>
    </row>
    <row r="2379" spans="2:12" ht="14.4" x14ac:dyDescent="0.3">
      <c r="B2379"/>
      <c r="C2379"/>
      <c r="D2379"/>
      <c r="E2379"/>
      <c r="F2379"/>
      <c r="H2379"/>
      <c r="I2379"/>
      <c r="J2379"/>
      <c r="K2379"/>
      <c r="L2379"/>
    </row>
    <row r="2380" spans="2:12" ht="14.4" x14ac:dyDescent="0.3">
      <c r="B2380"/>
      <c r="C2380"/>
      <c r="D2380"/>
      <c r="E2380"/>
      <c r="F2380"/>
      <c r="H2380"/>
      <c r="I2380"/>
      <c r="J2380"/>
      <c r="K2380"/>
      <c r="L2380"/>
    </row>
    <row r="2381" spans="2:12" ht="14.4" x14ac:dyDescent="0.3">
      <c r="B2381"/>
      <c r="C2381"/>
      <c r="D2381"/>
      <c r="E2381"/>
      <c r="F2381"/>
      <c r="H2381"/>
      <c r="I2381"/>
      <c r="J2381"/>
      <c r="K2381"/>
      <c r="L2381"/>
    </row>
    <row r="2382" spans="2:12" ht="14.4" x14ac:dyDescent="0.3">
      <c r="B2382"/>
      <c r="C2382"/>
      <c r="D2382"/>
      <c r="E2382"/>
      <c r="F2382"/>
      <c r="H2382"/>
      <c r="I2382"/>
      <c r="J2382"/>
      <c r="K2382"/>
      <c r="L2382"/>
    </row>
    <row r="2383" spans="2:12" ht="14.4" x14ac:dyDescent="0.3">
      <c r="B2383"/>
      <c r="C2383"/>
      <c r="D2383"/>
      <c r="E2383"/>
      <c r="F2383"/>
      <c r="H2383"/>
      <c r="I2383"/>
      <c r="J2383"/>
      <c r="K2383"/>
      <c r="L2383"/>
    </row>
    <row r="2384" spans="2:12" ht="14.4" x14ac:dyDescent="0.3">
      <c r="B2384"/>
      <c r="C2384"/>
      <c r="D2384"/>
      <c r="E2384"/>
      <c r="F2384"/>
      <c r="H2384"/>
      <c r="I2384"/>
      <c r="J2384"/>
      <c r="K2384"/>
      <c r="L2384"/>
    </row>
    <row r="2385" spans="2:12" ht="14.4" x14ac:dyDescent="0.3">
      <c r="B2385"/>
      <c r="C2385"/>
      <c r="D2385"/>
      <c r="E2385"/>
      <c r="F2385"/>
      <c r="H2385"/>
      <c r="I2385"/>
      <c r="J2385"/>
      <c r="K2385"/>
      <c r="L2385"/>
    </row>
    <row r="2386" spans="2:12" ht="14.4" x14ac:dyDescent="0.3">
      <c r="B2386"/>
      <c r="C2386"/>
      <c r="D2386"/>
      <c r="E2386"/>
      <c r="F2386"/>
      <c r="H2386"/>
      <c r="I2386"/>
      <c r="J2386"/>
      <c r="K2386"/>
      <c r="L2386"/>
    </row>
    <row r="2387" spans="2:12" ht="14.4" x14ac:dyDescent="0.3">
      <c r="B2387"/>
      <c r="C2387"/>
      <c r="D2387"/>
      <c r="E2387"/>
      <c r="F2387"/>
      <c r="H2387"/>
      <c r="I2387"/>
      <c r="J2387"/>
      <c r="K2387"/>
      <c r="L2387"/>
    </row>
    <row r="2388" spans="2:12" ht="14.4" x14ac:dyDescent="0.3">
      <c r="B2388"/>
      <c r="C2388"/>
      <c r="D2388"/>
      <c r="E2388"/>
      <c r="F2388"/>
      <c r="H2388"/>
      <c r="I2388"/>
      <c r="J2388"/>
      <c r="K2388"/>
      <c r="L2388"/>
    </row>
    <row r="2389" spans="2:12" ht="14.4" x14ac:dyDescent="0.3">
      <c r="B2389"/>
      <c r="C2389"/>
      <c r="D2389"/>
      <c r="E2389"/>
      <c r="F2389"/>
      <c r="H2389"/>
      <c r="I2389"/>
      <c r="J2389"/>
      <c r="K2389"/>
      <c r="L2389"/>
    </row>
    <row r="2390" spans="2:12" ht="14.4" x14ac:dyDescent="0.3">
      <c r="B2390"/>
      <c r="C2390"/>
      <c r="D2390"/>
      <c r="E2390"/>
      <c r="F2390"/>
      <c r="H2390"/>
      <c r="I2390"/>
      <c r="J2390"/>
      <c r="K2390"/>
      <c r="L2390"/>
    </row>
    <row r="2391" spans="2:12" ht="14.4" x14ac:dyDescent="0.3">
      <c r="B2391"/>
      <c r="C2391"/>
      <c r="D2391"/>
      <c r="E2391"/>
      <c r="F2391"/>
      <c r="H2391"/>
      <c r="I2391"/>
      <c r="J2391"/>
      <c r="K2391"/>
      <c r="L2391"/>
    </row>
    <row r="2392" spans="2:12" ht="14.4" x14ac:dyDescent="0.3">
      <c r="B2392"/>
      <c r="C2392"/>
      <c r="D2392"/>
      <c r="E2392"/>
      <c r="F2392"/>
      <c r="H2392"/>
      <c r="I2392"/>
      <c r="J2392"/>
      <c r="K2392"/>
      <c r="L2392"/>
    </row>
    <row r="2393" spans="2:12" ht="14.4" x14ac:dyDescent="0.3">
      <c r="B2393"/>
      <c r="C2393"/>
      <c r="D2393"/>
      <c r="E2393"/>
      <c r="F2393"/>
      <c r="H2393"/>
      <c r="I2393"/>
      <c r="J2393"/>
      <c r="K2393"/>
      <c r="L2393"/>
    </row>
    <row r="2394" spans="2:12" ht="14.4" x14ac:dyDescent="0.3">
      <c r="B2394"/>
      <c r="C2394"/>
      <c r="D2394"/>
      <c r="E2394"/>
      <c r="F2394"/>
      <c r="H2394"/>
      <c r="I2394"/>
      <c r="J2394"/>
      <c r="K2394"/>
      <c r="L2394"/>
    </row>
    <row r="2395" spans="2:12" ht="14.4" x14ac:dyDescent="0.3">
      <c r="B2395"/>
      <c r="C2395"/>
      <c r="D2395"/>
      <c r="E2395"/>
      <c r="F2395"/>
      <c r="H2395"/>
      <c r="I2395"/>
      <c r="J2395"/>
      <c r="K2395"/>
      <c r="L2395"/>
    </row>
    <row r="2396" spans="2:12" ht="14.4" x14ac:dyDescent="0.3">
      <c r="B2396"/>
      <c r="C2396"/>
      <c r="D2396"/>
      <c r="E2396"/>
      <c r="F2396"/>
      <c r="H2396"/>
      <c r="I2396"/>
      <c r="J2396"/>
      <c r="K2396"/>
      <c r="L2396"/>
    </row>
    <row r="2397" spans="2:12" ht="14.4" x14ac:dyDescent="0.3">
      <c r="B2397"/>
      <c r="C2397"/>
      <c r="D2397"/>
      <c r="E2397"/>
      <c r="F2397"/>
      <c r="H2397"/>
      <c r="I2397"/>
      <c r="J2397"/>
      <c r="K2397"/>
      <c r="L2397"/>
    </row>
    <row r="2398" spans="2:12" ht="14.4" x14ac:dyDescent="0.3">
      <c r="B2398"/>
      <c r="C2398"/>
      <c r="D2398"/>
      <c r="E2398"/>
      <c r="F2398"/>
      <c r="H2398"/>
      <c r="I2398"/>
      <c r="J2398"/>
      <c r="K2398"/>
      <c r="L2398"/>
    </row>
    <row r="2399" spans="2:12" ht="14.4" x14ac:dyDescent="0.3">
      <c r="B2399"/>
      <c r="C2399"/>
      <c r="D2399"/>
      <c r="E2399"/>
      <c r="F2399"/>
      <c r="H2399"/>
      <c r="I2399"/>
      <c r="J2399"/>
      <c r="K2399"/>
      <c r="L2399"/>
    </row>
    <row r="2400" spans="2:12" ht="14.4" x14ac:dyDescent="0.3">
      <c r="B2400"/>
      <c r="C2400"/>
      <c r="D2400"/>
      <c r="E2400"/>
      <c r="F2400"/>
      <c r="H2400"/>
      <c r="I2400"/>
      <c r="J2400"/>
      <c r="K2400"/>
      <c r="L2400"/>
    </row>
    <row r="2401" spans="2:12" ht="14.4" x14ac:dyDescent="0.3">
      <c r="B2401"/>
      <c r="C2401"/>
      <c r="D2401"/>
      <c r="E2401"/>
      <c r="F2401"/>
      <c r="H2401"/>
      <c r="I2401"/>
      <c r="J2401"/>
      <c r="K2401"/>
      <c r="L2401"/>
    </row>
    <row r="2402" spans="2:12" ht="14.4" x14ac:dyDescent="0.3">
      <c r="B2402"/>
      <c r="C2402"/>
      <c r="D2402"/>
      <c r="E2402"/>
      <c r="F2402"/>
      <c r="H2402"/>
      <c r="I2402"/>
      <c r="J2402"/>
      <c r="K2402"/>
      <c r="L2402"/>
    </row>
    <row r="2403" spans="2:12" ht="14.4" x14ac:dyDescent="0.3">
      <c r="B2403"/>
      <c r="C2403"/>
      <c r="D2403"/>
      <c r="E2403"/>
      <c r="F2403"/>
      <c r="H2403"/>
      <c r="I2403"/>
      <c r="J2403"/>
      <c r="K2403"/>
      <c r="L2403"/>
    </row>
    <row r="2404" spans="2:12" ht="14.4" x14ac:dyDescent="0.3">
      <c r="B2404"/>
      <c r="C2404"/>
      <c r="D2404"/>
      <c r="E2404"/>
      <c r="F2404"/>
      <c r="H2404"/>
      <c r="I2404"/>
      <c r="J2404"/>
      <c r="K2404"/>
      <c r="L2404"/>
    </row>
    <row r="2405" spans="2:12" ht="14.4" x14ac:dyDescent="0.3">
      <c r="B2405"/>
      <c r="C2405"/>
      <c r="D2405"/>
      <c r="E2405"/>
      <c r="F2405"/>
      <c r="H2405"/>
      <c r="I2405"/>
      <c r="J2405"/>
      <c r="K2405"/>
      <c r="L2405"/>
    </row>
    <row r="2406" spans="2:12" ht="14.4" x14ac:dyDescent="0.3">
      <c r="B2406"/>
      <c r="C2406"/>
      <c r="D2406"/>
      <c r="E2406"/>
      <c r="F2406"/>
      <c r="H2406"/>
      <c r="I2406"/>
      <c r="J2406"/>
      <c r="K2406"/>
      <c r="L2406"/>
    </row>
    <row r="2407" spans="2:12" ht="14.4" x14ac:dyDescent="0.3">
      <c r="B2407"/>
      <c r="C2407"/>
      <c r="D2407"/>
      <c r="E2407"/>
      <c r="F2407"/>
      <c r="H2407"/>
      <c r="I2407"/>
      <c r="J2407"/>
      <c r="K2407"/>
      <c r="L2407"/>
    </row>
    <row r="2408" spans="2:12" ht="14.4" x14ac:dyDescent="0.3">
      <c r="B2408"/>
      <c r="C2408"/>
      <c r="D2408"/>
      <c r="E2408"/>
      <c r="F2408"/>
      <c r="H2408"/>
      <c r="I2408"/>
      <c r="J2408"/>
      <c r="K2408"/>
      <c r="L2408"/>
    </row>
    <row r="2409" spans="2:12" ht="14.4" x14ac:dyDescent="0.3">
      <c r="B2409"/>
      <c r="C2409"/>
      <c r="D2409"/>
      <c r="E2409"/>
      <c r="F2409"/>
      <c r="H2409"/>
      <c r="I2409"/>
      <c r="J2409"/>
      <c r="K2409"/>
      <c r="L2409"/>
    </row>
    <row r="2410" spans="2:12" ht="14.4" x14ac:dyDescent="0.3">
      <c r="B2410"/>
      <c r="C2410"/>
      <c r="D2410"/>
      <c r="E2410"/>
      <c r="F2410"/>
      <c r="H2410"/>
      <c r="I2410"/>
      <c r="J2410"/>
      <c r="K2410"/>
      <c r="L2410"/>
    </row>
    <row r="2411" spans="2:12" ht="14.4" x14ac:dyDescent="0.3">
      <c r="B2411"/>
      <c r="C2411"/>
      <c r="D2411"/>
      <c r="E2411"/>
      <c r="F2411"/>
      <c r="H2411"/>
      <c r="I2411"/>
      <c r="J2411"/>
      <c r="K2411"/>
      <c r="L2411"/>
    </row>
    <row r="2412" spans="2:12" ht="14.4" x14ac:dyDescent="0.3">
      <c r="B2412"/>
      <c r="C2412"/>
      <c r="D2412"/>
      <c r="E2412"/>
      <c r="F2412"/>
      <c r="H2412"/>
      <c r="I2412"/>
      <c r="J2412"/>
      <c r="K2412"/>
      <c r="L2412"/>
    </row>
    <row r="2413" spans="2:12" ht="14.4" x14ac:dyDescent="0.3">
      <c r="B2413"/>
      <c r="C2413"/>
      <c r="D2413"/>
      <c r="E2413"/>
      <c r="F2413"/>
      <c r="H2413"/>
      <c r="I2413"/>
      <c r="J2413"/>
      <c r="K2413"/>
      <c r="L2413"/>
    </row>
    <row r="2414" spans="2:12" ht="14.4" x14ac:dyDescent="0.3">
      <c r="B2414"/>
      <c r="C2414"/>
      <c r="D2414"/>
      <c r="E2414"/>
      <c r="F2414"/>
      <c r="H2414"/>
      <c r="I2414"/>
      <c r="J2414"/>
      <c r="K2414"/>
      <c r="L2414"/>
    </row>
    <row r="2415" spans="2:12" ht="14.4" x14ac:dyDescent="0.3">
      <c r="B2415"/>
      <c r="C2415"/>
      <c r="D2415"/>
      <c r="E2415"/>
      <c r="F2415"/>
      <c r="H2415"/>
      <c r="I2415"/>
      <c r="J2415"/>
      <c r="K2415"/>
      <c r="L2415"/>
    </row>
    <row r="2416" spans="2:12" ht="14.4" x14ac:dyDescent="0.3">
      <c r="B2416"/>
      <c r="C2416"/>
      <c r="D2416"/>
      <c r="E2416"/>
      <c r="F2416"/>
      <c r="H2416"/>
      <c r="I2416"/>
      <c r="J2416"/>
      <c r="K2416"/>
      <c r="L2416"/>
    </row>
    <row r="2417" spans="2:12" ht="14.4" x14ac:dyDescent="0.3">
      <c r="B2417"/>
      <c r="C2417"/>
      <c r="D2417"/>
      <c r="E2417"/>
      <c r="F2417"/>
      <c r="H2417"/>
      <c r="I2417"/>
      <c r="J2417"/>
      <c r="K2417"/>
      <c r="L2417"/>
    </row>
    <row r="2418" spans="2:12" ht="14.4" x14ac:dyDescent="0.3">
      <c r="B2418"/>
      <c r="C2418"/>
      <c r="D2418"/>
      <c r="E2418"/>
      <c r="F2418"/>
      <c r="H2418"/>
      <c r="I2418"/>
      <c r="J2418"/>
      <c r="K2418"/>
      <c r="L2418"/>
    </row>
    <row r="2419" spans="2:12" ht="14.4" x14ac:dyDescent="0.3">
      <c r="B2419"/>
      <c r="C2419"/>
      <c r="D2419"/>
      <c r="E2419"/>
      <c r="F2419"/>
      <c r="H2419"/>
      <c r="I2419"/>
      <c r="J2419"/>
      <c r="K2419"/>
      <c r="L2419"/>
    </row>
    <row r="2420" spans="2:12" ht="14.4" x14ac:dyDescent="0.3">
      <c r="B2420"/>
      <c r="C2420"/>
      <c r="D2420"/>
      <c r="E2420"/>
      <c r="F2420"/>
      <c r="H2420"/>
      <c r="I2420"/>
      <c r="J2420"/>
      <c r="K2420"/>
      <c r="L2420"/>
    </row>
    <row r="2421" spans="2:12" ht="14.4" x14ac:dyDescent="0.3">
      <c r="B2421"/>
      <c r="C2421"/>
      <c r="D2421"/>
      <c r="E2421"/>
      <c r="F2421"/>
      <c r="H2421"/>
      <c r="I2421"/>
      <c r="J2421"/>
      <c r="K2421"/>
      <c r="L2421"/>
    </row>
    <row r="2422" spans="2:12" ht="14.4" x14ac:dyDescent="0.3">
      <c r="B2422"/>
      <c r="C2422"/>
      <c r="D2422"/>
      <c r="E2422"/>
      <c r="F2422"/>
      <c r="H2422"/>
      <c r="I2422"/>
      <c r="J2422"/>
      <c r="K2422"/>
      <c r="L2422"/>
    </row>
    <row r="2423" spans="2:12" ht="14.4" x14ac:dyDescent="0.3">
      <c r="B2423"/>
      <c r="C2423"/>
      <c r="D2423"/>
      <c r="E2423"/>
      <c r="F2423"/>
      <c r="H2423"/>
      <c r="I2423"/>
      <c r="J2423"/>
      <c r="K2423"/>
      <c r="L2423"/>
    </row>
    <row r="2424" spans="2:12" ht="14.4" x14ac:dyDescent="0.3">
      <c r="B2424"/>
      <c r="C2424"/>
      <c r="D2424"/>
      <c r="E2424"/>
      <c r="F2424"/>
      <c r="H2424"/>
      <c r="I2424"/>
      <c r="J2424"/>
      <c r="K2424"/>
      <c r="L2424"/>
    </row>
    <row r="2425" spans="2:12" ht="14.4" x14ac:dyDescent="0.3">
      <c r="B2425"/>
      <c r="C2425"/>
      <c r="D2425"/>
      <c r="E2425"/>
      <c r="F2425"/>
      <c r="H2425"/>
      <c r="I2425"/>
      <c r="J2425"/>
      <c r="K2425"/>
      <c r="L2425"/>
    </row>
    <row r="2426" spans="2:12" ht="14.4" x14ac:dyDescent="0.3">
      <c r="B2426"/>
      <c r="C2426"/>
      <c r="D2426"/>
      <c r="E2426"/>
      <c r="F2426"/>
      <c r="H2426"/>
      <c r="I2426"/>
      <c r="J2426"/>
      <c r="K2426"/>
      <c r="L2426"/>
    </row>
    <row r="2427" spans="2:12" ht="14.4" x14ac:dyDescent="0.3">
      <c r="B2427"/>
      <c r="C2427"/>
      <c r="D2427"/>
      <c r="E2427"/>
      <c r="F2427"/>
      <c r="H2427"/>
      <c r="I2427"/>
      <c r="J2427"/>
      <c r="K2427"/>
      <c r="L2427"/>
    </row>
    <row r="2428" spans="2:12" ht="14.4" x14ac:dyDescent="0.3">
      <c r="B2428"/>
      <c r="C2428"/>
      <c r="D2428"/>
      <c r="E2428"/>
      <c r="F2428"/>
      <c r="H2428"/>
      <c r="I2428"/>
      <c r="J2428"/>
      <c r="K2428"/>
      <c r="L2428"/>
    </row>
    <row r="2429" spans="2:12" ht="14.4" x14ac:dyDescent="0.3">
      <c r="B2429"/>
      <c r="C2429"/>
      <c r="D2429"/>
      <c r="E2429"/>
      <c r="F2429"/>
      <c r="H2429"/>
      <c r="I2429"/>
      <c r="J2429"/>
      <c r="K2429"/>
      <c r="L2429"/>
    </row>
    <row r="2430" spans="2:12" ht="14.4" x14ac:dyDescent="0.3">
      <c r="B2430"/>
      <c r="C2430"/>
      <c r="D2430"/>
      <c r="E2430"/>
      <c r="F2430"/>
      <c r="H2430"/>
      <c r="I2430"/>
      <c r="J2430"/>
      <c r="K2430"/>
      <c r="L2430"/>
    </row>
    <row r="2431" spans="2:12" ht="14.4" x14ac:dyDescent="0.3">
      <c r="B2431"/>
      <c r="C2431"/>
      <c r="D2431"/>
      <c r="E2431"/>
      <c r="F2431"/>
      <c r="H2431"/>
      <c r="I2431"/>
      <c r="J2431"/>
      <c r="K2431"/>
      <c r="L2431"/>
    </row>
    <row r="2432" spans="2:12" ht="14.4" x14ac:dyDescent="0.3">
      <c r="B2432"/>
      <c r="C2432"/>
      <c r="D2432"/>
      <c r="E2432"/>
      <c r="F2432"/>
      <c r="H2432"/>
      <c r="I2432"/>
      <c r="J2432"/>
      <c r="K2432"/>
      <c r="L2432"/>
    </row>
    <row r="2433" spans="2:12" ht="14.4" x14ac:dyDescent="0.3">
      <c r="B2433"/>
      <c r="C2433"/>
      <c r="D2433"/>
      <c r="E2433"/>
      <c r="F2433"/>
      <c r="H2433"/>
      <c r="I2433"/>
      <c r="J2433"/>
      <c r="K2433"/>
      <c r="L2433"/>
    </row>
    <row r="2434" spans="2:12" ht="14.4" x14ac:dyDescent="0.3">
      <c r="B2434"/>
      <c r="C2434"/>
      <c r="D2434"/>
      <c r="E2434"/>
      <c r="F2434"/>
      <c r="H2434"/>
      <c r="I2434"/>
      <c r="J2434"/>
      <c r="K2434"/>
      <c r="L2434"/>
    </row>
    <row r="2435" spans="2:12" ht="14.4" x14ac:dyDescent="0.3">
      <c r="B2435"/>
      <c r="C2435"/>
      <c r="D2435"/>
      <c r="E2435"/>
      <c r="F2435"/>
      <c r="H2435"/>
      <c r="I2435"/>
      <c r="J2435"/>
      <c r="K2435"/>
      <c r="L2435"/>
    </row>
    <row r="2436" spans="2:12" ht="14.4" x14ac:dyDescent="0.3">
      <c r="B2436"/>
      <c r="C2436"/>
      <c r="D2436"/>
      <c r="E2436"/>
      <c r="F2436"/>
      <c r="H2436"/>
      <c r="I2436"/>
      <c r="J2436"/>
      <c r="K2436"/>
      <c r="L2436"/>
    </row>
    <row r="2437" spans="2:12" ht="14.4" x14ac:dyDescent="0.3">
      <c r="B2437"/>
      <c r="C2437"/>
      <c r="D2437"/>
      <c r="E2437"/>
      <c r="F2437"/>
      <c r="H2437"/>
      <c r="I2437"/>
      <c r="J2437"/>
      <c r="K2437"/>
      <c r="L2437"/>
    </row>
    <row r="2438" spans="2:12" ht="14.4" x14ac:dyDescent="0.3">
      <c r="B2438"/>
      <c r="C2438"/>
      <c r="D2438"/>
      <c r="E2438"/>
      <c r="F2438"/>
      <c r="H2438"/>
      <c r="I2438"/>
      <c r="J2438"/>
      <c r="K2438"/>
      <c r="L2438"/>
    </row>
    <row r="2439" spans="2:12" ht="14.4" x14ac:dyDescent="0.3">
      <c r="B2439"/>
      <c r="C2439"/>
      <c r="D2439"/>
      <c r="E2439"/>
      <c r="F2439"/>
      <c r="H2439"/>
      <c r="I2439"/>
      <c r="J2439"/>
      <c r="K2439"/>
      <c r="L2439"/>
    </row>
    <row r="2440" spans="2:12" ht="14.4" x14ac:dyDescent="0.3">
      <c r="B2440"/>
      <c r="C2440"/>
      <c r="D2440"/>
      <c r="E2440"/>
      <c r="F2440"/>
      <c r="H2440"/>
      <c r="I2440"/>
      <c r="J2440"/>
      <c r="K2440"/>
      <c r="L2440"/>
    </row>
    <row r="2441" spans="2:12" ht="14.4" x14ac:dyDescent="0.3">
      <c r="B2441"/>
      <c r="C2441"/>
      <c r="D2441"/>
      <c r="E2441"/>
      <c r="F2441"/>
      <c r="H2441"/>
      <c r="I2441"/>
      <c r="J2441"/>
      <c r="K2441"/>
      <c r="L2441"/>
    </row>
    <row r="2442" spans="2:12" ht="14.4" x14ac:dyDescent="0.3">
      <c r="B2442"/>
      <c r="C2442"/>
      <c r="D2442"/>
      <c r="E2442"/>
      <c r="F2442"/>
      <c r="H2442"/>
      <c r="I2442"/>
      <c r="J2442"/>
      <c r="K2442"/>
      <c r="L2442"/>
    </row>
    <row r="2443" spans="2:12" ht="14.4" x14ac:dyDescent="0.3">
      <c r="B2443"/>
      <c r="C2443"/>
      <c r="D2443"/>
      <c r="E2443"/>
      <c r="F2443"/>
      <c r="H2443"/>
      <c r="I2443"/>
      <c r="J2443"/>
      <c r="K2443"/>
      <c r="L2443"/>
    </row>
    <row r="2444" spans="2:12" ht="14.4" x14ac:dyDescent="0.3">
      <c r="B2444"/>
      <c r="C2444"/>
      <c r="D2444"/>
      <c r="E2444"/>
      <c r="F2444"/>
      <c r="H2444"/>
      <c r="I2444"/>
      <c r="J2444"/>
      <c r="K2444"/>
      <c r="L2444"/>
    </row>
    <row r="2445" spans="2:12" ht="14.4" x14ac:dyDescent="0.3">
      <c r="B2445"/>
      <c r="C2445"/>
      <c r="D2445"/>
      <c r="E2445"/>
      <c r="F2445"/>
      <c r="H2445"/>
      <c r="I2445"/>
      <c r="J2445"/>
      <c r="K2445"/>
      <c r="L2445"/>
    </row>
    <row r="2446" spans="2:12" ht="14.4" x14ac:dyDescent="0.3">
      <c r="B2446"/>
      <c r="C2446"/>
      <c r="D2446"/>
      <c r="E2446"/>
      <c r="F2446"/>
      <c r="H2446"/>
      <c r="I2446"/>
      <c r="J2446"/>
      <c r="K2446"/>
      <c r="L2446"/>
    </row>
    <row r="2447" spans="2:12" ht="14.4" x14ac:dyDescent="0.3">
      <c r="B2447"/>
      <c r="C2447"/>
      <c r="D2447"/>
      <c r="E2447"/>
      <c r="F2447"/>
      <c r="H2447"/>
      <c r="I2447"/>
      <c r="J2447"/>
      <c r="K2447"/>
      <c r="L2447"/>
    </row>
    <row r="2448" spans="2:12" ht="14.4" x14ac:dyDescent="0.3">
      <c r="B2448"/>
      <c r="C2448"/>
      <c r="D2448"/>
      <c r="E2448"/>
      <c r="F2448"/>
      <c r="H2448"/>
      <c r="I2448"/>
      <c r="J2448"/>
      <c r="K2448"/>
      <c r="L2448"/>
    </row>
    <row r="2449" spans="2:12" ht="14.4" x14ac:dyDescent="0.3">
      <c r="B2449"/>
      <c r="C2449"/>
      <c r="D2449"/>
      <c r="E2449"/>
      <c r="F2449"/>
      <c r="H2449"/>
      <c r="I2449"/>
      <c r="J2449"/>
      <c r="K2449"/>
      <c r="L2449"/>
    </row>
    <row r="2450" spans="2:12" ht="14.4" x14ac:dyDescent="0.3">
      <c r="B2450"/>
      <c r="C2450"/>
      <c r="D2450"/>
      <c r="E2450"/>
      <c r="F2450"/>
      <c r="H2450"/>
      <c r="I2450"/>
      <c r="J2450"/>
      <c r="K2450"/>
      <c r="L2450"/>
    </row>
    <row r="2451" spans="2:12" ht="14.4" x14ac:dyDescent="0.3">
      <c r="B2451"/>
      <c r="C2451"/>
      <c r="D2451"/>
      <c r="E2451"/>
      <c r="F2451"/>
      <c r="H2451"/>
      <c r="I2451"/>
      <c r="J2451"/>
      <c r="K2451"/>
      <c r="L2451"/>
    </row>
    <row r="2452" spans="2:12" ht="14.4" x14ac:dyDescent="0.3">
      <c r="B2452"/>
      <c r="C2452"/>
      <c r="D2452"/>
      <c r="E2452"/>
      <c r="F2452"/>
      <c r="H2452"/>
      <c r="I2452"/>
      <c r="J2452"/>
      <c r="K2452"/>
      <c r="L2452"/>
    </row>
    <row r="2453" spans="2:12" ht="14.4" x14ac:dyDescent="0.3">
      <c r="B2453"/>
      <c r="C2453"/>
      <c r="D2453"/>
      <c r="E2453"/>
      <c r="F2453"/>
      <c r="H2453"/>
      <c r="I2453"/>
      <c r="J2453"/>
      <c r="K2453"/>
      <c r="L2453"/>
    </row>
    <row r="2454" spans="2:12" ht="14.4" x14ac:dyDescent="0.3">
      <c r="B2454"/>
      <c r="C2454"/>
      <c r="D2454"/>
      <c r="E2454"/>
      <c r="F2454"/>
      <c r="H2454"/>
      <c r="I2454"/>
      <c r="J2454"/>
      <c r="K2454"/>
      <c r="L2454"/>
    </row>
    <row r="2455" spans="2:12" ht="14.4" x14ac:dyDescent="0.3">
      <c r="B2455"/>
      <c r="C2455"/>
      <c r="D2455"/>
      <c r="E2455"/>
      <c r="F2455"/>
      <c r="H2455"/>
      <c r="I2455"/>
      <c r="J2455"/>
      <c r="K2455"/>
      <c r="L2455"/>
    </row>
    <row r="2456" spans="2:12" ht="14.4" x14ac:dyDescent="0.3">
      <c r="B2456"/>
      <c r="C2456"/>
      <c r="D2456"/>
      <c r="E2456"/>
      <c r="F2456"/>
      <c r="H2456"/>
      <c r="I2456"/>
      <c r="J2456"/>
      <c r="K2456"/>
      <c r="L2456"/>
    </row>
    <row r="2457" spans="2:12" ht="14.4" x14ac:dyDescent="0.3">
      <c r="B2457"/>
      <c r="C2457"/>
      <c r="D2457"/>
      <c r="E2457"/>
      <c r="F2457"/>
      <c r="H2457"/>
      <c r="I2457"/>
      <c r="J2457"/>
      <c r="K2457"/>
      <c r="L2457"/>
    </row>
    <row r="2458" spans="2:12" ht="14.4" x14ac:dyDescent="0.3">
      <c r="B2458"/>
      <c r="C2458"/>
      <c r="D2458"/>
      <c r="E2458"/>
      <c r="F2458"/>
      <c r="H2458"/>
      <c r="I2458"/>
      <c r="J2458"/>
      <c r="K2458"/>
      <c r="L2458"/>
    </row>
    <row r="2459" spans="2:12" ht="14.4" x14ac:dyDescent="0.3">
      <c r="B2459"/>
      <c r="C2459"/>
      <c r="D2459"/>
      <c r="E2459"/>
      <c r="F2459"/>
      <c r="H2459"/>
      <c r="I2459"/>
      <c r="J2459"/>
      <c r="K2459"/>
      <c r="L2459"/>
    </row>
    <row r="2460" spans="2:12" ht="14.4" x14ac:dyDescent="0.3">
      <c r="B2460"/>
      <c r="C2460"/>
      <c r="D2460"/>
      <c r="E2460"/>
      <c r="F2460"/>
      <c r="H2460"/>
      <c r="I2460"/>
      <c r="J2460"/>
      <c r="K2460"/>
      <c r="L2460"/>
    </row>
    <row r="2461" spans="2:12" ht="14.4" x14ac:dyDescent="0.3">
      <c r="B2461"/>
      <c r="C2461"/>
      <c r="D2461"/>
      <c r="E2461"/>
      <c r="F2461"/>
      <c r="H2461"/>
      <c r="I2461"/>
      <c r="J2461"/>
      <c r="K2461"/>
      <c r="L2461"/>
    </row>
    <row r="2462" spans="2:12" ht="14.4" x14ac:dyDescent="0.3">
      <c r="B2462"/>
      <c r="C2462"/>
      <c r="D2462"/>
      <c r="E2462"/>
      <c r="F2462"/>
      <c r="H2462"/>
      <c r="I2462"/>
      <c r="J2462"/>
      <c r="K2462"/>
      <c r="L2462"/>
    </row>
    <row r="2463" spans="2:12" ht="14.4" x14ac:dyDescent="0.3">
      <c r="B2463"/>
      <c r="C2463"/>
      <c r="D2463"/>
      <c r="E2463"/>
      <c r="F2463"/>
      <c r="H2463"/>
      <c r="I2463"/>
      <c r="J2463"/>
      <c r="K2463"/>
      <c r="L2463"/>
    </row>
    <row r="2464" spans="2:12" ht="14.4" x14ac:dyDescent="0.3">
      <c r="B2464"/>
      <c r="C2464"/>
      <c r="D2464"/>
      <c r="E2464"/>
      <c r="F2464"/>
      <c r="H2464"/>
      <c r="I2464"/>
      <c r="J2464"/>
      <c r="K2464"/>
      <c r="L2464"/>
    </row>
    <row r="2465" spans="2:12" ht="14.4" x14ac:dyDescent="0.3">
      <c r="B2465"/>
      <c r="C2465"/>
      <c r="D2465"/>
      <c r="E2465"/>
      <c r="F2465"/>
      <c r="H2465"/>
      <c r="I2465"/>
      <c r="J2465"/>
      <c r="K2465"/>
      <c r="L2465"/>
    </row>
    <row r="2466" spans="2:12" ht="14.4" x14ac:dyDescent="0.3">
      <c r="B2466"/>
      <c r="C2466"/>
      <c r="D2466"/>
      <c r="E2466"/>
      <c r="F2466"/>
      <c r="H2466"/>
      <c r="I2466"/>
      <c r="J2466"/>
      <c r="K2466"/>
      <c r="L2466"/>
    </row>
    <row r="2467" spans="2:12" ht="14.4" x14ac:dyDescent="0.3">
      <c r="B2467"/>
      <c r="C2467"/>
      <c r="D2467"/>
      <c r="E2467"/>
      <c r="F2467"/>
      <c r="H2467"/>
      <c r="I2467"/>
      <c r="J2467"/>
      <c r="K2467"/>
      <c r="L2467"/>
    </row>
    <row r="2468" spans="2:12" ht="14.4" x14ac:dyDescent="0.3">
      <c r="B2468"/>
      <c r="C2468"/>
      <c r="D2468"/>
      <c r="E2468"/>
      <c r="F2468"/>
      <c r="H2468"/>
      <c r="I2468"/>
      <c r="J2468"/>
      <c r="K2468"/>
      <c r="L2468"/>
    </row>
    <row r="2469" spans="2:12" ht="14.4" x14ac:dyDescent="0.3">
      <c r="B2469"/>
      <c r="C2469"/>
      <c r="D2469"/>
      <c r="E2469"/>
      <c r="F2469"/>
      <c r="H2469"/>
      <c r="I2469"/>
      <c r="J2469"/>
      <c r="K2469"/>
      <c r="L2469"/>
    </row>
    <row r="2470" spans="2:12" ht="14.4" x14ac:dyDescent="0.3">
      <c r="B2470"/>
      <c r="C2470"/>
      <c r="D2470"/>
      <c r="E2470"/>
      <c r="F2470"/>
      <c r="H2470"/>
      <c r="I2470"/>
      <c r="J2470"/>
      <c r="K2470"/>
      <c r="L2470"/>
    </row>
    <row r="2471" spans="2:12" ht="14.4" x14ac:dyDescent="0.3">
      <c r="B2471"/>
      <c r="C2471"/>
      <c r="D2471"/>
      <c r="E2471"/>
      <c r="F2471"/>
      <c r="H2471"/>
      <c r="I2471"/>
      <c r="J2471"/>
      <c r="K2471"/>
      <c r="L2471"/>
    </row>
    <row r="2472" spans="2:12" ht="14.4" x14ac:dyDescent="0.3">
      <c r="B2472"/>
      <c r="C2472"/>
      <c r="D2472"/>
      <c r="E2472"/>
      <c r="F2472"/>
      <c r="H2472"/>
      <c r="I2472"/>
      <c r="J2472"/>
      <c r="K2472"/>
      <c r="L2472"/>
    </row>
    <row r="2473" spans="2:12" ht="14.4" x14ac:dyDescent="0.3">
      <c r="B2473"/>
      <c r="C2473"/>
      <c r="D2473"/>
      <c r="E2473"/>
      <c r="F2473"/>
      <c r="H2473"/>
      <c r="I2473"/>
      <c r="J2473"/>
      <c r="K2473"/>
      <c r="L2473"/>
    </row>
    <row r="2474" spans="2:12" ht="14.4" x14ac:dyDescent="0.3">
      <c r="B2474"/>
      <c r="C2474"/>
      <c r="D2474"/>
      <c r="E2474"/>
      <c r="F2474"/>
      <c r="H2474"/>
      <c r="I2474"/>
      <c r="J2474"/>
      <c r="K2474"/>
      <c r="L2474"/>
    </row>
    <row r="2475" spans="2:12" ht="14.4" x14ac:dyDescent="0.3">
      <c r="B2475"/>
      <c r="C2475"/>
      <c r="D2475"/>
      <c r="E2475"/>
      <c r="F2475"/>
      <c r="H2475"/>
      <c r="I2475"/>
      <c r="J2475"/>
      <c r="K2475"/>
      <c r="L2475"/>
    </row>
    <row r="2476" spans="2:12" ht="14.4" x14ac:dyDescent="0.3">
      <c r="B2476"/>
      <c r="C2476"/>
      <c r="D2476"/>
      <c r="E2476"/>
      <c r="F2476"/>
      <c r="H2476"/>
      <c r="I2476"/>
      <c r="J2476"/>
      <c r="K2476"/>
      <c r="L2476"/>
    </row>
    <row r="2477" spans="2:12" ht="14.4" x14ac:dyDescent="0.3">
      <c r="B2477"/>
      <c r="C2477"/>
      <c r="D2477"/>
      <c r="E2477"/>
      <c r="F2477"/>
      <c r="H2477"/>
      <c r="I2477"/>
      <c r="J2477"/>
      <c r="K2477"/>
      <c r="L2477"/>
    </row>
    <row r="2478" spans="2:12" ht="14.4" x14ac:dyDescent="0.3">
      <c r="B2478"/>
      <c r="C2478"/>
      <c r="D2478"/>
      <c r="E2478"/>
      <c r="F2478"/>
      <c r="H2478"/>
      <c r="I2478"/>
      <c r="J2478"/>
      <c r="K2478"/>
      <c r="L2478"/>
    </row>
    <row r="2479" spans="2:12" ht="14.4" x14ac:dyDescent="0.3">
      <c r="B2479"/>
      <c r="C2479"/>
      <c r="D2479"/>
      <c r="E2479"/>
      <c r="F2479"/>
      <c r="H2479"/>
      <c r="I2479"/>
      <c r="J2479"/>
      <c r="K2479"/>
      <c r="L2479"/>
    </row>
    <row r="2480" spans="2:12" ht="14.4" x14ac:dyDescent="0.3">
      <c r="B2480"/>
      <c r="C2480"/>
      <c r="D2480"/>
      <c r="E2480"/>
      <c r="F2480"/>
      <c r="H2480"/>
      <c r="I2480"/>
      <c r="J2480"/>
      <c r="K2480"/>
      <c r="L2480"/>
    </row>
    <row r="2481" spans="2:12" ht="14.4" x14ac:dyDescent="0.3">
      <c r="B2481"/>
      <c r="C2481"/>
      <c r="D2481"/>
      <c r="E2481"/>
      <c r="F2481"/>
      <c r="H2481"/>
      <c r="I2481"/>
      <c r="J2481"/>
      <c r="K2481"/>
      <c r="L2481"/>
    </row>
    <row r="2482" spans="2:12" ht="14.4" x14ac:dyDescent="0.3">
      <c r="B2482"/>
      <c r="C2482"/>
      <c r="D2482"/>
      <c r="E2482"/>
      <c r="F2482"/>
      <c r="H2482"/>
      <c r="I2482"/>
      <c r="J2482"/>
      <c r="K2482"/>
      <c r="L2482"/>
    </row>
    <row r="2483" spans="2:12" ht="14.4" x14ac:dyDescent="0.3">
      <c r="B2483"/>
      <c r="C2483"/>
      <c r="D2483"/>
      <c r="E2483"/>
      <c r="F2483"/>
      <c r="H2483"/>
      <c r="I2483"/>
      <c r="J2483"/>
      <c r="K2483"/>
      <c r="L2483"/>
    </row>
    <row r="2484" spans="2:12" ht="14.4" x14ac:dyDescent="0.3">
      <c r="B2484"/>
      <c r="C2484"/>
      <c r="D2484"/>
      <c r="E2484"/>
      <c r="F2484"/>
      <c r="H2484"/>
      <c r="I2484"/>
      <c r="J2484"/>
      <c r="K2484"/>
      <c r="L2484"/>
    </row>
    <row r="2485" spans="2:12" ht="14.4" x14ac:dyDescent="0.3">
      <c r="B2485"/>
      <c r="C2485"/>
      <c r="D2485"/>
      <c r="E2485"/>
      <c r="F2485"/>
      <c r="H2485"/>
      <c r="I2485"/>
      <c r="J2485"/>
      <c r="K2485"/>
      <c r="L2485"/>
    </row>
    <row r="2486" spans="2:12" ht="14.4" x14ac:dyDescent="0.3">
      <c r="B2486"/>
      <c r="C2486"/>
      <c r="D2486"/>
      <c r="E2486"/>
      <c r="F2486"/>
      <c r="H2486"/>
      <c r="I2486"/>
      <c r="J2486"/>
      <c r="K2486"/>
      <c r="L2486"/>
    </row>
    <row r="2487" spans="2:12" ht="14.4" x14ac:dyDescent="0.3">
      <c r="B2487"/>
      <c r="C2487"/>
      <c r="D2487"/>
      <c r="E2487"/>
      <c r="F2487"/>
      <c r="H2487"/>
      <c r="I2487"/>
      <c r="J2487"/>
      <c r="K2487"/>
      <c r="L2487"/>
    </row>
    <row r="2488" spans="2:12" ht="14.4" x14ac:dyDescent="0.3">
      <c r="B2488"/>
      <c r="C2488"/>
      <c r="D2488"/>
      <c r="E2488"/>
      <c r="F2488"/>
      <c r="H2488"/>
      <c r="I2488"/>
      <c r="J2488"/>
      <c r="K2488"/>
      <c r="L2488"/>
    </row>
    <row r="2489" spans="2:12" ht="14.4" x14ac:dyDescent="0.3">
      <c r="B2489"/>
      <c r="C2489"/>
      <c r="D2489"/>
      <c r="E2489"/>
      <c r="F2489"/>
      <c r="H2489"/>
      <c r="I2489"/>
      <c r="J2489"/>
      <c r="K2489"/>
      <c r="L2489"/>
    </row>
    <row r="2490" spans="2:12" ht="14.4" x14ac:dyDescent="0.3">
      <c r="B2490"/>
      <c r="C2490"/>
      <c r="D2490"/>
      <c r="E2490"/>
      <c r="F2490"/>
      <c r="H2490"/>
      <c r="I2490"/>
      <c r="J2490"/>
      <c r="K2490"/>
      <c r="L2490"/>
    </row>
    <row r="2491" spans="2:12" ht="14.4" x14ac:dyDescent="0.3">
      <c r="B2491"/>
      <c r="C2491"/>
      <c r="D2491"/>
      <c r="E2491"/>
      <c r="F2491"/>
      <c r="H2491"/>
      <c r="I2491"/>
      <c r="J2491"/>
      <c r="K2491"/>
      <c r="L2491"/>
    </row>
    <row r="2492" spans="2:12" ht="14.4" x14ac:dyDescent="0.3">
      <c r="B2492"/>
      <c r="C2492"/>
      <c r="D2492"/>
      <c r="E2492"/>
      <c r="F2492"/>
      <c r="H2492"/>
      <c r="I2492"/>
      <c r="J2492"/>
      <c r="K2492"/>
      <c r="L2492"/>
    </row>
    <row r="2493" spans="2:12" ht="14.4" x14ac:dyDescent="0.3">
      <c r="B2493"/>
      <c r="C2493"/>
      <c r="D2493"/>
      <c r="E2493"/>
      <c r="F2493"/>
      <c r="H2493"/>
      <c r="I2493"/>
      <c r="J2493"/>
      <c r="K2493"/>
      <c r="L2493"/>
    </row>
    <row r="2494" spans="2:12" ht="14.4" x14ac:dyDescent="0.3">
      <c r="B2494"/>
      <c r="C2494"/>
      <c r="D2494"/>
      <c r="E2494"/>
      <c r="F2494"/>
      <c r="H2494"/>
      <c r="I2494"/>
      <c r="J2494"/>
      <c r="K2494"/>
      <c r="L2494"/>
    </row>
    <row r="2495" spans="2:12" ht="14.4" x14ac:dyDescent="0.3">
      <c r="B2495"/>
      <c r="C2495"/>
      <c r="D2495"/>
      <c r="E2495"/>
      <c r="F2495"/>
      <c r="H2495"/>
      <c r="I2495"/>
      <c r="J2495"/>
      <c r="K2495"/>
      <c r="L2495"/>
    </row>
    <row r="2496" spans="2:12" ht="14.4" x14ac:dyDescent="0.3">
      <c r="B2496"/>
      <c r="C2496"/>
      <c r="D2496"/>
      <c r="E2496"/>
      <c r="F2496"/>
      <c r="H2496"/>
      <c r="I2496"/>
      <c r="J2496"/>
      <c r="K2496"/>
      <c r="L2496"/>
    </row>
    <row r="2497" spans="2:12" ht="14.4" x14ac:dyDescent="0.3">
      <c r="B2497"/>
      <c r="C2497"/>
      <c r="D2497"/>
      <c r="E2497"/>
      <c r="F2497"/>
      <c r="H2497"/>
      <c r="I2497"/>
      <c r="J2497"/>
      <c r="K2497"/>
      <c r="L2497"/>
    </row>
    <row r="2498" spans="2:12" ht="14.4" x14ac:dyDescent="0.3">
      <c r="B2498"/>
      <c r="C2498"/>
      <c r="D2498"/>
      <c r="E2498"/>
      <c r="F2498"/>
      <c r="H2498"/>
      <c r="I2498"/>
      <c r="J2498"/>
      <c r="K2498"/>
      <c r="L2498"/>
    </row>
    <row r="2499" spans="2:12" ht="14.4" x14ac:dyDescent="0.3">
      <c r="B2499"/>
      <c r="C2499"/>
      <c r="D2499"/>
      <c r="E2499"/>
      <c r="F2499"/>
      <c r="H2499"/>
      <c r="I2499"/>
      <c r="J2499"/>
      <c r="K2499"/>
      <c r="L2499"/>
    </row>
    <row r="2500" spans="2:12" ht="14.4" x14ac:dyDescent="0.3">
      <c r="B2500"/>
      <c r="C2500"/>
      <c r="D2500"/>
      <c r="E2500"/>
      <c r="F2500"/>
      <c r="H2500"/>
      <c r="I2500"/>
      <c r="J2500"/>
      <c r="K2500"/>
      <c r="L2500"/>
    </row>
    <row r="2501" spans="2:12" ht="14.4" x14ac:dyDescent="0.3">
      <c r="B2501"/>
      <c r="C2501"/>
      <c r="D2501"/>
      <c r="E2501"/>
      <c r="F2501"/>
      <c r="H2501"/>
      <c r="I2501"/>
      <c r="J2501"/>
      <c r="K2501"/>
      <c r="L2501"/>
    </row>
    <row r="2502" spans="2:12" ht="14.4" x14ac:dyDescent="0.3">
      <c r="B2502"/>
      <c r="C2502"/>
      <c r="D2502"/>
      <c r="E2502"/>
      <c r="F2502"/>
      <c r="H2502"/>
      <c r="I2502"/>
      <c r="J2502"/>
      <c r="K2502"/>
      <c r="L2502"/>
    </row>
    <row r="2503" spans="2:12" ht="14.4" x14ac:dyDescent="0.3">
      <c r="B2503"/>
      <c r="C2503"/>
      <c r="D2503"/>
      <c r="E2503"/>
      <c r="F2503"/>
      <c r="H2503"/>
      <c r="I2503"/>
      <c r="J2503"/>
      <c r="K2503"/>
      <c r="L2503"/>
    </row>
    <row r="2504" spans="2:12" ht="14.4" x14ac:dyDescent="0.3">
      <c r="B2504"/>
      <c r="C2504"/>
      <c r="D2504"/>
      <c r="E2504"/>
      <c r="F2504"/>
      <c r="H2504"/>
      <c r="I2504"/>
      <c r="J2504"/>
      <c r="K2504"/>
      <c r="L2504"/>
    </row>
    <row r="2505" spans="2:12" ht="14.4" x14ac:dyDescent="0.3">
      <c r="B2505"/>
      <c r="C2505"/>
      <c r="D2505"/>
      <c r="E2505"/>
      <c r="F2505"/>
      <c r="H2505"/>
      <c r="I2505"/>
      <c r="J2505"/>
      <c r="K2505"/>
      <c r="L2505"/>
    </row>
    <row r="2506" spans="2:12" ht="14.4" x14ac:dyDescent="0.3">
      <c r="B2506"/>
      <c r="C2506"/>
      <c r="D2506"/>
      <c r="E2506"/>
      <c r="F2506"/>
      <c r="H2506"/>
      <c r="I2506"/>
      <c r="J2506"/>
      <c r="K2506"/>
      <c r="L2506"/>
    </row>
    <row r="2507" spans="2:12" ht="14.4" x14ac:dyDescent="0.3">
      <c r="B2507"/>
      <c r="C2507"/>
      <c r="D2507"/>
      <c r="E2507"/>
      <c r="F2507"/>
      <c r="H2507"/>
      <c r="I2507"/>
      <c r="J2507"/>
      <c r="K2507"/>
      <c r="L2507"/>
    </row>
    <row r="2508" spans="2:12" ht="14.4" x14ac:dyDescent="0.3">
      <c r="B2508"/>
      <c r="C2508"/>
      <c r="D2508"/>
      <c r="E2508"/>
      <c r="F2508"/>
      <c r="H2508"/>
      <c r="I2508"/>
      <c r="J2508"/>
      <c r="K2508"/>
      <c r="L2508"/>
    </row>
    <row r="2509" spans="2:12" ht="14.4" x14ac:dyDescent="0.3">
      <c r="B2509"/>
      <c r="C2509"/>
      <c r="D2509"/>
      <c r="E2509"/>
      <c r="F2509"/>
      <c r="H2509"/>
      <c r="I2509"/>
      <c r="J2509"/>
      <c r="K2509"/>
      <c r="L2509"/>
    </row>
    <row r="2510" spans="2:12" ht="14.4" x14ac:dyDescent="0.3">
      <c r="B2510"/>
      <c r="C2510"/>
      <c r="D2510"/>
      <c r="E2510"/>
      <c r="F2510"/>
      <c r="H2510"/>
      <c r="I2510"/>
      <c r="J2510"/>
      <c r="K2510"/>
      <c r="L2510"/>
    </row>
    <row r="2511" spans="2:12" ht="14.4" x14ac:dyDescent="0.3">
      <c r="B2511"/>
      <c r="C2511"/>
      <c r="D2511"/>
      <c r="E2511"/>
      <c r="F2511"/>
      <c r="H2511"/>
      <c r="I2511"/>
      <c r="J2511"/>
      <c r="K2511"/>
      <c r="L2511"/>
    </row>
    <row r="2512" spans="2:12" ht="14.4" x14ac:dyDescent="0.3">
      <c r="B2512"/>
      <c r="C2512"/>
      <c r="D2512"/>
      <c r="E2512"/>
      <c r="F2512"/>
      <c r="H2512"/>
      <c r="I2512"/>
      <c r="J2512"/>
      <c r="K2512"/>
      <c r="L2512"/>
    </row>
    <row r="2513" spans="2:12" ht="14.4" x14ac:dyDescent="0.3">
      <c r="B2513"/>
      <c r="C2513"/>
      <c r="D2513"/>
      <c r="E2513"/>
      <c r="F2513"/>
      <c r="H2513"/>
      <c r="I2513"/>
      <c r="J2513"/>
      <c r="K2513"/>
      <c r="L2513"/>
    </row>
    <row r="2514" spans="2:12" ht="14.4" x14ac:dyDescent="0.3">
      <c r="B2514"/>
      <c r="C2514"/>
      <c r="D2514"/>
      <c r="E2514"/>
      <c r="F2514"/>
      <c r="H2514"/>
      <c r="I2514"/>
      <c r="J2514"/>
      <c r="K2514"/>
      <c r="L2514"/>
    </row>
    <row r="2515" spans="2:12" ht="14.4" x14ac:dyDescent="0.3">
      <c r="B2515"/>
      <c r="C2515"/>
      <c r="D2515"/>
      <c r="E2515"/>
      <c r="F2515"/>
      <c r="H2515"/>
      <c r="I2515"/>
      <c r="J2515"/>
      <c r="K2515"/>
      <c r="L2515"/>
    </row>
    <row r="2516" spans="2:12" ht="14.4" x14ac:dyDescent="0.3">
      <c r="B2516"/>
      <c r="C2516"/>
      <c r="D2516"/>
      <c r="E2516"/>
      <c r="F2516"/>
      <c r="H2516"/>
      <c r="I2516"/>
      <c r="J2516"/>
      <c r="K2516"/>
      <c r="L2516"/>
    </row>
    <row r="2517" spans="2:12" ht="14.4" x14ac:dyDescent="0.3">
      <c r="B2517"/>
      <c r="C2517"/>
      <c r="D2517"/>
      <c r="E2517"/>
      <c r="F2517"/>
      <c r="H2517"/>
      <c r="I2517"/>
      <c r="J2517"/>
      <c r="K2517"/>
      <c r="L2517"/>
    </row>
    <row r="2518" spans="2:12" ht="14.4" x14ac:dyDescent="0.3">
      <c r="B2518"/>
      <c r="C2518"/>
      <c r="D2518"/>
      <c r="E2518"/>
      <c r="F2518"/>
      <c r="H2518"/>
      <c r="I2518"/>
      <c r="J2518"/>
      <c r="K2518"/>
      <c r="L2518"/>
    </row>
    <row r="2519" spans="2:12" ht="14.4" x14ac:dyDescent="0.3">
      <c r="B2519"/>
      <c r="C2519"/>
      <c r="D2519"/>
      <c r="E2519"/>
      <c r="F2519"/>
      <c r="H2519"/>
      <c r="I2519"/>
      <c r="J2519"/>
      <c r="K2519"/>
      <c r="L2519"/>
    </row>
    <row r="2520" spans="2:12" ht="14.4" x14ac:dyDescent="0.3">
      <c r="B2520"/>
      <c r="C2520"/>
      <c r="D2520"/>
      <c r="E2520"/>
      <c r="F2520"/>
      <c r="H2520"/>
      <c r="I2520"/>
      <c r="J2520"/>
      <c r="K2520"/>
      <c r="L2520"/>
    </row>
    <row r="2521" spans="2:12" ht="14.4" x14ac:dyDescent="0.3">
      <c r="B2521"/>
      <c r="C2521"/>
      <c r="D2521"/>
      <c r="E2521"/>
      <c r="F2521"/>
      <c r="H2521"/>
      <c r="I2521"/>
      <c r="J2521"/>
      <c r="K2521"/>
      <c r="L2521"/>
    </row>
    <row r="2522" spans="2:12" ht="14.4" x14ac:dyDescent="0.3">
      <c r="B2522"/>
      <c r="C2522"/>
      <c r="D2522"/>
      <c r="E2522"/>
      <c r="F2522"/>
      <c r="H2522"/>
      <c r="I2522"/>
      <c r="J2522"/>
      <c r="K2522"/>
      <c r="L2522"/>
    </row>
    <row r="2523" spans="2:12" ht="14.4" x14ac:dyDescent="0.3">
      <c r="B2523"/>
      <c r="C2523"/>
      <c r="D2523"/>
      <c r="E2523"/>
      <c r="F2523"/>
      <c r="H2523"/>
      <c r="I2523"/>
      <c r="J2523"/>
      <c r="K2523"/>
      <c r="L2523"/>
    </row>
    <row r="2524" spans="2:12" ht="14.4" x14ac:dyDescent="0.3">
      <c r="B2524"/>
      <c r="C2524"/>
      <c r="D2524"/>
      <c r="E2524"/>
      <c r="F2524"/>
      <c r="H2524"/>
      <c r="I2524"/>
      <c r="J2524"/>
      <c r="K2524"/>
      <c r="L2524"/>
    </row>
    <row r="2525" spans="2:12" ht="14.4" x14ac:dyDescent="0.3">
      <c r="B2525"/>
      <c r="C2525"/>
      <c r="D2525"/>
      <c r="E2525"/>
      <c r="F2525"/>
      <c r="H2525"/>
      <c r="I2525"/>
      <c r="J2525"/>
      <c r="K2525"/>
      <c r="L2525"/>
    </row>
    <row r="2526" spans="2:12" ht="14.4" x14ac:dyDescent="0.3">
      <c r="B2526"/>
      <c r="C2526"/>
      <c r="D2526"/>
      <c r="E2526"/>
      <c r="F2526"/>
      <c r="H2526"/>
      <c r="I2526"/>
      <c r="J2526"/>
      <c r="K2526"/>
      <c r="L2526"/>
    </row>
    <row r="2527" spans="2:12" ht="14.4" x14ac:dyDescent="0.3">
      <c r="B2527"/>
      <c r="C2527"/>
      <c r="D2527"/>
      <c r="E2527"/>
      <c r="F2527"/>
      <c r="H2527"/>
      <c r="I2527"/>
      <c r="J2527"/>
      <c r="K2527"/>
      <c r="L2527"/>
    </row>
    <row r="2528" spans="2:12" ht="14.4" x14ac:dyDescent="0.3">
      <c r="B2528"/>
      <c r="C2528"/>
      <c r="D2528"/>
      <c r="E2528"/>
      <c r="F2528"/>
      <c r="H2528"/>
      <c r="I2528"/>
      <c r="J2528"/>
      <c r="K2528"/>
      <c r="L2528"/>
    </row>
    <row r="2529" spans="2:12" ht="14.4" x14ac:dyDescent="0.3">
      <c r="B2529"/>
      <c r="C2529"/>
      <c r="D2529"/>
      <c r="E2529"/>
      <c r="F2529"/>
      <c r="H2529"/>
      <c r="I2529"/>
      <c r="J2529"/>
      <c r="K2529"/>
      <c r="L2529"/>
    </row>
    <row r="2530" spans="2:12" ht="14.4" x14ac:dyDescent="0.3">
      <c r="B2530"/>
      <c r="C2530"/>
      <c r="D2530"/>
      <c r="E2530"/>
      <c r="F2530"/>
      <c r="H2530"/>
      <c r="I2530"/>
      <c r="J2530"/>
      <c r="K2530"/>
      <c r="L2530"/>
    </row>
    <row r="2531" spans="2:12" ht="14.4" x14ac:dyDescent="0.3">
      <c r="B2531"/>
      <c r="C2531"/>
      <c r="D2531"/>
      <c r="E2531"/>
      <c r="F2531"/>
      <c r="H2531"/>
      <c r="I2531"/>
      <c r="J2531"/>
      <c r="K2531"/>
      <c r="L2531"/>
    </row>
    <row r="2532" spans="2:12" ht="14.4" x14ac:dyDescent="0.3">
      <c r="B2532"/>
      <c r="C2532"/>
      <c r="D2532"/>
      <c r="E2532"/>
      <c r="F2532"/>
      <c r="H2532"/>
      <c r="I2532"/>
      <c r="J2532"/>
      <c r="K2532"/>
      <c r="L2532"/>
    </row>
    <row r="2533" spans="2:12" ht="14.4" x14ac:dyDescent="0.3">
      <c r="B2533"/>
      <c r="C2533"/>
      <c r="D2533"/>
      <c r="E2533"/>
      <c r="F2533"/>
      <c r="H2533"/>
      <c r="I2533"/>
      <c r="J2533"/>
      <c r="K2533"/>
      <c r="L2533"/>
    </row>
    <row r="2534" spans="2:12" ht="14.4" x14ac:dyDescent="0.3">
      <c r="B2534"/>
      <c r="C2534"/>
      <c r="D2534"/>
      <c r="E2534"/>
      <c r="F2534"/>
      <c r="H2534"/>
      <c r="I2534"/>
      <c r="J2534"/>
      <c r="K2534"/>
      <c r="L2534"/>
    </row>
    <row r="2535" spans="2:12" ht="14.4" x14ac:dyDescent="0.3">
      <c r="B2535"/>
      <c r="C2535"/>
      <c r="D2535"/>
      <c r="E2535"/>
      <c r="F2535"/>
      <c r="H2535"/>
      <c r="I2535"/>
      <c r="J2535"/>
      <c r="K2535"/>
      <c r="L2535"/>
    </row>
    <row r="2536" spans="2:12" ht="14.4" x14ac:dyDescent="0.3">
      <c r="B2536"/>
      <c r="C2536"/>
      <c r="D2536"/>
      <c r="E2536"/>
      <c r="F2536"/>
      <c r="H2536"/>
      <c r="I2536"/>
      <c r="J2536"/>
      <c r="K2536"/>
      <c r="L2536"/>
    </row>
    <row r="2537" spans="2:12" ht="14.4" x14ac:dyDescent="0.3">
      <c r="B2537"/>
      <c r="C2537"/>
      <c r="D2537"/>
      <c r="E2537"/>
      <c r="F2537"/>
      <c r="H2537"/>
      <c r="I2537"/>
      <c r="J2537"/>
      <c r="K2537"/>
      <c r="L2537"/>
    </row>
    <row r="2538" spans="2:12" ht="14.4" x14ac:dyDescent="0.3">
      <c r="B2538"/>
      <c r="C2538"/>
      <c r="D2538"/>
      <c r="E2538"/>
      <c r="F2538"/>
      <c r="H2538"/>
      <c r="I2538"/>
      <c r="J2538"/>
      <c r="K2538"/>
      <c r="L2538"/>
    </row>
    <row r="2539" spans="2:12" ht="14.4" x14ac:dyDescent="0.3">
      <c r="B2539"/>
      <c r="C2539"/>
      <c r="D2539"/>
      <c r="E2539"/>
      <c r="F2539"/>
      <c r="H2539"/>
      <c r="I2539"/>
      <c r="J2539"/>
      <c r="K2539"/>
      <c r="L2539"/>
    </row>
    <row r="2540" spans="2:12" ht="14.4" x14ac:dyDescent="0.3">
      <c r="B2540"/>
      <c r="C2540"/>
      <c r="D2540"/>
      <c r="E2540"/>
      <c r="F2540"/>
      <c r="H2540"/>
      <c r="I2540"/>
      <c r="J2540"/>
      <c r="K2540"/>
      <c r="L2540"/>
    </row>
    <row r="2541" spans="2:12" ht="14.4" x14ac:dyDescent="0.3">
      <c r="B2541"/>
      <c r="C2541"/>
      <c r="D2541"/>
      <c r="E2541"/>
      <c r="F2541"/>
      <c r="H2541"/>
      <c r="I2541"/>
      <c r="J2541"/>
      <c r="K2541"/>
      <c r="L2541"/>
    </row>
    <row r="2542" spans="2:12" ht="14.4" x14ac:dyDescent="0.3">
      <c r="B2542"/>
      <c r="C2542"/>
      <c r="D2542"/>
      <c r="E2542"/>
      <c r="F2542"/>
      <c r="H2542"/>
      <c r="I2542"/>
      <c r="J2542"/>
      <c r="K2542"/>
      <c r="L2542"/>
    </row>
    <row r="2543" spans="2:12" ht="14.4" x14ac:dyDescent="0.3">
      <c r="B2543"/>
      <c r="C2543"/>
      <c r="D2543"/>
      <c r="E2543"/>
      <c r="F2543"/>
      <c r="H2543"/>
      <c r="I2543"/>
      <c r="J2543"/>
      <c r="K2543"/>
      <c r="L2543"/>
    </row>
    <row r="2544" spans="2:12" ht="14.4" x14ac:dyDescent="0.3">
      <c r="B2544"/>
      <c r="C2544"/>
      <c r="D2544"/>
      <c r="E2544"/>
      <c r="F2544"/>
      <c r="H2544"/>
      <c r="I2544"/>
      <c r="J2544"/>
      <c r="K2544"/>
      <c r="L2544"/>
    </row>
    <row r="2545" spans="2:12" ht="14.4" x14ac:dyDescent="0.3">
      <c r="B2545"/>
      <c r="C2545"/>
      <c r="D2545"/>
      <c r="E2545"/>
      <c r="F2545"/>
      <c r="H2545"/>
      <c r="I2545"/>
      <c r="J2545"/>
      <c r="K2545"/>
      <c r="L2545"/>
    </row>
    <row r="2546" spans="2:12" ht="14.4" x14ac:dyDescent="0.3">
      <c r="B2546"/>
      <c r="C2546"/>
      <c r="D2546"/>
      <c r="E2546"/>
      <c r="F2546"/>
      <c r="H2546"/>
      <c r="I2546"/>
      <c r="J2546"/>
      <c r="K2546"/>
      <c r="L2546"/>
    </row>
    <row r="2547" spans="2:12" ht="14.4" x14ac:dyDescent="0.3">
      <c r="B2547"/>
      <c r="C2547"/>
      <c r="D2547"/>
      <c r="E2547"/>
      <c r="F2547"/>
      <c r="H2547"/>
      <c r="I2547"/>
      <c r="J2547"/>
      <c r="K2547"/>
      <c r="L2547"/>
    </row>
    <row r="2548" spans="2:12" ht="14.4" x14ac:dyDescent="0.3">
      <c r="B2548"/>
      <c r="C2548"/>
      <c r="D2548"/>
      <c r="E2548"/>
      <c r="F2548"/>
      <c r="H2548"/>
      <c r="I2548"/>
      <c r="J2548"/>
      <c r="K2548"/>
      <c r="L2548"/>
    </row>
    <row r="2549" spans="2:12" ht="14.4" x14ac:dyDescent="0.3">
      <c r="B2549"/>
      <c r="C2549"/>
      <c r="D2549"/>
      <c r="E2549"/>
      <c r="F2549"/>
      <c r="H2549"/>
      <c r="I2549"/>
      <c r="J2549"/>
      <c r="K2549"/>
      <c r="L2549"/>
    </row>
    <row r="2550" spans="2:12" ht="14.4" x14ac:dyDescent="0.3">
      <c r="B2550"/>
      <c r="C2550"/>
      <c r="D2550"/>
      <c r="E2550"/>
      <c r="F2550"/>
      <c r="H2550"/>
      <c r="I2550"/>
      <c r="J2550"/>
      <c r="K2550"/>
      <c r="L2550"/>
    </row>
    <row r="2551" spans="2:12" ht="14.4" x14ac:dyDescent="0.3">
      <c r="B2551"/>
      <c r="C2551"/>
      <c r="D2551"/>
      <c r="E2551"/>
      <c r="F2551"/>
      <c r="H2551"/>
      <c r="I2551"/>
      <c r="J2551"/>
      <c r="K2551"/>
      <c r="L2551"/>
    </row>
    <row r="2552" spans="2:12" ht="14.4" x14ac:dyDescent="0.3">
      <c r="B2552"/>
      <c r="C2552"/>
      <c r="D2552"/>
      <c r="E2552"/>
      <c r="F2552"/>
      <c r="H2552"/>
      <c r="I2552"/>
      <c r="J2552"/>
      <c r="K2552"/>
      <c r="L2552"/>
    </row>
    <row r="2553" spans="2:12" ht="14.4" x14ac:dyDescent="0.3">
      <c r="B2553"/>
      <c r="C2553"/>
      <c r="D2553"/>
      <c r="E2553"/>
      <c r="F2553"/>
      <c r="H2553"/>
      <c r="I2553"/>
      <c r="J2553"/>
      <c r="K2553"/>
      <c r="L2553"/>
    </row>
    <row r="2554" spans="2:12" ht="14.4" x14ac:dyDescent="0.3">
      <c r="B2554"/>
      <c r="C2554"/>
      <c r="D2554"/>
      <c r="E2554"/>
      <c r="F2554"/>
      <c r="H2554"/>
      <c r="I2554"/>
      <c r="J2554"/>
      <c r="K2554"/>
      <c r="L2554"/>
    </row>
    <row r="2555" spans="2:12" ht="14.4" x14ac:dyDescent="0.3">
      <c r="B2555"/>
      <c r="C2555"/>
      <c r="D2555"/>
      <c r="E2555"/>
      <c r="F2555"/>
      <c r="H2555"/>
      <c r="I2555"/>
      <c r="J2555"/>
      <c r="K2555"/>
      <c r="L2555"/>
    </row>
    <row r="2556" spans="2:12" ht="14.4" x14ac:dyDescent="0.3">
      <c r="B2556"/>
      <c r="C2556"/>
      <c r="D2556"/>
      <c r="E2556"/>
      <c r="F2556"/>
      <c r="H2556"/>
      <c r="I2556"/>
      <c r="J2556"/>
      <c r="K2556"/>
      <c r="L2556"/>
    </row>
    <row r="2557" spans="2:12" ht="14.4" x14ac:dyDescent="0.3">
      <c r="B2557"/>
      <c r="C2557"/>
      <c r="D2557"/>
      <c r="E2557"/>
      <c r="F2557"/>
      <c r="H2557"/>
      <c r="I2557"/>
      <c r="J2557"/>
      <c r="K2557"/>
      <c r="L2557"/>
    </row>
    <row r="2558" spans="2:12" ht="14.4" x14ac:dyDescent="0.3">
      <c r="B2558"/>
      <c r="C2558"/>
      <c r="D2558"/>
      <c r="E2558"/>
      <c r="F2558"/>
      <c r="H2558"/>
      <c r="I2558"/>
      <c r="J2558"/>
      <c r="K2558"/>
      <c r="L2558"/>
    </row>
    <row r="2559" spans="2:12" ht="14.4" x14ac:dyDescent="0.3">
      <c r="B2559"/>
      <c r="C2559"/>
      <c r="D2559"/>
      <c r="E2559"/>
      <c r="F2559"/>
      <c r="H2559"/>
      <c r="I2559"/>
      <c r="J2559"/>
      <c r="K2559"/>
      <c r="L2559"/>
    </row>
    <row r="2560" spans="2:12" ht="14.4" x14ac:dyDescent="0.3">
      <c r="B2560"/>
      <c r="C2560"/>
      <c r="D2560"/>
      <c r="E2560"/>
      <c r="F2560"/>
      <c r="H2560"/>
      <c r="I2560"/>
      <c r="J2560"/>
      <c r="K2560"/>
      <c r="L2560"/>
    </row>
    <row r="2561" spans="2:12" ht="14.4" x14ac:dyDescent="0.3">
      <c r="B2561"/>
      <c r="C2561"/>
      <c r="D2561"/>
      <c r="E2561"/>
      <c r="F2561"/>
      <c r="H2561"/>
      <c r="I2561"/>
      <c r="J2561"/>
      <c r="K2561"/>
      <c r="L2561"/>
    </row>
    <row r="2562" spans="2:12" ht="14.4" x14ac:dyDescent="0.3">
      <c r="B2562"/>
      <c r="C2562"/>
      <c r="D2562"/>
      <c r="E2562"/>
      <c r="F2562"/>
      <c r="H2562"/>
      <c r="I2562"/>
      <c r="J2562"/>
      <c r="K2562"/>
      <c r="L2562"/>
    </row>
    <row r="2563" spans="2:12" ht="14.4" x14ac:dyDescent="0.3">
      <c r="B2563"/>
      <c r="C2563"/>
      <c r="D2563"/>
      <c r="E2563"/>
      <c r="F2563"/>
      <c r="H2563"/>
      <c r="I2563"/>
      <c r="J2563"/>
      <c r="K2563"/>
      <c r="L2563"/>
    </row>
    <row r="2564" spans="2:12" ht="14.4" x14ac:dyDescent="0.3">
      <c r="B2564"/>
      <c r="C2564"/>
      <c r="D2564"/>
      <c r="E2564"/>
      <c r="F2564"/>
      <c r="H2564"/>
      <c r="I2564"/>
      <c r="J2564"/>
      <c r="K2564"/>
      <c r="L2564"/>
    </row>
    <row r="2565" spans="2:12" ht="14.4" x14ac:dyDescent="0.3">
      <c r="B2565"/>
      <c r="C2565"/>
      <c r="D2565"/>
      <c r="E2565"/>
      <c r="F2565"/>
      <c r="H2565"/>
      <c r="I2565"/>
      <c r="J2565"/>
      <c r="K2565"/>
      <c r="L2565"/>
    </row>
    <row r="2566" spans="2:12" ht="14.4" x14ac:dyDescent="0.3">
      <c r="B2566"/>
      <c r="C2566"/>
      <c r="D2566"/>
      <c r="E2566"/>
      <c r="F2566"/>
      <c r="H2566"/>
      <c r="I2566"/>
      <c r="J2566"/>
      <c r="K2566"/>
      <c r="L2566"/>
    </row>
    <row r="2567" spans="2:12" ht="14.4" x14ac:dyDescent="0.3">
      <c r="B2567"/>
      <c r="C2567"/>
      <c r="D2567"/>
      <c r="E2567"/>
      <c r="F2567"/>
      <c r="H2567"/>
      <c r="I2567"/>
      <c r="J2567"/>
      <c r="K2567"/>
      <c r="L2567"/>
    </row>
    <row r="2568" spans="2:12" ht="14.4" x14ac:dyDescent="0.3">
      <c r="B2568"/>
      <c r="C2568"/>
      <c r="D2568"/>
      <c r="E2568"/>
      <c r="F2568"/>
      <c r="H2568"/>
      <c r="I2568"/>
      <c r="J2568"/>
      <c r="K2568"/>
      <c r="L2568"/>
    </row>
    <row r="2569" spans="2:12" ht="14.4" x14ac:dyDescent="0.3">
      <c r="B2569"/>
      <c r="C2569"/>
      <c r="D2569"/>
      <c r="E2569"/>
      <c r="F2569"/>
      <c r="H2569"/>
      <c r="I2569"/>
      <c r="J2569"/>
      <c r="K2569"/>
      <c r="L2569"/>
    </row>
    <row r="2570" spans="2:12" ht="14.4" x14ac:dyDescent="0.3">
      <c r="B2570"/>
      <c r="C2570"/>
      <c r="D2570"/>
      <c r="E2570"/>
      <c r="F2570"/>
      <c r="H2570"/>
      <c r="I2570"/>
      <c r="J2570"/>
      <c r="K2570"/>
      <c r="L2570"/>
    </row>
    <row r="2571" spans="2:12" ht="14.4" x14ac:dyDescent="0.3">
      <c r="B2571"/>
      <c r="C2571"/>
      <c r="D2571"/>
      <c r="E2571"/>
      <c r="F2571"/>
      <c r="H2571"/>
      <c r="I2571"/>
      <c r="J2571"/>
      <c r="K2571"/>
      <c r="L2571"/>
    </row>
    <row r="2572" spans="2:12" ht="14.4" x14ac:dyDescent="0.3">
      <c r="B2572"/>
      <c r="C2572"/>
      <c r="D2572"/>
      <c r="E2572"/>
      <c r="F2572"/>
      <c r="H2572"/>
      <c r="I2572"/>
      <c r="J2572"/>
      <c r="K2572"/>
      <c r="L2572"/>
    </row>
    <row r="2573" spans="2:12" ht="14.4" x14ac:dyDescent="0.3">
      <c r="B2573"/>
      <c r="C2573"/>
      <c r="D2573"/>
      <c r="E2573"/>
      <c r="F2573"/>
      <c r="H2573"/>
      <c r="I2573"/>
      <c r="J2573"/>
      <c r="K2573"/>
      <c r="L2573"/>
    </row>
    <row r="2574" spans="2:12" ht="14.4" x14ac:dyDescent="0.3">
      <c r="B2574"/>
      <c r="C2574"/>
      <c r="D2574"/>
      <c r="E2574"/>
      <c r="F2574"/>
      <c r="H2574"/>
      <c r="I2574"/>
      <c r="J2574"/>
      <c r="K2574"/>
      <c r="L2574"/>
    </row>
    <row r="2575" spans="2:12" ht="14.4" x14ac:dyDescent="0.3">
      <c r="B2575"/>
      <c r="C2575"/>
      <c r="D2575"/>
      <c r="E2575"/>
      <c r="F2575"/>
      <c r="H2575"/>
      <c r="I2575"/>
      <c r="J2575"/>
      <c r="K2575"/>
      <c r="L2575"/>
    </row>
    <row r="2576" spans="2:12" ht="14.4" x14ac:dyDescent="0.3">
      <c r="B2576"/>
      <c r="C2576"/>
      <c r="D2576"/>
      <c r="E2576"/>
      <c r="F2576"/>
      <c r="H2576"/>
      <c r="I2576"/>
      <c r="J2576"/>
      <c r="K2576"/>
      <c r="L2576"/>
    </row>
    <row r="2577" spans="2:12" ht="14.4" x14ac:dyDescent="0.3">
      <c r="B2577"/>
      <c r="C2577"/>
      <c r="D2577"/>
      <c r="E2577"/>
      <c r="F2577"/>
      <c r="H2577"/>
      <c r="I2577"/>
      <c r="J2577"/>
      <c r="K2577"/>
      <c r="L2577"/>
    </row>
    <row r="2578" spans="2:12" ht="14.4" x14ac:dyDescent="0.3">
      <c r="B2578"/>
      <c r="C2578"/>
      <c r="D2578"/>
      <c r="E2578"/>
      <c r="F2578"/>
      <c r="H2578"/>
      <c r="I2578"/>
      <c r="J2578"/>
      <c r="K2578"/>
      <c r="L2578"/>
    </row>
    <row r="2579" spans="2:12" ht="14.4" x14ac:dyDescent="0.3">
      <c r="B2579"/>
      <c r="C2579"/>
      <c r="D2579"/>
      <c r="E2579"/>
      <c r="F2579"/>
      <c r="H2579"/>
      <c r="I2579"/>
      <c r="J2579"/>
      <c r="K2579"/>
      <c r="L2579"/>
    </row>
    <row r="2580" spans="2:12" ht="14.4" x14ac:dyDescent="0.3">
      <c r="B2580"/>
      <c r="C2580"/>
      <c r="D2580"/>
      <c r="E2580"/>
      <c r="F2580"/>
      <c r="H2580"/>
      <c r="I2580"/>
      <c r="J2580"/>
      <c r="K2580"/>
      <c r="L2580"/>
    </row>
    <row r="2581" spans="2:12" ht="14.4" x14ac:dyDescent="0.3">
      <c r="B2581"/>
      <c r="C2581"/>
      <c r="D2581"/>
      <c r="E2581"/>
      <c r="F2581"/>
      <c r="H2581"/>
      <c r="I2581"/>
      <c r="J2581"/>
      <c r="K2581"/>
      <c r="L2581"/>
    </row>
    <row r="2582" spans="2:12" ht="14.4" x14ac:dyDescent="0.3">
      <c r="B2582"/>
      <c r="C2582"/>
      <c r="D2582"/>
      <c r="E2582"/>
      <c r="F2582"/>
      <c r="H2582"/>
      <c r="I2582"/>
      <c r="J2582"/>
      <c r="K2582"/>
      <c r="L2582"/>
    </row>
    <row r="2583" spans="2:12" ht="14.4" x14ac:dyDescent="0.3">
      <c r="B2583"/>
      <c r="C2583"/>
      <c r="D2583"/>
      <c r="E2583"/>
      <c r="F2583"/>
      <c r="H2583"/>
      <c r="I2583"/>
      <c r="J2583"/>
      <c r="K2583"/>
      <c r="L2583"/>
    </row>
    <row r="2584" spans="2:12" ht="14.4" x14ac:dyDescent="0.3">
      <c r="B2584"/>
      <c r="C2584"/>
      <c r="D2584"/>
      <c r="E2584"/>
      <c r="F2584"/>
      <c r="H2584"/>
      <c r="I2584"/>
      <c r="J2584"/>
      <c r="K2584"/>
      <c r="L2584"/>
    </row>
    <row r="2585" spans="2:12" ht="14.4" x14ac:dyDescent="0.3">
      <c r="B2585"/>
      <c r="C2585"/>
      <c r="D2585"/>
      <c r="E2585"/>
      <c r="F2585"/>
      <c r="H2585"/>
      <c r="I2585"/>
      <c r="J2585"/>
      <c r="K2585"/>
      <c r="L2585"/>
    </row>
    <row r="2586" spans="2:12" ht="14.4" x14ac:dyDescent="0.3">
      <c r="B2586"/>
      <c r="C2586"/>
      <c r="D2586"/>
      <c r="E2586"/>
      <c r="F2586"/>
      <c r="H2586"/>
      <c r="I2586"/>
      <c r="J2586"/>
      <c r="K2586"/>
      <c r="L2586"/>
    </row>
    <row r="2587" spans="2:12" ht="14.4" x14ac:dyDescent="0.3">
      <c r="B2587"/>
      <c r="C2587"/>
      <c r="D2587"/>
      <c r="E2587"/>
      <c r="F2587"/>
      <c r="H2587"/>
      <c r="I2587"/>
      <c r="J2587"/>
      <c r="K2587"/>
      <c r="L2587"/>
    </row>
    <row r="2588" spans="2:12" ht="14.4" x14ac:dyDescent="0.3">
      <c r="B2588"/>
      <c r="C2588"/>
      <c r="D2588"/>
      <c r="E2588"/>
      <c r="F2588"/>
      <c r="H2588"/>
      <c r="I2588"/>
      <c r="J2588"/>
      <c r="K2588"/>
      <c r="L2588"/>
    </row>
    <row r="2589" spans="2:12" ht="14.4" x14ac:dyDescent="0.3">
      <c r="B2589"/>
      <c r="C2589"/>
      <c r="D2589"/>
      <c r="E2589"/>
      <c r="F2589"/>
      <c r="H2589"/>
      <c r="I2589"/>
      <c r="J2589"/>
      <c r="K2589"/>
      <c r="L2589"/>
    </row>
    <row r="2590" spans="2:12" ht="14.4" x14ac:dyDescent="0.3">
      <c r="B2590"/>
      <c r="C2590"/>
      <c r="D2590"/>
      <c r="E2590"/>
      <c r="F2590"/>
      <c r="H2590"/>
      <c r="I2590"/>
      <c r="J2590"/>
      <c r="K2590"/>
      <c r="L2590"/>
    </row>
    <row r="2591" spans="2:12" ht="14.4" x14ac:dyDescent="0.3">
      <c r="B2591"/>
      <c r="C2591"/>
      <c r="D2591"/>
      <c r="E2591"/>
      <c r="F2591"/>
      <c r="H2591"/>
      <c r="I2591"/>
      <c r="J2591"/>
      <c r="K2591"/>
      <c r="L2591"/>
    </row>
    <row r="2592" spans="2:12" ht="14.4" x14ac:dyDescent="0.3">
      <c r="B2592"/>
      <c r="C2592"/>
      <c r="D2592"/>
      <c r="E2592"/>
      <c r="F2592"/>
      <c r="H2592"/>
      <c r="I2592"/>
      <c r="J2592"/>
      <c r="K2592"/>
      <c r="L2592"/>
    </row>
    <row r="2593" spans="2:12" ht="14.4" x14ac:dyDescent="0.3">
      <c r="B2593"/>
      <c r="C2593"/>
      <c r="D2593"/>
      <c r="E2593"/>
      <c r="F2593"/>
      <c r="H2593"/>
      <c r="I2593"/>
      <c r="J2593"/>
      <c r="K2593"/>
      <c r="L2593"/>
    </row>
    <row r="2594" spans="2:12" ht="14.4" x14ac:dyDescent="0.3">
      <c r="B2594"/>
      <c r="C2594"/>
      <c r="D2594"/>
      <c r="E2594"/>
      <c r="F2594"/>
      <c r="H2594"/>
      <c r="I2594"/>
      <c r="J2594"/>
      <c r="K2594"/>
      <c r="L2594"/>
    </row>
    <row r="2595" spans="2:12" ht="14.4" x14ac:dyDescent="0.3">
      <c r="B2595"/>
      <c r="C2595"/>
      <c r="D2595"/>
      <c r="E2595"/>
      <c r="F2595"/>
      <c r="H2595"/>
      <c r="I2595"/>
      <c r="J2595"/>
      <c r="K2595"/>
      <c r="L2595"/>
    </row>
    <row r="2596" spans="2:12" ht="14.4" x14ac:dyDescent="0.3">
      <c r="B2596"/>
      <c r="C2596"/>
      <c r="D2596"/>
      <c r="E2596"/>
      <c r="F2596"/>
      <c r="H2596"/>
      <c r="I2596"/>
      <c r="J2596"/>
      <c r="K2596"/>
      <c r="L2596"/>
    </row>
    <row r="2597" spans="2:12" ht="14.4" x14ac:dyDescent="0.3">
      <c r="B2597"/>
      <c r="C2597"/>
      <c r="D2597"/>
      <c r="E2597"/>
      <c r="F2597"/>
      <c r="H2597"/>
      <c r="I2597"/>
      <c r="J2597"/>
      <c r="K2597"/>
      <c r="L2597"/>
    </row>
    <row r="2598" spans="2:12" ht="14.4" x14ac:dyDescent="0.3">
      <c r="B2598"/>
      <c r="C2598"/>
      <c r="D2598"/>
      <c r="E2598"/>
      <c r="F2598"/>
      <c r="H2598"/>
      <c r="I2598"/>
      <c r="J2598"/>
      <c r="K2598"/>
      <c r="L2598"/>
    </row>
    <row r="2599" spans="2:12" ht="14.4" x14ac:dyDescent="0.3">
      <c r="B2599"/>
      <c r="C2599"/>
      <c r="D2599"/>
      <c r="E2599"/>
      <c r="F2599"/>
      <c r="H2599"/>
      <c r="I2599"/>
      <c r="J2599"/>
      <c r="K2599"/>
      <c r="L2599"/>
    </row>
    <row r="2600" spans="2:12" ht="14.4" x14ac:dyDescent="0.3">
      <c r="B2600"/>
      <c r="C2600"/>
      <c r="D2600"/>
      <c r="E2600"/>
      <c r="F2600"/>
      <c r="H2600"/>
      <c r="I2600"/>
      <c r="J2600"/>
      <c r="K2600"/>
      <c r="L2600"/>
    </row>
    <row r="2601" spans="2:12" ht="14.4" x14ac:dyDescent="0.3">
      <c r="B2601"/>
      <c r="C2601"/>
      <c r="D2601"/>
      <c r="E2601"/>
      <c r="F2601"/>
      <c r="H2601"/>
      <c r="I2601"/>
      <c r="J2601"/>
      <c r="K2601"/>
      <c r="L2601"/>
    </row>
    <row r="2602" spans="2:12" ht="14.4" x14ac:dyDescent="0.3">
      <c r="B2602"/>
      <c r="C2602"/>
      <c r="D2602"/>
      <c r="E2602"/>
      <c r="F2602"/>
      <c r="H2602"/>
      <c r="I2602"/>
      <c r="J2602"/>
      <c r="K2602"/>
      <c r="L2602"/>
    </row>
    <row r="2603" spans="2:12" ht="14.4" x14ac:dyDescent="0.3">
      <c r="B2603"/>
      <c r="C2603"/>
      <c r="D2603"/>
      <c r="E2603"/>
      <c r="F2603"/>
      <c r="H2603"/>
      <c r="I2603"/>
      <c r="J2603"/>
      <c r="K2603"/>
      <c r="L2603"/>
    </row>
    <row r="2604" spans="2:12" ht="14.4" x14ac:dyDescent="0.3">
      <c r="B2604"/>
      <c r="C2604"/>
      <c r="D2604"/>
      <c r="E2604"/>
      <c r="F2604"/>
      <c r="H2604"/>
      <c r="I2604"/>
      <c r="J2604"/>
      <c r="K2604"/>
      <c r="L2604"/>
    </row>
    <row r="2605" spans="2:12" ht="14.4" x14ac:dyDescent="0.3">
      <c r="B2605"/>
      <c r="C2605"/>
      <c r="D2605"/>
      <c r="E2605"/>
      <c r="F2605"/>
      <c r="H2605"/>
      <c r="I2605"/>
      <c r="J2605"/>
      <c r="K2605"/>
      <c r="L2605"/>
    </row>
    <row r="2606" spans="2:12" ht="14.4" x14ac:dyDescent="0.3">
      <c r="B2606"/>
      <c r="C2606"/>
      <c r="D2606"/>
      <c r="E2606"/>
      <c r="F2606"/>
      <c r="H2606"/>
      <c r="I2606"/>
      <c r="J2606"/>
      <c r="K2606"/>
      <c r="L2606"/>
    </row>
    <row r="2607" spans="2:12" ht="14.4" x14ac:dyDescent="0.3">
      <c r="B2607"/>
      <c r="C2607"/>
      <c r="D2607"/>
      <c r="E2607"/>
      <c r="F2607"/>
      <c r="H2607"/>
      <c r="I2607"/>
      <c r="J2607"/>
      <c r="K2607"/>
      <c r="L2607"/>
    </row>
    <row r="2608" spans="2:12" ht="14.4" x14ac:dyDescent="0.3">
      <c r="B2608"/>
      <c r="C2608"/>
      <c r="D2608"/>
      <c r="E2608"/>
      <c r="F2608"/>
      <c r="H2608"/>
      <c r="I2608"/>
      <c r="J2608"/>
      <c r="K2608"/>
      <c r="L2608"/>
    </row>
    <row r="2609" spans="2:12" ht="14.4" x14ac:dyDescent="0.3">
      <c r="B2609"/>
      <c r="C2609"/>
      <c r="D2609"/>
      <c r="E2609"/>
      <c r="F2609"/>
      <c r="H2609"/>
      <c r="I2609"/>
      <c r="J2609"/>
      <c r="K2609"/>
      <c r="L2609"/>
    </row>
    <row r="2610" spans="2:12" ht="14.4" x14ac:dyDescent="0.3">
      <c r="B2610"/>
      <c r="C2610"/>
      <c r="D2610"/>
      <c r="E2610"/>
      <c r="F2610"/>
      <c r="H2610"/>
      <c r="I2610"/>
      <c r="J2610"/>
      <c r="K2610"/>
      <c r="L2610"/>
    </row>
    <row r="2611" spans="2:12" ht="14.4" x14ac:dyDescent="0.3">
      <c r="B2611"/>
      <c r="C2611"/>
      <c r="D2611"/>
      <c r="E2611"/>
      <c r="F2611"/>
      <c r="H2611"/>
      <c r="I2611"/>
      <c r="J2611"/>
      <c r="K2611"/>
      <c r="L2611"/>
    </row>
    <row r="2612" spans="2:12" ht="14.4" x14ac:dyDescent="0.3">
      <c r="B2612"/>
      <c r="C2612"/>
      <c r="D2612"/>
      <c r="E2612"/>
      <c r="F2612"/>
      <c r="H2612"/>
      <c r="I2612"/>
      <c r="J2612"/>
      <c r="K2612"/>
      <c r="L2612"/>
    </row>
    <row r="2613" spans="2:12" ht="14.4" x14ac:dyDescent="0.3">
      <c r="B2613"/>
      <c r="C2613"/>
      <c r="D2613"/>
      <c r="E2613"/>
      <c r="F2613"/>
      <c r="H2613"/>
      <c r="I2613"/>
      <c r="J2613"/>
      <c r="K2613"/>
      <c r="L2613"/>
    </row>
    <row r="2614" spans="2:12" ht="14.4" x14ac:dyDescent="0.3">
      <c r="B2614"/>
      <c r="C2614"/>
      <c r="D2614"/>
      <c r="E2614"/>
      <c r="F2614"/>
      <c r="H2614"/>
      <c r="I2614"/>
      <c r="J2614"/>
      <c r="K2614"/>
      <c r="L2614"/>
    </row>
    <row r="2615" spans="2:12" ht="14.4" x14ac:dyDescent="0.3">
      <c r="B2615"/>
      <c r="C2615"/>
      <c r="D2615"/>
      <c r="E2615"/>
      <c r="F2615"/>
      <c r="H2615"/>
      <c r="I2615"/>
      <c r="J2615"/>
      <c r="K2615"/>
      <c r="L2615"/>
    </row>
    <row r="2616" spans="2:12" ht="14.4" x14ac:dyDescent="0.3">
      <c r="B2616"/>
      <c r="C2616"/>
      <c r="D2616"/>
      <c r="E2616"/>
      <c r="F2616"/>
      <c r="H2616"/>
      <c r="I2616"/>
      <c r="J2616"/>
      <c r="K2616"/>
      <c r="L2616"/>
    </row>
    <row r="2617" spans="2:12" ht="14.4" x14ac:dyDescent="0.3">
      <c r="B2617"/>
      <c r="C2617"/>
      <c r="D2617"/>
      <c r="E2617"/>
      <c r="F2617"/>
      <c r="H2617"/>
      <c r="I2617"/>
      <c r="J2617"/>
      <c r="K2617"/>
      <c r="L2617"/>
    </row>
    <row r="2618" spans="2:12" ht="14.4" x14ac:dyDescent="0.3">
      <c r="B2618"/>
      <c r="C2618"/>
      <c r="D2618"/>
      <c r="E2618"/>
      <c r="F2618"/>
      <c r="H2618"/>
      <c r="I2618"/>
      <c r="J2618"/>
      <c r="K2618"/>
      <c r="L2618"/>
    </row>
    <row r="2619" spans="2:12" ht="14.4" x14ac:dyDescent="0.3">
      <c r="B2619"/>
      <c r="C2619"/>
      <c r="D2619"/>
      <c r="E2619"/>
      <c r="F2619"/>
      <c r="H2619"/>
      <c r="I2619"/>
      <c r="J2619"/>
      <c r="K2619"/>
      <c r="L2619"/>
    </row>
    <row r="2620" spans="2:12" ht="14.4" x14ac:dyDescent="0.3">
      <c r="B2620"/>
      <c r="C2620"/>
      <c r="D2620"/>
      <c r="E2620"/>
      <c r="F2620"/>
      <c r="H2620"/>
      <c r="I2620"/>
      <c r="J2620"/>
      <c r="K2620"/>
      <c r="L2620"/>
    </row>
    <row r="2621" spans="2:12" ht="14.4" x14ac:dyDescent="0.3">
      <c r="B2621"/>
      <c r="C2621"/>
      <c r="D2621"/>
      <c r="E2621"/>
      <c r="F2621"/>
      <c r="H2621"/>
      <c r="I2621"/>
      <c r="J2621"/>
      <c r="K2621"/>
      <c r="L2621"/>
    </row>
    <row r="2622" spans="2:12" ht="14.4" x14ac:dyDescent="0.3">
      <c r="B2622"/>
      <c r="C2622"/>
      <c r="D2622"/>
      <c r="E2622"/>
      <c r="F2622"/>
      <c r="H2622"/>
      <c r="I2622"/>
      <c r="J2622"/>
      <c r="K2622"/>
      <c r="L2622"/>
    </row>
    <row r="2623" spans="2:12" ht="14.4" x14ac:dyDescent="0.3">
      <c r="B2623"/>
      <c r="C2623"/>
      <c r="D2623"/>
      <c r="E2623"/>
      <c r="F2623"/>
      <c r="H2623"/>
      <c r="I2623"/>
      <c r="J2623"/>
      <c r="K2623"/>
      <c r="L2623"/>
    </row>
    <row r="2624" spans="2:12" ht="14.4" x14ac:dyDescent="0.3">
      <c r="B2624"/>
      <c r="C2624"/>
      <c r="D2624"/>
      <c r="E2624"/>
      <c r="F2624"/>
      <c r="H2624"/>
      <c r="I2624"/>
      <c r="J2624"/>
      <c r="K2624"/>
      <c r="L2624"/>
    </row>
    <row r="2625" spans="2:12" ht="14.4" x14ac:dyDescent="0.3">
      <c r="B2625"/>
      <c r="C2625"/>
      <c r="D2625"/>
      <c r="E2625"/>
      <c r="F2625"/>
      <c r="H2625"/>
      <c r="I2625"/>
      <c r="J2625"/>
      <c r="K2625"/>
      <c r="L2625"/>
    </row>
    <row r="2626" spans="2:12" ht="14.4" x14ac:dyDescent="0.3">
      <c r="B2626"/>
      <c r="C2626"/>
      <c r="D2626"/>
      <c r="E2626"/>
      <c r="F2626"/>
      <c r="H2626"/>
      <c r="I2626"/>
      <c r="J2626"/>
      <c r="K2626"/>
      <c r="L2626"/>
    </row>
    <row r="2627" spans="2:12" ht="14.4" x14ac:dyDescent="0.3">
      <c r="B2627"/>
      <c r="C2627"/>
      <c r="D2627"/>
      <c r="E2627"/>
      <c r="F2627"/>
      <c r="H2627"/>
      <c r="I2627"/>
      <c r="J2627"/>
      <c r="K2627"/>
      <c r="L2627"/>
    </row>
    <row r="2628" spans="2:12" ht="14.4" x14ac:dyDescent="0.3">
      <c r="B2628"/>
      <c r="C2628"/>
      <c r="D2628"/>
      <c r="E2628"/>
      <c r="F2628"/>
      <c r="H2628"/>
      <c r="I2628"/>
      <c r="J2628"/>
      <c r="K2628"/>
      <c r="L2628"/>
    </row>
    <row r="2629" spans="2:12" ht="14.4" x14ac:dyDescent="0.3">
      <c r="B2629"/>
      <c r="C2629"/>
      <c r="D2629"/>
      <c r="E2629"/>
      <c r="F2629"/>
      <c r="H2629"/>
      <c r="I2629"/>
      <c r="J2629"/>
      <c r="K2629"/>
      <c r="L2629"/>
    </row>
    <row r="2630" spans="2:12" ht="14.4" x14ac:dyDescent="0.3">
      <c r="B2630"/>
      <c r="C2630"/>
      <c r="D2630"/>
      <c r="E2630"/>
      <c r="F2630"/>
      <c r="H2630"/>
      <c r="I2630"/>
      <c r="J2630"/>
      <c r="K2630"/>
      <c r="L2630"/>
    </row>
    <row r="2631" spans="2:12" ht="14.4" x14ac:dyDescent="0.3">
      <c r="B2631"/>
      <c r="C2631"/>
      <c r="D2631"/>
      <c r="E2631"/>
      <c r="F2631"/>
      <c r="H2631"/>
      <c r="I2631"/>
      <c r="J2631"/>
      <c r="K2631"/>
      <c r="L2631"/>
    </row>
    <row r="2632" spans="2:12" ht="14.4" x14ac:dyDescent="0.3">
      <c r="B2632"/>
      <c r="C2632"/>
      <c r="D2632"/>
      <c r="E2632"/>
      <c r="F2632"/>
      <c r="H2632"/>
      <c r="I2632"/>
      <c r="J2632"/>
      <c r="K2632"/>
      <c r="L2632"/>
    </row>
    <row r="2633" spans="2:12" ht="14.4" x14ac:dyDescent="0.3">
      <c r="B2633"/>
      <c r="C2633"/>
      <c r="D2633"/>
      <c r="E2633"/>
      <c r="F2633"/>
      <c r="H2633"/>
      <c r="I2633"/>
      <c r="J2633"/>
      <c r="K2633"/>
      <c r="L2633"/>
    </row>
    <row r="2634" spans="2:12" ht="14.4" x14ac:dyDescent="0.3">
      <c r="B2634"/>
      <c r="C2634"/>
      <c r="D2634"/>
      <c r="E2634"/>
      <c r="F2634"/>
      <c r="H2634"/>
      <c r="I2634"/>
      <c r="J2634"/>
      <c r="K2634"/>
      <c r="L2634"/>
    </row>
    <row r="2635" spans="2:12" ht="14.4" x14ac:dyDescent="0.3">
      <c r="B2635"/>
      <c r="C2635"/>
      <c r="D2635"/>
      <c r="E2635"/>
      <c r="F2635"/>
      <c r="H2635"/>
      <c r="I2635"/>
      <c r="J2635"/>
      <c r="K2635"/>
      <c r="L2635"/>
    </row>
    <row r="2636" spans="2:12" ht="14.4" x14ac:dyDescent="0.3">
      <c r="B2636"/>
      <c r="C2636"/>
      <c r="D2636"/>
      <c r="E2636"/>
      <c r="F2636"/>
      <c r="H2636"/>
      <c r="I2636"/>
      <c r="J2636"/>
      <c r="K2636"/>
      <c r="L2636"/>
    </row>
    <row r="2637" spans="2:12" ht="14.4" x14ac:dyDescent="0.3">
      <c r="B2637"/>
      <c r="C2637"/>
      <c r="D2637"/>
      <c r="E2637"/>
      <c r="F2637"/>
      <c r="H2637"/>
      <c r="I2637"/>
      <c r="J2637"/>
      <c r="K2637"/>
      <c r="L2637"/>
    </row>
    <row r="2638" spans="2:12" ht="14.4" x14ac:dyDescent="0.3">
      <c r="B2638"/>
      <c r="C2638"/>
      <c r="D2638"/>
      <c r="E2638"/>
      <c r="F2638"/>
      <c r="H2638"/>
      <c r="I2638"/>
      <c r="J2638"/>
      <c r="K2638"/>
      <c r="L2638"/>
    </row>
    <row r="2639" spans="2:12" ht="14.4" x14ac:dyDescent="0.3">
      <c r="B2639"/>
      <c r="C2639"/>
      <c r="D2639"/>
      <c r="E2639"/>
      <c r="F2639"/>
      <c r="H2639"/>
      <c r="I2639"/>
      <c r="J2639"/>
      <c r="K2639"/>
      <c r="L2639"/>
    </row>
    <row r="2640" spans="2:12" ht="14.4" x14ac:dyDescent="0.3">
      <c r="B2640"/>
      <c r="C2640"/>
      <c r="D2640"/>
      <c r="E2640"/>
      <c r="F2640"/>
      <c r="H2640"/>
      <c r="I2640"/>
      <c r="J2640"/>
      <c r="K2640"/>
      <c r="L2640"/>
    </row>
    <row r="2641" spans="2:12" ht="14.4" x14ac:dyDescent="0.3">
      <c r="B2641"/>
      <c r="C2641"/>
      <c r="D2641"/>
      <c r="E2641"/>
      <c r="F2641"/>
      <c r="H2641"/>
      <c r="I2641"/>
      <c r="J2641"/>
      <c r="K2641"/>
      <c r="L2641"/>
    </row>
    <row r="2642" spans="2:12" ht="14.4" x14ac:dyDescent="0.3">
      <c r="B2642"/>
      <c r="C2642"/>
      <c r="D2642"/>
      <c r="E2642"/>
      <c r="F2642"/>
      <c r="H2642"/>
      <c r="I2642"/>
      <c r="J2642"/>
      <c r="K2642"/>
      <c r="L2642"/>
    </row>
    <row r="2643" spans="2:12" ht="14.4" x14ac:dyDescent="0.3">
      <c r="B2643"/>
      <c r="C2643"/>
      <c r="D2643"/>
      <c r="E2643"/>
      <c r="F2643"/>
      <c r="H2643"/>
      <c r="I2643"/>
      <c r="J2643"/>
      <c r="K2643"/>
      <c r="L2643"/>
    </row>
    <row r="2644" spans="2:12" ht="14.4" x14ac:dyDescent="0.3">
      <c r="B2644"/>
      <c r="C2644"/>
      <c r="D2644"/>
      <c r="E2644"/>
      <c r="F2644"/>
      <c r="H2644"/>
      <c r="I2644"/>
      <c r="J2644"/>
      <c r="K2644"/>
      <c r="L2644"/>
    </row>
    <row r="2645" spans="2:12" ht="14.4" x14ac:dyDescent="0.3">
      <c r="B2645"/>
      <c r="C2645"/>
      <c r="D2645"/>
      <c r="E2645"/>
      <c r="F2645"/>
      <c r="H2645"/>
      <c r="I2645"/>
      <c r="J2645"/>
      <c r="K2645"/>
      <c r="L2645"/>
    </row>
    <row r="2646" spans="2:12" ht="14.4" x14ac:dyDescent="0.3">
      <c r="B2646"/>
      <c r="C2646"/>
      <c r="D2646"/>
      <c r="E2646"/>
      <c r="F2646"/>
      <c r="H2646"/>
      <c r="I2646"/>
      <c r="J2646"/>
      <c r="K2646"/>
      <c r="L2646"/>
    </row>
    <row r="2647" spans="2:12" ht="14.4" x14ac:dyDescent="0.3">
      <c r="B2647"/>
      <c r="C2647"/>
      <c r="D2647"/>
      <c r="E2647"/>
      <c r="F2647"/>
      <c r="H2647"/>
      <c r="I2647"/>
      <c r="J2647"/>
      <c r="K2647"/>
      <c r="L2647"/>
    </row>
    <row r="2648" spans="2:12" ht="14.4" x14ac:dyDescent="0.3">
      <c r="B2648"/>
      <c r="C2648"/>
      <c r="D2648"/>
      <c r="E2648"/>
      <c r="F2648"/>
      <c r="H2648"/>
      <c r="I2648"/>
      <c r="J2648"/>
      <c r="K2648"/>
      <c r="L2648"/>
    </row>
    <row r="2649" spans="2:12" ht="14.4" x14ac:dyDescent="0.3">
      <c r="B2649"/>
      <c r="C2649"/>
      <c r="D2649"/>
      <c r="E2649"/>
      <c r="F2649"/>
      <c r="H2649"/>
      <c r="I2649"/>
      <c r="J2649"/>
      <c r="K2649"/>
      <c r="L2649"/>
    </row>
    <row r="2650" spans="2:12" ht="14.4" x14ac:dyDescent="0.3">
      <c r="B2650"/>
      <c r="C2650"/>
      <c r="D2650"/>
      <c r="E2650"/>
      <c r="F2650"/>
      <c r="H2650"/>
      <c r="I2650"/>
      <c r="J2650"/>
      <c r="K2650"/>
      <c r="L2650"/>
    </row>
    <row r="2651" spans="2:12" ht="14.4" x14ac:dyDescent="0.3">
      <c r="B2651"/>
      <c r="C2651"/>
      <c r="D2651"/>
      <c r="E2651"/>
      <c r="F2651"/>
      <c r="H2651"/>
      <c r="I2651"/>
      <c r="J2651"/>
      <c r="K2651"/>
      <c r="L2651"/>
    </row>
    <row r="2652" spans="2:12" ht="14.4" x14ac:dyDescent="0.3">
      <c r="B2652"/>
      <c r="C2652"/>
      <c r="D2652"/>
      <c r="E2652"/>
      <c r="F2652"/>
      <c r="H2652"/>
      <c r="I2652"/>
      <c r="J2652"/>
      <c r="K2652"/>
      <c r="L2652"/>
    </row>
    <row r="2653" spans="2:12" ht="14.4" x14ac:dyDescent="0.3">
      <c r="B2653"/>
      <c r="C2653"/>
      <c r="D2653"/>
      <c r="E2653"/>
      <c r="F2653"/>
      <c r="H2653"/>
      <c r="I2653"/>
      <c r="J2653"/>
      <c r="K2653"/>
      <c r="L2653"/>
    </row>
    <row r="2654" spans="2:12" ht="14.4" x14ac:dyDescent="0.3">
      <c r="B2654"/>
      <c r="C2654"/>
      <c r="D2654"/>
      <c r="E2654"/>
      <c r="F2654"/>
      <c r="H2654"/>
      <c r="I2654"/>
      <c r="J2654"/>
      <c r="K2654"/>
      <c r="L2654"/>
    </row>
    <row r="2655" spans="2:12" ht="14.4" x14ac:dyDescent="0.3">
      <c r="B2655"/>
      <c r="C2655"/>
      <c r="D2655"/>
      <c r="E2655"/>
      <c r="F2655"/>
      <c r="H2655"/>
      <c r="I2655"/>
      <c r="J2655"/>
      <c r="K2655"/>
      <c r="L2655"/>
    </row>
    <row r="2656" spans="2:12" ht="14.4" x14ac:dyDescent="0.3">
      <c r="B2656"/>
      <c r="C2656"/>
      <c r="D2656"/>
      <c r="E2656"/>
      <c r="F2656"/>
      <c r="H2656"/>
      <c r="I2656"/>
      <c r="J2656"/>
      <c r="K2656"/>
      <c r="L2656"/>
    </row>
    <row r="2657" spans="2:12" ht="14.4" x14ac:dyDescent="0.3">
      <c r="B2657"/>
      <c r="C2657"/>
      <c r="D2657"/>
      <c r="E2657"/>
      <c r="F2657"/>
      <c r="H2657"/>
      <c r="I2657"/>
      <c r="J2657"/>
      <c r="K2657"/>
      <c r="L2657"/>
    </row>
    <row r="2658" spans="2:12" ht="14.4" x14ac:dyDescent="0.3">
      <c r="B2658"/>
      <c r="C2658"/>
      <c r="D2658"/>
      <c r="E2658"/>
      <c r="F2658"/>
      <c r="H2658"/>
      <c r="I2658"/>
      <c r="J2658"/>
      <c r="K2658"/>
      <c r="L2658"/>
    </row>
    <row r="2659" spans="2:12" ht="14.4" x14ac:dyDescent="0.3">
      <c r="B2659"/>
      <c r="C2659"/>
      <c r="D2659"/>
      <c r="E2659"/>
      <c r="F2659"/>
      <c r="H2659"/>
      <c r="I2659"/>
      <c r="J2659"/>
      <c r="K2659"/>
      <c r="L2659"/>
    </row>
    <row r="2660" spans="2:12" ht="14.4" x14ac:dyDescent="0.3">
      <c r="B2660"/>
      <c r="C2660"/>
      <c r="D2660"/>
      <c r="E2660"/>
      <c r="F2660"/>
      <c r="H2660"/>
      <c r="I2660"/>
      <c r="J2660"/>
      <c r="K2660"/>
      <c r="L2660"/>
    </row>
    <row r="2661" spans="2:12" ht="14.4" x14ac:dyDescent="0.3">
      <c r="B2661"/>
      <c r="C2661"/>
      <c r="D2661"/>
      <c r="E2661"/>
      <c r="F2661"/>
      <c r="H2661"/>
      <c r="I2661"/>
      <c r="J2661"/>
      <c r="K2661"/>
      <c r="L2661"/>
    </row>
    <row r="2662" spans="2:12" ht="14.4" x14ac:dyDescent="0.3">
      <c r="B2662"/>
      <c r="C2662"/>
      <c r="D2662"/>
      <c r="E2662"/>
      <c r="F2662"/>
      <c r="H2662"/>
      <c r="I2662"/>
      <c r="J2662"/>
      <c r="K2662"/>
      <c r="L2662"/>
    </row>
    <row r="2663" spans="2:12" ht="14.4" x14ac:dyDescent="0.3">
      <c r="B2663"/>
      <c r="C2663"/>
      <c r="D2663"/>
      <c r="E2663"/>
      <c r="F2663"/>
      <c r="H2663"/>
      <c r="I2663"/>
      <c r="J2663"/>
      <c r="K2663"/>
      <c r="L2663"/>
    </row>
    <row r="2664" spans="2:12" ht="14.4" x14ac:dyDescent="0.3">
      <c r="B2664"/>
      <c r="C2664"/>
      <c r="D2664"/>
      <c r="E2664"/>
      <c r="F2664"/>
      <c r="H2664"/>
      <c r="I2664"/>
      <c r="J2664"/>
      <c r="K2664"/>
      <c r="L2664"/>
    </row>
    <row r="2665" spans="2:12" ht="14.4" x14ac:dyDescent="0.3">
      <c r="B2665"/>
      <c r="C2665"/>
      <c r="D2665"/>
      <c r="E2665"/>
      <c r="F2665"/>
      <c r="H2665"/>
      <c r="I2665"/>
      <c r="J2665"/>
      <c r="K2665"/>
      <c r="L2665"/>
    </row>
    <row r="2666" spans="2:12" ht="14.4" x14ac:dyDescent="0.3">
      <c r="B2666"/>
      <c r="C2666"/>
      <c r="D2666"/>
      <c r="E2666"/>
      <c r="F2666"/>
      <c r="H2666"/>
      <c r="I2666"/>
      <c r="J2666"/>
      <c r="K2666"/>
      <c r="L2666"/>
    </row>
    <row r="2667" spans="2:12" ht="14.4" x14ac:dyDescent="0.3">
      <c r="B2667"/>
      <c r="C2667"/>
      <c r="D2667"/>
      <c r="E2667"/>
      <c r="F2667"/>
      <c r="H2667"/>
      <c r="I2667"/>
      <c r="J2667"/>
      <c r="K2667"/>
      <c r="L2667"/>
    </row>
    <row r="2668" spans="2:12" ht="14.4" x14ac:dyDescent="0.3">
      <c r="B2668"/>
      <c r="C2668"/>
      <c r="D2668"/>
      <c r="E2668"/>
      <c r="F2668"/>
      <c r="H2668"/>
      <c r="I2668"/>
      <c r="J2668"/>
      <c r="K2668"/>
      <c r="L2668"/>
    </row>
    <row r="2669" spans="2:12" ht="14.4" x14ac:dyDescent="0.3">
      <c r="B2669"/>
      <c r="C2669"/>
      <c r="D2669"/>
      <c r="E2669"/>
      <c r="F2669"/>
      <c r="H2669"/>
      <c r="I2669"/>
      <c r="J2669"/>
      <c r="K2669"/>
      <c r="L2669"/>
    </row>
    <row r="2670" spans="2:12" ht="14.4" x14ac:dyDescent="0.3">
      <c r="B2670"/>
      <c r="C2670"/>
      <c r="D2670"/>
      <c r="E2670"/>
      <c r="F2670"/>
      <c r="H2670"/>
      <c r="I2670"/>
      <c r="J2670"/>
      <c r="K2670"/>
      <c r="L2670"/>
    </row>
    <row r="2671" spans="2:12" ht="14.4" x14ac:dyDescent="0.3">
      <c r="B2671"/>
      <c r="C2671"/>
      <c r="D2671"/>
      <c r="E2671"/>
      <c r="F2671"/>
      <c r="H2671"/>
      <c r="I2671"/>
      <c r="J2671"/>
      <c r="K2671"/>
      <c r="L2671"/>
    </row>
    <row r="2672" spans="2:12" ht="14.4" x14ac:dyDescent="0.3">
      <c r="B2672"/>
      <c r="C2672"/>
      <c r="D2672"/>
      <c r="E2672"/>
      <c r="F2672"/>
      <c r="H2672"/>
      <c r="I2672"/>
      <c r="J2672"/>
      <c r="K2672"/>
      <c r="L2672"/>
    </row>
    <row r="2673" spans="2:12" ht="14.4" x14ac:dyDescent="0.3">
      <c r="B2673"/>
      <c r="C2673"/>
      <c r="D2673"/>
      <c r="E2673"/>
      <c r="F2673"/>
      <c r="H2673"/>
      <c r="I2673"/>
      <c r="J2673"/>
      <c r="K2673"/>
      <c r="L2673"/>
    </row>
    <row r="2674" spans="2:12" ht="14.4" x14ac:dyDescent="0.3">
      <c r="B2674"/>
      <c r="C2674"/>
      <c r="D2674"/>
      <c r="E2674"/>
      <c r="F2674"/>
      <c r="H2674"/>
      <c r="I2674"/>
      <c r="J2674"/>
      <c r="K2674"/>
      <c r="L2674"/>
    </row>
    <row r="2675" spans="2:12" ht="14.4" x14ac:dyDescent="0.3">
      <c r="B2675"/>
      <c r="C2675"/>
      <c r="D2675"/>
      <c r="E2675"/>
      <c r="F2675"/>
      <c r="H2675"/>
      <c r="I2675"/>
      <c r="J2675"/>
      <c r="K2675"/>
      <c r="L2675"/>
    </row>
    <row r="2676" spans="2:12" ht="14.4" x14ac:dyDescent="0.3">
      <c r="B2676"/>
      <c r="C2676"/>
      <c r="D2676"/>
      <c r="E2676"/>
      <c r="F2676"/>
      <c r="H2676"/>
      <c r="I2676"/>
      <c r="J2676"/>
      <c r="K2676"/>
      <c r="L2676"/>
    </row>
    <row r="2677" spans="2:12" ht="14.4" x14ac:dyDescent="0.3">
      <c r="B2677"/>
      <c r="C2677"/>
      <c r="D2677"/>
      <c r="E2677"/>
      <c r="F2677"/>
      <c r="H2677"/>
      <c r="I2677"/>
      <c r="J2677"/>
      <c r="K2677"/>
      <c r="L2677"/>
    </row>
    <row r="2678" spans="2:12" ht="14.4" x14ac:dyDescent="0.3">
      <c r="B2678"/>
      <c r="C2678"/>
      <c r="D2678"/>
      <c r="E2678"/>
      <c r="F2678"/>
      <c r="H2678"/>
      <c r="I2678"/>
      <c r="J2678"/>
      <c r="K2678"/>
      <c r="L2678"/>
    </row>
    <row r="2679" spans="2:12" ht="14.4" x14ac:dyDescent="0.3">
      <c r="B2679"/>
      <c r="C2679"/>
      <c r="D2679"/>
      <c r="E2679"/>
      <c r="F2679"/>
      <c r="H2679"/>
      <c r="I2679"/>
      <c r="J2679"/>
      <c r="K2679"/>
      <c r="L2679"/>
    </row>
    <row r="2680" spans="2:12" ht="14.4" x14ac:dyDescent="0.3">
      <c r="B2680"/>
      <c r="C2680"/>
      <c r="D2680"/>
      <c r="E2680"/>
      <c r="F2680"/>
      <c r="H2680"/>
      <c r="I2680"/>
      <c r="J2680"/>
      <c r="K2680"/>
      <c r="L2680"/>
    </row>
    <row r="2681" spans="2:12" ht="14.4" x14ac:dyDescent="0.3">
      <c r="B2681"/>
      <c r="C2681"/>
      <c r="D2681"/>
      <c r="E2681"/>
      <c r="F2681"/>
      <c r="H2681"/>
      <c r="I2681"/>
      <c r="J2681"/>
      <c r="K2681"/>
      <c r="L2681"/>
    </row>
    <row r="2682" spans="2:12" ht="14.4" x14ac:dyDescent="0.3">
      <c r="B2682"/>
      <c r="C2682"/>
      <c r="D2682"/>
      <c r="E2682"/>
      <c r="F2682"/>
      <c r="H2682"/>
      <c r="I2682"/>
      <c r="J2682"/>
      <c r="K2682"/>
      <c r="L2682"/>
    </row>
    <row r="2683" spans="2:12" ht="14.4" x14ac:dyDescent="0.3">
      <c r="B2683"/>
      <c r="C2683"/>
      <c r="D2683"/>
      <c r="E2683"/>
      <c r="F2683"/>
      <c r="H2683"/>
      <c r="I2683"/>
      <c r="J2683"/>
      <c r="K2683"/>
      <c r="L2683"/>
    </row>
    <row r="2684" spans="2:12" ht="14.4" x14ac:dyDescent="0.3">
      <c r="B2684"/>
      <c r="C2684"/>
      <c r="D2684"/>
      <c r="E2684"/>
      <c r="F2684"/>
      <c r="H2684"/>
      <c r="I2684"/>
      <c r="J2684"/>
      <c r="K2684"/>
      <c r="L2684"/>
    </row>
    <row r="2685" spans="2:12" ht="14.4" x14ac:dyDescent="0.3">
      <c r="B2685"/>
      <c r="C2685"/>
      <c r="D2685"/>
      <c r="E2685"/>
      <c r="F2685"/>
      <c r="H2685"/>
      <c r="I2685"/>
      <c r="J2685"/>
      <c r="K2685"/>
      <c r="L2685"/>
    </row>
    <row r="2686" spans="2:12" ht="14.4" x14ac:dyDescent="0.3">
      <c r="B2686"/>
      <c r="C2686"/>
      <c r="D2686"/>
      <c r="E2686"/>
      <c r="F2686"/>
      <c r="H2686"/>
      <c r="I2686"/>
      <c r="J2686"/>
      <c r="K2686"/>
      <c r="L2686"/>
    </row>
    <row r="2687" spans="2:12" ht="14.4" x14ac:dyDescent="0.3">
      <c r="B2687"/>
      <c r="C2687"/>
      <c r="D2687"/>
      <c r="E2687"/>
      <c r="F2687"/>
      <c r="H2687"/>
      <c r="I2687"/>
      <c r="J2687"/>
      <c r="K2687"/>
      <c r="L2687"/>
    </row>
    <row r="2688" spans="2:12" ht="14.4" x14ac:dyDescent="0.3">
      <c r="B2688"/>
      <c r="C2688"/>
      <c r="D2688"/>
      <c r="E2688"/>
      <c r="F2688"/>
      <c r="H2688"/>
      <c r="I2688"/>
      <c r="J2688"/>
      <c r="K2688"/>
      <c r="L2688"/>
    </row>
    <row r="2689" spans="2:12" ht="14.4" x14ac:dyDescent="0.3">
      <c r="B2689"/>
      <c r="C2689"/>
      <c r="D2689"/>
      <c r="E2689"/>
      <c r="F2689"/>
      <c r="H2689"/>
      <c r="I2689"/>
      <c r="J2689"/>
      <c r="K2689"/>
      <c r="L2689"/>
    </row>
    <row r="2690" spans="2:12" ht="14.4" x14ac:dyDescent="0.3">
      <c r="B2690"/>
      <c r="C2690"/>
      <c r="D2690"/>
      <c r="E2690"/>
      <c r="F2690"/>
      <c r="H2690"/>
      <c r="I2690"/>
      <c r="J2690"/>
      <c r="K2690"/>
      <c r="L2690"/>
    </row>
    <row r="2691" spans="2:12" ht="14.4" x14ac:dyDescent="0.3">
      <c r="B2691"/>
      <c r="C2691"/>
      <c r="D2691"/>
      <c r="E2691"/>
      <c r="F2691"/>
      <c r="H2691"/>
      <c r="I2691"/>
      <c r="J2691"/>
      <c r="K2691"/>
      <c r="L2691"/>
    </row>
    <row r="2692" spans="2:12" ht="14.4" x14ac:dyDescent="0.3">
      <c r="B2692"/>
      <c r="C2692"/>
      <c r="D2692"/>
      <c r="E2692"/>
      <c r="F2692"/>
      <c r="H2692"/>
      <c r="I2692"/>
      <c r="J2692"/>
      <c r="K2692"/>
      <c r="L2692"/>
    </row>
    <row r="2693" spans="2:12" ht="14.4" x14ac:dyDescent="0.3">
      <c r="B2693"/>
      <c r="C2693"/>
      <c r="D2693"/>
      <c r="E2693"/>
      <c r="F2693"/>
      <c r="H2693"/>
      <c r="I2693"/>
      <c r="J2693"/>
      <c r="K2693"/>
      <c r="L2693"/>
    </row>
    <row r="2694" spans="2:12" ht="14.4" x14ac:dyDescent="0.3">
      <c r="B2694"/>
      <c r="C2694"/>
      <c r="D2694"/>
      <c r="E2694"/>
      <c r="F2694"/>
      <c r="H2694"/>
      <c r="I2694"/>
      <c r="J2694"/>
      <c r="K2694"/>
      <c r="L2694"/>
    </row>
    <row r="2695" spans="2:12" ht="14.4" x14ac:dyDescent="0.3">
      <c r="B2695"/>
      <c r="C2695"/>
      <c r="D2695"/>
      <c r="E2695"/>
      <c r="F2695"/>
      <c r="H2695"/>
      <c r="I2695"/>
      <c r="J2695"/>
      <c r="K2695"/>
      <c r="L2695"/>
    </row>
    <row r="2696" spans="2:12" ht="14.4" x14ac:dyDescent="0.3">
      <c r="B2696"/>
      <c r="C2696"/>
      <c r="D2696"/>
      <c r="E2696"/>
      <c r="F2696"/>
      <c r="H2696"/>
      <c r="I2696"/>
      <c r="J2696"/>
      <c r="K2696"/>
      <c r="L2696"/>
    </row>
    <row r="2697" spans="2:12" ht="14.4" x14ac:dyDescent="0.3">
      <c r="B2697"/>
      <c r="C2697"/>
      <c r="D2697"/>
      <c r="E2697"/>
      <c r="F2697"/>
      <c r="H2697"/>
      <c r="I2697"/>
      <c r="J2697"/>
      <c r="K2697"/>
      <c r="L2697"/>
    </row>
    <row r="2698" spans="2:12" ht="14.4" x14ac:dyDescent="0.3">
      <c r="B2698"/>
      <c r="C2698"/>
      <c r="D2698"/>
      <c r="E2698"/>
      <c r="F2698"/>
      <c r="H2698"/>
      <c r="I2698"/>
      <c r="J2698"/>
      <c r="K2698"/>
      <c r="L2698"/>
    </row>
    <row r="2699" spans="2:12" ht="14.4" x14ac:dyDescent="0.3">
      <c r="B2699"/>
      <c r="C2699"/>
      <c r="D2699"/>
      <c r="E2699"/>
      <c r="F2699"/>
      <c r="H2699"/>
      <c r="I2699"/>
      <c r="J2699"/>
      <c r="K2699"/>
      <c r="L2699"/>
    </row>
    <row r="2700" spans="2:12" ht="14.4" x14ac:dyDescent="0.3">
      <c r="B2700"/>
      <c r="C2700"/>
      <c r="D2700"/>
      <c r="E2700"/>
      <c r="F2700"/>
      <c r="H2700"/>
      <c r="I2700"/>
      <c r="J2700"/>
      <c r="K2700"/>
      <c r="L2700"/>
    </row>
    <row r="2701" spans="2:12" ht="14.4" x14ac:dyDescent="0.3">
      <c r="B2701"/>
      <c r="C2701"/>
      <c r="D2701"/>
      <c r="E2701"/>
      <c r="F2701"/>
      <c r="H2701"/>
      <c r="I2701"/>
      <c r="J2701"/>
      <c r="K2701"/>
      <c r="L2701"/>
    </row>
    <row r="2702" spans="2:12" ht="14.4" x14ac:dyDescent="0.3">
      <c r="B2702"/>
      <c r="C2702"/>
      <c r="D2702"/>
      <c r="E2702"/>
      <c r="F2702"/>
      <c r="H2702"/>
      <c r="I2702"/>
      <c r="J2702"/>
      <c r="K2702"/>
      <c r="L2702"/>
    </row>
    <row r="2703" spans="2:12" ht="14.4" x14ac:dyDescent="0.3">
      <c r="B2703"/>
      <c r="C2703"/>
      <c r="D2703"/>
      <c r="E2703"/>
      <c r="F2703"/>
      <c r="H2703"/>
      <c r="I2703"/>
      <c r="J2703"/>
      <c r="K2703"/>
      <c r="L2703"/>
    </row>
    <row r="2704" spans="2:12" ht="14.4" x14ac:dyDescent="0.3">
      <c r="B2704"/>
      <c r="C2704"/>
      <c r="D2704"/>
      <c r="E2704"/>
      <c r="F2704"/>
      <c r="H2704"/>
      <c r="I2704"/>
      <c r="J2704"/>
      <c r="K2704"/>
      <c r="L2704"/>
    </row>
    <row r="2705" spans="2:12" ht="14.4" x14ac:dyDescent="0.3">
      <c r="B2705"/>
      <c r="C2705"/>
      <c r="D2705"/>
      <c r="E2705"/>
      <c r="F2705"/>
      <c r="H2705"/>
      <c r="I2705"/>
      <c r="J2705"/>
      <c r="K2705"/>
      <c r="L2705"/>
    </row>
    <row r="2706" spans="2:12" ht="14.4" x14ac:dyDescent="0.3">
      <c r="B2706"/>
      <c r="C2706"/>
      <c r="D2706"/>
      <c r="E2706"/>
      <c r="F2706"/>
      <c r="H2706"/>
      <c r="I2706"/>
      <c r="J2706"/>
      <c r="K2706"/>
      <c r="L2706"/>
    </row>
    <row r="2707" spans="2:12" ht="14.4" x14ac:dyDescent="0.3">
      <c r="B2707"/>
      <c r="C2707"/>
      <c r="D2707"/>
      <c r="E2707"/>
      <c r="F2707"/>
      <c r="H2707"/>
      <c r="I2707"/>
      <c r="J2707"/>
      <c r="K2707"/>
      <c r="L2707"/>
    </row>
    <row r="2708" spans="2:12" ht="14.4" x14ac:dyDescent="0.3">
      <c r="B2708"/>
      <c r="C2708"/>
      <c r="D2708"/>
      <c r="E2708"/>
      <c r="F2708"/>
      <c r="H2708"/>
      <c r="I2708"/>
      <c r="J2708"/>
      <c r="K2708"/>
      <c r="L2708"/>
    </row>
    <row r="2709" spans="2:12" ht="14.4" x14ac:dyDescent="0.3">
      <c r="B2709"/>
      <c r="C2709"/>
      <c r="D2709"/>
      <c r="E2709"/>
      <c r="F2709"/>
      <c r="H2709"/>
      <c r="I2709"/>
      <c r="J2709"/>
      <c r="K2709"/>
      <c r="L2709"/>
    </row>
    <row r="2710" spans="2:12" ht="14.4" x14ac:dyDescent="0.3">
      <c r="B2710"/>
      <c r="C2710"/>
      <c r="D2710"/>
      <c r="E2710"/>
      <c r="F2710"/>
      <c r="H2710"/>
      <c r="I2710"/>
      <c r="J2710"/>
      <c r="K2710"/>
      <c r="L2710"/>
    </row>
    <row r="2711" spans="2:12" ht="14.4" x14ac:dyDescent="0.3">
      <c r="B2711"/>
      <c r="C2711"/>
      <c r="D2711"/>
      <c r="E2711"/>
      <c r="F2711"/>
      <c r="H2711"/>
      <c r="I2711"/>
      <c r="J2711"/>
      <c r="K2711"/>
      <c r="L2711"/>
    </row>
    <row r="2712" spans="2:12" ht="14.4" x14ac:dyDescent="0.3">
      <c r="B2712"/>
      <c r="C2712"/>
      <c r="D2712"/>
      <c r="E2712"/>
      <c r="F2712"/>
      <c r="H2712"/>
      <c r="I2712"/>
      <c r="J2712"/>
      <c r="K2712"/>
      <c r="L2712"/>
    </row>
    <row r="2713" spans="2:12" ht="14.4" x14ac:dyDescent="0.3">
      <c r="B2713"/>
      <c r="C2713"/>
      <c r="D2713"/>
      <c r="E2713"/>
      <c r="F2713"/>
      <c r="H2713"/>
      <c r="I2713"/>
      <c r="J2713"/>
      <c r="K2713"/>
      <c r="L2713"/>
    </row>
    <row r="2714" spans="2:12" ht="14.4" x14ac:dyDescent="0.3">
      <c r="B2714"/>
      <c r="C2714"/>
      <c r="D2714"/>
      <c r="E2714"/>
      <c r="F2714"/>
      <c r="H2714"/>
      <c r="I2714"/>
      <c r="J2714"/>
      <c r="K2714"/>
      <c r="L2714"/>
    </row>
    <row r="2715" spans="2:12" ht="14.4" x14ac:dyDescent="0.3">
      <c r="B2715"/>
      <c r="C2715"/>
      <c r="D2715"/>
      <c r="E2715"/>
      <c r="F2715"/>
      <c r="H2715"/>
      <c r="I2715"/>
      <c r="J2715"/>
      <c r="K2715"/>
      <c r="L2715"/>
    </row>
    <row r="2716" spans="2:12" ht="14.4" x14ac:dyDescent="0.3">
      <c r="B2716"/>
      <c r="C2716"/>
      <c r="D2716"/>
      <c r="E2716"/>
      <c r="F2716"/>
      <c r="H2716"/>
      <c r="I2716"/>
      <c r="J2716"/>
      <c r="K2716"/>
      <c r="L2716"/>
    </row>
    <row r="2717" spans="2:12" ht="14.4" x14ac:dyDescent="0.3">
      <c r="B2717"/>
      <c r="C2717"/>
      <c r="D2717"/>
      <c r="E2717"/>
      <c r="F2717"/>
      <c r="H2717"/>
      <c r="I2717"/>
      <c r="J2717"/>
      <c r="K2717"/>
      <c r="L2717"/>
    </row>
    <row r="2718" spans="2:12" ht="14.4" x14ac:dyDescent="0.3">
      <c r="B2718"/>
      <c r="C2718"/>
      <c r="D2718"/>
      <c r="E2718"/>
      <c r="F2718"/>
      <c r="H2718"/>
      <c r="I2718"/>
      <c r="J2718"/>
      <c r="K2718"/>
      <c r="L2718"/>
    </row>
    <row r="2719" spans="2:12" ht="14.4" x14ac:dyDescent="0.3">
      <c r="B2719"/>
      <c r="C2719"/>
      <c r="D2719"/>
      <c r="E2719"/>
      <c r="F2719"/>
      <c r="H2719"/>
      <c r="I2719"/>
      <c r="J2719"/>
      <c r="K2719"/>
      <c r="L2719"/>
    </row>
    <row r="2720" spans="2:12" ht="14.4" x14ac:dyDescent="0.3">
      <c r="B2720"/>
      <c r="C2720"/>
      <c r="D2720"/>
      <c r="E2720"/>
      <c r="F2720"/>
      <c r="H2720"/>
      <c r="I2720"/>
      <c r="J2720"/>
      <c r="K2720"/>
      <c r="L2720"/>
    </row>
    <row r="2721" spans="2:12" ht="14.4" x14ac:dyDescent="0.3">
      <c r="B2721"/>
      <c r="C2721"/>
      <c r="D2721"/>
      <c r="E2721"/>
      <c r="F2721"/>
      <c r="H2721"/>
      <c r="I2721"/>
      <c r="J2721"/>
      <c r="K2721"/>
      <c r="L2721"/>
    </row>
    <row r="2722" spans="2:12" ht="14.4" x14ac:dyDescent="0.3">
      <c r="B2722"/>
      <c r="C2722"/>
      <c r="D2722"/>
      <c r="E2722"/>
      <c r="F2722"/>
      <c r="H2722"/>
      <c r="I2722"/>
      <c r="J2722"/>
      <c r="K2722"/>
      <c r="L2722"/>
    </row>
    <row r="2723" spans="2:12" ht="14.4" x14ac:dyDescent="0.3">
      <c r="B2723"/>
      <c r="C2723"/>
      <c r="D2723"/>
      <c r="E2723"/>
      <c r="F2723"/>
      <c r="H2723"/>
      <c r="I2723"/>
      <c r="J2723"/>
      <c r="K2723"/>
      <c r="L2723"/>
    </row>
    <row r="2724" spans="2:12" ht="14.4" x14ac:dyDescent="0.3">
      <c r="B2724"/>
      <c r="C2724"/>
      <c r="D2724"/>
      <c r="E2724"/>
      <c r="F2724"/>
      <c r="H2724"/>
      <c r="I2724"/>
      <c r="J2724"/>
      <c r="K2724"/>
      <c r="L2724"/>
    </row>
    <row r="2725" spans="2:12" ht="14.4" x14ac:dyDescent="0.3">
      <c r="B2725"/>
      <c r="C2725"/>
      <c r="D2725"/>
      <c r="E2725"/>
      <c r="F2725"/>
      <c r="H2725"/>
      <c r="I2725"/>
      <c r="J2725"/>
      <c r="K2725"/>
      <c r="L2725"/>
    </row>
    <row r="2726" spans="2:12" ht="14.4" x14ac:dyDescent="0.3">
      <c r="B2726"/>
      <c r="C2726"/>
      <c r="D2726"/>
      <c r="E2726"/>
      <c r="F2726"/>
      <c r="H2726"/>
      <c r="I2726"/>
      <c r="J2726"/>
      <c r="K2726"/>
      <c r="L2726"/>
    </row>
    <row r="2727" spans="2:12" ht="14.4" x14ac:dyDescent="0.3">
      <c r="B2727"/>
      <c r="C2727"/>
      <c r="D2727"/>
      <c r="E2727"/>
      <c r="F2727"/>
      <c r="H2727"/>
      <c r="I2727"/>
      <c r="J2727"/>
      <c r="K2727"/>
      <c r="L2727"/>
    </row>
    <row r="2728" spans="2:12" ht="14.4" x14ac:dyDescent="0.3">
      <c r="B2728"/>
      <c r="C2728"/>
      <c r="D2728"/>
      <c r="E2728"/>
      <c r="F2728"/>
      <c r="H2728"/>
      <c r="I2728"/>
      <c r="J2728"/>
      <c r="K2728"/>
      <c r="L2728"/>
    </row>
    <row r="2729" spans="2:12" ht="14.4" x14ac:dyDescent="0.3">
      <c r="B2729"/>
      <c r="C2729"/>
      <c r="D2729"/>
      <c r="E2729"/>
      <c r="F2729"/>
      <c r="H2729"/>
      <c r="I2729"/>
      <c r="J2729"/>
      <c r="K2729"/>
      <c r="L2729"/>
    </row>
    <row r="2730" spans="2:12" ht="14.4" x14ac:dyDescent="0.3">
      <c r="B2730"/>
      <c r="C2730"/>
      <c r="D2730"/>
      <c r="E2730"/>
      <c r="F2730"/>
      <c r="H2730"/>
      <c r="I2730"/>
      <c r="J2730"/>
      <c r="K2730"/>
      <c r="L2730"/>
    </row>
    <row r="2731" spans="2:12" ht="14.4" x14ac:dyDescent="0.3">
      <c r="B2731"/>
      <c r="C2731"/>
      <c r="D2731"/>
      <c r="E2731"/>
      <c r="F2731"/>
      <c r="H2731"/>
      <c r="I2731"/>
      <c r="J2731"/>
      <c r="K2731"/>
      <c r="L2731"/>
    </row>
    <row r="2732" spans="2:12" ht="14.4" x14ac:dyDescent="0.3">
      <c r="B2732"/>
      <c r="C2732"/>
      <c r="D2732"/>
      <c r="E2732"/>
      <c r="F2732"/>
      <c r="H2732"/>
      <c r="I2732"/>
      <c r="J2732"/>
      <c r="K2732"/>
      <c r="L2732"/>
    </row>
    <row r="2733" spans="2:12" ht="14.4" x14ac:dyDescent="0.3">
      <c r="B2733"/>
      <c r="C2733"/>
      <c r="D2733"/>
      <c r="E2733"/>
      <c r="F2733"/>
      <c r="H2733"/>
      <c r="I2733"/>
      <c r="J2733"/>
      <c r="K2733"/>
      <c r="L2733"/>
    </row>
    <row r="2734" spans="2:12" ht="14.4" x14ac:dyDescent="0.3">
      <c r="B2734"/>
      <c r="C2734"/>
      <c r="D2734"/>
      <c r="E2734"/>
      <c r="F2734"/>
      <c r="H2734"/>
      <c r="I2734"/>
      <c r="J2734"/>
      <c r="K2734"/>
      <c r="L2734"/>
    </row>
    <row r="2735" spans="2:12" ht="14.4" x14ac:dyDescent="0.3">
      <c r="B2735"/>
      <c r="C2735"/>
      <c r="D2735"/>
      <c r="E2735"/>
      <c r="F2735"/>
      <c r="H2735"/>
      <c r="I2735"/>
      <c r="J2735"/>
      <c r="K2735"/>
      <c r="L2735"/>
    </row>
    <row r="2736" spans="2:12" ht="14.4" x14ac:dyDescent="0.3">
      <c r="B2736"/>
      <c r="C2736"/>
      <c r="D2736"/>
      <c r="E2736"/>
      <c r="F2736"/>
      <c r="H2736"/>
      <c r="I2736"/>
      <c r="J2736"/>
      <c r="K2736"/>
      <c r="L2736"/>
    </row>
    <row r="2737" spans="2:12" ht="14.4" x14ac:dyDescent="0.3">
      <c r="B2737"/>
      <c r="C2737"/>
      <c r="D2737"/>
      <c r="E2737"/>
      <c r="F2737"/>
      <c r="H2737"/>
      <c r="I2737"/>
      <c r="J2737"/>
      <c r="K2737"/>
      <c r="L2737"/>
    </row>
    <row r="2738" spans="2:12" ht="14.4" x14ac:dyDescent="0.3">
      <c r="B2738"/>
      <c r="C2738"/>
      <c r="D2738"/>
      <c r="E2738"/>
      <c r="F2738"/>
      <c r="H2738"/>
      <c r="I2738"/>
      <c r="J2738"/>
      <c r="K2738"/>
      <c r="L2738"/>
    </row>
    <row r="2739" spans="2:12" ht="14.4" x14ac:dyDescent="0.3">
      <c r="B2739"/>
      <c r="C2739"/>
      <c r="D2739"/>
      <c r="E2739"/>
      <c r="F2739"/>
      <c r="H2739"/>
      <c r="I2739"/>
      <c r="J2739"/>
      <c r="K2739"/>
      <c r="L2739"/>
    </row>
    <row r="2740" spans="2:12" ht="14.4" x14ac:dyDescent="0.3">
      <c r="B2740"/>
      <c r="C2740"/>
      <c r="D2740"/>
      <c r="E2740"/>
      <c r="F2740"/>
      <c r="H2740"/>
      <c r="I2740"/>
      <c r="J2740"/>
      <c r="K2740"/>
      <c r="L2740"/>
    </row>
    <row r="2741" spans="2:12" ht="14.4" x14ac:dyDescent="0.3">
      <c r="B2741"/>
      <c r="C2741"/>
      <c r="D2741"/>
      <c r="E2741"/>
      <c r="F2741"/>
      <c r="H2741"/>
      <c r="I2741"/>
      <c r="J2741"/>
      <c r="K2741"/>
      <c r="L2741"/>
    </row>
    <row r="2742" spans="2:12" ht="14.4" x14ac:dyDescent="0.3">
      <c r="B2742"/>
      <c r="C2742"/>
      <c r="D2742"/>
      <c r="E2742"/>
      <c r="F2742"/>
      <c r="H2742"/>
      <c r="I2742"/>
      <c r="J2742"/>
      <c r="K2742"/>
      <c r="L2742"/>
    </row>
    <row r="2743" spans="2:12" ht="14.4" x14ac:dyDescent="0.3">
      <c r="B2743"/>
      <c r="C2743"/>
      <c r="D2743"/>
      <c r="E2743"/>
      <c r="F2743"/>
      <c r="H2743"/>
      <c r="I2743"/>
      <c r="J2743"/>
      <c r="K2743"/>
      <c r="L2743"/>
    </row>
    <row r="2744" spans="2:12" ht="14.4" x14ac:dyDescent="0.3">
      <c r="B2744"/>
      <c r="C2744"/>
      <c r="D2744"/>
      <c r="E2744"/>
      <c r="F2744"/>
      <c r="H2744"/>
      <c r="I2744"/>
      <c r="J2744"/>
      <c r="K2744"/>
      <c r="L2744"/>
    </row>
    <row r="2745" spans="2:12" ht="14.4" x14ac:dyDescent="0.3">
      <c r="B2745"/>
      <c r="C2745"/>
      <c r="D2745"/>
      <c r="E2745"/>
      <c r="F2745"/>
      <c r="H2745"/>
      <c r="I2745"/>
      <c r="J2745"/>
      <c r="K2745"/>
      <c r="L2745"/>
    </row>
    <row r="2746" spans="2:12" ht="14.4" x14ac:dyDescent="0.3">
      <c r="B2746"/>
      <c r="C2746"/>
      <c r="D2746"/>
      <c r="E2746"/>
      <c r="F2746"/>
      <c r="H2746"/>
      <c r="I2746"/>
      <c r="J2746"/>
      <c r="K2746"/>
      <c r="L2746"/>
    </row>
    <row r="2747" spans="2:12" ht="14.4" x14ac:dyDescent="0.3">
      <c r="B2747"/>
      <c r="C2747"/>
      <c r="D2747"/>
      <c r="E2747"/>
      <c r="F2747"/>
      <c r="H2747"/>
      <c r="I2747"/>
      <c r="J2747"/>
      <c r="K2747"/>
      <c r="L2747"/>
    </row>
    <row r="2748" spans="2:12" ht="14.4" x14ac:dyDescent="0.3">
      <c r="B2748"/>
      <c r="C2748"/>
      <c r="D2748"/>
      <c r="E2748"/>
      <c r="F2748"/>
      <c r="H2748"/>
      <c r="I2748"/>
      <c r="J2748"/>
      <c r="K2748"/>
      <c r="L2748"/>
    </row>
    <row r="2749" spans="2:12" ht="14.4" x14ac:dyDescent="0.3">
      <c r="B2749"/>
      <c r="C2749"/>
      <c r="D2749"/>
      <c r="E2749"/>
      <c r="F2749"/>
      <c r="H2749"/>
      <c r="I2749"/>
      <c r="J2749"/>
      <c r="K2749"/>
      <c r="L2749"/>
    </row>
    <row r="2750" spans="2:12" ht="14.4" x14ac:dyDescent="0.3">
      <c r="B2750"/>
      <c r="C2750"/>
      <c r="D2750"/>
      <c r="E2750"/>
      <c r="F2750"/>
      <c r="H2750"/>
      <c r="I2750"/>
      <c r="J2750"/>
      <c r="K2750"/>
      <c r="L2750"/>
    </row>
    <row r="2751" spans="2:12" ht="14.4" x14ac:dyDescent="0.3">
      <c r="B2751"/>
      <c r="C2751"/>
      <c r="D2751"/>
      <c r="E2751"/>
      <c r="F2751"/>
      <c r="H2751"/>
      <c r="I2751"/>
      <c r="J2751"/>
      <c r="K2751"/>
      <c r="L2751"/>
    </row>
    <row r="2752" spans="2:12" ht="14.4" x14ac:dyDescent="0.3">
      <c r="B2752"/>
      <c r="C2752"/>
      <c r="D2752"/>
      <c r="E2752"/>
      <c r="F2752"/>
      <c r="H2752"/>
      <c r="I2752"/>
      <c r="J2752"/>
      <c r="K2752"/>
      <c r="L2752"/>
    </row>
    <row r="2753" spans="2:12" ht="14.4" x14ac:dyDescent="0.3">
      <c r="B2753"/>
      <c r="C2753"/>
      <c r="D2753"/>
      <c r="E2753"/>
      <c r="F2753"/>
      <c r="H2753"/>
      <c r="I2753"/>
      <c r="J2753"/>
      <c r="K2753"/>
      <c r="L2753"/>
    </row>
    <row r="2754" spans="2:12" ht="14.4" x14ac:dyDescent="0.3">
      <c r="B2754"/>
      <c r="C2754"/>
      <c r="D2754"/>
      <c r="E2754"/>
      <c r="F2754"/>
      <c r="H2754"/>
      <c r="I2754"/>
      <c r="J2754"/>
      <c r="K2754"/>
      <c r="L2754"/>
    </row>
    <row r="2755" spans="2:12" ht="14.4" x14ac:dyDescent="0.3">
      <c r="B2755"/>
      <c r="C2755"/>
      <c r="D2755"/>
      <c r="E2755"/>
      <c r="F2755"/>
      <c r="H2755"/>
      <c r="I2755"/>
      <c r="J2755"/>
      <c r="K2755"/>
      <c r="L2755"/>
    </row>
    <row r="2756" spans="2:12" ht="14.4" x14ac:dyDescent="0.3">
      <c r="B2756"/>
      <c r="C2756"/>
      <c r="D2756"/>
      <c r="E2756"/>
      <c r="F2756"/>
      <c r="H2756"/>
      <c r="I2756"/>
      <c r="J2756"/>
      <c r="K2756"/>
      <c r="L2756"/>
    </row>
    <row r="2757" spans="2:12" ht="14.4" x14ac:dyDescent="0.3">
      <c r="B2757"/>
      <c r="C2757"/>
      <c r="D2757"/>
      <c r="E2757"/>
      <c r="F2757"/>
      <c r="H2757"/>
      <c r="I2757"/>
      <c r="J2757"/>
      <c r="K2757"/>
      <c r="L2757"/>
    </row>
    <row r="2758" spans="2:12" ht="14.4" x14ac:dyDescent="0.3">
      <c r="B2758"/>
      <c r="C2758"/>
      <c r="D2758"/>
      <c r="E2758"/>
      <c r="F2758"/>
      <c r="H2758"/>
      <c r="I2758"/>
      <c r="J2758"/>
      <c r="K2758"/>
      <c r="L2758"/>
    </row>
    <row r="2759" spans="2:12" ht="14.4" x14ac:dyDescent="0.3">
      <c r="B2759"/>
      <c r="C2759"/>
      <c r="D2759"/>
      <c r="E2759"/>
      <c r="F2759"/>
      <c r="H2759"/>
      <c r="I2759"/>
      <c r="J2759"/>
      <c r="K2759"/>
      <c r="L2759"/>
    </row>
    <row r="2760" spans="2:12" ht="14.4" x14ac:dyDescent="0.3">
      <c r="B2760"/>
      <c r="C2760"/>
      <c r="D2760"/>
      <c r="E2760"/>
      <c r="F2760"/>
      <c r="H2760"/>
      <c r="I2760"/>
      <c r="J2760"/>
      <c r="K2760"/>
      <c r="L2760"/>
    </row>
    <row r="2761" spans="2:12" ht="14.4" x14ac:dyDescent="0.3">
      <c r="B2761"/>
      <c r="C2761"/>
      <c r="D2761"/>
      <c r="E2761"/>
      <c r="F2761"/>
      <c r="H2761"/>
      <c r="I2761"/>
      <c r="J2761"/>
      <c r="K2761"/>
      <c r="L2761"/>
    </row>
    <row r="2762" spans="2:12" ht="14.4" x14ac:dyDescent="0.3">
      <c r="B2762"/>
      <c r="C2762"/>
      <c r="D2762"/>
      <c r="E2762"/>
      <c r="F2762"/>
      <c r="H2762"/>
      <c r="I2762"/>
      <c r="J2762"/>
      <c r="K2762"/>
      <c r="L2762"/>
    </row>
    <row r="2763" spans="2:12" ht="14.4" x14ac:dyDescent="0.3">
      <c r="B2763"/>
      <c r="C2763"/>
      <c r="D2763"/>
      <c r="E2763"/>
      <c r="F2763"/>
      <c r="H2763"/>
      <c r="I2763"/>
      <c r="J2763"/>
      <c r="K2763"/>
      <c r="L2763"/>
    </row>
    <row r="2764" spans="2:12" ht="14.4" x14ac:dyDescent="0.3">
      <c r="B2764"/>
      <c r="C2764"/>
      <c r="D2764"/>
      <c r="E2764"/>
      <c r="F2764"/>
      <c r="H2764"/>
      <c r="I2764"/>
      <c r="J2764"/>
      <c r="K2764"/>
      <c r="L2764"/>
    </row>
    <row r="2765" spans="2:12" ht="14.4" x14ac:dyDescent="0.3">
      <c r="B2765"/>
      <c r="C2765"/>
      <c r="D2765"/>
      <c r="E2765"/>
      <c r="F2765"/>
      <c r="H2765"/>
      <c r="I2765"/>
      <c r="J2765"/>
      <c r="K2765"/>
      <c r="L2765"/>
    </row>
    <row r="2766" spans="2:12" ht="14.4" x14ac:dyDescent="0.3">
      <c r="B2766"/>
      <c r="C2766"/>
      <c r="D2766"/>
      <c r="E2766"/>
      <c r="F2766"/>
      <c r="H2766"/>
      <c r="I2766"/>
      <c r="J2766"/>
      <c r="K2766"/>
      <c r="L2766"/>
    </row>
    <row r="2767" spans="2:12" ht="14.4" x14ac:dyDescent="0.3">
      <c r="B2767"/>
      <c r="C2767"/>
      <c r="D2767"/>
      <c r="E2767"/>
      <c r="F2767"/>
      <c r="H2767"/>
      <c r="I2767"/>
      <c r="J2767"/>
      <c r="K2767"/>
      <c r="L2767"/>
    </row>
    <row r="2768" spans="2:12" ht="14.4" x14ac:dyDescent="0.3">
      <c r="B2768"/>
      <c r="C2768"/>
      <c r="D2768"/>
      <c r="E2768"/>
      <c r="F2768"/>
      <c r="H2768"/>
      <c r="I2768"/>
      <c r="J2768"/>
      <c r="K2768"/>
      <c r="L2768"/>
    </row>
    <row r="2769" spans="2:12" ht="14.4" x14ac:dyDescent="0.3">
      <c r="B2769"/>
      <c r="C2769"/>
      <c r="D2769"/>
      <c r="E2769"/>
      <c r="F2769"/>
      <c r="H2769"/>
      <c r="I2769"/>
      <c r="J2769"/>
      <c r="K2769"/>
      <c r="L2769"/>
    </row>
    <row r="2770" spans="2:12" ht="14.4" x14ac:dyDescent="0.3">
      <c r="B2770"/>
      <c r="C2770"/>
      <c r="D2770"/>
      <c r="E2770"/>
      <c r="F2770"/>
      <c r="H2770"/>
      <c r="I2770"/>
      <c r="J2770"/>
      <c r="K2770"/>
      <c r="L2770"/>
    </row>
    <row r="2771" spans="2:12" ht="14.4" x14ac:dyDescent="0.3">
      <c r="B2771"/>
      <c r="C2771"/>
      <c r="D2771"/>
      <c r="E2771"/>
      <c r="F2771"/>
      <c r="H2771"/>
      <c r="I2771"/>
      <c r="J2771"/>
      <c r="K2771"/>
      <c r="L2771"/>
    </row>
    <row r="2772" spans="2:12" ht="14.4" x14ac:dyDescent="0.3">
      <c r="B2772"/>
      <c r="C2772"/>
      <c r="D2772"/>
      <c r="E2772"/>
      <c r="F2772"/>
      <c r="H2772"/>
      <c r="I2772"/>
      <c r="J2772"/>
      <c r="K2772"/>
      <c r="L2772"/>
    </row>
    <row r="2773" spans="2:12" ht="14.4" x14ac:dyDescent="0.3">
      <c r="B2773"/>
      <c r="C2773"/>
      <c r="D2773"/>
      <c r="E2773"/>
      <c r="F2773"/>
      <c r="H2773"/>
      <c r="I2773"/>
      <c r="J2773"/>
      <c r="K2773"/>
      <c r="L2773"/>
    </row>
    <row r="2774" spans="2:12" ht="14.4" x14ac:dyDescent="0.3">
      <c r="B2774"/>
      <c r="C2774"/>
      <c r="D2774"/>
      <c r="E2774"/>
      <c r="F2774"/>
      <c r="H2774"/>
      <c r="I2774"/>
      <c r="J2774"/>
      <c r="K2774"/>
      <c r="L2774"/>
    </row>
    <row r="2775" spans="2:12" ht="14.4" x14ac:dyDescent="0.3">
      <c r="B2775"/>
      <c r="C2775"/>
      <c r="D2775"/>
      <c r="E2775"/>
      <c r="F2775"/>
      <c r="H2775"/>
      <c r="I2775"/>
      <c r="J2775"/>
      <c r="K2775"/>
      <c r="L2775"/>
    </row>
    <row r="2776" spans="2:12" ht="14.4" x14ac:dyDescent="0.3">
      <c r="B2776"/>
      <c r="C2776"/>
      <c r="D2776"/>
      <c r="E2776"/>
      <c r="F2776"/>
      <c r="H2776"/>
      <c r="I2776"/>
      <c r="J2776"/>
      <c r="K2776"/>
      <c r="L2776"/>
    </row>
    <row r="2777" spans="2:12" ht="14.4" x14ac:dyDescent="0.3">
      <c r="B2777"/>
      <c r="C2777"/>
      <c r="D2777"/>
      <c r="E2777"/>
      <c r="F2777"/>
      <c r="H2777"/>
      <c r="I2777"/>
      <c r="J2777"/>
      <c r="K2777"/>
      <c r="L2777"/>
    </row>
    <row r="2778" spans="2:12" ht="14.4" x14ac:dyDescent="0.3">
      <c r="B2778"/>
      <c r="C2778"/>
      <c r="D2778"/>
      <c r="E2778"/>
      <c r="F2778"/>
      <c r="H2778"/>
      <c r="I2778"/>
      <c r="J2778"/>
      <c r="K2778"/>
      <c r="L2778"/>
    </row>
    <row r="2779" spans="2:12" ht="14.4" x14ac:dyDescent="0.3">
      <c r="B2779"/>
      <c r="C2779"/>
      <c r="D2779"/>
      <c r="E2779"/>
      <c r="F2779"/>
      <c r="H2779"/>
      <c r="I2779"/>
      <c r="J2779"/>
      <c r="K2779"/>
      <c r="L2779"/>
    </row>
    <row r="2780" spans="2:12" ht="14.4" x14ac:dyDescent="0.3">
      <c r="B2780"/>
      <c r="C2780"/>
      <c r="D2780"/>
      <c r="E2780"/>
      <c r="F2780"/>
      <c r="H2780"/>
      <c r="I2780"/>
      <c r="J2780"/>
      <c r="K2780"/>
      <c r="L2780"/>
    </row>
    <row r="2781" spans="2:12" ht="14.4" x14ac:dyDescent="0.3">
      <c r="B2781"/>
      <c r="C2781"/>
      <c r="D2781"/>
      <c r="E2781"/>
      <c r="F2781"/>
      <c r="H2781"/>
      <c r="I2781"/>
      <c r="J2781"/>
      <c r="K2781"/>
      <c r="L2781"/>
    </row>
    <row r="2782" spans="2:12" ht="14.4" x14ac:dyDescent="0.3">
      <c r="B2782"/>
      <c r="C2782"/>
      <c r="D2782"/>
      <c r="E2782"/>
      <c r="F2782"/>
      <c r="H2782"/>
      <c r="I2782"/>
      <c r="J2782"/>
      <c r="K2782"/>
      <c r="L2782"/>
    </row>
    <row r="2783" spans="2:12" ht="14.4" x14ac:dyDescent="0.3">
      <c r="B2783"/>
      <c r="C2783"/>
      <c r="D2783"/>
      <c r="E2783"/>
      <c r="F2783"/>
      <c r="H2783"/>
      <c r="I2783"/>
      <c r="J2783"/>
      <c r="K2783"/>
      <c r="L2783"/>
    </row>
    <row r="2784" spans="2:12" ht="14.4" x14ac:dyDescent="0.3">
      <c r="B2784"/>
      <c r="C2784"/>
      <c r="D2784"/>
      <c r="E2784"/>
      <c r="F2784"/>
      <c r="H2784"/>
      <c r="I2784"/>
      <c r="J2784"/>
      <c r="K2784"/>
      <c r="L2784"/>
    </row>
    <row r="2785" spans="2:12" ht="14.4" x14ac:dyDescent="0.3">
      <c r="B2785"/>
      <c r="C2785"/>
      <c r="D2785"/>
      <c r="E2785"/>
      <c r="F2785"/>
      <c r="H2785"/>
      <c r="I2785"/>
      <c r="J2785"/>
      <c r="K2785"/>
      <c r="L2785"/>
    </row>
    <row r="2786" spans="2:12" ht="14.4" x14ac:dyDescent="0.3">
      <c r="B2786"/>
      <c r="C2786"/>
      <c r="D2786"/>
      <c r="E2786"/>
      <c r="F2786"/>
      <c r="H2786"/>
      <c r="I2786"/>
      <c r="J2786"/>
      <c r="K2786"/>
      <c r="L2786"/>
    </row>
    <row r="2787" spans="2:12" ht="14.4" x14ac:dyDescent="0.3">
      <c r="B2787"/>
      <c r="C2787"/>
      <c r="D2787"/>
      <c r="E2787"/>
      <c r="F2787"/>
      <c r="H2787"/>
      <c r="I2787"/>
      <c r="J2787"/>
      <c r="K2787"/>
      <c r="L2787"/>
    </row>
    <row r="2788" spans="2:12" ht="14.4" x14ac:dyDescent="0.3">
      <c r="B2788"/>
      <c r="C2788"/>
      <c r="D2788"/>
      <c r="E2788"/>
      <c r="F2788"/>
      <c r="H2788"/>
      <c r="I2788"/>
      <c r="J2788"/>
      <c r="K2788"/>
      <c r="L2788"/>
    </row>
    <row r="2789" spans="2:12" ht="14.4" x14ac:dyDescent="0.3">
      <c r="B2789"/>
      <c r="C2789"/>
      <c r="D2789"/>
      <c r="E2789"/>
      <c r="F2789"/>
      <c r="H2789"/>
      <c r="I2789"/>
      <c r="J2789"/>
      <c r="K2789"/>
      <c r="L2789"/>
    </row>
    <row r="2790" spans="2:12" ht="14.4" x14ac:dyDescent="0.3">
      <c r="B2790"/>
      <c r="C2790"/>
      <c r="D2790"/>
      <c r="E2790"/>
      <c r="F2790"/>
      <c r="H2790"/>
      <c r="I2790"/>
      <c r="J2790"/>
      <c r="K2790"/>
      <c r="L2790"/>
    </row>
    <row r="2791" spans="2:12" ht="14.4" x14ac:dyDescent="0.3">
      <c r="B2791"/>
      <c r="C2791"/>
      <c r="D2791"/>
      <c r="E2791"/>
      <c r="F2791"/>
      <c r="H2791"/>
      <c r="I2791"/>
      <c r="J2791"/>
      <c r="K2791"/>
      <c r="L2791"/>
    </row>
    <row r="2792" spans="2:12" ht="14.4" x14ac:dyDescent="0.3">
      <c r="B2792"/>
      <c r="C2792"/>
      <c r="D2792"/>
      <c r="E2792"/>
      <c r="F2792"/>
      <c r="H2792"/>
      <c r="I2792"/>
      <c r="J2792"/>
      <c r="K2792"/>
      <c r="L2792"/>
    </row>
    <row r="2793" spans="2:12" ht="14.4" x14ac:dyDescent="0.3">
      <c r="B2793"/>
      <c r="C2793"/>
      <c r="D2793"/>
      <c r="E2793"/>
      <c r="F2793"/>
      <c r="H2793"/>
      <c r="I2793"/>
      <c r="J2793"/>
      <c r="K2793"/>
      <c r="L2793"/>
    </row>
    <row r="2794" spans="2:12" ht="14.4" x14ac:dyDescent="0.3">
      <c r="B2794"/>
      <c r="C2794"/>
      <c r="D2794"/>
      <c r="E2794"/>
      <c r="F2794"/>
      <c r="H2794"/>
      <c r="I2794"/>
      <c r="J2794"/>
      <c r="K2794"/>
      <c r="L2794"/>
    </row>
    <row r="2795" spans="2:12" ht="14.4" x14ac:dyDescent="0.3">
      <c r="B2795"/>
      <c r="C2795"/>
      <c r="D2795"/>
      <c r="E2795"/>
      <c r="F2795"/>
      <c r="H2795"/>
      <c r="I2795"/>
      <c r="J2795"/>
      <c r="K2795"/>
      <c r="L2795"/>
    </row>
    <row r="2796" spans="2:12" ht="14.4" x14ac:dyDescent="0.3">
      <c r="B2796"/>
      <c r="C2796"/>
      <c r="D2796"/>
      <c r="E2796"/>
      <c r="F2796"/>
      <c r="H2796"/>
      <c r="I2796"/>
      <c r="J2796"/>
      <c r="K2796"/>
      <c r="L2796"/>
    </row>
    <row r="2797" spans="2:12" ht="14.4" x14ac:dyDescent="0.3">
      <c r="B2797"/>
      <c r="C2797"/>
      <c r="D2797"/>
      <c r="E2797"/>
      <c r="F2797"/>
      <c r="H2797"/>
      <c r="I2797"/>
      <c r="J2797"/>
      <c r="K2797"/>
      <c r="L2797"/>
    </row>
    <row r="2798" spans="2:12" ht="14.4" x14ac:dyDescent="0.3">
      <c r="B2798"/>
      <c r="C2798"/>
      <c r="D2798"/>
      <c r="E2798"/>
      <c r="F2798"/>
      <c r="H2798"/>
      <c r="I2798"/>
      <c r="J2798"/>
      <c r="K2798"/>
      <c r="L2798"/>
    </row>
    <row r="2799" spans="2:12" ht="14.4" x14ac:dyDescent="0.3">
      <c r="B2799"/>
      <c r="C2799"/>
      <c r="D2799"/>
      <c r="E2799"/>
      <c r="F2799"/>
      <c r="H2799"/>
      <c r="I2799"/>
      <c r="J2799"/>
      <c r="K2799"/>
      <c r="L2799"/>
    </row>
    <row r="2800" spans="2:12" ht="14.4" x14ac:dyDescent="0.3">
      <c r="B2800"/>
      <c r="C2800"/>
      <c r="D2800"/>
      <c r="E2800"/>
      <c r="F2800"/>
      <c r="H2800"/>
      <c r="I2800"/>
      <c r="J2800"/>
      <c r="K2800"/>
      <c r="L2800"/>
    </row>
    <row r="2801" spans="2:12" ht="14.4" x14ac:dyDescent="0.3">
      <c r="B2801"/>
      <c r="C2801"/>
      <c r="D2801"/>
      <c r="E2801"/>
      <c r="F2801"/>
      <c r="H2801"/>
      <c r="I2801"/>
      <c r="J2801"/>
      <c r="K2801"/>
      <c r="L2801"/>
    </row>
    <row r="2802" spans="2:12" ht="14.4" x14ac:dyDescent="0.3">
      <c r="B2802"/>
      <c r="C2802"/>
      <c r="D2802"/>
      <c r="E2802"/>
      <c r="F2802"/>
      <c r="H2802"/>
      <c r="I2802"/>
      <c r="J2802"/>
      <c r="K2802"/>
      <c r="L2802"/>
    </row>
    <row r="2803" spans="2:12" ht="14.4" x14ac:dyDescent="0.3">
      <c r="B2803"/>
      <c r="C2803"/>
      <c r="D2803"/>
      <c r="E2803"/>
      <c r="F2803"/>
      <c r="H2803"/>
      <c r="I2803"/>
      <c r="J2803"/>
      <c r="K2803"/>
      <c r="L2803"/>
    </row>
    <row r="2804" spans="2:12" ht="14.4" x14ac:dyDescent="0.3">
      <c r="B2804"/>
      <c r="C2804"/>
      <c r="D2804"/>
      <c r="E2804"/>
      <c r="F2804"/>
      <c r="H2804"/>
      <c r="I2804"/>
      <c r="J2804"/>
      <c r="K2804"/>
      <c r="L2804"/>
    </row>
    <row r="2805" spans="2:12" ht="14.4" x14ac:dyDescent="0.3">
      <c r="B2805"/>
      <c r="C2805"/>
      <c r="D2805"/>
      <c r="E2805"/>
      <c r="F2805"/>
      <c r="H2805"/>
      <c r="I2805"/>
      <c r="J2805"/>
      <c r="K2805"/>
      <c r="L2805"/>
    </row>
    <row r="2806" spans="2:12" ht="14.4" x14ac:dyDescent="0.3">
      <c r="B2806"/>
      <c r="C2806"/>
      <c r="D2806"/>
      <c r="E2806"/>
      <c r="F2806"/>
      <c r="H2806"/>
      <c r="I2806"/>
      <c r="J2806"/>
      <c r="K2806"/>
      <c r="L2806"/>
    </row>
    <row r="2807" spans="2:12" ht="14.4" x14ac:dyDescent="0.3">
      <c r="B2807"/>
      <c r="C2807"/>
      <c r="D2807"/>
      <c r="E2807"/>
      <c r="F2807"/>
      <c r="H2807"/>
      <c r="I2807"/>
      <c r="J2807"/>
      <c r="K2807"/>
      <c r="L2807"/>
    </row>
    <row r="2808" spans="2:12" ht="14.4" x14ac:dyDescent="0.3">
      <c r="B2808"/>
      <c r="C2808"/>
      <c r="D2808"/>
      <c r="E2808"/>
      <c r="F2808"/>
      <c r="H2808"/>
      <c r="I2808"/>
      <c r="J2808"/>
      <c r="K2808"/>
      <c r="L2808"/>
    </row>
    <row r="2809" spans="2:12" ht="14.4" x14ac:dyDescent="0.3">
      <c r="B2809"/>
      <c r="C2809"/>
      <c r="D2809"/>
      <c r="E2809"/>
      <c r="F2809"/>
      <c r="H2809"/>
      <c r="I2809"/>
      <c r="J2809"/>
      <c r="K2809"/>
      <c r="L2809"/>
    </row>
    <row r="2810" spans="2:12" ht="14.4" x14ac:dyDescent="0.3">
      <c r="B2810"/>
      <c r="C2810"/>
      <c r="D2810"/>
      <c r="E2810"/>
      <c r="F2810"/>
      <c r="H2810"/>
      <c r="I2810"/>
      <c r="J2810"/>
      <c r="K2810"/>
      <c r="L2810"/>
    </row>
    <row r="2811" spans="2:12" ht="14.4" x14ac:dyDescent="0.3">
      <c r="B2811"/>
      <c r="C2811"/>
      <c r="D2811"/>
      <c r="E2811"/>
      <c r="F2811"/>
      <c r="H2811"/>
      <c r="I2811"/>
      <c r="J2811"/>
      <c r="K2811"/>
      <c r="L2811"/>
    </row>
    <row r="2812" spans="2:12" ht="14.4" x14ac:dyDescent="0.3">
      <c r="B2812"/>
      <c r="C2812"/>
      <c r="D2812"/>
      <c r="E2812"/>
      <c r="F2812"/>
      <c r="H2812"/>
      <c r="I2812"/>
      <c r="J2812"/>
      <c r="K2812"/>
      <c r="L2812"/>
    </row>
    <row r="2813" spans="2:12" ht="14.4" x14ac:dyDescent="0.3">
      <c r="B2813"/>
      <c r="C2813"/>
      <c r="D2813"/>
      <c r="E2813"/>
      <c r="F2813"/>
      <c r="H2813"/>
      <c r="I2813"/>
      <c r="J2813"/>
      <c r="K2813"/>
      <c r="L2813"/>
    </row>
    <row r="2814" spans="2:12" ht="14.4" x14ac:dyDescent="0.3">
      <c r="B2814"/>
      <c r="C2814"/>
      <c r="D2814"/>
      <c r="E2814"/>
      <c r="F2814"/>
      <c r="H2814"/>
      <c r="I2814"/>
      <c r="J2814"/>
      <c r="K2814"/>
      <c r="L2814"/>
    </row>
    <row r="2815" spans="2:12" ht="14.4" x14ac:dyDescent="0.3">
      <c r="B2815"/>
      <c r="C2815"/>
      <c r="D2815"/>
      <c r="E2815"/>
      <c r="F2815"/>
      <c r="H2815"/>
      <c r="I2815"/>
      <c r="J2815"/>
      <c r="K2815"/>
      <c r="L2815"/>
    </row>
    <row r="2816" spans="2:12" ht="14.4" x14ac:dyDescent="0.3">
      <c r="B2816"/>
      <c r="C2816"/>
      <c r="D2816"/>
      <c r="E2816"/>
      <c r="F2816"/>
      <c r="H2816"/>
      <c r="I2816"/>
      <c r="J2816"/>
      <c r="K2816"/>
      <c r="L2816"/>
    </row>
    <row r="2817" spans="2:12" ht="14.4" x14ac:dyDescent="0.3">
      <c r="B2817"/>
      <c r="C2817"/>
      <c r="D2817"/>
      <c r="E2817"/>
      <c r="F2817"/>
      <c r="H2817"/>
      <c r="I2817"/>
      <c r="J2817"/>
      <c r="K2817"/>
      <c r="L2817"/>
    </row>
    <row r="2818" spans="2:12" ht="14.4" x14ac:dyDescent="0.3">
      <c r="B2818"/>
      <c r="C2818"/>
      <c r="D2818"/>
      <c r="E2818"/>
      <c r="F2818"/>
      <c r="H2818"/>
      <c r="I2818"/>
      <c r="J2818"/>
      <c r="K2818"/>
      <c r="L2818"/>
    </row>
    <row r="2819" spans="2:12" ht="14.4" x14ac:dyDescent="0.3">
      <c r="B2819"/>
      <c r="C2819"/>
      <c r="D2819"/>
      <c r="E2819"/>
      <c r="F2819"/>
      <c r="H2819"/>
      <c r="I2819"/>
      <c r="J2819"/>
      <c r="K2819"/>
      <c r="L2819"/>
    </row>
    <row r="2820" spans="2:12" ht="14.4" x14ac:dyDescent="0.3">
      <c r="B2820"/>
      <c r="C2820"/>
      <c r="D2820"/>
      <c r="E2820"/>
      <c r="F2820"/>
      <c r="H2820"/>
      <c r="I2820"/>
      <c r="J2820"/>
      <c r="K2820"/>
      <c r="L2820"/>
    </row>
    <row r="2821" spans="2:12" ht="14.4" x14ac:dyDescent="0.3">
      <c r="B2821"/>
      <c r="C2821"/>
      <c r="D2821"/>
      <c r="E2821"/>
      <c r="F2821"/>
      <c r="H2821"/>
      <c r="I2821"/>
      <c r="J2821"/>
      <c r="K2821"/>
      <c r="L2821"/>
    </row>
    <row r="2822" spans="2:12" ht="14.4" x14ac:dyDescent="0.3">
      <c r="B2822"/>
      <c r="C2822"/>
      <c r="D2822"/>
      <c r="E2822"/>
      <c r="F2822"/>
      <c r="H2822"/>
      <c r="I2822"/>
      <c r="J2822"/>
      <c r="K2822"/>
      <c r="L2822"/>
    </row>
    <row r="2823" spans="2:12" ht="14.4" x14ac:dyDescent="0.3">
      <c r="B2823"/>
      <c r="C2823"/>
      <c r="D2823"/>
      <c r="E2823"/>
      <c r="F2823"/>
      <c r="H2823"/>
      <c r="I2823"/>
      <c r="J2823"/>
      <c r="K2823"/>
      <c r="L2823"/>
    </row>
    <row r="2824" spans="2:12" ht="14.4" x14ac:dyDescent="0.3">
      <c r="B2824"/>
      <c r="C2824"/>
      <c r="D2824"/>
      <c r="E2824"/>
      <c r="F2824"/>
      <c r="H2824"/>
      <c r="I2824"/>
      <c r="J2824"/>
      <c r="K2824"/>
      <c r="L2824"/>
    </row>
    <row r="2825" spans="2:12" ht="14.4" x14ac:dyDescent="0.3">
      <c r="B2825"/>
      <c r="C2825"/>
      <c r="D2825"/>
      <c r="E2825"/>
      <c r="F2825"/>
      <c r="H2825"/>
      <c r="I2825"/>
      <c r="J2825"/>
      <c r="K2825"/>
      <c r="L2825"/>
    </row>
    <row r="2826" spans="2:12" ht="14.4" x14ac:dyDescent="0.3">
      <c r="B2826"/>
      <c r="C2826"/>
      <c r="D2826"/>
      <c r="E2826"/>
      <c r="F2826"/>
      <c r="H2826"/>
      <c r="I2826"/>
      <c r="J2826"/>
      <c r="K2826"/>
      <c r="L2826"/>
    </row>
    <row r="2827" spans="2:12" ht="14.4" x14ac:dyDescent="0.3">
      <c r="B2827"/>
      <c r="C2827"/>
      <c r="D2827"/>
      <c r="E2827"/>
      <c r="F2827"/>
      <c r="H2827"/>
      <c r="I2827"/>
      <c r="J2827"/>
      <c r="K2827"/>
      <c r="L2827"/>
    </row>
    <row r="2828" spans="2:12" ht="14.4" x14ac:dyDescent="0.3">
      <c r="B2828"/>
      <c r="C2828"/>
      <c r="D2828"/>
      <c r="E2828"/>
      <c r="F2828"/>
      <c r="H2828"/>
      <c r="I2828"/>
      <c r="J2828"/>
      <c r="K2828"/>
      <c r="L2828"/>
    </row>
    <row r="2829" spans="2:12" ht="14.4" x14ac:dyDescent="0.3">
      <c r="B2829"/>
      <c r="C2829"/>
      <c r="D2829"/>
      <c r="E2829"/>
      <c r="F2829"/>
      <c r="H2829"/>
      <c r="I2829"/>
      <c r="J2829"/>
      <c r="K2829"/>
      <c r="L2829"/>
    </row>
    <row r="2830" spans="2:12" ht="14.4" x14ac:dyDescent="0.3">
      <c r="B2830"/>
      <c r="C2830"/>
      <c r="D2830"/>
      <c r="E2830"/>
      <c r="F2830"/>
      <c r="H2830"/>
      <c r="I2830"/>
      <c r="J2830"/>
      <c r="K2830"/>
      <c r="L2830"/>
    </row>
    <row r="2831" spans="2:12" ht="14.4" x14ac:dyDescent="0.3">
      <c r="B2831"/>
      <c r="C2831"/>
      <c r="D2831"/>
      <c r="E2831"/>
      <c r="F2831"/>
      <c r="H2831"/>
      <c r="I2831"/>
      <c r="J2831"/>
      <c r="K2831"/>
      <c r="L2831"/>
    </row>
    <row r="2832" spans="2:12" ht="14.4" x14ac:dyDescent="0.3">
      <c r="B2832"/>
      <c r="C2832"/>
      <c r="D2832"/>
      <c r="E2832"/>
      <c r="F2832"/>
      <c r="H2832"/>
      <c r="I2832"/>
      <c r="J2832"/>
      <c r="K2832"/>
      <c r="L2832"/>
    </row>
    <row r="2833" spans="2:12" ht="14.4" x14ac:dyDescent="0.3">
      <c r="B2833"/>
      <c r="C2833"/>
      <c r="D2833"/>
      <c r="E2833"/>
      <c r="F2833"/>
      <c r="H2833"/>
      <c r="I2833"/>
      <c r="J2833"/>
      <c r="K2833"/>
      <c r="L2833"/>
    </row>
    <row r="2834" spans="2:12" ht="14.4" x14ac:dyDescent="0.3">
      <c r="B2834"/>
      <c r="C2834"/>
      <c r="D2834"/>
      <c r="E2834"/>
      <c r="F2834"/>
      <c r="H2834"/>
      <c r="I2834"/>
      <c r="J2834"/>
      <c r="K2834"/>
      <c r="L2834"/>
    </row>
    <row r="2835" spans="2:12" ht="14.4" x14ac:dyDescent="0.3">
      <c r="B2835"/>
      <c r="C2835"/>
      <c r="D2835"/>
      <c r="E2835"/>
      <c r="F2835"/>
      <c r="H2835"/>
      <c r="I2835"/>
      <c r="J2835"/>
      <c r="K2835"/>
      <c r="L2835"/>
    </row>
    <row r="2836" spans="2:12" ht="14.4" x14ac:dyDescent="0.3">
      <c r="B2836"/>
      <c r="C2836"/>
      <c r="D2836"/>
      <c r="E2836"/>
      <c r="F2836"/>
      <c r="H2836"/>
      <c r="I2836"/>
      <c r="J2836"/>
      <c r="K2836"/>
      <c r="L2836"/>
    </row>
    <row r="2837" spans="2:12" ht="14.4" x14ac:dyDescent="0.3">
      <c r="B2837"/>
      <c r="C2837"/>
      <c r="D2837"/>
      <c r="E2837"/>
      <c r="F2837"/>
      <c r="H2837"/>
      <c r="I2837"/>
      <c r="J2837"/>
      <c r="K2837"/>
      <c r="L2837"/>
    </row>
    <row r="2838" spans="2:12" ht="14.4" x14ac:dyDescent="0.3">
      <c r="B2838"/>
      <c r="C2838"/>
      <c r="D2838"/>
      <c r="E2838"/>
      <c r="F2838"/>
      <c r="H2838"/>
      <c r="I2838"/>
      <c r="J2838"/>
      <c r="K2838"/>
      <c r="L2838"/>
    </row>
    <row r="2839" spans="2:12" ht="14.4" x14ac:dyDescent="0.3">
      <c r="B2839"/>
      <c r="C2839"/>
      <c r="D2839"/>
      <c r="E2839"/>
      <c r="F2839"/>
      <c r="H2839"/>
      <c r="I2839"/>
      <c r="J2839"/>
      <c r="K2839"/>
      <c r="L2839"/>
    </row>
    <row r="2840" spans="2:12" ht="14.4" x14ac:dyDescent="0.3">
      <c r="B2840"/>
      <c r="C2840"/>
      <c r="D2840"/>
      <c r="E2840"/>
      <c r="F2840"/>
      <c r="H2840"/>
      <c r="I2840"/>
      <c r="J2840"/>
      <c r="K2840"/>
      <c r="L2840"/>
    </row>
    <row r="2841" spans="2:12" ht="14.4" x14ac:dyDescent="0.3">
      <c r="B2841"/>
      <c r="C2841"/>
      <c r="D2841"/>
      <c r="E2841"/>
      <c r="F2841"/>
      <c r="H2841"/>
      <c r="I2841"/>
      <c r="J2841"/>
      <c r="K2841"/>
      <c r="L2841"/>
    </row>
    <row r="2842" spans="2:12" ht="14.4" x14ac:dyDescent="0.3">
      <c r="B2842"/>
      <c r="C2842"/>
      <c r="D2842"/>
      <c r="E2842"/>
      <c r="F2842"/>
      <c r="H2842"/>
      <c r="I2842"/>
      <c r="J2842"/>
      <c r="K2842"/>
      <c r="L2842"/>
    </row>
    <row r="2843" spans="2:12" ht="14.4" x14ac:dyDescent="0.3">
      <c r="B2843"/>
      <c r="C2843"/>
      <c r="D2843"/>
      <c r="E2843"/>
      <c r="F2843"/>
      <c r="H2843"/>
      <c r="I2843"/>
      <c r="J2843"/>
      <c r="K2843"/>
      <c r="L2843"/>
    </row>
    <row r="2844" spans="2:12" ht="14.4" x14ac:dyDescent="0.3">
      <c r="B2844"/>
      <c r="C2844"/>
      <c r="D2844"/>
      <c r="E2844"/>
      <c r="F2844"/>
      <c r="H2844"/>
      <c r="I2844"/>
      <c r="J2844"/>
      <c r="K2844"/>
      <c r="L2844"/>
    </row>
    <row r="2845" spans="2:12" ht="14.4" x14ac:dyDescent="0.3">
      <c r="B2845"/>
      <c r="C2845"/>
      <c r="D2845"/>
      <c r="E2845"/>
      <c r="F2845"/>
      <c r="H2845"/>
      <c r="I2845"/>
      <c r="J2845"/>
      <c r="K2845"/>
      <c r="L2845"/>
    </row>
    <row r="2846" spans="2:12" ht="14.4" x14ac:dyDescent="0.3">
      <c r="B2846"/>
      <c r="C2846"/>
      <c r="D2846"/>
      <c r="E2846"/>
      <c r="F2846"/>
      <c r="H2846"/>
      <c r="I2846"/>
      <c r="J2846"/>
      <c r="K2846"/>
      <c r="L2846"/>
    </row>
    <row r="2847" spans="2:12" ht="14.4" x14ac:dyDescent="0.3">
      <c r="B2847"/>
      <c r="C2847"/>
      <c r="D2847"/>
      <c r="E2847"/>
      <c r="F2847"/>
      <c r="H2847"/>
      <c r="I2847"/>
      <c r="J2847"/>
      <c r="K2847"/>
      <c r="L2847"/>
    </row>
    <row r="2848" spans="2:12" ht="14.4" x14ac:dyDescent="0.3">
      <c r="B2848"/>
      <c r="C2848"/>
      <c r="D2848"/>
      <c r="E2848"/>
      <c r="F2848"/>
      <c r="H2848"/>
      <c r="I2848"/>
      <c r="J2848"/>
      <c r="K2848"/>
      <c r="L2848"/>
    </row>
    <row r="2849" spans="2:12" ht="14.4" x14ac:dyDescent="0.3">
      <c r="B2849"/>
      <c r="C2849"/>
      <c r="D2849"/>
      <c r="E2849"/>
      <c r="F2849"/>
      <c r="H2849"/>
      <c r="I2849"/>
      <c r="J2849"/>
      <c r="K2849"/>
      <c r="L2849"/>
    </row>
    <row r="2850" spans="2:12" ht="14.4" x14ac:dyDescent="0.3">
      <c r="B2850"/>
      <c r="C2850"/>
      <c r="D2850"/>
      <c r="E2850"/>
      <c r="F2850"/>
      <c r="H2850"/>
      <c r="I2850"/>
      <c r="J2850"/>
      <c r="K2850"/>
      <c r="L2850"/>
    </row>
    <row r="2851" spans="2:12" ht="14.4" x14ac:dyDescent="0.3">
      <c r="B2851"/>
      <c r="C2851"/>
      <c r="D2851"/>
      <c r="E2851"/>
      <c r="F2851"/>
      <c r="H2851"/>
      <c r="I2851"/>
      <c r="J2851"/>
      <c r="K2851"/>
      <c r="L2851"/>
    </row>
    <row r="2852" spans="2:12" ht="14.4" x14ac:dyDescent="0.3">
      <c r="B2852"/>
      <c r="C2852"/>
      <c r="D2852"/>
      <c r="E2852"/>
      <c r="F2852"/>
      <c r="H2852"/>
      <c r="I2852"/>
      <c r="J2852"/>
      <c r="K2852"/>
      <c r="L2852"/>
    </row>
    <row r="2853" spans="2:12" ht="14.4" x14ac:dyDescent="0.3">
      <c r="B2853"/>
      <c r="C2853"/>
      <c r="D2853"/>
      <c r="E2853"/>
      <c r="F2853"/>
      <c r="H2853"/>
      <c r="I2853"/>
      <c r="J2853"/>
      <c r="K2853"/>
      <c r="L2853"/>
    </row>
    <row r="2854" spans="2:12" ht="14.4" x14ac:dyDescent="0.3">
      <c r="B2854"/>
      <c r="C2854"/>
      <c r="D2854"/>
      <c r="E2854"/>
      <c r="F2854"/>
      <c r="H2854"/>
      <c r="I2854"/>
      <c r="J2854"/>
      <c r="K2854"/>
      <c r="L2854"/>
    </row>
    <row r="2855" spans="2:12" ht="14.4" x14ac:dyDescent="0.3">
      <c r="B2855"/>
      <c r="C2855"/>
      <c r="D2855"/>
      <c r="E2855"/>
      <c r="F2855"/>
      <c r="H2855"/>
      <c r="I2855"/>
      <c r="J2855"/>
      <c r="K2855"/>
      <c r="L2855"/>
    </row>
    <row r="2856" spans="2:12" ht="14.4" x14ac:dyDescent="0.3">
      <c r="B2856"/>
      <c r="C2856"/>
      <c r="D2856"/>
      <c r="E2856"/>
      <c r="F2856"/>
      <c r="H2856"/>
      <c r="I2856"/>
      <c r="J2856"/>
      <c r="K2856"/>
      <c r="L2856"/>
    </row>
    <row r="2857" spans="2:12" ht="14.4" x14ac:dyDescent="0.3">
      <c r="B2857"/>
      <c r="C2857"/>
      <c r="D2857"/>
      <c r="E2857"/>
      <c r="F2857"/>
      <c r="H2857"/>
      <c r="I2857"/>
      <c r="J2857"/>
      <c r="K2857"/>
      <c r="L2857"/>
    </row>
    <row r="2858" spans="2:12" ht="14.4" x14ac:dyDescent="0.3">
      <c r="B2858"/>
      <c r="C2858"/>
      <c r="D2858"/>
      <c r="E2858"/>
      <c r="F2858"/>
      <c r="H2858"/>
      <c r="I2858"/>
      <c r="J2858"/>
      <c r="K2858"/>
      <c r="L2858"/>
    </row>
    <row r="2859" spans="2:12" ht="14.4" x14ac:dyDescent="0.3">
      <c r="B2859"/>
      <c r="C2859"/>
      <c r="D2859"/>
      <c r="E2859"/>
      <c r="F2859"/>
      <c r="H2859"/>
      <c r="I2859"/>
      <c r="J2859"/>
      <c r="K2859"/>
      <c r="L2859"/>
    </row>
    <row r="2860" spans="2:12" ht="14.4" x14ac:dyDescent="0.3">
      <c r="B2860"/>
      <c r="C2860"/>
      <c r="D2860"/>
      <c r="E2860"/>
      <c r="F2860"/>
      <c r="H2860"/>
      <c r="I2860"/>
      <c r="J2860"/>
      <c r="K2860"/>
      <c r="L2860"/>
    </row>
    <row r="2861" spans="2:12" ht="14.4" x14ac:dyDescent="0.3">
      <c r="B2861"/>
      <c r="C2861"/>
      <c r="D2861"/>
      <c r="E2861"/>
      <c r="F2861"/>
      <c r="H2861"/>
      <c r="I2861"/>
      <c r="J2861"/>
      <c r="K2861"/>
      <c r="L2861"/>
    </row>
    <row r="2862" spans="2:12" ht="14.4" x14ac:dyDescent="0.3">
      <c r="B2862"/>
      <c r="C2862"/>
      <c r="D2862"/>
      <c r="E2862"/>
      <c r="F2862"/>
      <c r="H2862"/>
      <c r="I2862"/>
      <c r="J2862"/>
      <c r="K2862"/>
      <c r="L2862"/>
    </row>
    <row r="2863" spans="2:12" ht="14.4" x14ac:dyDescent="0.3">
      <c r="B2863"/>
      <c r="C2863"/>
      <c r="D2863"/>
      <c r="E2863"/>
      <c r="F2863"/>
      <c r="H2863"/>
      <c r="I2863"/>
      <c r="J2863"/>
      <c r="K2863"/>
      <c r="L2863"/>
    </row>
    <row r="2864" spans="2:12" ht="14.4" x14ac:dyDescent="0.3">
      <c r="B2864"/>
      <c r="C2864"/>
      <c r="D2864"/>
      <c r="E2864"/>
      <c r="F2864"/>
      <c r="H2864"/>
      <c r="I2864"/>
      <c r="J2864"/>
      <c r="K2864"/>
      <c r="L2864"/>
    </row>
    <row r="2865" spans="2:12" ht="14.4" x14ac:dyDescent="0.3">
      <c r="B2865"/>
      <c r="C2865"/>
      <c r="D2865"/>
      <c r="E2865"/>
      <c r="F2865"/>
      <c r="H2865"/>
      <c r="I2865"/>
      <c r="J2865"/>
      <c r="K2865"/>
      <c r="L2865"/>
    </row>
    <row r="2866" spans="2:12" ht="14.4" x14ac:dyDescent="0.3">
      <c r="B2866"/>
      <c r="C2866"/>
      <c r="D2866"/>
      <c r="E2866"/>
      <c r="F2866"/>
      <c r="H2866"/>
      <c r="I2866"/>
      <c r="J2866"/>
      <c r="K2866"/>
      <c r="L2866"/>
    </row>
    <row r="2867" spans="2:12" ht="14.4" x14ac:dyDescent="0.3">
      <c r="B2867"/>
      <c r="C2867"/>
      <c r="D2867"/>
      <c r="E2867"/>
      <c r="F2867"/>
      <c r="H2867"/>
      <c r="I2867"/>
      <c r="J2867"/>
      <c r="K2867"/>
      <c r="L2867"/>
    </row>
    <row r="2868" spans="2:12" ht="14.4" x14ac:dyDescent="0.3">
      <c r="B2868"/>
      <c r="C2868"/>
      <c r="D2868"/>
      <c r="E2868"/>
      <c r="F2868"/>
      <c r="H2868"/>
      <c r="I2868"/>
      <c r="J2868"/>
      <c r="K2868"/>
      <c r="L2868"/>
    </row>
    <row r="2869" spans="2:12" ht="14.4" x14ac:dyDescent="0.3">
      <c r="B2869"/>
      <c r="C2869"/>
      <c r="D2869"/>
      <c r="E2869"/>
      <c r="F2869"/>
      <c r="H2869"/>
      <c r="I2869"/>
      <c r="J2869"/>
      <c r="K2869"/>
      <c r="L2869"/>
    </row>
    <row r="2870" spans="2:12" ht="14.4" x14ac:dyDescent="0.3">
      <c r="B2870"/>
      <c r="C2870"/>
      <c r="D2870"/>
      <c r="E2870"/>
      <c r="F2870"/>
      <c r="H2870"/>
      <c r="I2870"/>
      <c r="J2870"/>
      <c r="K2870"/>
      <c r="L2870"/>
    </row>
    <row r="2871" spans="2:12" ht="14.4" x14ac:dyDescent="0.3">
      <c r="B2871"/>
      <c r="C2871"/>
      <c r="D2871"/>
      <c r="E2871"/>
      <c r="F2871"/>
      <c r="H2871"/>
      <c r="I2871"/>
      <c r="J2871"/>
      <c r="K2871"/>
      <c r="L2871"/>
    </row>
    <row r="2872" spans="2:12" ht="14.4" x14ac:dyDescent="0.3">
      <c r="B2872"/>
      <c r="C2872"/>
      <c r="D2872"/>
      <c r="E2872"/>
      <c r="F2872"/>
      <c r="H2872"/>
      <c r="I2872"/>
      <c r="J2872"/>
      <c r="K2872"/>
      <c r="L2872"/>
    </row>
    <row r="2873" spans="2:12" ht="14.4" x14ac:dyDescent="0.3">
      <c r="B2873"/>
      <c r="C2873"/>
      <c r="D2873"/>
      <c r="E2873"/>
      <c r="F2873"/>
      <c r="H2873"/>
      <c r="I2873"/>
      <c r="J2873"/>
      <c r="K2873"/>
      <c r="L2873"/>
    </row>
    <row r="2874" spans="2:12" ht="14.4" x14ac:dyDescent="0.3">
      <c r="B2874"/>
      <c r="C2874"/>
      <c r="D2874"/>
      <c r="E2874"/>
      <c r="F2874"/>
      <c r="H2874"/>
      <c r="I2874"/>
      <c r="J2874"/>
      <c r="K2874"/>
      <c r="L2874"/>
    </row>
    <row r="2875" spans="2:12" ht="14.4" x14ac:dyDescent="0.3">
      <c r="B2875"/>
      <c r="C2875"/>
      <c r="D2875"/>
      <c r="E2875"/>
      <c r="F2875"/>
      <c r="H2875"/>
      <c r="I2875"/>
      <c r="J2875"/>
      <c r="K2875"/>
      <c r="L2875"/>
    </row>
    <row r="2876" spans="2:12" ht="14.4" x14ac:dyDescent="0.3">
      <c r="B2876"/>
      <c r="C2876"/>
      <c r="D2876"/>
      <c r="E2876"/>
      <c r="F2876"/>
      <c r="H2876"/>
      <c r="I2876"/>
      <c r="J2876"/>
      <c r="K2876"/>
      <c r="L2876"/>
    </row>
    <row r="2877" spans="2:12" ht="14.4" x14ac:dyDescent="0.3">
      <c r="B2877"/>
      <c r="C2877"/>
      <c r="D2877"/>
      <c r="E2877"/>
      <c r="F2877"/>
      <c r="H2877"/>
      <c r="I2877"/>
      <c r="J2877"/>
      <c r="K2877"/>
      <c r="L2877"/>
    </row>
    <row r="2878" spans="2:12" ht="14.4" x14ac:dyDescent="0.3">
      <c r="B2878"/>
      <c r="C2878"/>
      <c r="D2878"/>
      <c r="E2878"/>
      <c r="F2878"/>
      <c r="H2878"/>
      <c r="I2878"/>
      <c r="J2878"/>
      <c r="K2878"/>
      <c r="L2878"/>
    </row>
    <row r="2879" spans="2:12" ht="14.4" x14ac:dyDescent="0.3">
      <c r="B2879"/>
      <c r="C2879"/>
      <c r="D2879"/>
      <c r="E2879"/>
      <c r="F2879"/>
      <c r="H2879"/>
      <c r="I2879"/>
      <c r="J2879"/>
      <c r="K2879"/>
      <c r="L2879"/>
    </row>
    <row r="2880" spans="2:12" ht="14.4" x14ac:dyDescent="0.3">
      <c r="B2880"/>
      <c r="C2880"/>
      <c r="D2880"/>
      <c r="E2880"/>
      <c r="F2880"/>
      <c r="H2880"/>
      <c r="I2880"/>
      <c r="J2880"/>
      <c r="K2880"/>
      <c r="L2880"/>
    </row>
    <row r="2881" spans="2:12" ht="14.4" x14ac:dyDescent="0.3">
      <c r="B2881"/>
      <c r="C2881"/>
      <c r="D2881"/>
      <c r="E2881"/>
      <c r="F2881"/>
      <c r="H2881"/>
      <c r="I2881"/>
      <c r="J2881"/>
      <c r="K2881"/>
      <c r="L2881"/>
    </row>
    <row r="2882" spans="2:12" ht="14.4" x14ac:dyDescent="0.3">
      <c r="B2882"/>
      <c r="C2882"/>
      <c r="D2882"/>
      <c r="E2882"/>
      <c r="F2882"/>
      <c r="H2882"/>
      <c r="I2882"/>
      <c r="J2882"/>
      <c r="K2882"/>
      <c r="L2882"/>
    </row>
    <row r="2883" spans="2:12" ht="14.4" x14ac:dyDescent="0.3">
      <c r="B2883"/>
      <c r="C2883"/>
      <c r="D2883"/>
      <c r="E2883"/>
      <c r="F2883"/>
      <c r="H2883"/>
      <c r="I2883"/>
      <c r="J2883"/>
      <c r="K2883"/>
      <c r="L2883"/>
    </row>
    <row r="2884" spans="2:12" ht="14.4" x14ac:dyDescent="0.3">
      <c r="B2884"/>
      <c r="C2884"/>
      <c r="D2884"/>
      <c r="E2884"/>
      <c r="F2884"/>
      <c r="H2884"/>
      <c r="I2884"/>
      <c r="J2884"/>
      <c r="K2884"/>
      <c r="L2884"/>
    </row>
    <row r="2885" spans="2:12" ht="14.4" x14ac:dyDescent="0.3">
      <c r="B2885"/>
      <c r="C2885"/>
      <c r="D2885"/>
      <c r="E2885"/>
      <c r="F2885"/>
      <c r="H2885"/>
      <c r="I2885"/>
      <c r="J2885"/>
      <c r="K2885"/>
      <c r="L2885"/>
    </row>
    <row r="2886" spans="2:12" ht="14.4" x14ac:dyDescent="0.3">
      <c r="B2886"/>
      <c r="C2886"/>
      <c r="D2886"/>
      <c r="E2886"/>
      <c r="F2886"/>
      <c r="H2886"/>
      <c r="I2886"/>
      <c r="J2886"/>
      <c r="K2886"/>
      <c r="L2886"/>
    </row>
    <row r="2887" spans="2:12" ht="14.4" x14ac:dyDescent="0.3">
      <c r="B2887"/>
      <c r="C2887"/>
      <c r="D2887"/>
      <c r="E2887"/>
      <c r="F2887"/>
      <c r="H2887"/>
      <c r="I2887"/>
      <c r="J2887"/>
      <c r="K2887"/>
      <c r="L2887"/>
    </row>
    <row r="2888" spans="2:12" ht="14.4" x14ac:dyDescent="0.3">
      <c r="B2888"/>
      <c r="C2888"/>
      <c r="D2888"/>
      <c r="E2888"/>
      <c r="F2888"/>
      <c r="H2888"/>
      <c r="I2888"/>
      <c r="J2888"/>
      <c r="K2888"/>
      <c r="L2888"/>
    </row>
    <row r="2889" spans="2:12" ht="14.4" x14ac:dyDescent="0.3">
      <c r="B2889"/>
      <c r="C2889"/>
      <c r="D2889"/>
      <c r="E2889"/>
      <c r="F2889"/>
      <c r="H2889"/>
      <c r="I2889"/>
      <c r="J2889"/>
      <c r="K2889"/>
      <c r="L2889"/>
    </row>
    <row r="2890" spans="2:12" ht="14.4" x14ac:dyDescent="0.3">
      <c r="B2890"/>
      <c r="C2890"/>
      <c r="D2890"/>
      <c r="E2890"/>
      <c r="F2890"/>
      <c r="H2890"/>
      <c r="I2890"/>
      <c r="J2890"/>
      <c r="K2890"/>
      <c r="L2890"/>
    </row>
    <row r="2891" spans="2:12" ht="14.4" x14ac:dyDescent="0.3">
      <c r="B2891"/>
      <c r="C2891"/>
      <c r="D2891"/>
      <c r="E2891"/>
      <c r="F2891"/>
      <c r="H2891"/>
      <c r="I2891"/>
      <c r="J2891"/>
      <c r="K2891"/>
      <c r="L2891"/>
    </row>
    <row r="2892" spans="2:12" ht="14.4" x14ac:dyDescent="0.3">
      <c r="B2892"/>
      <c r="C2892"/>
      <c r="D2892"/>
      <c r="E2892"/>
      <c r="F2892"/>
      <c r="H2892"/>
      <c r="I2892"/>
      <c r="J2892"/>
      <c r="K2892"/>
      <c r="L2892"/>
    </row>
    <row r="2893" spans="2:12" ht="14.4" x14ac:dyDescent="0.3">
      <c r="B2893"/>
      <c r="C2893"/>
      <c r="D2893"/>
      <c r="E2893"/>
      <c r="F2893"/>
      <c r="H2893"/>
      <c r="I2893"/>
      <c r="J2893"/>
      <c r="K2893"/>
      <c r="L2893"/>
    </row>
    <row r="2894" spans="2:12" ht="14.4" x14ac:dyDescent="0.3">
      <c r="B2894"/>
      <c r="C2894"/>
      <c r="D2894"/>
      <c r="E2894"/>
      <c r="F2894"/>
      <c r="H2894"/>
      <c r="I2894"/>
      <c r="J2894"/>
      <c r="K2894"/>
      <c r="L2894"/>
    </row>
    <row r="2895" spans="2:12" ht="14.4" x14ac:dyDescent="0.3">
      <c r="B2895"/>
      <c r="C2895"/>
      <c r="D2895"/>
      <c r="E2895"/>
      <c r="F2895"/>
      <c r="H2895"/>
      <c r="I2895"/>
      <c r="J2895"/>
      <c r="K2895"/>
      <c r="L2895"/>
    </row>
    <row r="2896" spans="2:12" ht="14.4" x14ac:dyDescent="0.3">
      <c r="B2896"/>
      <c r="C2896"/>
      <c r="D2896"/>
      <c r="E2896"/>
      <c r="F2896"/>
      <c r="H2896"/>
      <c r="I2896"/>
      <c r="J2896"/>
      <c r="K2896"/>
      <c r="L2896"/>
    </row>
    <row r="2897" spans="2:12" ht="14.4" x14ac:dyDescent="0.3">
      <c r="B2897"/>
      <c r="C2897"/>
      <c r="D2897"/>
      <c r="E2897"/>
      <c r="F2897"/>
      <c r="H2897"/>
      <c r="I2897"/>
      <c r="J2897"/>
      <c r="K2897"/>
      <c r="L2897"/>
    </row>
    <row r="2898" spans="2:12" ht="14.4" x14ac:dyDescent="0.3">
      <c r="B2898"/>
      <c r="C2898"/>
      <c r="D2898"/>
      <c r="E2898"/>
      <c r="F2898"/>
      <c r="H2898"/>
      <c r="I2898"/>
      <c r="J2898"/>
      <c r="K2898"/>
      <c r="L2898"/>
    </row>
    <row r="2899" spans="2:12" ht="14.4" x14ac:dyDescent="0.3">
      <c r="B2899"/>
      <c r="C2899"/>
      <c r="D2899"/>
      <c r="E2899"/>
      <c r="F2899"/>
      <c r="H2899"/>
      <c r="I2899"/>
      <c r="J2899"/>
      <c r="K2899"/>
      <c r="L2899"/>
    </row>
    <row r="2900" spans="2:12" ht="14.4" x14ac:dyDescent="0.3">
      <c r="B2900"/>
      <c r="C2900"/>
      <c r="D2900"/>
      <c r="E2900"/>
      <c r="F2900"/>
      <c r="H2900"/>
      <c r="I2900"/>
      <c r="J2900"/>
      <c r="K2900"/>
      <c r="L2900"/>
    </row>
    <row r="2901" spans="2:12" ht="14.4" x14ac:dyDescent="0.3">
      <c r="B2901"/>
      <c r="C2901"/>
      <c r="D2901"/>
      <c r="E2901"/>
      <c r="F2901"/>
      <c r="H2901"/>
      <c r="I2901"/>
      <c r="J2901"/>
      <c r="K2901"/>
      <c r="L2901"/>
    </row>
    <row r="2902" spans="2:12" ht="14.4" x14ac:dyDescent="0.3">
      <c r="B2902"/>
      <c r="C2902"/>
      <c r="D2902"/>
      <c r="E2902"/>
      <c r="F2902"/>
      <c r="H2902"/>
      <c r="I2902"/>
      <c r="J2902"/>
      <c r="K2902"/>
      <c r="L2902"/>
    </row>
    <row r="2903" spans="2:12" ht="14.4" x14ac:dyDescent="0.3">
      <c r="B2903"/>
      <c r="C2903"/>
      <c r="D2903"/>
      <c r="E2903"/>
      <c r="F2903"/>
      <c r="H2903"/>
      <c r="I2903"/>
      <c r="J2903"/>
      <c r="K2903"/>
      <c r="L2903"/>
    </row>
    <row r="2904" spans="2:12" ht="14.4" x14ac:dyDescent="0.3">
      <c r="B2904"/>
      <c r="C2904"/>
      <c r="D2904"/>
      <c r="E2904"/>
      <c r="F2904"/>
      <c r="H2904"/>
      <c r="I2904"/>
      <c r="J2904"/>
      <c r="K2904"/>
      <c r="L2904"/>
    </row>
    <row r="2905" spans="2:12" ht="14.4" x14ac:dyDescent="0.3">
      <c r="B2905"/>
      <c r="C2905"/>
      <c r="D2905"/>
      <c r="E2905"/>
      <c r="F2905"/>
      <c r="H2905"/>
      <c r="I2905"/>
      <c r="J2905"/>
      <c r="K2905"/>
      <c r="L2905"/>
    </row>
    <row r="2906" spans="2:12" ht="14.4" x14ac:dyDescent="0.3">
      <c r="B2906"/>
      <c r="C2906"/>
      <c r="D2906"/>
      <c r="E2906"/>
      <c r="F2906"/>
      <c r="H2906"/>
      <c r="I2906"/>
      <c r="J2906"/>
      <c r="K2906"/>
      <c r="L2906"/>
    </row>
    <row r="2907" spans="2:12" ht="14.4" x14ac:dyDescent="0.3">
      <c r="B2907"/>
      <c r="C2907"/>
      <c r="D2907"/>
      <c r="E2907"/>
      <c r="F2907"/>
      <c r="H2907"/>
      <c r="I2907"/>
      <c r="J2907"/>
      <c r="K2907"/>
      <c r="L2907"/>
    </row>
    <row r="2908" spans="2:12" ht="14.4" x14ac:dyDescent="0.3">
      <c r="B2908"/>
      <c r="C2908"/>
      <c r="D2908"/>
      <c r="E2908"/>
      <c r="F2908"/>
      <c r="H2908"/>
      <c r="I2908"/>
      <c r="J2908"/>
      <c r="K2908"/>
      <c r="L2908"/>
    </row>
    <row r="2909" spans="2:12" ht="14.4" x14ac:dyDescent="0.3">
      <c r="B2909"/>
      <c r="C2909"/>
      <c r="D2909"/>
      <c r="E2909"/>
      <c r="F2909"/>
      <c r="H2909"/>
      <c r="I2909"/>
      <c r="J2909"/>
      <c r="K2909"/>
      <c r="L2909"/>
    </row>
    <row r="2910" spans="2:12" ht="14.4" x14ac:dyDescent="0.3">
      <c r="B2910"/>
      <c r="C2910"/>
      <c r="D2910"/>
      <c r="E2910"/>
      <c r="F2910"/>
      <c r="H2910"/>
      <c r="I2910"/>
      <c r="J2910"/>
      <c r="K2910"/>
      <c r="L2910"/>
    </row>
    <row r="2911" spans="2:12" ht="14.4" x14ac:dyDescent="0.3">
      <c r="B2911"/>
      <c r="C2911"/>
      <c r="D2911"/>
      <c r="E2911"/>
      <c r="F2911"/>
      <c r="H2911"/>
      <c r="I2911"/>
      <c r="J2911"/>
      <c r="K2911"/>
      <c r="L2911"/>
    </row>
    <row r="2912" spans="2:12" ht="14.4" x14ac:dyDescent="0.3">
      <c r="B2912"/>
      <c r="C2912"/>
      <c r="D2912"/>
      <c r="E2912"/>
      <c r="F2912"/>
      <c r="H2912"/>
      <c r="I2912"/>
      <c r="J2912"/>
      <c r="K2912"/>
      <c r="L2912"/>
    </row>
    <row r="2913" spans="2:12" ht="14.4" x14ac:dyDescent="0.3">
      <c r="B2913"/>
      <c r="C2913"/>
      <c r="D2913"/>
      <c r="E2913"/>
      <c r="F2913"/>
      <c r="H2913"/>
      <c r="I2913"/>
      <c r="J2913"/>
      <c r="K2913"/>
      <c r="L2913"/>
    </row>
    <row r="2914" spans="2:12" ht="14.4" x14ac:dyDescent="0.3">
      <c r="B2914"/>
      <c r="C2914"/>
      <c r="D2914"/>
      <c r="E2914"/>
      <c r="F2914"/>
      <c r="H2914"/>
      <c r="I2914"/>
      <c r="J2914"/>
      <c r="K2914"/>
      <c r="L2914"/>
    </row>
    <row r="2915" spans="2:12" ht="14.4" x14ac:dyDescent="0.3">
      <c r="B2915"/>
      <c r="C2915"/>
      <c r="D2915"/>
      <c r="E2915"/>
      <c r="F2915"/>
      <c r="H2915"/>
      <c r="I2915"/>
      <c r="J2915"/>
      <c r="K2915"/>
      <c r="L2915"/>
    </row>
    <row r="2916" spans="2:12" ht="14.4" x14ac:dyDescent="0.3">
      <c r="B2916"/>
      <c r="C2916"/>
      <c r="D2916"/>
      <c r="E2916"/>
      <c r="F2916"/>
      <c r="H2916"/>
      <c r="I2916"/>
      <c r="J2916"/>
      <c r="K2916"/>
      <c r="L2916"/>
    </row>
    <row r="2917" spans="2:12" ht="14.4" x14ac:dyDescent="0.3">
      <c r="B2917"/>
      <c r="C2917"/>
      <c r="D2917"/>
      <c r="E2917"/>
      <c r="F2917"/>
      <c r="H2917"/>
      <c r="I2917"/>
      <c r="J2917"/>
      <c r="K2917"/>
      <c r="L2917"/>
    </row>
    <row r="2918" spans="2:12" ht="14.4" x14ac:dyDescent="0.3">
      <c r="B2918"/>
      <c r="C2918"/>
      <c r="D2918"/>
      <c r="E2918"/>
      <c r="F2918"/>
      <c r="H2918"/>
      <c r="I2918"/>
      <c r="J2918"/>
      <c r="K2918"/>
      <c r="L2918"/>
    </row>
    <row r="2919" spans="2:12" ht="14.4" x14ac:dyDescent="0.3">
      <c r="B2919"/>
      <c r="C2919"/>
      <c r="D2919"/>
      <c r="E2919"/>
      <c r="F2919"/>
      <c r="H2919"/>
      <c r="I2919"/>
      <c r="J2919"/>
      <c r="K2919"/>
      <c r="L2919"/>
    </row>
    <row r="2920" spans="2:12" ht="14.4" x14ac:dyDescent="0.3">
      <c r="B2920"/>
      <c r="C2920"/>
      <c r="D2920"/>
      <c r="E2920"/>
      <c r="F2920"/>
      <c r="H2920"/>
      <c r="I2920"/>
      <c r="J2920"/>
      <c r="K2920"/>
      <c r="L2920"/>
    </row>
    <row r="2921" spans="2:12" ht="14.4" x14ac:dyDescent="0.3">
      <c r="B2921"/>
      <c r="C2921"/>
      <c r="D2921"/>
      <c r="E2921"/>
      <c r="F2921"/>
      <c r="H2921"/>
      <c r="I2921"/>
      <c r="J2921"/>
      <c r="K2921"/>
      <c r="L2921"/>
    </row>
    <row r="2922" spans="2:12" ht="14.4" x14ac:dyDescent="0.3">
      <c r="B2922"/>
      <c r="C2922"/>
      <c r="D2922"/>
      <c r="E2922"/>
      <c r="F2922"/>
      <c r="H2922"/>
      <c r="I2922"/>
      <c r="J2922"/>
      <c r="K2922"/>
      <c r="L2922"/>
    </row>
    <row r="2923" spans="2:12" ht="14.4" x14ac:dyDescent="0.3">
      <c r="B2923"/>
      <c r="C2923"/>
      <c r="D2923"/>
      <c r="E2923"/>
      <c r="F2923"/>
      <c r="H2923"/>
      <c r="I2923"/>
      <c r="J2923"/>
      <c r="K2923"/>
      <c r="L2923"/>
    </row>
    <row r="2924" spans="2:12" ht="14.4" x14ac:dyDescent="0.3">
      <c r="B2924"/>
      <c r="C2924"/>
      <c r="D2924"/>
      <c r="E2924"/>
      <c r="F2924"/>
      <c r="H2924"/>
      <c r="I2924"/>
      <c r="J2924"/>
      <c r="K2924"/>
      <c r="L2924"/>
    </row>
    <row r="2925" spans="2:12" ht="14.4" x14ac:dyDescent="0.3">
      <c r="B2925"/>
      <c r="C2925"/>
      <c r="D2925"/>
      <c r="E2925"/>
      <c r="F2925"/>
      <c r="H2925"/>
      <c r="I2925"/>
      <c r="J2925"/>
      <c r="K2925"/>
      <c r="L2925"/>
    </row>
    <row r="2926" spans="2:12" ht="14.4" x14ac:dyDescent="0.3">
      <c r="B2926"/>
      <c r="C2926"/>
      <c r="D2926"/>
      <c r="E2926"/>
      <c r="F2926"/>
      <c r="H2926"/>
      <c r="I2926"/>
      <c r="J2926"/>
      <c r="K2926"/>
      <c r="L2926"/>
    </row>
    <row r="2927" spans="2:12" ht="14.4" x14ac:dyDescent="0.3">
      <c r="B2927"/>
      <c r="C2927"/>
      <c r="D2927"/>
      <c r="E2927"/>
      <c r="F2927"/>
      <c r="H2927"/>
      <c r="I2927"/>
      <c r="J2927"/>
      <c r="K2927"/>
      <c r="L2927"/>
    </row>
    <row r="2928" spans="2:12" ht="14.4" x14ac:dyDescent="0.3">
      <c r="B2928"/>
      <c r="C2928"/>
      <c r="D2928"/>
      <c r="E2928"/>
      <c r="F2928"/>
      <c r="H2928"/>
      <c r="I2928"/>
      <c r="J2928"/>
      <c r="K2928"/>
      <c r="L2928"/>
    </row>
    <row r="2929" spans="2:12" ht="14.4" x14ac:dyDescent="0.3">
      <c r="B2929"/>
      <c r="C2929"/>
      <c r="D2929"/>
      <c r="E2929"/>
      <c r="F2929"/>
      <c r="H2929"/>
      <c r="I2929"/>
      <c r="J2929"/>
      <c r="K2929"/>
      <c r="L2929"/>
    </row>
    <row r="2930" spans="2:12" ht="14.4" x14ac:dyDescent="0.3">
      <c r="B2930"/>
      <c r="C2930"/>
      <c r="D2930"/>
      <c r="E2930"/>
      <c r="F2930"/>
      <c r="H2930"/>
      <c r="I2930"/>
      <c r="J2930"/>
      <c r="K2930"/>
      <c r="L2930"/>
    </row>
    <row r="2931" spans="2:12" ht="14.4" x14ac:dyDescent="0.3">
      <c r="B2931"/>
      <c r="C2931"/>
      <c r="D2931"/>
      <c r="E2931"/>
      <c r="F2931"/>
      <c r="H2931"/>
      <c r="I2931"/>
      <c r="J2931"/>
      <c r="K2931"/>
      <c r="L2931"/>
    </row>
    <row r="2932" spans="2:12" ht="14.4" x14ac:dyDescent="0.3">
      <c r="B2932"/>
      <c r="C2932"/>
      <c r="D2932"/>
      <c r="E2932"/>
      <c r="F2932"/>
      <c r="H2932"/>
      <c r="I2932"/>
      <c r="J2932"/>
      <c r="K2932"/>
      <c r="L2932"/>
    </row>
    <row r="2933" spans="2:12" ht="14.4" x14ac:dyDescent="0.3">
      <c r="B2933"/>
      <c r="C2933"/>
      <c r="D2933"/>
      <c r="E2933"/>
      <c r="F2933"/>
      <c r="H2933"/>
      <c r="I2933"/>
      <c r="J2933"/>
      <c r="K2933"/>
      <c r="L2933"/>
    </row>
    <row r="2934" spans="2:12" ht="14.4" x14ac:dyDescent="0.3">
      <c r="B2934"/>
      <c r="C2934"/>
      <c r="D2934"/>
      <c r="E2934"/>
      <c r="F2934"/>
      <c r="H2934"/>
      <c r="I2934"/>
      <c r="J2934"/>
      <c r="K2934"/>
      <c r="L2934"/>
    </row>
    <row r="2935" spans="2:12" ht="14.4" x14ac:dyDescent="0.3">
      <c r="B2935"/>
      <c r="C2935"/>
      <c r="D2935"/>
      <c r="E2935"/>
      <c r="F2935"/>
      <c r="H2935"/>
      <c r="I2935"/>
      <c r="J2935"/>
      <c r="K2935"/>
      <c r="L2935"/>
    </row>
    <row r="2936" spans="2:12" ht="14.4" x14ac:dyDescent="0.3">
      <c r="B2936"/>
      <c r="C2936"/>
      <c r="D2936"/>
      <c r="E2936"/>
      <c r="F2936"/>
      <c r="H2936"/>
      <c r="I2936"/>
      <c r="J2936"/>
      <c r="K2936"/>
      <c r="L2936"/>
    </row>
    <row r="2937" spans="2:12" ht="14.4" x14ac:dyDescent="0.3">
      <c r="B2937"/>
      <c r="C2937"/>
      <c r="D2937"/>
      <c r="E2937"/>
      <c r="F2937"/>
      <c r="H2937"/>
      <c r="I2937"/>
      <c r="J2937"/>
      <c r="K2937"/>
      <c r="L2937"/>
    </row>
    <row r="2938" spans="2:12" ht="14.4" x14ac:dyDescent="0.3">
      <c r="B2938"/>
      <c r="C2938"/>
      <c r="D2938"/>
      <c r="E2938"/>
      <c r="F2938"/>
      <c r="H2938"/>
      <c r="I2938"/>
      <c r="J2938"/>
      <c r="K2938"/>
      <c r="L2938"/>
    </row>
    <row r="2939" spans="2:12" ht="14.4" x14ac:dyDescent="0.3">
      <c r="B2939"/>
      <c r="C2939"/>
      <c r="D2939"/>
      <c r="E2939"/>
      <c r="F2939"/>
      <c r="H2939"/>
      <c r="I2939"/>
      <c r="J2939"/>
      <c r="K2939"/>
      <c r="L2939"/>
    </row>
    <row r="2940" spans="2:12" ht="14.4" x14ac:dyDescent="0.3">
      <c r="B2940"/>
      <c r="C2940"/>
      <c r="D2940"/>
      <c r="E2940"/>
      <c r="F2940"/>
      <c r="H2940"/>
      <c r="I2940"/>
      <c r="J2940"/>
      <c r="K2940"/>
      <c r="L2940"/>
    </row>
    <row r="2941" spans="2:12" ht="14.4" x14ac:dyDescent="0.3">
      <c r="B2941"/>
      <c r="C2941"/>
      <c r="D2941"/>
      <c r="E2941"/>
      <c r="F2941"/>
      <c r="H2941"/>
      <c r="I2941"/>
      <c r="J2941"/>
      <c r="K2941"/>
      <c r="L2941"/>
    </row>
    <row r="2942" spans="2:12" ht="14.4" x14ac:dyDescent="0.3">
      <c r="B2942"/>
      <c r="C2942"/>
      <c r="D2942"/>
      <c r="E2942"/>
      <c r="F2942"/>
      <c r="H2942"/>
      <c r="I2942"/>
      <c r="J2942"/>
      <c r="K2942"/>
      <c r="L2942"/>
    </row>
    <row r="2943" spans="2:12" ht="14.4" x14ac:dyDescent="0.3">
      <c r="B2943"/>
      <c r="C2943"/>
      <c r="D2943"/>
      <c r="E2943"/>
      <c r="F2943"/>
      <c r="H2943"/>
      <c r="I2943"/>
      <c r="J2943"/>
      <c r="K2943"/>
      <c r="L2943"/>
    </row>
    <row r="2944" spans="2:12" ht="14.4" x14ac:dyDescent="0.3">
      <c r="B2944"/>
      <c r="C2944"/>
      <c r="D2944"/>
      <c r="E2944"/>
      <c r="F2944"/>
      <c r="H2944"/>
      <c r="I2944"/>
      <c r="J2944"/>
      <c r="K2944"/>
      <c r="L2944"/>
    </row>
    <row r="2945" spans="2:12" ht="14.4" x14ac:dyDescent="0.3">
      <c r="B2945"/>
      <c r="C2945"/>
      <c r="D2945"/>
      <c r="E2945"/>
      <c r="F2945"/>
      <c r="H2945"/>
      <c r="I2945"/>
      <c r="J2945"/>
      <c r="K2945"/>
      <c r="L2945"/>
    </row>
    <row r="2946" spans="2:12" ht="14.4" x14ac:dyDescent="0.3">
      <c r="B2946"/>
      <c r="C2946"/>
      <c r="D2946"/>
      <c r="E2946"/>
      <c r="F2946"/>
      <c r="H2946"/>
      <c r="I2946"/>
      <c r="J2946"/>
      <c r="K2946"/>
      <c r="L2946"/>
    </row>
    <row r="2947" spans="2:12" ht="14.4" x14ac:dyDescent="0.3">
      <c r="B2947"/>
      <c r="C2947"/>
      <c r="D2947"/>
      <c r="E2947"/>
      <c r="F2947"/>
      <c r="H2947"/>
      <c r="I2947"/>
      <c r="J2947"/>
      <c r="K2947"/>
      <c r="L2947"/>
    </row>
    <row r="2948" spans="2:12" ht="14.4" x14ac:dyDescent="0.3">
      <c r="B2948"/>
      <c r="C2948"/>
      <c r="D2948"/>
      <c r="E2948"/>
      <c r="F2948"/>
      <c r="H2948"/>
      <c r="I2948"/>
      <c r="J2948"/>
      <c r="K2948"/>
      <c r="L2948"/>
    </row>
    <row r="2949" spans="2:12" ht="14.4" x14ac:dyDescent="0.3">
      <c r="B2949"/>
      <c r="C2949"/>
      <c r="D2949"/>
      <c r="E2949"/>
      <c r="F2949"/>
      <c r="H2949"/>
      <c r="I2949"/>
      <c r="J2949"/>
      <c r="K2949"/>
      <c r="L2949"/>
    </row>
    <row r="2950" spans="2:12" ht="14.4" x14ac:dyDescent="0.3">
      <c r="B2950"/>
      <c r="C2950"/>
      <c r="D2950"/>
      <c r="E2950"/>
      <c r="F2950"/>
      <c r="H2950"/>
      <c r="I2950"/>
      <c r="J2950"/>
      <c r="K2950"/>
      <c r="L2950"/>
    </row>
    <row r="2951" spans="2:12" ht="14.4" x14ac:dyDescent="0.3">
      <c r="B2951"/>
      <c r="C2951"/>
      <c r="D2951"/>
      <c r="E2951"/>
      <c r="F2951"/>
      <c r="H2951"/>
      <c r="I2951"/>
      <c r="J2951"/>
      <c r="K2951"/>
      <c r="L2951"/>
    </row>
    <row r="2952" spans="2:12" ht="14.4" x14ac:dyDescent="0.3">
      <c r="B2952"/>
      <c r="C2952"/>
      <c r="D2952"/>
      <c r="E2952"/>
      <c r="F2952"/>
      <c r="H2952"/>
      <c r="I2952"/>
      <c r="J2952"/>
      <c r="K2952"/>
      <c r="L2952"/>
    </row>
    <row r="2953" spans="2:12" ht="14.4" x14ac:dyDescent="0.3">
      <c r="B2953"/>
      <c r="C2953"/>
      <c r="D2953"/>
      <c r="E2953"/>
      <c r="F2953"/>
      <c r="H2953"/>
      <c r="I2953"/>
      <c r="J2953"/>
      <c r="K2953"/>
      <c r="L2953"/>
    </row>
    <row r="2954" spans="2:12" ht="14.4" x14ac:dyDescent="0.3">
      <c r="B2954"/>
      <c r="C2954"/>
      <c r="D2954"/>
      <c r="E2954"/>
      <c r="F2954"/>
      <c r="H2954"/>
      <c r="I2954"/>
      <c r="J2954"/>
      <c r="K2954"/>
      <c r="L2954"/>
    </row>
    <row r="2955" spans="2:12" ht="14.4" x14ac:dyDescent="0.3">
      <c r="B2955"/>
      <c r="C2955"/>
      <c r="D2955"/>
      <c r="E2955"/>
      <c r="F2955"/>
      <c r="H2955"/>
      <c r="I2955"/>
      <c r="J2955"/>
      <c r="K2955"/>
      <c r="L2955"/>
    </row>
    <row r="2956" spans="2:12" ht="14.4" x14ac:dyDescent="0.3">
      <c r="B2956"/>
      <c r="C2956"/>
      <c r="D2956"/>
      <c r="E2956"/>
      <c r="F2956"/>
      <c r="H2956"/>
      <c r="I2956"/>
      <c r="J2956"/>
      <c r="K2956"/>
      <c r="L2956"/>
    </row>
    <row r="2957" spans="2:12" ht="14.4" x14ac:dyDescent="0.3">
      <c r="B2957"/>
      <c r="C2957"/>
      <c r="D2957"/>
      <c r="E2957"/>
      <c r="F2957"/>
      <c r="H2957"/>
      <c r="I2957"/>
      <c r="J2957"/>
      <c r="K2957"/>
      <c r="L2957"/>
    </row>
    <row r="2958" spans="2:12" ht="14.4" x14ac:dyDescent="0.3">
      <c r="B2958"/>
      <c r="C2958"/>
      <c r="D2958"/>
      <c r="E2958"/>
      <c r="F2958"/>
      <c r="H2958"/>
      <c r="I2958"/>
      <c r="J2958"/>
      <c r="K2958"/>
      <c r="L2958"/>
    </row>
    <row r="2959" spans="2:12" ht="14.4" x14ac:dyDescent="0.3">
      <c r="B2959"/>
      <c r="C2959"/>
      <c r="D2959"/>
      <c r="E2959"/>
      <c r="F2959"/>
      <c r="H2959"/>
      <c r="I2959"/>
      <c r="J2959"/>
      <c r="K2959"/>
      <c r="L2959"/>
    </row>
    <row r="2960" spans="2:12" ht="14.4" x14ac:dyDescent="0.3">
      <c r="B2960"/>
      <c r="C2960"/>
      <c r="D2960"/>
      <c r="E2960"/>
      <c r="F2960"/>
      <c r="H2960"/>
      <c r="I2960"/>
      <c r="J2960"/>
      <c r="K2960"/>
      <c r="L2960"/>
    </row>
    <row r="2961" spans="2:12" ht="14.4" x14ac:dyDescent="0.3">
      <c r="B2961"/>
      <c r="C2961"/>
      <c r="D2961"/>
      <c r="E2961"/>
      <c r="F2961"/>
      <c r="H2961"/>
      <c r="I2961"/>
      <c r="J2961"/>
      <c r="K2961"/>
      <c r="L2961"/>
    </row>
    <row r="2962" spans="2:12" ht="14.4" x14ac:dyDescent="0.3">
      <c r="B2962"/>
      <c r="C2962"/>
      <c r="D2962"/>
      <c r="E2962"/>
      <c r="F2962"/>
      <c r="H2962"/>
      <c r="I2962"/>
      <c r="J2962"/>
      <c r="K2962"/>
      <c r="L2962"/>
    </row>
    <row r="2963" spans="2:12" ht="14.4" x14ac:dyDescent="0.3">
      <c r="B2963"/>
      <c r="C2963"/>
      <c r="D2963"/>
      <c r="E2963"/>
      <c r="F2963"/>
      <c r="H2963"/>
      <c r="I2963"/>
      <c r="J2963"/>
      <c r="K2963"/>
      <c r="L2963"/>
    </row>
    <row r="2964" spans="2:12" ht="14.4" x14ac:dyDescent="0.3">
      <c r="B2964"/>
      <c r="C2964"/>
      <c r="D2964"/>
      <c r="E2964"/>
      <c r="F2964"/>
      <c r="H2964"/>
      <c r="I2964"/>
      <c r="J2964"/>
      <c r="K2964"/>
      <c r="L2964"/>
    </row>
    <row r="2965" spans="2:12" ht="14.4" x14ac:dyDescent="0.3">
      <c r="B2965"/>
      <c r="C2965"/>
      <c r="D2965"/>
      <c r="E2965"/>
      <c r="F2965"/>
      <c r="H2965"/>
      <c r="I2965"/>
      <c r="J2965"/>
      <c r="K2965"/>
      <c r="L2965"/>
    </row>
    <row r="2966" spans="2:12" ht="14.4" x14ac:dyDescent="0.3">
      <c r="B2966"/>
      <c r="C2966"/>
      <c r="D2966"/>
      <c r="E2966"/>
      <c r="F2966"/>
      <c r="H2966"/>
      <c r="I2966"/>
      <c r="J2966"/>
      <c r="K2966"/>
      <c r="L2966"/>
    </row>
    <row r="2967" spans="2:12" ht="14.4" x14ac:dyDescent="0.3">
      <c r="B2967"/>
      <c r="C2967"/>
      <c r="D2967"/>
      <c r="E2967"/>
      <c r="F2967"/>
      <c r="H2967"/>
      <c r="I2967"/>
      <c r="J2967"/>
      <c r="K2967"/>
      <c r="L2967"/>
    </row>
    <row r="2968" spans="2:12" ht="14.4" x14ac:dyDescent="0.3">
      <c r="B2968"/>
      <c r="C2968"/>
      <c r="D2968"/>
      <c r="E2968"/>
      <c r="F2968"/>
      <c r="H2968"/>
      <c r="I2968"/>
      <c r="J2968"/>
      <c r="K2968"/>
      <c r="L2968"/>
    </row>
    <row r="2969" spans="2:12" ht="14.4" x14ac:dyDescent="0.3">
      <c r="B2969"/>
      <c r="C2969"/>
      <c r="D2969"/>
      <c r="E2969"/>
      <c r="F2969"/>
      <c r="H2969"/>
      <c r="I2969"/>
      <c r="J2969"/>
      <c r="K2969"/>
      <c r="L2969"/>
    </row>
    <row r="2970" spans="2:12" ht="14.4" x14ac:dyDescent="0.3">
      <c r="B2970"/>
      <c r="C2970"/>
      <c r="D2970"/>
      <c r="E2970"/>
      <c r="F2970"/>
      <c r="H2970"/>
      <c r="I2970"/>
      <c r="J2970"/>
      <c r="K2970"/>
      <c r="L2970"/>
    </row>
    <row r="2971" spans="2:12" ht="14.4" x14ac:dyDescent="0.3">
      <c r="B2971"/>
      <c r="C2971"/>
      <c r="D2971"/>
      <c r="E2971"/>
      <c r="F2971"/>
      <c r="H2971"/>
      <c r="I2971"/>
      <c r="J2971"/>
      <c r="K2971"/>
      <c r="L2971"/>
    </row>
    <row r="2972" spans="2:12" ht="14.4" x14ac:dyDescent="0.3">
      <c r="B2972"/>
      <c r="C2972"/>
      <c r="D2972"/>
      <c r="E2972"/>
      <c r="F2972"/>
      <c r="H2972"/>
      <c r="I2972"/>
      <c r="J2972"/>
      <c r="K2972"/>
      <c r="L2972"/>
    </row>
    <row r="2973" spans="2:12" ht="14.4" x14ac:dyDescent="0.3">
      <c r="B2973"/>
      <c r="C2973"/>
      <c r="D2973"/>
      <c r="E2973"/>
      <c r="F2973"/>
      <c r="H2973"/>
      <c r="I2973"/>
      <c r="J2973"/>
      <c r="K2973"/>
      <c r="L2973"/>
    </row>
    <row r="2974" spans="2:12" ht="14.4" x14ac:dyDescent="0.3">
      <c r="B2974"/>
      <c r="C2974"/>
      <c r="D2974"/>
      <c r="E2974"/>
      <c r="F2974"/>
      <c r="H2974"/>
      <c r="I2974"/>
      <c r="J2974"/>
      <c r="K2974"/>
      <c r="L2974"/>
    </row>
    <row r="2975" spans="2:12" ht="14.4" x14ac:dyDescent="0.3">
      <c r="B2975"/>
      <c r="C2975"/>
      <c r="D2975"/>
      <c r="E2975"/>
      <c r="F2975"/>
      <c r="H2975"/>
      <c r="I2975"/>
      <c r="J2975"/>
      <c r="K2975"/>
      <c r="L2975"/>
    </row>
    <row r="2976" spans="2:12" ht="14.4" x14ac:dyDescent="0.3">
      <c r="B2976"/>
      <c r="C2976"/>
      <c r="D2976"/>
      <c r="E2976"/>
      <c r="F2976"/>
      <c r="H2976"/>
      <c r="I2976"/>
      <c r="J2976"/>
      <c r="K2976"/>
      <c r="L2976"/>
    </row>
    <row r="2977" spans="2:12" ht="14.4" x14ac:dyDescent="0.3">
      <c r="B2977"/>
      <c r="C2977"/>
      <c r="D2977"/>
      <c r="E2977"/>
      <c r="F2977"/>
      <c r="H2977"/>
      <c r="I2977"/>
      <c r="J2977"/>
      <c r="K2977"/>
      <c r="L2977"/>
    </row>
    <row r="2978" spans="2:12" ht="14.4" x14ac:dyDescent="0.3">
      <c r="B2978"/>
      <c r="C2978"/>
      <c r="D2978"/>
      <c r="E2978"/>
      <c r="F2978"/>
      <c r="H2978"/>
      <c r="I2978"/>
      <c r="J2978"/>
      <c r="K2978"/>
      <c r="L2978"/>
    </row>
    <row r="2979" spans="2:12" ht="14.4" x14ac:dyDescent="0.3">
      <c r="B2979"/>
      <c r="C2979"/>
      <c r="D2979"/>
      <c r="E2979"/>
      <c r="F2979"/>
      <c r="H2979"/>
      <c r="I2979"/>
      <c r="J2979"/>
      <c r="K2979"/>
      <c r="L2979"/>
    </row>
    <row r="2980" spans="2:12" ht="14.4" x14ac:dyDescent="0.3">
      <c r="B2980"/>
      <c r="C2980"/>
      <c r="D2980"/>
      <c r="E2980"/>
      <c r="F2980"/>
      <c r="H2980"/>
      <c r="I2980"/>
      <c r="J2980"/>
      <c r="K2980"/>
      <c r="L2980"/>
    </row>
    <row r="2981" spans="2:12" ht="14.4" x14ac:dyDescent="0.3">
      <c r="B2981"/>
      <c r="C2981"/>
      <c r="D2981"/>
      <c r="E2981"/>
      <c r="F2981"/>
      <c r="H2981"/>
      <c r="I2981"/>
      <c r="J2981"/>
      <c r="K2981"/>
      <c r="L2981"/>
    </row>
    <row r="2982" spans="2:12" ht="14.4" x14ac:dyDescent="0.3">
      <c r="B2982"/>
      <c r="C2982"/>
      <c r="D2982"/>
      <c r="E2982"/>
      <c r="F2982"/>
      <c r="H2982"/>
      <c r="I2982"/>
      <c r="J2982"/>
      <c r="K2982"/>
      <c r="L2982"/>
    </row>
    <row r="2983" spans="2:12" ht="14.4" x14ac:dyDescent="0.3">
      <c r="B2983"/>
      <c r="C2983"/>
      <c r="D2983"/>
      <c r="E2983"/>
      <c r="F2983"/>
      <c r="H2983"/>
      <c r="I2983"/>
      <c r="J2983"/>
      <c r="K2983"/>
      <c r="L2983"/>
    </row>
    <row r="2984" spans="2:12" ht="14.4" x14ac:dyDescent="0.3">
      <c r="B2984"/>
      <c r="C2984"/>
      <c r="D2984"/>
      <c r="E2984"/>
      <c r="F2984"/>
      <c r="H2984"/>
      <c r="I2984"/>
      <c r="J2984"/>
      <c r="K2984"/>
      <c r="L2984"/>
    </row>
    <row r="2985" spans="2:12" ht="14.4" x14ac:dyDescent="0.3">
      <c r="B2985"/>
      <c r="C2985"/>
      <c r="D2985"/>
      <c r="E2985"/>
      <c r="F2985"/>
      <c r="H2985"/>
      <c r="I2985"/>
      <c r="J2985"/>
      <c r="K2985"/>
      <c r="L2985"/>
    </row>
    <row r="2986" spans="2:12" ht="14.4" x14ac:dyDescent="0.3">
      <c r="B2986"/>
      <c r="C2986"/>
      <c r="D2986"/>
      <c r="E2986"/>
      <c r="F2986"/>
      <c r="H2986"/>
      <c r="I2986"/>
      <c r="J2986"/>
      <c r="K2986"/>
      <c r="L2986"/>
    </row>
    <row r="2987" spans="2:12" ht="14.4" x14ac:dyDescent="0.3">
      <c r="B2987"/>
      <c r="C2987"/>
      <c r="D2987"/>
      <c r="E2987"/>
      <c r="F2987"/>
      <c r="H2987"/>
      <c r="I2987"/>
      <c r="J2987"/>
      <c r="K2987"/>
      <c r="L2987"/>
    </row>
    <row r="2988" spans="2:12" ht="14.4" x14ac:dyDescent="0.3">
      <c r="B2988"/>
      <c r="C2988"/>
      <c r="D2988"/>
      <c r="E2988"/>
      <c r="F2988"/>
      <c r="H2988"/>
      <c r="I2988"/>
      <c r="J2988"/>
      <c r="K2988"/>
      <c r="L2988"/>
    </row>
    <row r="2989" spans="2:12" ht="14.4" x14ac:dyDescent="0.3">
      <c r="B2989"/>
      <c r="C2989"/>
      <c r="D2989"/>
      <c r="E2989"/>
      <c r="F2989"/>
      <c r="H2989"/>
      <c r="I2989"/>
      <c r="J2989"/>
      <c r="K2989"/>
      <c r="L2989"/>
    </row>
    <row r="2990" spans="2:12" ht="14.4" x14ac:dyDescent="0.3">
      <c r="B2990"/>
      <c r="C2990"/>
      <c r="D2990"/>
      <c r="E2990"/>
      <c r="F2990"/>
      <c r="H2990"/>
      <c r="I2990"/>
      <c r="J2990"/>
      <c r="K2990"/>
      <c r="L2990"/>
    </row>
    <row r="2991" spans="2:12" ht="14.4" x14ac:dyDescent="0.3">
      <c r="B2991"/>
      <c r="C2991"/>
      <c r="D2991"/>
      <c r="E2991"/>
      <c r="F2991"/>
      <c r="H2991"/>
      <c r="I2991"/>
      <c r="J2991"/>
      <c r="K2991"/>
      <c r="L2991"/>
    </row>
    <row r="2992" spans="2:12" ht="14.4" x14ac:dyDescent="0.3">
      <c r="B2992"/>
      <c r="C2992"/>
      <c r="D2992"/>
      <c r="E2992"/>
      <c r="F2992"/>
      <c r="H2992"/>
      <c r="I2992"/>
      <c r="J2992"/>
      <c r="K2992"/>
      <c r="L2992"/>
    </row>
    <row r="2993" spans="2:12" ht="14.4" x14ac:dyDescent="0.3">
      <c r="B2993"/>
      <c r="C2993"/>
      <c r="D2993"/>
      <c r="E2993"/>
      <c r="F2993"/>
      <c r="H2993"/>
      <c r="I2993"/>
      <c r="J2993"/>
      <c r="K2993"/>
      <c r="L2993"/>
    </row>
    <row r="2994" spans="2:12" ht="14.4" x14ac:dyDescent="0.3">
      <c r="B2994"/>
      <c r="C2994"/>
      <c r="D2994"/>
      <c r="E2994"/>
      <c r="F2994"/>
      <c r="H2994"/>
      <c r="I2994"/>
      <c r="J2994"/>
      <c r="K2994"/>
      <c r="L2994"/>
    </row>
    <row r="2995" spans="2:12" ht="14.4" x14ac:dyDescent="0.3">
      <c r="B2995"/>
      <c r="C2995"/>
      <c r="D2995"/>
      <c r="E2995"/>
      <c r="F2995"/>
      <c r="H2995"/>
      <c r="I2995"/>
      <c r="J2995"/>
      <c r="K2995"/>
      <c r="L2995"/>
    </row>
    <row r="2996" spans="2:12" ht="14.4" x14ac:dyDescent="0.3">
      <c r="B2996"/>
      <c r="C2996"/>
      <c r="D2996"/>
      <c r="E2996"/>
      <c r="F2996"/>
      <c r="H2996"/>
      <c r="I2996"/>
      <c r="J2996"/>
      <c r="K2996"/>
      <c r="L2996"/>
    </row>
    <row r="2997" spans="2:12" ht="14.4" x14ac:dyDescent="0.3">
      <c r="B2997"/>
      <c r="C2997"/>
      <c r="D2997"/>
      <c r="E2997"/>
      <c r="F2997"/>
      <c r="H2997"/>
      <c r="I2997"/>
      <c r="J2997"/>
      <c r="K2997"/>
      <c r="L2997"/>
    </row>
    <row r="2998" spans="2:12" ht="14.4" x14ac:dyDescent="0.3">
      <c r="B2998"/>
      <c r="C2998"/>
      <c r="D2998"/>
      <c r="E2998"/>
      <c r="F2998"/>
      <c r="H2998"/>
      <c r="I2998"/>
      <c r="J2998"/>
      <c r="K2998"/>
      <c r="L2998"/>
    </row>
    <row r="2999" spans="2:12" ht="14.4" x14ac:dyDescent="0.3">
      <c r="B2999"/>
      <c r="C2999"/>
      <c r="D2999"/>
      <c r="E2999"/>
      <c r="F2999"/>
      <c r="H2999"/>
      <c r="I2999"/>
      <c r="J2999"/>
      <c r="K2999"/>
      <c r="L2999"/>
    </row>
    <row r="3000" spans="2:12" ht="14.4" x14ac:dyDescent="0.3">
      <c r="B3000"/>
      <c r="C3000"/>
      <c r="D3000"/>
      <c r="E3000"/>
      <c r="F3000"/>
      <c r="H3000"/>
      <c r="I3000"/>
      <c r="J3000"/>
      <c r="K3000"/>
      <c r="L3000"/>
    </row>
    <row r="3001" spans="2:12" ht="14.4" x14ac:dyDescent="0.3">
      <c r="B3001"/>
      <c r="C3001"/>
      <c r="D3001"/>
      <c r="E3001"/>
      <c r="F3001"/>
      <c r="H3001"/>
      <c r="I3001"/>
      <c r="J3001"/>
      <c r="K3001"/>
      <c r="L3001"/>
    </row>
    <row r="3002" spans="2:12" ht="14.4" x14ac:dyDescent="0.3">
      <c r="B3002"/>
      <c r="C3002"/>
      <c r="D3002"/>
      <c r="E3002"/>
      <c r="F3002"/>
      <c r="H3002"/>
      <c r="I3002"/>
      <c r="J3002"/>
      <c r="K3002"/>
      <c r="L3002"/>
    </row>
    <row r="3003" spans="2:12" ht="14.4" x14ac:dyDescent="0.3">
      <c r="B3003"/>
      <c r="C3003"/>
      <c r="D3003"/>
      <c r="E3003"/>
      <c r="F3003"/>
      <c r="H3003"/>
      <c r="I3003"/>
      <c r="J3003"/>
      <c r="K3003"/>
      <c r="L3003"/>
    </row>
    <row r="3004" spans="2:12" ht="14.4" x14ac:dyDescent="0.3">
      <c r="B3004"/>
      <c r="C3004"/>
      <c r="D3004"/>
      <c r="E3004"/>
      <c r="F3004"/>
      <c r="H3004"/>
      <c r="I3004"/>
      <c r="J3004"/>
      <c r="K3004"/>
      <c r="L3004"/>
    </row>
    <row r="3005" spans="2:12" ht="14.4" x14ac:dyDescent="0.3">
      <c r="B3005"/>
      <c r="C3005"/>
      <c r="D3005"/>
      <c r="E3005"/>
      <c r="F3005"/>
      <c r="H3005"/>
      <c r="I3005"/>
      <c r="J3005"/>
      <c r="K3005"/>
      <c r="L3005"/>
    </row>
    <row r="3006" spans="2:12" ht="14.4" x14ac:dyDescent="0.3">
      <c r="B3006"/>
      <c r="C3006"/>
      <c r="D3006"/>
      <c r="E3006"/>
      <c r="F3006"/>
      <c r="H3006"/>
      <c r="I3006"/>
      <c r="J3006"/>
      <c r="K3006"/>
      <c r="L3006"/>
    </row>
    <row r="3007" spans="2:12" ht="14.4" x14ac:dyDescent="0.3">
      <c r="B3007"/>
      <c r="C3007"/>
      <c r="D3007"/>
      <c r="E3007"/>
      <c r="F3007"/>
      <c r="H3007"/>
      <c r="I3007"/>
      <c r="J3007"/>
      <c r="K3007"/>
      <c r="L3007"/>
    </row>
    <row r="3008" spans="2:12" ht="14.4" x14ac:dyDescent="0.3">
      <c r="B3008"/>
      <c r="C3008"/>
      <c r="D3008"/>
      <c r="E3008"/>
      <c r="F3008"/>
      <c r="H3008"/>
      <c r="I3008"/>
      <c r="J3008"/>
      <c r="K3008"/>
      <c r="L3008"/>
    </row>
    <row r="3009" spans="2:12" ht="14.4" x14ac:dyDescent="0.3">
      <c r="B3009"/>
      <c r="C3009"/>
      <c r="D3009"/>
      <c r="E3009"/>
      <c r="F3009"/>
      <c r="H3009"/>
      <c r="I3009"/>
      <c r="J3009"/>
      <c r="K3009"/>
      <c r="L3009"/>
    </row>
    <row r="3010" spans="2:12" ht="14.4" x14ac:dyDescent="0.3">
      <c r="B3010"/>
      <c r="C3010"/>
      <c r="D3010"/>
      <c r="E3010"/>
      <c r="F3010"/>
      <c r="H3010"/>
      <c r="I3010"/>
      <c r="J3010"/>
      <c r="K3010"/>
      <c r="L3010"/>
    </row>
    <row r="3011" spans="2:12" ht="14.4" x14ac:dyDescent="0.3">
      <c r="B3011"/>
      <c r="C3011"/>
      <c r="D3011"/>
      <c r="E3011"/>
      <c r="F3011"/>
      <c r="H3011"/>
      <c r="I3011"/>
      <c r="J3011"/>
      <c r="K3011"/>
      <c r="L3011"/>
    </row>
    <row r="3012" spans="2:12" ht="14.4" x14ac:dyDescent="0.3">
      <c r="B3012"/>
      <c r="C3012"/>
      <c r="D3012"/>
      <c r="E3012"/>
      <c r="F3012"/>
      <c r="H3012"/>
      <c r="I3012"/>
      <c r="J3012"/>
      <c r="K3012"/>
      <c r="L3012"/>
    </row>
    <row r="3013" spans="2:12" ht="14.4" x14ac:dyDescent="0.3">
      <c r="B3013"/>
      <c r="C3013"/>
      <c r="D3013"/>
      <c r="E3013"/>
      <c r="F3013"/>
      <c r="H3013"/>
      <c r="I3013"/>
      <c r="J3013"/>
      <c r="K3013"/>
      <c r="L3013"/>
    </row>
    <row r="3014" spans="2:12" ht="14.4" x14ac:dyDescent="0.3">
      <c r="B3014"/>
      <c r="C3014"/>
      <c r="D3014"/>
      <c r="E3014"/>
      <c r="F3014"/>
      <c r="H3014"/>
      <c r="I3014"/>
      <c r="J3014"/>
      <c r="K3014"/>
      <c r="L3014"/>
    </row>
    <row r="3015" spans="2:12" ht="14.4" x14ac:dyDescent="0.3">
      <c r="B3015"/>
      <c r="C3015"/>
      <c r="D3015"/>
      <c r="E3015"/>
      <c r="F3015"/>
      <c r="H3015"/>
      <c r="I3015"/>
      <c r="J3015"/>
      <c r="K3015"/>
      <c r="L3015"/>
    </row>
    <row r="3016" spans="2:12" ht="14.4" x14ac:dyDescent="0.3">
      <c r="B3016"/>
      <c r="C3016"/>
      <c r="D3016"/>
      <c r="E3016"/>
      <c r="F3016"/>
      <c r="H3016"/>
      <c r="I3016"/>
      <c r="J3016"/>
      <c r="K3016"/>
      <c r="L3016"/>
    </row>
    <row r="3017" spans="2:12" ht="14.4" x14ac:dyDescent="0.3">
      <c r="B3017"/>
      <c r="C3017"/>
      <c r="D3017"/>
      <c r="E3017"/>
      <c r="F3017"/>
      <c r="H3017"/>
      <c r="I3017"/>
      <c r="J3017"/>
      <c r="K3017"/>
      <c r="L3017"/>
    </row>
    <row r="3018" spans="2:12" ht="14.4" x14ac:dyDescent="0.3">
      <c r="B3018"/>
      <c r="C3018"/>
      <c r="D3018"/>
      <c r="E3018"/>
      <c r="F3018"/>
      <c r="H3018"/>
      <c r="I3018"/>
      <c r="J3018"/>
      <c r="K3018"/>
      <c r="L3018"/>
    </row>
    <row r="3019" spans="2:12" ht="14.4" x14ac:dyDescent="0.3">
      <c r="B3019"/>
      <c r="C3019"/>
      <c r="D3019"/>
      <c r="E3019"/>
      <c r="F3019"/>
      <c r="H3019"/>
      <c r="I3019"/>
      <c r="J3019"/>
      <c r="K3019"/>
      <c r="L3019"/>
    </row>
    <row r="3020" spans="2:12" ht="14.4" x14ac:dyDescent="0.3">
      <c r="B3020"/>
      <c r="C3020"/>
      <c r="D3020"/>
      <c r="E3020"/>
      <c r="F3020"/>
      <c r="H3020"/>
      <c r="I3020"/>
      <c r="J3020"/>
      <c r="K3020"/>
      <c r="L3020"/>
    </row>
    <row r="3021" spans="2:12" ht="14.4" x14ac:dyDescent="0.3">
      <c r="B3021"/>
      <c r="C3021"/>
      <c r="D3021"/>
      <c r="E3021"/>
      <c r="F3021"/>
      <c r="H3021"/>
      <c r="I3021"/>
      <c r="J3021"/>
      <c r="K3021"/>
      <c r="L3021"/>
    </row>
    <row r="3022" spans="2:12" ht="14.4" x14ac:dyDescent="0.3">
      <c r="B3022"/>
      <c r="C3022"/>
      <c r="D3022"/>
      <c r="E3022"/>
      <c r="F3022"/>
      <c r="H3022"/>
      <c r="I3022"/>
      <c r="J3022"/>
      <c r="K3022"/>
      <c r="L3022"/>
    </row>
    <row r="3023" spans="2:12" ht="14.4" x14ac:dyDescent="0.3">
      <c r="B3023"/>
      <c r="C3023"/>
      <c r="D3023"/>
      <c r="E3023"/>
      <c r="F3023"/>
      <c r="H3023"/>
      <c r="I3023"/>
      <c r="J3023"/>
      <c r="K3023"/>
      <c r="L3023"/>
    </row>
    <row r="3024" spans="2:12" ht="14.4" x14ac:dyDescent="0.3">
      <c r="B3024"/>
      <c r="C3024"/>
      <c r="D3024"/>
      <c r="E3024"/>
      <c r="F3024"/>
      <c r="H3024"/>
      <c r="I3024"/>
      <c r="J3024"/>
      <c r="K3024"/>
      <c r="L3024"/>
    </row>
    <row r="3025" spans="2:12" ht="14.4" x14ac:dyDescent="0.3">
      <c r="B3025"/>
      <c r="C3025"/>
      <c r="D3025"/>
      <c r="E3025"/>
      <c r="F3025"/>
      <c r="H3025"/>
      <c r="I3025"/>
      <c r="J3025"/>
      <c r="K3025"/>
      <c r="L3025"/>
    </row>
    <row r="3026" spans="2:12" ht="14.4" x14ac:dyDescent="0.3">
      <c r="B3026"/>
      <c r="C3026"/>
      <c r="D3026"/>
      <c r="E3026"/>
      <c r="F3026"/>
      <c r="H3026"/>
      <c r="I3026"/>
      <c r="J3026"/>
      <c r="K3026"/>
      <c r="L3026"/>
    </row>
    <row r="3027" spans="2:12" ht="14.4" x14ac:dyDescent="0.3">
      <c r="B3027"/>
      <c r="C3027"/>
      <c r="D3027"/>
      <c r="E3027"/>
      <c r="F3027"/>
      <c r="H3027"/>
      <c r="I3027"/>
      <c r="J3027"/>
      <c r="K3027"/>
      <c r="L3027"/>
    </row>
    <row r="3028" spans="2:12" ht="14.4" x14ac:dyDescent="0.3">
      <c r="B3028"/>
      <c r="C3028"/>
      <c r="D3028"/>
      <c r="E3028"/>
      <c r="F3028"/>
      <c r="H3028"/>
      <c r="I3028"/>
      <c r="J3028"/>
      <c r="K3028"/>
      <c r="L3028"/>
    </row>
    <row r="3029" spans="2:12" ht="14.4" x14ac:dyDescent="0.3">
      <c r="B3029"/>
      <c r="C3029"/>
      <c r="D3029"/>
      <c r="E3029"/>
      <c r="F3029"/>
      <c r="H3029"/>
      <c r="I3029"/>
      <c r="J3029"/>
      <c r="K3029"/>
      <c r="L3029"/>
    </row>
    <row r="3030" spans="2:12" ht="14.4" x14ac:dyDescent="0.3">
      <c r="B3030"/>
      <c r="C3030"/>
      <c r="D3030"/>
      <c r="E3030"/>
      <c r="F3030"/>
      <c r="H3030"/>
      <c r="I3030"/>
      <c r="J3030"/>
      <c r="K3030"/>
      <c r="L3030"/>
    </row>
    <row r="3031" spans="2:12" ht="14.4" x14ac:dyDescent="0.3">
      <c r="B3031"/>
      <c r="C3031"/>
      <c r="D3031"/>
      <c r="E3031"/>
      <c r="F3031"/>
      <c r="H3031"/>
      <c r="I3031"/>
      <c r="J3031"/>
      <c r="K3031"/>
      <c r="L3031"/>
    </row>
    <row r="3032" spans="2:12" ht="14.4" x14ac:dyDescent="0.3">
      <c r="B3032"/>
      <c r="C3032"/>
      <c r="D3032"/>
      <c r="E3032"/>
      <c r="F3032"/>
      <c r="H3032"/>
      <c r="I3032"/>
      <c r="J3032"/>
      <c r="K3032"/>
      <c r="L3032"/>
    </row>
    <row r="3033" spans="2:12" ht="14.4" x14ac:dyDescent="0.3">
      <c r="B3033"/>
      <c r="C3033"/>
      <c r="D3033"/>
      <c r="E3033"/>
      <c r="F3033"/>
      <c r="H3033"/>
      <c r="I3033"/>
      <c r="J3033"/>
      <c r="K3033"/>
      <c r="L3033"/>
    </row>
    <row r="3034" spans="2:12" ht="14.4" x14ac:dyDescent="0.3">
      <c r="B3034"/>
      <c r="C3034"/>
      <c r="D3034"/>
      <c r="E3034"/>
      <c r="F3034"/>
      <c r="H3034"/>
      <c r="I3034"/>
      <c r="J3034"/>
      <c r="K3034"/>
      <c r="L3034"/>
    </row>
    <row r="3035" spans="2:12" ht="14.4" x14ac:dyDescent="0.3">
      <c r="B3035"/>
      <c r="C3035"/>
      <c r="D3035"/>
      <c r="E3035"/>
      <c r="F3035"/>
      <c r="H3035"/>
      <c r="I3035"/>
      <c r="J3035"/>
      <c r="K3035"/>
      <c r="L3035"/>
    </row>
    <row r="3036" spans="2:12" ht="14.4" x14ac:dyDescent="0.3">
      <c r="B3036"/>
      <c r="C3036"/>
      <c r="D3036"/>
      <c r="E3036"/>
      <c r="F3036"/>
      <c r="H3036"/>
      <c r="I3036"/>
      <c r="J3036"/>
      <c r="K3036"/>
      <c r="L3036"/>
    </row>
    <row r="3037" spans="2:12" ht="14.4" x14ac:dyDescent="0.3">
      <c r="B3037"/>
      <c r="C3037"/>
      <c r="D3037"/>
      <c r="E3037"/>
      <c r="F3037"/>
      <c r="H3037"/>
      <c r="I3037"/>
      <c r="J3037"/>
      <c r="K3037"/>
      <c r="L3037"/>
    </row>
    <row r="3038" spans="2:12" ht="14.4" x14ac:dyDescent="0.3">
      <c r="B3038"/>
      <c r="C3038"/>
      <c r="D3038"/>
      <c r="E3038"/>
      <c r="F3038"/>
      <c r="H3038"/>
      <c r="I3038"/>
      <c r="J3038"/>
      <c r="K3038"/>
      <c r="L3038"/>
    </row>
    <row r="3039" spans="2:12" ht="14.4" x14ac:dyDescent="0.3">
      <c r="B3039"/>
      <c r="C3039"/>
      <c r="D3039"/>
      <c r="E3039"/>
      <c r="F3039"/>
      <c r="H3039"/>
      <c r="I3039"/>
      <c r="J3039"/>
      <c r="K3039"/>
      <c r="L3039"/>
    </row>
    <row r="3040" spans="2:12" ht="14.4" x14ac:dyDescent="0.3">
      <c r="B3040"/>
      <c r="C3040"/>
      <c r="D3040"/>
      <c r="E3040"/>
      <c r="F3040"/>
      <c r="H3040"/>
      <c r="I3040"/>
      <c r="J3040"/>
      <c r="K3040"/>
      <c r="L3040"/>
    </row>
    <row r="3041" spans="2:12" ht="14.4" x14ac:dyDescent="0.3">
      <c r="B3041"/>
      <c r="C3041"/>
      <c r="D3041"/>
      <c r="E3041"/>
      <c r="F3041"/>
      <c r="H3041"/>
      <c r="I3041"/>
      <c r="J3041"/>
      <c r="K3041"/>
      <c r="L3041"/>
    </row>
    <row r="3042" spans="2:12" ht="14.4" x14ac:dyDescent="0.3">
      <c r="B3042"/>
      <c r="C3042"/>
      <c r="D3042"/>
      <c r="E3042"/>
      <c r="F3042"/>
      <c r="H3042"/>
      <c r="I3042"/>
      <c r="J3042"/>
      <c r="K3042"/>
      <c r="L3042"/>
    </row>
    <row r="3043" spans="2:12" ht="14.4" x14ac:dyDescent="0.3">
      <c r="B3043"/>
      <c r="C3043"/>
      <c r="D3043"/>
      <c r="E3043"/>
      <c r="F3043"/>
      <c r="H3043"/>
      <c r="I3043"/>
      <c r="J3043"/>
      <c r="K3043"/>
      <c r="L3043"/>
    </row>
    <row r="3044" spans="2:12" ht="14.4" x14ac:dyDescent="0.3">
      <c r="B3044"/>
      <c r="C3044"/>
      <c r="D3044"/>
      <c r="E3044"/>
      <c r="F3044"/>
      <c r="H3044"/>
      <c r="I3044"/>
      <c r="J3044"/>
      <c r="K3044"/>
      <c r="L3044"/>
    </row>
    <row r="3045" spans="2:12" ht="14.4" x14ac:dyDescent="0.3">
      <c r="B3045"/>
      <c r="C3045"/>
      <c r="D3045"/>
      <c r="E3045"/>
      <c r="F3045"/>
      <c r="H3045"/>
      <c r="I3045"/>
      <c r="J3045"/>
      <c r="K3045"/>
      <c r="L3045"/>
    </row>
    <row r="3046" spans="2:12" ht="14.4" x14ac:dyDescent="0.3">
      <c r="B3046"/>
      <c r="C3046"/>
      <c r="D3046"/>
      <c r="E3046"/>
      <c r="F3046"/>
      <c r="H3046"/>
      <c r="I3046"/>
      <c r="J3046"/>
      <c r="K3046"/>
      <c r="L3046"/>
    </row>
    <row r="3047" spans="2:12" ht="14.4" x14ac:dyDescent="0.3">
      <c r="B3047"/>
      <c r="C3047"/>
      <c r="D3047"/>
      <c r="E3047"/>
      <c r="F3047"/>
      <c r="H3047"/>
      <c r="I3047"/>
      <c r="J3047"/>
      <c r="K3047"/>
      <c r="L3047"/>
    </row>
    <row r="3048" spans="2:12" ht="14.4" x14ac:dyDescent="0.3">
      <c r="B3048"/>
      <c r="C3048"/>
      <c r="D3048"/>
      <c r="E3048"/>
      <c r="F3048"/>
      <c r="H3048"/>
      <c r="I3048"/>
      <c r="J3048"/>
      <c r="K3048"/>
      <c r="L3048"/>
    </row>
    <row r="3049" spans="2:12" ht="14.4" x14ac:dyDescent="0.3">
      <c r="B3049"/>
      <c r="C3049"/>
      <c r="D3049"/>
      <c r="E3049"/>
      <c r="F3049"/>
      <c r="H3049"/>
      <c r="I3049"/>
      <c r="J3049"/>
      <c r="K3049"/>
      <c r="L3049"/>
    </row>
    <row r="3050" spans="2:12" ht="14.4" x14ac:dyDescent="0.3">
      <c r="B3050"/>
      <c r="C3050"/>
      <c r="D3050"/>
      <c r="E3050"/>
      <c r="F3050"/>
      <c r="H3050"/>
      <c r="I3050"/>
      <c r="J3050"/>
      <c r="K3050"/>
      <c r="L3050"/>
    </row>
    <row r="3051" spans="2:12" ht="14.4" x14ac:dyDescent="0.3">
      <c r="B3051"/>
      <c r="C3051"/>
      <c r="D3051"/>
      <c r="E3051"/>
      <c r="F3051"/>
      <c r="H3051"/>
      <c r="I3051"/>
      <c r="J3051"/>
      <c r="K3051"/>
      <c r="L3051"/>
    </row>
    <row r="3052" spans="2:12" ht="14.4" x14ac:dyDescent="0.3">
      <c r="B3052"/>
      <c r="C3052"/>
      <c r="D3052"/>
      <c r="E3052"/>
      <c r="F3052"/>
      <c r="H3052"/>
      <c r="I3052"/>
      <c r="J3052"/>
      <c r="K3052"/>
      <c r="L3052"/>
    </row>
    <row r="3053" spans="2:12" ht="14.4" x14ac:dyDescent="0.3">
      <c r="B3053"/>
      <c r="C3053"/>
      <c r="D3053"/>
      <c r="E3053"/>
      <c r="F3053"/>
      <c r="H3053"/>
      <c r="I3053"/>
      <c r="J3053"/>
      <c r="K3053"/>
      <c r="L3053"/>
    </row>
    <row r="3054" spans="2:12" ht="14.4" x14ac:dyDescent="0.3">
      <c r="B3054"/>
      <c r="C3054"/>
      <c r="D3054"/>
      <c r="E3054"/>
      <c r="F3054"/>
      <c r="H3054"/>
      <c r="I3054"/>
      <c r="J3054"/>
      <c r="K3054"/>
      <c r="L3054"/>
    </row>
    <row r="3055" spans="2:12" ht="14.4" x14ac:dyDescent="0.3">
      <c r="B3055"/>
      <c r="C3055"/>
      <c r="D3055"/>
      <c r="E3055"/>
      <c r="F3055"/>
      <c r="H3055"/>
      <c r="I3055"/>
      <c r="J3055"/>
      <c r="K3055"/>
      <c r="L3055"/>
    </row>
    <row r="3056" spans="2:12" ht="14.4" x14ac:dyDescent="0.3">
      <c r="B3056"/>
      <c r="C3056"/>
      <c r="D3056"/>
      <c r="E3056"/>
      <c r="F3056"/>
      <c r="H3056"/>
      <c r="I3056"/>
      <c r="J3056"/>
      <c r="K3056"/>
      <c r="L3056"/>
    </row>
    <row r="3057" spans="2:12" ht="14.4" x14ac:dyDescent="0.3">
      <c r="B3057"/>
      <c r="C3057"/>
      <c r="D3057"/>
      <c r="E3057"/>
      <c r="F3057"/>
      <c r="H3057"/>
      <c r="I3057"/>
      <c r="J3057"/>
      <c r="K3057"/>
      <c r="L3057"/>
    </row>
    <row r="3058" spans="2:12" ht="14.4" x14ac:dyDescent="0.3">
      <c r="B3058"/>
      <c r="C3058"/>
      <c r="D3058"/>
      <c r="E3058"/>
      <c r="F3058"/>
      <c r="H3058"/>
      <c r="I3058"/>
      <c r="J3058"/>
      <c r="K3058"/>
      <c r="L3058"/>
    </row>
    <row r="3059" spans="2:12" ht="14.4" x14ac:dyDescent="0.3">
      <c r="B3059"/>
      <c r="C3059"/>
      <c r="D3059"/>
      <c r="E3059"/>
      <c r="F3059"/>
      <c r="H3059"/>
      <c r="I3059"/>
      <c r="J3059"/>
      <c r="K3059"/>
      <c r="L3059"/>
    </row>
    <row r="3060" spans="2:12" ht="14.4" x14ac:dyDescent="0.3">
      <c r="B3060"/>
      <c r="C3060"/>
      <c r="D3060"/>
      <c r="E3060"/>
      <c r="F3060"/>
      <c r="H3060"/>
      <c r="I3060"/>
      <c r="J3060"/>
      <c r="K3060"/>
      <c r="L3060"/>
    </row>
    <row r="3061" spans="2:12" ht="14.4" x14ac:dyDescent="0.3">
      <c r="B3061"/>
      <c r="C3061"/>
      <c r="D3061"/>
      <c r="E3061"/>
      <c r="F3061"/>
      <c r="H3061"/>
      <c r="I3061"/>
      <c r="J3061"/>
      <c r="K3061"/>
      <c r="L3061"/>
    </row>
    <row r="3062" spans="2:12" ht="14.4" x14ac:dyDescent="0.3">
      <c r="B3062"/>
      <c r="C3062"/>
      <c r="D3062"/>
      <c r="E3062"/>
      <c r="F3062"/>
      <c r="H3062"/>
      <c r="I3062"/>
      <c r="J3062"/>
      <c r="K3062"/>
      <c r="L3062"/>
    </row>
    <row r="3063" spans="2:12" ht="14.4" x14ac:dyDescent="0.3">
      <c r="B3063"/>
      <c r="C3063"/>
      <c r="D3063"/>
      <c r="E3063"/>
      <c r="F3063"/>
      <c r="H3063"/>
      <c r="I3063"/>
      <c r="J3063"/>
      <c r="K3063"/>
      <c r="L3063"/>
    </row>
    <row r="3064" spans="2:12" ht="14.4" x14ac:dyDescent="0.3">
      <c r="B3064"/>
      <c r="C3064"/>
      <c r="D3064"/>
      <c r="E3064"/>
      <c r="F3064"/>
      <c r="H3064"/>
      <c r="I3064"/>
      <c r="J3064"/>
      <c r="K3064"/>
      <c r="L3064"/>
    </row>
    <row r="3065" spans="2:12" ht="14.4" x14ac:dyDescent="0.3">
      <c r="B3065"/>
      <c r="C3065"/>
      <c r="D3065"/>
      <c r="E3065"/>
      <c r="F3065"/>
      <c r="H3065"/>
      <c r="I3065"/>
      <c r="J3065"/>
      <c r="K3065"/>
      <c r="L3065"/>
    </row>
    <row r="3066" spans="2:12" ht="14.4" x14ac:dyDescent="0.3">
      <c r="B3066"/>
      <c r="C3066"/>
      <c r="D3066"/>
      <c r="E3066"/>
      <c r="F3066"/>
      <c r="H3066"/>
      <c r="I3066"/>
      <c r="J3066"/>
      <c r="K3066"/>
      <c r="L3066"/>
    </row>
    <row r="3067" spans="2:12" ht="14.4" x14ac:dyDescent="0.3">
      <c r="B3067"/>
      <c r="C3067"/>
      <c r="D3067"/>
      <c r="E3067"/>
      <c r="F3067"/>
      <c r="H3067"/>
      <c r="I3067"/>
      <c r="J3067"/>
      <c r="K3067"/>
      <c r="L3067"/>
    </row>
    <row r="3068" spans="2:12" ht="14.4" x14ac:dyDescent="0.3">
      <c r="B3068"/>
      <c r="C3068"/>
      <c r="D3068"/>
      <c r="E3068"/>
      <c r="F3068"/>
      <c r="H3068"/>
      <c r="I3068"/>
      <c r="J3068"/>
      <c r="K3068"/>
      <c r="L3068"/>
    </row>
    <row r="3069" spans="2:12" ht="14.4" x14ac:dyDescent="0.3">
      <c r="B3069"/>
      <c r="C3069"/>
      <c r="D3069"/>
      <c r="E3069"/>
      <c r="F3069"/>
      <c r="H3069"/>
      <c r="I3069"/>
      <c r="J3069"/>
      <c r="K3069"/>
      <c r="L3069"/>
    </row>
    <row r="3070" spans="2:12" ht="14.4" x14ac:dyDescent="0.3">
      <c r="B3070"/>
      <c r="C3070"/>
      <c r="D3070"/>
      <c r="E3070"/>
      <c r="F3070"/>
      <c r="H3070"/>
      <c r="I3070"/>
      <c r="J3070"/>
      <c r="K3070"/>
      <c r="L3070"/>
    </row>
    <row r="3071" spans="2:12" ht="14.4" x14ac:dyDescent="0.3">
      <c r="B3071"/>
      <c r="C3071"/>
      <c r="D3071"/>
      <c r="E3071"/>
      <c r="F3071"/>
      <c r="H3071"/>
      <c r="I3071"/>
      <c r="J3071"/>
      <c r="K3071"/>
      <c r="L3071"/>
    </row>
    <row r="3072" spans="2:12" ht="14.4" x14ac:dyDescent="0.3">
      <c r="B3072"/>
      <c r="C3072"/>
      <c r="D3072"/>
      <c r="E3072"/>
      <c r="F3072"/>
      <c r="H3072"/>
      <c r="I3072"/>
      <c r="J3072"/>
      <c r="K3072"/>
      <c r="L3072"/>
    </row>
    <row r="3073" spans="2:12" ht="14.4" x14ac:dyDescent="0.3">
      <c r="B3073"/>
      <c r="C3073"/>
      <c r="D3073"/>
      <c r="E3073"/>
      <c r="F3073"/>
      <c r="H3073"/>
      <c r="I3073"/>
      <c r="J3073"/>
      <c r="K3073"/>
      <c r="L3073"/>
    </row>
    <row r="3074" spans="2:12" ht="14.4" x14ac:dyDescent="0.3">
      <c r="B3074"/>
      <c r="C3074"/>
      <c r="D3074"/>
      <c r="E3074"/>
      <c r="F3074"/>
      <c r="H3074"/>
      <c r="I3074"/>
      <c r="J3074"/>
      <c r="K3074"/>
      <c r="L3074"/>
    </row>
    <row r="3075" spans="2:12" ht="14.4" x14ac:dyDescent="0.3">
      <c r="B3075"/>
      <c r="C3075"/>
      <c r="D3075"/>
      <c r="E3075"/>
      <c r="F3075"/>
      <c r="H3075"/>
      <c r="I3075"/>
      <c r="J3075"/>
      <c r="K3075"/>
      <c r="L3075"/>
    </row>
    <row r="3076" spans="2:12" ht="14.4" x14ac:dyDescent="0.3">
      <c r="B3076"/>
      <c r="C3076"/>
      <c r="D3076"/>
      <c r="E3076"/>
      <c r="F3076"/>
      <c r="H3076"/>
      <c r="I3076"/>
      <c r="J3076"/>
      <c r="K3076"/>
      <c r="L3076"/>
    </row>
    <row r="3077" spans="2:12" ht="14.4" x14ac:dyDescent="0.3">
      <c r="B3077"/>
      <c r="C3077"/>
      <c r="D3077"/>
      <c r="E3077"/>
      <c r="F3077"/>
      <c r="H3077"/>
      <c r="I3077"/>
      <c r="J3077"/>
      <c r="K3077"/>
      <c r="L3077"/>
    </row>
    <row r="3078" spans="2:12" ht="14.4" x14ac:dyDescent="0.3">
      <c r="B3078"/>
      <c r="C3078"/>
      <c r="D3078"/>
      <c r="E3078"/>
      <c r="F3078"/>
      <c r="H3078"/>
      <c r="I3078"/>
      <c r="J3078"/>
      <c r="K3078"/>
      <c r="L3078"/>
    </row>
    <row r="3079" spans="2:12" ht="14.4" x14ac:dyDescent="0.3">
      <c r="B3079"/>
      <c r="C3079"/>
      <c r="D3079"/>
      <c r="E3079"/>
      <c r="F3079"/>
      <c r="H3079"/>
      <c r="I3079"/>
      <c r="J3079"/>
      <c r="K3079"/>
      <c r="L3079"/>
    </row>
    <row r="3080" spans="2:12" ht="14.4" x14ac:dyDescent="0.3">
      <c r="B3080"/>
      <c r="C3080"/>
      <c r="D3080"/>
      <c r="E3080"/>
      <c r="F3080"/>
      <c r="H3080"/>
      <c r="I3080"/>
      <c r="J3080"/>
      <c r="K3080"/>
      <c r="L3080"/>
    </row>
    <row r="3081" spans="2:12" ht="14.4" x14ac:dyDescent="0.3">
      <c r="B3081"/>
      <c r="C3081"/>
      <c r="D3081"/>
      <c r="E3081"/>
      <c r="F3081"/>
      <c r="H3081"/>
      <c r="I3081"/>
      <c r="J3081"/>
      <c r="K3081"/>
      <c r="L3081"/>
    </row>
    <row r="3082" spans="2:12" ht="14.4" x14ac:dyDescent="0.3">
      <c r="B3082"/>
      <c r="C3082"/>
      <c r="D3082"/>
      <c r="E3082"/>
      <c r="F3082"/>
      <c r="H3082"/>
      <c r="I3082"/>
      <c r="J3082"/>
      <c r="K3082"/>
      <c r="L3082"/>
    </row>
    <row r="3083" spans="2:12" ht="14.4" x14ac:dyDescent="0.3">
      <c r="B3083"/>
      <c r="C3083"/>
      <c r="D3083"/>
      <c r="E3083"/>
      <c r="F3083"/>
      <c r="H3083"/>
      <c r="I3083"/>
      <c r="J3083"/>
      <c r="K3083"/>
      <c r="L3083"/>
    </row>
    <row r="3084" spans="2:12" ht="14.4" x14ac:dyDescent="0.3">
      <c r="B3084"/>
      <c r="C3084"/>
      <c r="D3084"/>
      <c r="E3084"/>
      <c r="F3084"/>
      <c r="H3084"/>
      <c r="I3084"/>
      <c r="J3084"/>
      <c r="K3084"/>
      <c r="L3084"/>
    </row>
    <row r="3085" spans="2:12" ht="14.4" x14ac:dyDescent="0.3">
      <c r="B3085"/>
      <c r="C3085"/>
      <c r="D3085"/>
      <c r="E3085"/>
      <c r="F3085"/>
      <c r="H3085"/>
      <c r="I3085"/>
      <c r="J3085"/>
      <c r="K3085"/>
      <c r="L3085"/>
    </row>
    <row r="3086" spans="2:12" ht="14.4" x14ac:dyDescent="0.3">
      <c r="B3086"/>
      <c r="C3086"/>
      <c r="D3086"/>
      <c r="E3086"/>
      <c r="F3086"/>
      <c r="H3086"/>
      <c r="I3086"/>
      <c r="J3086"/>
      <c r="K3086"/>
      <c r="L3086"/>
    </row>
    <row r="3087" spans="2:12" ht="14.4" x14ac:dyDescent="0.3">
      <c r="B3087"/>
      <c r="C3087"/>
      <c r="D3087"/>
      <c r="E3087"/>
      <c r="F3087"/>
      <c r="H3087"/>
      <c r="I3087"/>
      <c r="J3087"/>
      <c r="K3087"/>
      <c r="L3087"/>
    </row>
    <row r="3088" spans="2:12" ht="14.4" x14ac:dyDescent="0.3">
      <c r="B3088"/>
      <c r="C3088"/>
      <c r="D3088"/>
      <c r="E3088"/>
      <c r="F3088"/>
      <c r="H3088"/>
      <c r="I3088"/>
      <c r="J3088"/>
      <c r="K3088"/>
      <c r="L3088"/>
    </row>
    <row r="3089" spans="2:12" ht="14.4" x14ac:dyDescent="0.3">
      <c r="B3089"/>
      <c r="C3089"/>
      <c r="D3089"/>
      <c r="E3089"/>
      <c r="F3089"/>
      <c r="H3089"/>
      <c r="I3089"/>
      <c r="J3089"/>
      <c r="K3089"/>
      <c r="L3089"/>
    </row>
    <row r="3090" spans="2:12" ht="14.4" x14ac:dyDescent="0.3">
      <c r="B3090"/>
      <c r="C3090"/>
      <c r="D3090"/>
      <c r="E3090"/>
      <c r="F3090"/>
      <c r="H3090"/>
      <c r="I3090"/>
      <c r="J3090"/>
      <c r="K3090"/>
      <c r="L3090"/>
    </row>
    <row r="3091" spans="2:12" ht="14.4" x14ac:dyDescent="0.3">
      <c r="B3091"/>
      <c r="C3091"/>
      <c r="D3091"/>
      <c r="E3091"/>
      <c r="F3091"/>
      <c r="H3091"/>
      <c r="I3091"/>
      <c r="J3091"/>
      <c r="K3091"/>
      <c r="L3091"/>
    </row>
    <row r="3092" spans="2:12" ht="14.4" x14ac:dyDescent="0.3">
      <c r="B3092"/>
      <c r="C3092"/>
      <c r="D3092"/>
      <c r="E3092"/>
      <c r="F3092"/>
      <c r="H3092"/>
      <c r="I3092"/>
      <c r="J3092"/>
      <c r="K3092"/>
      <c r="L3092"/>
    </row>
    <row r="3093" spans="2:12" ht="14.4" x14ac:dyDescent="0.3">
      <c r="B3093"/>
      <c r="C3093"/>
      <c r="D3093"/>
      <c r="E3093"/>
      <c r="F3093"/>
      <c r="H3093"/>
      <c r="I3093"/>
      <c r="J3093"/>
      <c r="K3093"/>
      <c r="L3093"/>
    </row>
    <row r="3094" spans="2:12" ht="14.4" x14ac:dyDescent="0.3">
      <c r="B3094"/>
      <c r="C3094"/>
      <c r="D3094"/>
      <c r="E3094"/>
      <c r="F3094"/>
      <c r="H3094"/>
      <c r="I3094"/>
      <c r="J3094"/>
      <c r="K3094"/>
      <c r="L3094"/>
    </row>
    <row r="3095" spans="2:12" ht="14.4" x14ac:dyDescent="0.3">
      <c r="B3095"/>
      <c r="C3095"/>
      <c r="D3095"/>
      <c r="E3095"/>
      <c r="F3095"/>
      <c r="H3095"/>
      <c r="I3095"/>
      <c r="J3095"/>
      <c r="K3095"/>
      <c r="L3095"/>
    </row>
    <row r="3096" spans="2:12" ht="14.4" x14ac:dyDescent="0.3">
      <c r="B3096"/>
      <c r="C3096"/>
      <c r="D3096"/>
      <c r="E3096"/>
      <c r="F3096"/>
      <c r="H3096"/>
      <c r="I3096"/>
      <c r="J3096"/>
      <c r="K3096"/>
      <c r="L3096"/>
    </row>
    <row r="3097" spans="2:12" ht="14.4" x14ac:dyDescent="0.3">
      <c r="B3097"/>
      <c r="C3097"/>
      <c r="D3097"/>
      <c r="E3097"/>
      <c r="F3097"/>
      <c r="H3097"/>
      <c r="I3097"/>
      <c r="J3097"/>
      <c r="K3097"/>
      <c r="L3097"/>
    </row>
    <row r="3098" spans="2:12" ht="14.4" x14ac:dyDescent="0.3">
      <c r="B3098"/>
      <c r="C3098"/>
      <c r="D3098"/>
      <c r="E3098"/>
      <c r="F3098"/>
      <c r="H3098"/>
      <c r="I3098"/>
      <c r="J3098"/>
      <c r="K3098"/>
      <c r="L3098"/>
    </row>
    <row r="3099" spans="2:12" ht="14.4" x14ac:dyDescent="0.3">
      <c r="B3099"/>
      <c r="C3099"/>
      <c r="D3099"/>
      <c r="E3099"/>
      <c r="F3099"/>
      <c r="H3099"/>
      <c r="I3099"/>
      <c r="J3099"/>
      <c r="K3099"/>
      <c r="L3099"/>
    </row>
    <row r="3100" spans="2:12" ht="14.4" x14ac:dyDescent="0.3">
      <c r="B3100"/>
      <c r="C3100"/>
      <c r="D3100"/>
      <c r="E3100"/>
      <c r="F3100"/>
      <c r="H3100"/>
      <c r="I3100"/>
      <c r="J3100"/>
      <c r="K3100"/>
      <c r="L3100"/>
    </row>
    <row r="3101" spans="2:12" ht="14.4" x14ac:dyDescent="0.3">
      <c r="B3101"/>
      <c r="C3101"/>
      <c r="D3101"/>
      <c r="E3101"/>
      <c r="F3101"/>
      <c r="H3101"/>
      <c r="I3101"/>
      <c r="J3101"/>
      <c r="K3101"/>
      <c r="L3101"/>
    </row>
    <row r="3102" spans="2:12" ht="14.4" x14ac:dyDescent="0.3">
      <c r="B3102"/>
      <c r="C3102"/>
      <c r="D3102"/>
      <c r="E3102"/>
      <c r="F3102"/>
      <c r="H3102"/>
      <c r="I3102"/>
      <c r="J3102"/>
      <c r="K3102"/>
      <c r="L3102"/>
    </row>
    <row r="3103" spans="2:12" ht="14.4" x14ac:dyDescent="0.3">
      <c r="B3103"/>
      <c r="C3103"/>
      <c r="D3103"/>
      <c r="E3103"/>
      <c r="F3103"/>
      <c r="H3103"/>
      <c r="I3103"/>
      <c r="J3103"/>
      <c r="K3103"/>
      <c r="L3103"/>
    </row>
    <row r="3104" spans="2:12" ht="14.4" x14ac:dyDescent="0.3">
      <c r="B3104"/>
      <c r="C3104"/>
      <c r="D3104"/>
      <c r="E3104"/>
      <c r="F3104"/>
      <c r="H3104"/>
      <c r="I3104"/>
      <c r="J3104"/>
      <c r="K3104"/>
      <c r="L3104"/>
    </row>
    <row r="3105" spans="2:12" ht="14.4" x14ac:dyDescent="0.3">
      <c r="B3105"/>
      <c r="C3105"/>
      <c r="D3105"/>
      <c r="E3105"/>
      <c r="F3105"/>
      <c r="H3105"/>
      <c r="I3105"/>
      <c r="J3105"/>
      <c r="K3105"/>
      <c r="L3105"/>
    </row>
    <row r="3106" spans="2:12" ht="14.4" x14ac:dyDescent="0.3">
      <c r="B3106"/>
      <c r="C3106"/>
      <c r="D3106"/>
      <c r="E3106"/>
      <c r="F3106"/>
      <c r="H3106"/>
      <c r="I3106"/>
      <c r="J3106"/>
      <c r="K3106"/>
      <c r="L3106"/>
    </row>
    <row r="3107" spans="2:12" ht="14.4" x14ac:dyDescent="0.3">
      <c r="B3107"/>
      <c r="C3107"/>
      <c r="D3107"/>
      <c r="E3107"/>
      <c r="F3107"/>
      <c r="H3107"/>
      <c r="I3107"/>
      <c r="J3107"/>
      <c r="K3107"/>
      <c r="L3107"/>
    </row>
    <row r="3108" spans="2:12" ht="14.4" x14ac:dyDescent="0.3">
      <c r="B3108"/>
      <c r="C3108"/>
      <c r="D3108"/>
      <c r="E3108"/>
      <c r="F3108"/>
      <c r="H3108"/>
      <c r="I3108"/>
      <c r="J3108"/>
      <c r="K3108"/>
      <c r="L3108"/>
    </row>
    <row r="3109" spans="2:12" ht="14.4" x14ac:dyDescent="0.3">
      <c r="B3109"/>
      <c r="C3109"/>
      <c r="D3109"/>
      <c r="E3109"/>
      <c r="F3109"/>
      <c r="H3109"/>
      <c r="I3109"/>
      <c r="J3109"/>
      <c r="K3109"/>
      <c r="L3109"/>
    </row>
    <row r="3110" spans="2:12" ht="14.4" x14ac:dyDescent="0.3">
      <c r="B3110"/>
      <c r="C3110"/>
      <c r="D3110"/>
      <c r="E3110"/>
      <c r="F3110"/>
      <c r="H3110"/>
      <c r="I3110"/>
      <c r="J3110"/>
      <c r="K3110"/>
      <c r="L3110"/>
    </row>
    <row r="3111" spans="2:12" ht="14.4" x14ac:dyDescent="0.3">
      <c r="B3111"/>
      <c r="C3111"/>
      <c r="D3111"/>
      <c r="E3111"/>
      <c r="F3111"/>
      <c r="H3111"/>
      <c r="I3111"/>
      <c r="J3111"/>
      <c r="K3111"/>
      <c r="L3111"/>
    </row>
    <row r="3112" spans="2:12" ht="14.4" x14ac:dyDescent="0.3">
      <c r="B3112"/>
      <c r="C3112"/>
      <c r="D3112"/>
      <c r="E3112"/>
      <c r="F3112"/>
      <c r="H3112"/>
      <c r="I3112"/>
      <c r="J3112"/>
      <c r="K3112"/>
      <c r="L3112"/>
    </row>
    <row r="3113" spans="2:12" ht="14.4" x14ac:dyDescent="0.3">
      <c r="B3113"/>
      <c r="C3113"/>
      <c r="D3113"/>
      <c r="E3113"/>
      <c r="F3113"/>
      <c r="H3113"/>
      <c r="I3113"/>
      <c r="J3113"/>
      <c r="K3113"/>
      <c r="L3113"/>
    </row>
    <row r="3114" spans="2:12" ht="14.4" x14ac:dyDescent="0.3">
      <c r="B3114"/>
      <c r="C3114"/>
      <c r="D3114"/>
      <c r="E3114"/>
      <c r="F3114"/>
      <c r="H3114"/>
      <c r="I3114"/>
      <c r="J3114"/>
      <c r="K3114"/>
      <c r="L3114"/>
    </row>
    <row r="3115" spans="2:12" ht="14.4" x14ac:dyDescent="0.3">
      <c r="B3115"/>
      <c r="C3115"/>
      <c r="D3115"/>
      <c r="E3115"/>
      <c r="F3115"/>
      <c r="H3115"/>
      <c r="I3115"/>
      <c r="J3115"/>
      <c r="K3115"/>
      <c r="L3115"/>
    </row>
    <row r="3116" spans="2:12" ht="14.4" x14ac:dyDescent="0.3">
      <c r="B3116"/>
      <c r="C3116"/>
      <c r="D3116"/>
      <c r="E3116"/>
      <c r="F3116"/>
      <c r="H3116"/>
      <c r="I3116"/>
      <c r="J3116"/>
      <c r="K3116"/>
      <c r="L3116"/>
    </row>
    <row r="3117" spans="2:12" ht="14.4" x14ac:dyDescent="0.3">
      <c r="B3117"/>
      <c r="C3117"/>
      <c r="D3117"/>
      <c r="E3117"/>
      <c r="F3117"/>
      <c r="H3117"/>
      <c r="I3117"/>
      <c r="J3117"/>
      <c r="K3117"/>
      <c r="L3117"/>
    </row>
    <row r="3118" spans="2:12" ht="14.4" x14ac:dyDescent="0.3">
      <c r="B3118"/>
      <c r="C3118"/>
      <c r="D3118"/>
      <c r="E3118"/>
      <c r="F3118"/>
      <c r="H3118"/>
      <c r="I3118"/>
      <c r="J3118"/>
      <c r="K3118"/>
      <c r="L3118"/>
    </row>
    <row r="3119" spans="2:12" ht="14.4" x14ac:dyDescent="0.3">
      <c r="B3119"/>
      <c r="C3119"/>
      <c r="D3119"/>
      <c r="E3119"/>
      <c r="F3119"/>
      <c r="H3119"/>
      <c r="I3119"/>
      <c r="J3119"/>
      <c r="K3119"/>
      <c r="L3119"/>
    </row>
    <row r="3120" spans="2:12" ht="14.4" x14ac:dyDescent="0.3">
      <c r="B3120"/>
      <c r="C3120"/>
      <c r="D3120"/>
      <c r="E3120"/>
      <c r="F3120"/>
      <c r="H3120"/>
      <c r="I3120"/>
      <c r="J3120"/>
      <c r="K3120"/>
      <c r="L3120"/>
    </row>
    <row r="3121" spans="2:12" ht="14.4" x14ac:dyDescent="0.3">
      <c r="B3121"/>
      <c r="C3121"/>
      <c r="D3121"/>
      <c r="E3121"/>
      <c r="F3121"/>
      <c r="H3121"/>
      <c r="I3121"/>
      <c r="J3121"/>
      <c r="K3121"/>
      <c r="L3121"/>
    </row>
    <row r="3122" spans="2:12" ht="14.4" x14ac:dyDescent="0.3">
      <c r="B3122"/>
      <c r="C3122"/>
      <c r="D3122"/>
      <c r="E3122"/>
      <c r="F3122"/>
      <c r="H3122"/>
      <c r="I3122"/>
      <c r="J3122"/>
      <c r="K3122"/>
      <c r="L3122"/>
    </row>
    <row r="3123" spans="2:12" ht="14.4" x14ac:dyDescent="0.3">
      <c r="B3123"/>
      <c r="C3123"/>
      <c r="D3123"/>
      <c r="E3123"/>
      <c r="F3123"/>
      <c r="H3123"/>
      <c r="I3123"/>
      <c r="J3123"/>
      <c r="K3123"/>
      <c r="L3123"/>
    </row>
    <row r="3124" spans="2:12" ht="14.4" x14ac:dyDescent="0.3">
      <c r="B3124"/>
      <c r="C3124"/>
      <c r="D3124"/>
      <c r="E3124"/>
      <c r="F3124"/>
      <c r="H3124"/>
      <c r="I3124"/>
      <c r="J3124"/>
      <c r="K3124"/>
      <c r="L3124"/>
    </row>
    <row r="3125" spans="2:12" ht="14.4" x14ac:dyDescent="0.3">
      <c r="B3125"/>
      <c r="C3125"/>
      <c r="D3125"/>
      <c r="E3125"/>
      <c r="F3125"/>
      <c r="H3125"/>
      <c r="I3125"/>
      <c r="J3125"/>
      <c r="K3125"/>
      <c r="L3125"/>
    </row>
    <row r="3126" spans="2:12" ht="14.4" x14ac:dyDescent="0.3">
      <c r="B3126"/>
      <c r="C3126"/>
      <c r="D3126"/>
      <c r="E3126"/>
      <c r="F3126"/>
      <c r="H3126"/>
      <c r="I3126"/>
      <c r="J3126"/>
      <c r="K3126"/>
      <c r="L3126"/>
    </row>
    <row r="3127" spans="2:12" ht="14.4" x14ac:dyDescent="0.3">
      <c r="B3127"/>
      <c r="C3127"/>
      <c r="D3127"/>
      <c r="E3127"/>
      <c r="F3127"/>
      <c r="H3127"/>
      <c r="I3127"/>
      <c r="J3127"/>
      <c r="K3127"/>
      <c r="L3127"/>
    </row>
    <row r="3128" spans="2:12" ht="14.4" x14ac:dyDescent="0.3">
      <c r="B3128"/>
      <c r="C3128"/>
      <c r="D3128"/>
      <c r="E3128"/>
      <c r="F3128"/>
      <c r="H3128"/>
      <c r="I3128"/>
      <c r="J3128"/>
      <c r="K3128"/>
      <c r="L3128"/>
    </row>
    <row r="3129" spans="2:12" ht="14.4" x14ac:dyDescent="0.3">
      <c r="B3129"/>
      <c r="C3129"/>
      <c r="D3129"/>
      <c r="E3129"/>
      <c r="F3129"/>
      <c r="H3129"/>
      <c r="I3129"/>
      <c r="J3129"/>
      <c r="K3129"/>
      <c r="L3129"/>
    </row>
    <row r="3130" spans="2:12" ht="14.4" x14ac:dyDescent="0.3">
      <c r="B3130"/>
      <c r="C3130"/>
      <c r="D3130"/>
      <c r="E3130"/>
      <c r="F3130"/>
      <c r="H3130"/>
      <c r="I3130"/>
      <c r="J3130"/>
      <c r="K3130"/>
      <c r="L3130"/>
    </row>
    <row r="3131" spans="2:12" ht="14.4" x14ac:dyDescent="0.3">
      <c r="B3131"/>
      <c r="C3131"/>
      <c r="D3131"/>
      <c r="E3131"/>
      <c r="F3131"/>
      <c r="H3131"/>
      <c r="I3131"/>
      <c r="J3131"/>
      <c r="K3131"/>
      <c r="L3131"/>
    </row>
    <row r="3132" spans="2:12" ht="14.4" x14ac:dyDescent="0.3">
      <c r="B3132"/>
      <c r="C3132"/>
      <c r="D3132"/>
      <c r="E3132"/>
      <c r="F3132"/>
      <c r="H3132"/>
      <c r="I3132"/>
      <c r="J3132"/>
      <c r="K3132"/>
      <c r="L3132"/>
    </row>
    <row r="3133" spans="2:12" ht="14.4" x14ac:dyDescent="0.3">
      <c r="B3133"/>
      <c r="C3133"/>
      <c r="D3133"/>
      <c r="E3133"/>
      <c r="F3133"/>
      <c r="H3133"/>
      <c r="I3133"/>
      <c r="J3133"/>
      <c r="K3133"/>
      <c r="L3133"/>
    </row>
    <row r="3134" spans="2:12" ht="14.4" x14ac:dyDescent="0.3">
      <c r="B3134"/>
      <c r="C3134"/>
      <c r="D3134"/>
      <c r="E3134"/>
      <c r="F3134"/>
      <c r="H3134"/>
      <c r="I3134"/>
      <c r="J3134"/>
      <c r="K3134"/>
      <c r="L3134"/>
    </row>
    <row r="3135" spans="2:12" ht="14.4" x14ac:dyDescent="0.3">
      <c r="B3135"/>
      <c r="C3135"/>
      <c r="D3135"/>
      <c r="E3135"/>
      <c r="F3135"/>
      <c r="H3135"/>
      <c r="I3135"/>
      <c r="J3135"/>
      <c r="K3135"/>
      <c r="L3135"/>
    </row>
    <row r="3136" spans="2:12" ht="14.4" x14ac:dyDescent="0.3">
      <c r="B3136"/>
      <c r="C3136"/>
      <c r="D3136"/>
      <c r="E3136"/>
      <c r="F3136"/>
      <c r="H3136"/>
      <c r="I3136"/>
      <c r="J3136"/>
      <c r="K3136"/>
      <c r="L3136"/>
    </row>
    <row r="3137" spans="2:12" ht="14.4" x14ac:dyDescent="0.3">
      <c r="B3137"/>
      <c r="C3137"/>
      <c r="D3137"/>
      <c r="E3137"/>
      <c r="F3137"/>
      <c r="H3137"/>
      <c r="I3137"/>
      <c r="J3137"/>
      <c r="K3137"/>
      <c r="L3137"/>
    </row>
    <row r="3138" spans="2:12" ht="14.4" x14ac:dyDescent="0.3">
      <c r="B3138"/>
      <c r="C3138"/>
      <c r="D3138"/>
      <c r="E3138"/>
      <c r="F3138"/>
      <c r="H3138"/>
      <c r="I3138"/>
      <c r="J3138"/>
      <c r="K3138"/>
      <c r="L3138"/>
    </row>
    <row r="3139" spans="2:12" ht="14.4" x14ac:dyDescent="0.3">
      <c r="B3139"/>
      <c r="C3139"/>
      <c r="D3139"/>
      <c r="E3139"/>
      <c r="F3139"/>
      <c r="H3139"/>
      <c r="I3139"/>
      <c r="J3139"/>
      <c r="K3139"/>
      <c r="L3139"/>
    </row>
    <row r="3140" spans="2:12" ht="14.4" x14ac:dyDescent="0.3">
      <c r="B3140"/>
      <c r="C3140"/>
      <c r="D3140"/>
      <c r="E3140"/>
      <c r="F3140"/>
      <c r="H3140"/>
      <c r="I3140"/>
      <c r="J3140"/>
      <c r="K3140"/>
      <c r="L3140"/>
    </row>
    <row r="3141" spans="2:12" ht="14.4" x14ac:dyDescent="0.3">
      <c r="B3141"/>
      <c r="C3141"/>
      <c r="D3141"/>
      <c r="E3141"/>
      <c r="F3141"/>
      <c r="H3141"/>
      <c r="I3141"/>
      <c r="J3141"/>
      <c r="K3141"/>
      <c r="L3141"/>
    </row>
    <row r="3142" spans="2:12" ht="14.4" x14ac:dyDescent="0.3">
      <c r="B3142"/>
      <c r="C3142"/>
      <c r="D3142"/>
      <c r="E3142"/>
      <c r="F3142"/>
      <c r="H3142"/>
      <c r="I3142"/>
      <c r="J3142"/>
      <c r="K3142"/>
      <c r="L3142"/>
    </row>
    <row r="3143" spans="2:12" ht="14.4" x14ac:dyDescent="0.3">
      <c r="B3143"/>
      <c r="C3143"/>
      <c r="D3143"/>
      <c r="E3143"/>
      <c r="F3143"/>
      <c r="H3143"/>
      <c r="I3143"/>
      <c r="J3143"/>
      <c r="K3143"/>
      <c r="L3143"/>
    </row>
    <row r="3144" spans="2:12" ht="14.4" x14ac:dyDescent="0.3">
      <c r="B3144"/>
      <c r="C3144"/>
      <c r="D3144"/>
      <c r="E3144"/>
      <c r="F3144"/>
      <c r="H3144"/>
      <c r="I3144"/>
      <c r="J3144"/>
      <c r="K3144"/>
      <c r="L3144"/>
    </row>
    <row r="3145" spans="2:12" ht="14.4" x14ac:dyDescent="0.3">
      <c r="B3145"/>
      <c r="C3145"/>
      <c r="D3145"/>
      <c r="E3145"/>
      <c r="F3145"/>
      <c r="H3145"/>
      <c r="I3145"/>
      <c r="J3145"/>
      <c r="K3145"/>
      <c r="L3145"/>
    </row>
    <row r="3146" spans="2:12" ht="14.4" x14ac:dyDescent="0.3">
      <c r="B3146"/>
      <c r="C3146"/>
      <c r="D3146"/>
      <c r="E3146"/>
      <c r="F3146"/>
      <c r="H3146"/>
      <c r="I3146"/>
      <c r="J3146"/>
      <c r="K3146"/>
      <c r="L3146"/>
    </row>
    <row r="3147" spans="2:12" ht="14.4" x14ac:dyDescent="0.3">
      <c r="B3147"/>
      <c r="C3147"/>
      <c r="D3147"/>
      <c r="E3147"/>
      <c r="F3147"/>
      <c r="H3147"/>
      <c r="I3147"/>
      <c r="J3147"/>
      <c r="K3147"/>
      <c r="L3147"/>
    </row>
    <row r="3148" spans="2:12" ht="14.4" x14ac:dyDescent="0.3">
      <c r="B3148"/>
      <c r="C3148"/>
      <c r="D3148"/>
      <c r="E3148"/>
      <c r="F3148"/>
      <c r="H3148"/>
      <c r="I3148"/>
      <c r="J3148"/>
      <c r="K3148"/>
      <c r="L3148"/>
    </row>
    <row r="3149" spans="2:12" ht="14.4" x14ac:dyDescent="0.3">
      <c r="B3149"/>
      <c r="C3149"/>
      <c r="D3149"/>
      <c r="E3149"/>
      <c r="F3149"/>
      <c r="H3149"/>
      <c r="I3149"/>
      <c r="J3149"/>
      <c r="K3149"/>
      <c r="L3149"/>
    </row>
    <row r="3150" spans="2:12" ht="14.4" x14ac:dyDescent="0.3">
      <c r="B3150"/>
      <c r="C3150"/>
      <c r="D3150"/>
      <c r="E3150"/>
      <c r="F3150"/>
      <c r="H3150"/>
      <c r="I3150"/>
      <c r="J3150"/>
      <c r="K3150"/>
      <c r="L3150"/>
    </row>
    <row r="3151" spans="2:12" ht="14.4" x14ac:dyDescent="0.3">
      <c r="B3151"/>
      <c r="C3151"/>
      <c r="D3151"/>
      <c r="E3151"/>
      <c r="F3151"/>
      <c r="H3151"/>
      <c r="I3151"/>
      <c r="J3151"/>
      <c r="K3151"/>
      <c r="L3151"/>
    </row>
    <row r="3152" spans="2:12" ht="14.4" x14ac:dyDescent="0.3">
      <c r="B3152"/>
      <c r="C3152"/>
      <c r="D3152"/>
      <c r="E3152"/>
      <c r="F3152"/>
      <c r="H3152"/>
      <c r="I3152"/>
      <c r="J3152"/>
      <c r="K3152"/>
      <c r="L3152"/>
    </row>
    <row r="3153" spans="2:12" ht="14.4" x14ac:dyDescent="0.3">
      <c r="B3153"/>
      <c r="C3153"/>
      <c r="D3153"/>
      <c r="E3153"/>
      <c r="F3153"/>
      <c r="H3153"/>
      <c r="I3153"/>
      <c r="J3153"/>
      <c r="K3153"/>
      <c r="L3153"/>
    </row>
    <row r="3154" spans="2:12" ht="14.4" x14ac:dyDescent="0.3">
      <c r="B3154"/>
      <c r="C3154"/>
      <c r="D3154"/>
      <c r="E3154"/>
      <c r="F3154"/>
      <c r="H3154"/>
      <c r="I3154"/>
      <c r="J3154"/>
      <c r="K3154"/>
      <c r="L3154"/>
    </row>
    <row r="3155" spans="2:12" ht="14.4" x14ac:dyDescent="0.3">
      <c r="B3155"/>
      <c r="C3155"/>
      <c r="D3155"/>
      <c r="E3155"/>
      <c r="F3155"/>
      <c r="H3155"/>
      <c r="I3155"/>
      <c r="J3155"/>
      <c r="K3155"/>
      <c r="L3155"/>
    </row>
    <row r="3156" spans="2:12" ht="14.4" x14ac:dyDescent="0.3">
      <c r="B3156"/>
      <c r="C3156"/>
      <c r="D3156"/>
      <c r="E3156"/>
      <c r="F3156"/>
      <c r="H3156"/>
      <c r="I3156"/>
      <c r="J3156"/>
      <c r="K3156"/>
      <c r="L3156"/>
    </row>
    <row r="3157" spans="2:12" ht="14.4" x14ac:dyDescent="0.3">
      <c r="B3157"/>
      <c r="C3157"/>
      <c r="D3157"/>
      <c r="E3157"/>
      <c r="F3157"/>
      <c r="H3157"/>
      <c r="I3157"/>
      <c r="J3157"/>
      <c r="K3157"/>
      <c r="L3157"/>
    </row>
    <row r="3158" spans="2:12" ht="14.4" x14ac:dyDescent="0.3">
      <c r="B3158"/>
      <c r="C3158"/>
      <c r="D3158"/>
      <c r="E3158"/>
      <c r="F3158"/>
      <c r="H3158"/>
      <c r="I3158"/>
      <c r="J3158"/>
      <c r="K3158"/>
      <c r="L3158"/>
    </row>
    <row r="3159" spans="2:12" ht="14.4" x14ac:dyDescent="0.3">
      <c r="B3159"/>
      <c r="C3159"/>
      <c r="D3159"/>
      <c r="E3159"/>
      <c r="F3159"/>
      <c r="H3159"/>
      <c r="I3159"/>
      <c r="J3159"/>
      <c r="K3159"/>
      <c r="L3159"/>
    </row>
    <row r="3160" spans="2:12" ht="14.4" x14ac:dyDescent="0.3">
      <c r="B3160"/>
      <c r="C3160"/>
      <c r="D3160"/>
      <c r="E3160"/>
      <c r="F3160"/>
      <c r="H3160"/>
      <c r="I3160"/>
      <c r="J3160"/>
      <c r="K3160"/>
      <c r="L3160"/>
    </row>
    <row r="3161" spans="2:12" ht="14.4" x14ac:dyDescent="0.3">
      <c r="B3161"/>
      <c r="C3161"/>
      <c r="D3161"/>
      <c r="E3161"/>
      <c r="F3161"/>
      <c r="H3161"/>
      <c r="I3161"/>
      <c r="J3161"/>
      <c r="K3161"/>
      <c r="L3161"/>
    </row>
    <row r="3162" spans="2:12" ht="14.4" x14ac:dyDescent="0.3">
      <c r="B3162"/>
      <c r="C3162"/>
      <c r="D3162"/>
      <c r="E3162"/>
      <c r="F3162"/>
      <c r="H3162"/>
      <c r="I3162"/>
      <c r="J3162"/>
      <c r="K3162"/>
      <c r="L3162"/>
    </row>
    <row r="3163" spans="2:12" ht="14.4" x14ac:dyDescent="0.3">
      <c r="B3163"/>
      <c r="C3163"/>
      <c r="D3163"/>
      <c r="E3163"/>
      <c r="F3163"/>
      <c r="H3163"/>
      <c r="I3163"/>
      <c r="J3163"/>
      <c r="K3163"/>
      <c r="L3163"/>
    </row>
    <row r="3164" spans="2:12" ht="14.4" x14ac:dyDescent="0.3">
      <c r="B3164"/>
      <c r="C3164"/>
      <c r="D3164"/>
      <c r="E3164"/>
      <c r="F3164"/>
      <c r="H3164"/>
      <c r="I3164"/>
      <c r="J3164"/>
      <c r="K3164"/>
      <c r="L3164"/>
    </row>
    <row r="3165" spans="2:12" ht="14.4" x14ac:dyDescent="0.3">
      <c r="B3165"/>
      <c r="C3165"/>
      <c r="D3165"/>
      <c r="E3165"/>
      <c r="F3165"/>
      <c r="H3165"/>
      <c r="I3165"/>
      <c r="J3165"/>
      <c r="K3165"/>
      <c r="L3165"/>
    </row>
    <row r="3166" spans="2:12" ht="14.4" x14ac:dyDescent="0.3">
      <c r="B3166"/>
      <c r="C3166"/>
      <c r="D3166"/>
      <c r="E3166"/>
      <c r="F3166"/>
      <c r="H3166"/>
      <c r="I3166"/>
      <c r="J3166"/>
      <c r="K3166"/>
      <c r="L3166"/>
    </row>
    <row r="3167" spans="2:12" ht="14.4" x14ac:dyDescent="0.3">
      <c r="B3167"/>
      <c r="C3167"/>
      <c r="D3167"/>
      <c r="E3167"/>
      <c r="F3167"/>
      <c r="H3167"/>
      <c r="I3167"/>
      <c r="J3167"/>
      <c r="K3167"/>
      <c r="L3167"/>
    </row>
    <row r="3168" spans="2:12" ht="14.4" x14ac:dyDescent="0.3">
      <c r="B3168"/>
      <c r="C3168"/>
      <c r="D3168"/>
      <c r="E3168"/>
      <c r="F3168"/>
      <c r="H3168"/>
      <c r="I3168"/>
      <c r="J3168"/>
      <c r="K3168"/>
      <c r="L3168"/>
    </row>
    <row r="3169" spans="2:12" ht="14.4" x14ac:dyDescent="0.3">
      <c r="B3169"/>
      <c r="C3169"/>
      <c r="D3169"/>
      <c r="E3169"/>
      <c r="F3169"/>
      <c r="H3169"/>
      <c r="I3169"/>
      <c r="J3169"/>
      <c r="K3169"/>
      <c r="L3169"/>
    </row>
    <row r="3170" spans="2:12" ht="14.4" x14ac:dyDescent="0.3">
      <c r="B3170"/>
      <c r="C3170"/>
      <c r="D3170"/>
      <c r="E3170"/>
      <c r="F3170"/>
      <c r="H3170"/>
      <c r="I3170"/>
      <c r="J3170"/>
      <c r="K3170"/>
      <c r="L3170"/>
    </row>
    <row r="3171" spans="2:12" ht="14.4" x14ac:dyDescent="0.3">
      <c r="B3171"/>
      <c r="C3171"/>
      <c r="D3171"/>
      <c r="E3171"/>
      <c r="F3171"/>
      <c r="H3171"/>
      <c r="I3171"/>
      <c r="J3171"/>
      <c r="K3171"/>
      <c r="L3171"/>
    </row>
    <row r="3172" spans="2:12" ht="14.4" x14ac:dyDescent="0.3">
      <c r="B3172"/>
      <c r="C3172"/>
      <c r="D3172"/>
      <c r="E3172"/>
      <c r="F3172"/>
      <c r="H3172"/>
      <c r="I3172"/>
      <c r="J3172"/>
      <c r="K3172"/>
      <c r="L3172"/>
    </row>
    <row r="3173" spans="2:12" ht="14.4" x14ac:dyDescent="0.3">
      <c r="B3173"/>
      <c r="C3173"/>
      <c r="D3173"/>
      <c r="E3173"/>
      <c r="F3173"/>
      <c r="H3173"/>
      <c r="I3173"/>
      <c r="J3173"/>
      <c r="K3173"/>
      <c r="L3173"/>
    </row>
    <row r="3174" spans="2:12" ht="14.4" x14ac:dyDescent="0.3">
      <c r="B3174"/>
      <c r="C3174"/>
      <c r="D3174"/>
      <c r="E3174"/>
      <c r="F3174"/>
      <c r="H3174"/>
      <c r="I3174"/>
      <c r="J3174"/>
      <c r="K3174"/>
      <c r="L3174"/>
    </row>
    <row r="3175" spans="2:12" ht="14.4" x14ac:dyDescent="0.3">
      <c r="B3175"/>
      <c r="C3175"/>
      <c r="D3175"/>
      <c r="E3175"/>
      <c r="F3175"/>
      <c r="H3175"/>
      <c r="I3175"/>
      <c r="J3175"/>
      <c r="K3175"/>
      <c r="L3175"/>
    </row>
    <row r="3176" spans="2:12" ht="14.4" x14ac:dyDescent="0.3">
      <c r="B3176"/>
      <c r="C3176"/>
      <c r="D3176"/>
      <c r="E3176"/>
      <c r="F3176"/>
      <c r="H3176"/>
      <c r="I3176"/>
      <c r="J3176"/>
      <c r="K3176"/>
      <c r="L3176"/>
    </row>
    <row r="3177" spans="2:12" ht="14.4" x14ac:dyDescent="0.3">
      <c r="B3177"/>
      <c r="C3177"/>
      <c r="D3177"/>
      <c r="E3177"/>
      <c r="F3177"/>
      <c r="H3177"/>
      <c r="I3177"/>
      <c r="J3177"/>
      <c r="K3177"/>
      <c r="L3177"/>
    </row>
    <row r="3178" spans="2:12" ht="14.4" x14ac:dyDescent="0.3">
      <c r="B3178"/>
      <c r="C3178"/>
      <c r="D3178"/>
      <c r="E3178"/>
      <c r="F3178"/>
      <c r="H3178"/>
      <c r="I3178"/>
      <c r="J3178"/>
      <c r="K3178"/>
      <c r="L3178"/>
    </row>
    <row r="3179" spans="2:12" ht="14.4" x14ac:dyDescent="0.3">
      <c r="B3179"/>
      <c r="C3179"/>
      <c r="D3179"/>
      <c r="E3179"/>
      <c r="F3179"/>
      <c r="H3179"/>
      <c r="I3179"/>
      <c r="J3179"/>
      <c r="K3179"/>
      <c r="L3179"/>
    </row>
    <row r="3180" spans="2:12" ht="14.4" x14ac:dyDescent="0.3">
      <c r="B3180"/>
      <c r="C3180"/>
      <c r="D3180"/>
      <c r="E3180"/>
      <c r="F3180"/>
      <c r="H3180"/>
      <c r="I3180"/>
      <c r="J3180"/>
      <c r="K3180"/>
      <c r="L3180"/>
    </row>
    <row r="3181" spans="2:12" ht="14.4" x14ac:dyDescent="0.3">
      <c r="B3181"/>
      <c r="C3181"/>
      <c r="D3181"/>
      <c r="E3181"/>
      <c r="F3181"/>
      <c r="H3181"/>
      <c r="I3181"/>
      <c r="J3181"/>
      <c r="K3181"/>
      <c r="L3181"/>
    </row>
    <row r="3182" spans="2:12" ht="14.4" x14ac:dyDescent="0.3">
      <c r="B3182"/>
      <c r="C3182"/>
      <c r="D3182"/>
      <c r="E3182"/>
      <c r="F3182"/>
      <c r="H3182"/>
      <c r="I3182"/>
      <c r="J3182"/>
      <c r="K3182"/>
      <c r="L3182"/>
    </row>
    <row r="3183" spans="2:12" ht="14.4" x14ac:dyDescent="0.3">
      <c r="B3183"/>
      <c r="C3183"/>
      <c r="D3183"/>
      <c r="E3183"/>
      <c r="F3183"/>
      <c r="H3183"/>
      <c r="I3183"/>
      <c r="J3183"/>
      <c r="K3183"/>
      <c r="L3183"/>
    </row>
    <row r="3184" spans="2:12" ht="14.4" x14ac:dyDescent="0.3">
      <c r="B3184"/>
      <c r="C3184"/>
      <c r="D3184"/>
      <c r="E3184"/>
      <c r="F3184"/>
      <c r="H3184"/>
      <c r="I3184"/>
      <c r="J3184"/>
      <c r="K3184"/>
      <c r="L3184"/>
    </row>
    <row r="3185" spans="2:12" ht="14.4" x14ac:dyDescent="0.3">
      <c r="B3185"/>
      <c r="C3185"/>
      <c r="D3185"/>
      <c r="E3185"/>
      <c r="F3185"/>
      <c r="H3185"/>
      <c r="I3185"/>
      <c r="J3185"/>
      <c r="K3185"/>
      <c r="L3185"/>
    </row>
    <row r="3186" spans="2:12" ht="14.4" x14ac:dyDescent="0.3">
      <c r="B3186"/>
      <c r="C3186"/>
      <c r="D3186"/>
      <c r="E3186"/>
      <c r="F3186"/>
      <c r="H3186"/>
      <c r="I3186"/>
      <c r="J3186"/>
      <c r="K3186"/>
      <c r="L3186"/>
    </row>
    <row r="3187" spans="2:12" ht="14.4" x14ac:dyDescent="0.3">
      <c r="B3187"/>
      <c r="C3187"/>
      <c r="D3187"/>
      <c r="E3187"/>
      <c r="F3187"/>
      <c r="H3187"/>
      <c r="I3187"/>
      <c r="J3187"/>
      <c r="K3187"/>
      <c r="L3187"/>
    </row>
    <row r="3188" spans="2:12" ht="14.4" x14ac:dyDescent="0.3">
      <c r="B3188"/>
      <c r="C3188"/>
      <c r="D3188"/>
      <c r="E3188"/>
      <c r="F3188"/>
      <c r="H3188"/>
      <c r="I3188"/>
      <c r="J3188"/>
      <c r="K3188"/>
      <c r="L3188"/>
    </row>
    <row r="3189" spans="2:12" ht="14.4" x14ac:dyDescent="0.3">
      <c r="B3189"/>
      <c r="C3189"/>
      <c r="D3189"/>
      <c r="E3189"/>
      <c r="F3189"/>
      <c r="H3189"/>
      <c r="I3189"/>
      <c r="J3189"/>
      <c r="K3189"/>
      <c r="L3189"/>
    </row>
    <row r="3190" spans="2:12" ht="14.4" x14ac:dyDescent="0.3">
      <c r="B3190"/>
      <c r="C3190"/>
      <c r="D3190"/>
      <c r="E3190"/>
      <c r="F3190"/>
      <c r="H3190"/>
      <c r="I3190"/>
      <c r="J3190"/>
      <c r="K3190"/>
      <c r="L3190"/>
    </row>
    <row r="3191" spans="2:12" ht="14.4" x14ac:dyDescent="0.3">
      <c r="B3191"/>
      <c r="C3191"/>
      <c r="D3191"/>
      <c r="E3191"/>
      <c r="F3191"/>
      <c r="H3191"/>
      <c r="I3191"/>
      <c r="J3191"/>
      <c r="K3191"/>
      <c r="L3191"/>
    </row>
    <row r="3192" spans="2:12" ht="14.4" x14ac:dyDescent="0.3">
      <c r="B3192"/>
      <c r="C3192"/>
      <c r="D3192"/>
      <c r="E3192"/>
      <c r="F3192"/>
      <c r="H3192"/>
      <c r="I3192"/>
      <c r="J3192"/>
      <c r="K3192"/>
      <c r="L3192"/>
    </row>
    <row r="3193" spans="2:12" ht="14.4" x14ac:dyDescent="0.3">
      <c r="B3193"/>
      <c r="C3193"/>
      <c r="D3193"/>
      <c r="E3193"/>
      <c r="F3193"/>
      <c r="H3193"/>
      <c r="I3193"/>
      <c r="J3193"/>
      <c r="K3193"/>
      <c r="L3193"/>
    </row>
    <row r="3194" spans="2:12" ht="14.4" x14ac:dyDescent="0.3">
      <c r="B3194"/>
      <c r="C3194"/>
      <c r="D3194"/>
      <c r="E3194"/>
      <c r="F3194"/>
      <c r="H3194"/>
      <c r="I3194"/>
      <c r="J3194"/>
      <c r="K3194"/>
      <c r="L3194"/>
    </row>
    <row r="3195" spans="2:12" ht="14.4" x14ac:dyDescent="0.3">
      <c r="B3195"/>
      <c r="C3195"/>
      <c r="D3195"/>
      <c r="E3195"/>
      <c r="F3195"/>
      <c r="H3195"/>
      <c r="I3195"/>
      <c r="J3195"/>
      <c r="K3195"/>
      <c r="L3195"/>
    </row>
    <row r="3196" spans="2:12" ht="14.4" x14ac:dyDescent="0.3">
      <c r="B3196"/>
      <c r="C3196"/>
      <c r="D3196"/>
      <c r="E3196"/>
      <c r="F3196"/>
      <c r="H3196"/>
      <c r="I3196"/>
      <c r="J3196"/>
      <c r="K3196"/>
      <c r="L3196"/>
    </row>
    <row r="3197" spans="2:12" ht="14.4" x14ac:dyDescent="0.3">
      <c r="B3197"/>
      <c r="C3197"/>
      <c r="D3197"/>
      <c r="E3197"/>
      <c r="F3197"/>
      <c r="H3197"/>
      <c r="I3197"/>
      <c r="J3197"/>
      <c r="K3197"/>
      <c r="L3197"/>
    </row>
    <row r="3198" spans="2:12" ht="14.4" x14ac:dyDescent="0.3">
      <c r="B3198"/>
      <c r="C3198"/>
      <c r="D3198"/>
      <c r="E3198"/>
      <c r="F3198"/>
      <c r="H3198"/>
      <c r="I3198"/>
      <c r="J3198"/>
      <c r="K3198"/>
      <c r="L3198"/>
    </row>
    <row r="3199" spans="2:12" ht="14.4" x14ac:dyDescent="0.3">
      <c r="B3199"/>
      <c r="C3199"/>
      <c r="D3199"/>
      <c r="E3199"/>
      <c r="F3199"/>
      <c r="H3199"/>
      <c r="I3199"/>
      <c r="J3199"/>
      <c r="K3199"/>
      <c r="L3199"/>
    </row>
    <row r="3200" spans="2:12" ht="14.4" x14ac:dyDescent="0.3">
      <c r="B3200"/>
      <c r="C3200"/>
      <c r="D3200"/>
      <c r="E3200"/>
      <c r="F3200"/>
      <c r="H3200"/>
      <c r="I3200"/>
      <c r="J3200"/>
      <c r="K3200"/>
      <c r="L3200"/>
    </row>
    <row r="3201" spans="2:12" ht="14.4" x14ac:dyDescent="0.3">
      <c r="B3201"/>
      <c r="C3201"/>
      <c r="D3201"/>
      <c r="E3201"/>
      <c r="F3201"/>
      <c r="H3201"/>
      <c r="I3201"/>
      <c r="J3201"/>
      <c r="K3201"/>
      <c r="L3201"/>
    </row>
    <row r="3202" spans="2:12" ht="14.4" x14ac:dyDescent="0.3">
      <c r="B3202"/>
      <c r="C3202"/>
      <c r="D3202"/>
      <c r="E3202"/>
      <c r="F3202"/>
      <c r="H3202"/>
      <c r="I3202"/>
      <c r="J3202"/>
      <c r="K3202"/>
      <c r="L3202"/>
    </row>
    <row r="3203" spans="2:12" ht="14.4" x14ac:dyDescent="0.3">
      <c r="B3203"/>
      <c r="C3203"/>
      <c r="D3203"/>
      <c r="E3203"/>
      <c r="F3203"/>
      <c r="H3203"/>
      <c r="I3203"/>
      <c r="J3203"/>
      <c r="K3203"/>
      <c r="L3203"/>
    </row>
    <row r="3204" spans="2:12" ht="14.4" x14ac:dyDescent="0.3">
      <c r="B3204"/>
      <c r="C3204"/>
      <c r="D3204"/>
      <c r="E3204"/>
      <c r="F3204"/>
      <c r="H3204"/>
      <c r="I3204"/>
      <c r="J3204"/>
      <c r="K3204"/>
      <c r="L3204"/>
    </row>
    <row r="3205" spans="2:12" ht="14.4" x14ac:dyDescent="0.3">
      <c r="B3205"/>
      <c r="C3205"/>
      <c r="D3205"/>
      <c r="E3205"/>
      <c r="F3205"/>
      <c r="H3205"/>
      <c r="I3205"/>
      <c r="J3205"/>
      <c r="K3205"/>
      <c r="L3205"/>
    </row>
    <row r="3206" spans="2:12" ht="14.4" x14ac:dyDescent="0.3">
      <c r="B3206"/>
      <c r="C3206"/>
      <c r="D3206"/>
      <c r="E3206"/>
      <c r="F3206"/>
      <c r="H3206"/>
      <c r="I3206"/>
      <c r="J3206"/>
      <c r="K3206"/>
      <c r="L3206"/>
    </row>
    <row r="3207" spans="2:12" ht="14.4" x14ac:dyDescent="0.3">
      <c r="B3207"/>
      <c r="C3207"/>
      <c r="D3207"/>
      <c r="E3207"/>
      <c r="F3207"/>
      <c r="H3207"/>
      <c r="I3207"/>
      <c r="J3207"/>
      <c r="K3207"/>
      <c r="L3207"/>
    </row>
    <row r="3208" spans="2:12" ht="14.4" x14ac:dyDescent="0.3">
      <c r="B3208"/>
      <c r="C3208"/>
      <c r="D3208"/>
      <c r="E3208"/>
      <c r="F3208"/>
      <c r="H3208"/>
      <c r="I3208"/>
      <c r="J3208"/>
      <c r="K3208"/>
      <c r="L3208"/>
    </row>
    <row r="3209" spans="2:12" ht="14.4" x14ac:dyDescent="0.3">
      <c r="B3209"/>
      <c r="C3209"/>
      <c r="D3209"/>
      <c r="E3209"/>
      <c r="F3209"/>
      <c r="H3209"/>
      <c r="I3209"/>
      <c r="J3209"/>
      <c r="K3209"/>
      <c r="L3209"/>
    </row>
    <row r="3210" spans="2:12" ht="14.4" x14ac:dyDescent="0.3">
      <c r="B3210"/>
      <c r="C3210"/>
      <c r="D3210"/>
      <c r="E3210"/>
      <c r="F3210"/>
      <c r="H3210"/>
      <c r="I3210"/>
      <c r="J3210"/>
      <c r="K3210"/>
      <c r="L3210"/>
    </row>
    <row r="3211" spans="2:12" ht="14.4" x14ac:dyDescent="0.3">
      <c r="B3211"/>
      <c r="C3211"/>
      <c r="D3211"/>
      <c r="E3211"/>
      <c r="F3211"/>
      <c r="H3211"/>
      <c r="I3211"/>
      <c r="J3211"/>
      <c r="K3211"/>
      <c r="L3211"/>
    </row>
    <row r="3212" spans="2:12" ht="14.4" x14ac:dyDescent="0.3">
      <c r="B3212"/>
      <c r="C3212"/>
      <c r="D3212"/>
      <c r="E3212"/>
      <c r="F3212"/>
      <c r="H3212"/>
      <c r="I3212"/>
      <c r="J3212"/>
      <c r="K3212"/>
      <c r="L3212"/>
    </row>
    <row r="3213" spans="2:12" ht="14.4" x14ac:dyDescent="0.3">
      <c r="B3213"/>
      <c r="C3213"/>
      <c r="D3213"/>
      <c r="E3213"/>
      <c r="F3213"/>
      <c r="H3213"/>
      <c r="I3213"/>
      <c r="J3213"/>
      <c r="K3213"/>
      <c r="L3213"/>
    </row>
    <row r="3214" spans="2:12" ht="14.4" x14ac:dyDescent="0.3">
      <c r="B3214"/>
      <c r="C3214"/>
      <c r="D3214"/>
      <c r="E3214"/>
      <c r="F3214"/>
      <c r="H3214"/>
      <c r="I3214"/>
      <c r="J3214"/>
      <c r="K3214"/>
      <c r="L3214"/>
    </row>
    <row r="3215" spans="2:12" ht="14.4" x14ac:dyDescent="0.3">
      <c r="B3215"/>
      <c r="C3215"/>
      <c r="D3215"/>
      <c r="E3215"/>
      <c r="F3215"/>
      <c r="H3215"/>
      <c r="I3215"/>
      <c r="J3215"/>
      <c r="K3215"/>
      <c r="L3215"/>
    </row>
    <row r="3216" spans="2:12" ht="14.4" x14ac:dyDescent="0.3">
      <c r="B3216"/>
      <c r="C3216"/>
      <c r="D3216"/>
      <c r="E3216"/>
      <c r="F3216"/>
      <c r="H3216"/>
      <c r="I3216"/>
      <c r="J3216"/>
      <c r="K3216"/>
      <c r="L3216"/>
    </row>
    <row r="3217" spans="2:12" ht="14.4" x14ac:dyDescent="0.3">
      <c r="B3217"/>
      <c r="C3217"/>
      <c r="D3217"/>
      <c r="E3217"/>
      <c r="F3217"/>
      <c r="H3217"/>
      <c r="I3217"/>
      <c r="J3217"/>
      <c r="K3217"/>
      <c r="L3217"/>
    </row>
    <row r="3218" spans="2:12" ht="14.4" x14ac:dyDescent="0.3">
      <c r="B3218"/>
      <c r="C3218"/>
      <c r="D3218"/>
      <c r="E3218"/>
      <c r="F3218"/>
      <c r="H3218"/>
      <c r="I3218"/>
      <c r="J3218"/>
      <c r="K3218"/>
      <c r="L3218"/>
    </row>
    <row r="3219" spans="2:12" ht="14.4" x14ac:dyDescent="0.3">
      <c r="B3219"/>
      <c r="C3219"/>
      <c r="D3219"/>
      <c r="E3219"/>
      <c r="F3219"/>
      <c r="H3219"/>
      <c r="I3219"/>
      <c r="J3219"/>
      <c r="K3219"/>
      <c r="L3219"/>
    </row>
    <row r="3220" spans="2:12" ht="14.4" x14ac:dyDescent="0.3">
      <c r="B3220"/>
      <c r="C3220"/>
      <c r="D3220"/>
      <c r="E3220"/>
      <c r="F3220"/>
      <c r="H3220"/>
      <c r="I3220"/>
      <c r="J3220"/>
      <c r="K3220"/>
      <c r="L3220"/>
    </row>
    <row r="3221" spans="2:12" ht="14.4" x14ac:dyDescent="0.3">
      <c r="B3221"/>
      <c r="C3221"/>
      <c r="D3221"/>
      <c r="E3221"/>
      <c r="F3221"/>
      <c r="H3221"/>
      <c r="I3221"/>
      <c r="J3221"/>
      <c r="K3221"/>
      <c r="L3221"/>
    </row>
    <row r="3222" spans="2:12" ht="14.4" x14ac:dyDescent="0.3">
      <c r="B3222"/>
      <c r="C3222"/>
      <c r="D3222"/>
      <c r="E3222"/>
      <c r="F3222"/>
      <c r="H3222"/>
      <c r="I3222"/>
      <c r="J3222"/>
      <c r="K3222"/>
      <c r="L3222"/>
    </row>
    <row r="3223" spans="2:12" ht="14.4" x14ac:dyDescent="0.3">
      <c r="B3223"/>
      <c r="C3223"/>
      <c r="D3223"/>
      <c r="E3223"/>
      <c r="F3223"/>
      <c r="H3223"/>
      <c r="I3223"/>
      <c r="J3223"/>
      <c r="K3223"/>
      <c r="L3223"/>
    </row>
    <row r="3224" spans="2:12" ht="14.4" x14ac:dyDescent="0.3">
      <c r="B3224"/>
      <c r="C3224"/>
      <c r="D3224"/>
      <c r="E3224"/>
      <c r="F3224"/>
      <c r="H3224"/>
      <c r="I3224"/>
      <c r="J3224"/>
      <c r="K3224"/>
      <c r="L3224"/>
    </row>
    <row r="3225" spans="2:12" ht="14.4" x14ac:dyDescent="0.3">
      <c r="B3225"/>
      <c r="C3225"/>
      <c r="D3225"/>
      <c r="E3225"/>
      <c r="F3225"/>
      <c r="H3225"/>
      <c r="I3225"/>
      <c r="J3225"/>
      <c r="K3225"/>
      <c r="L3225"/>
    </row>
    <row r="3226" spans="2:12" ht="14.4" x14ac:dyDescent="0.3">
      <c r="B3226"/>
      <c r="C3226"/>
      <c r="D3226"/>
      <c r="E3226"/>
      <c r="F3226"/>
      <c r="H3226"/>
      <c r="I3226"/>
      <c r="J3226"/>
      <c r="K3226"/>
      <c r="L3226"/>
    </row>
    <row r="3227" spans="2:12" ht="14.4" x14ac:dyDescent="0.3">
      <c r="B3227"/>
      <c r="C3227"/>
      <c r="D3227"/>
      <c r="E3227"/>
      <c r="F3227"/>
      <c r="H3227"/>
      <c r="I3227"/>
      <c r="J3227"/>
      <c r="K3227"/>
      <c r="L3227"/>
    </row>
    <row r="3228" spans="2:12" ht="14.4" x14ac:dyDescent="0.3">
      <c r="B3228"/>
      <c r="C3228"/>
      <c r="D3228"/>
      <c r="E3228"/>
      <c r="F3228"/>
      <c r="H3228"/>
      <c r="I3228"/>
      <c r="J3228"/>
      <c r="K3228"/>
      <c r="L3228"/>
    </row>
    <row r="3229" spans="2:12" ht="14.4" x14ac:dyDescent="0.3">
      <c r="B3229"/>
      <c r="C3229"/>
      <c r="D3229"/>
      <c r="E3229"/>
      <c r="F3229"/>
      <c r="H3229"/>
      <c r="I3229"/>
      <c r="J3229"/>
      <c r="K3229"/>
      <c r="L3229"/>
    </row>
    <row r="3230" spans="2:12" ht="14.4" x14ac:dyDescent="0.3">
      <c r="B3230"/>
      <c r="C3230"/>
      <c r="D3230"/>
      <c r="E3230"/>
      <c r="F3230"/>
      <c r="H3230"/>
      <c r="I3230"/>
      <c r="J3230"/>
      <c r="K3230"/>
      <c r="L3230"/>
    </row>
    <row r="3231" spans="2:12" ht="14.4" x14ac:dyDescent="0.3">
      <c r="B3231"/>
      <c r="C3231"/>
      <c r="D3231"/>
      <c r="E3231"/>
      <c r="F3231"/>
      <c r="H3231"/>
      <c r="I3231"/>
      <c r="J3231"/>
      <c r="K3231"/>
      <c r="L3231"/>
    </row>
    <row r="3232" spans="2:12" ht="14.4" x14ac:dyDescent="0.3">
      <c r="B3232"/>
      <c r="C3232"/>
      <c r="D3232"/>
      <c r="E3232"/>
      <c r="F3232"/>
      <c r="H3232"/>
      <c r="I3232"/>
      <c r="J3232"/>
      <c r="K3232"/>
      <c r="L3232"/>
    </row>
    <row r="3233" spans="2:12" ht="14.4" x14ac:dyDescent="0.3">
      <c r="B3233"/>
      <c r="C3233"/>
      <c r="D3233"/>
      <c r="E3233"/>
      <c r="F3233"/>
      <c r="H3233"/>
      <c r="I3233"/>
      <c r="J3233"/>
      <c r="K3233"/>
      <c r="L3233"/>
    </row>
    <row r="3234" spans="2:12" ht="14.4" x14ac:dyDescent="0.3">
      <c r="B3234"/>
      <c r="C3234"/>
      <c r="D3234"/>
      <c r="E3234"/>
      <c r="F3234"/>
      <c r="H3234"/>
      <c r="I3234"/>
      <c r="J3234"/>
      <c r="K3234"/>
      <c r="L3234"/>
    </row>
    <row r="3235" spans="2:12" ht="14.4" x14ac:dyDescent="0.3">
      <c r="B3235"/>
      <c r="C3235"/>
      <c r="D3235"/>
      <c r="E3235"/>
      <c r="F3235"/>
      <c r="H3235"/>
      <c r="I3235"/>
      <c r="J3235"/>
      <c r="K3235"/>
      <c r="L3235"/>
    </row>
    <row r="3236" spans="2:12" ht="14.4" x14ac:dyDescent="0.3">
      <c r="B3236"/>
      <c r="C3236"/>
      <c r="D3236"/>
      <c r="E3236"/>
      <c r="F3236"/>
      <c r="H3236"/>
      <c r="I3236"/>
      <c r="J3236"/>
      <c r="K3236"/>
      <c r="L3236"/>
    </row>
    <row r="3237" spans="2:12" ht="14.4" x14ac:dyDescent="0.3">
      <c r="B3237"/>
      <c r="C3237"/>
      <c r="D3237"/>
      <c r="E3237"/>
      <c r="F3237"/>
      <c r="H3237"/>
      <c r="I3237"/>
      <c r="J3237"/>
      <c r="K3237"/>
      <c r="L3237"/>
    </row>
    <row r="3238" spans="2:12" ht="14.4" x14ac:dyDescent="0.3">
      <c r="B3238"/>
      <c r="C3238"/>
      <c r="D3238"/>
      <c r="E3238"/>
      <c r="F3238"/>
      <c r="H3238"/>
      <c r="I3238"/>
      <c r="J3238"/>
      <c r="K3238"/>
      <c r="L3238"/>
    </row>
    <row r="3239" spans="2:12" ht="14.4" x14ac:dyDescent="0.3">
      <c r="B3239"/>
      <c r="C3239"/>
      <c r="D3239"/>
      <c r="E3239"/>
      <c r="F3239"/>
      <c r="H3239"/>
      <c r="I3239"/>
      <c r="J3239"/>
      <c r="K3239"/>
      <c r="L3239"/>
    </row>
    <row r="3240" spans="2:12" ht="14.4" x14ac:dyDescent="0.3">
      <c r="B3240"/>
      <c r="C3240"/>
      <c r="D3240"/>
      <c r="E3240"/>
      <c r="F3240"/>
      <c r="H3240"/>
      <c r="I3240"/>
      <c r="J3240"/>
      <c r="K3240"/>
      <c r="L3240"/>
    </row>
    <row r="3241" spans="2:12" ht="14.4" x14ac:dyDescent="0.3">
      <c r="B3241"/>
      <c r="C3241"/>
      <c r="D3241"/>
      <c r="E3241"/>
      <c r="F3241"/>
      <c r="H3241"/>
      <c r="I3241"/>
      <c r="J3241"/>
      <c r="K3241"/>
      <c r="L3241"/>
    </row>
    <row r="3242" spans="2:12" ht="14.4" x14ac:dyDescent="0.3">
      <c r="B3242"/>
      <c r="C3242"/>
      <c r="D3242"/>
      <c r="E3242"/>
      <c r="F3242"/>
      <c r="H3242"/>
      <c r="I3242"/>
      <c r="J3242"/>
      <c r="K3242"/>
      <c r="L3242"/>
    </row>
    <row r="3243" spans="2:12" ht="14.4" x14ac:dyDescent="0.3">
      <c r="B3243"/>
      <c r="C3243"/>
      <c r="D3243"/>
      <c r="E3243"/>
      <c r="F3243"/>
      <c r="H3243"/>
      <c r="I3243"/>
      <c r="J3243"/>
      <c r="K3243"/>
      <c r="L3243"/>
    </row>
    <row r="3244" spans="2:12" ht="14.4" x14ac:dyDescent="0.3">
      <c r="B3244"/>
      <c r="C3244"/>
      <c r="D3244"/>
      <c r="E3244"/>
      <c r="F3244"/>
      <c r="H3244"/>
      <c r="I3244"/>
      <c r="J3244"/>
      <c r="K3244"/>
      <c r="L3244"/>
    </row>
    <row r="3245" spans="2:12" ht="14.4" x14ac:dyDescent="0.3">
      <c r="B3245"/>
      <c r="C3245"/>
      <c r="D3245"/>
      <c r="E3245"/>
      <c r="F3245"/>
      <c r="H3245"/>
      <c r="I3245"/>
      <c r="J3245"/>
      <c r="K3245"/>
      <c r="L3245"/>
    </row>
    <row r="3246" spans="2:12" ht="14.4" x14ac:dyDescent="0.3">
      <c r="B3246"/>
      <c r="C3246"/>
      <c r="D3246"/>
      <c r="E3246"/>
      <c r="F3246"/>
      <c r="H3246"/>
      <c r="I3246"/>
      <c r="J3246"/>
      <c r="K3246"/>
      <c r="L3246"/>
    </row>
    <row r="3247" spans="2:12" ht="14.4" x14ac:dyDescent="0.3">
      <c r="B3247"/>
      <c r="C3247"/>
      <c r="D3247"/>
      <c r="E3247"/>
      <c r="F3247"/>
      <c r="H3247"/>
      <c r="I3247"/>
      <c r="J3247"/>
      <c r="K3247"/>
      <c r="L3247"/>
    </row>
    <row r="3248" spans="2:12" ht="14.4" x14ac:dyDescent="0.3">
      <c r="B3248"/>
      <c r="C3248"/>
      <c r="D3248"/>
      <c r="E3248"/>
      <c r="F3248"/>
      <c r="H3248"/>
      <c r="I3248"/>
      <c r="J3248"/>
      <c r="K3248"/>
      <c r="L3248"/>
    </row>
    <row r="3249" spans="2:12" ht="14.4" x14ac:dyDescent="0.3">
      <c r="B3249"/>
      <c r="C3249"/>
      <c r="D3249"/>
      <c r="E3249"/>
      <c r="F3249"/>
      <c r="H3249"/>
      <c r="I3249"/>
      <c r="J3249"/>
      <c r="K3249"/>
      <c r="L3249"/>
    </row>
    <row r="3250" spans="2:12" ht="14.4" x14ac:dyDescent="0.3">
      <c r="B3250"/>
      <c r="C3250"/>
      <c r="D3250"/>
      <c r="E3250"/>
      <c r="F3250"/>
      <c r="H3250"/>
      <c r="I3250"/>
      <c r="J3250"/>
      <c r="K3250"/>
      <c r="L3250"/>
    </row>
    <row r="3251" spans="2:12" ht="14.4" x14ac:dyDescent="0.3">
      <c r="B3251"/>
      <c r="C3251"/>
      <c r="D3251"/>
      <c r="E3251"/>
      <c r="F3251"/>
      <c r="H3251"/>
      <c r="I3251"/>
      <c r="J3251"/>
      <c r="K3251"/>
      <c r="L3251"/>
    </row>
    <row r="3252" spans="2:12" ht="14.4" x14ac:dyDescent="0.3">
      <c r="B3252"/>
      <c r="C3252"/>
      <c r="D3252"/>
      <c r="E3252"/>
      <c r="F3252"/>
      <c r="H3252"/>
      <c r="I3252"/>
      <c r="J3252"/>
      <c r="K3252"/>
      <c r="L3252"/>
    </row>
    <row r="3253" spans="2:12" ht="14.4" x14ac:dyDescent="0.3">
      <c r="B3253"/>
      <c r="C3253"/>
      <c r="D3253"/>
      <c r="E3253"/>
      <c r="F3253"/>
      <c r="H3253"/>
      <c r="I3253"/>
      <c r="J3253"/>
      <c r="K3253"/>
      <c r="L3253"/>
    </row>
    <row r="3254" spans="2:12" ht="14.4" x14ac:dyDescent="0.3">
      <c r="B3254"/>
      <c r="C3254"/>
      <c r="D3254"/>
      <c r="E3254"/>
      <c r="F3254"/>
      <c r="H3254"/>
      <c r="I3254"/>
      <c r="J3254"/>
      <c r="K3254"/>
      <c r="L3254"/>
    </row>
    <row r="3255" spans="2:12" ht="14.4" x14ac:dyDescent="0.3">
      <c r="B3255"/>
      <c r="C3255"/>
      <c r="D3255"/>
      <c r="E3255"/>
      <c r="F3255"/>
      <c r="H3255"/>
      <c r="I3255"/>
      <c r="J3255"/>
      <c r="K3255"/>
      <c r="L3255"/>
    </row>
    <row r="3256" spans="2:12" ht="14.4" x14ac:dyDescent="0.3">
      <c r="B3256"/>
      <c r="C3256"/>
      <c r="D3256"/>
      <c r="E3256"/>
      <c r="F3256"/>
      <c r="H3256"/>
      <c r="I3256"/>
      <c r="J3256"/>
      <c r="K3256"/>
      <c r="L3256"/>
    </row>
    <row r="3257" spans="2:12" ht="14.4" x14ac:dyDescent="0.3">
      <c r="B3257"/>
      <c r="C3257"/>
      <c r="D3257"/>
      <c r="E3257"/>
      <c r="F3257"/>
      <c r="H3257"/>
      <c r="I3257"/>
      <c r="J3257"/>
      <c r="K3257"/>
      <c r="L3257"/>
    </row>
    <row r="3258" spans="2:12" ht="14.4" x14ac:dyDescent="0.3">
      <c r="B3258"/>
      <c r="C3258"/>
      <c r="D3258"/>
      <c r="E3258"/>
      <c r="F3258"/>
      <c r="H3258"/>
      <c r="I3258"/>
      <c r="J3258"/>
      <c r="K3258"/>
      <c r="L3258"/>
    </row>
    <row r="3259" spans="2:12" ht="14.4" x14ac:dyDescent="0.3">
      <c r="B3259"/>
      <c r="C3259"/>
      <c r="D3259"/>
      <c r="E3259"/>
      <c r="F3259"/>
      <c r="H3259"/>
      <c r="I3259"/>
      <c r="J3259"/>
      <c r="K3259"/>
      <c r="L3259"/>
    </row>
    <row r="3260" spans="2:12" ht="14.4" x14ac:dyDescent="0.3">
      <c r="B3260"/>
      <c r="C3260"/>
      <c r="D3260"/>
      <c r="E3260"/>
      <c r="F3260"/>
      <c r="H3260"/>
      <c r="I3260"/>
      <c r="J3260"/>
      <c r="K3260"/>
      <c r="L3260"/>
    </row>
    <row r="3261" spans="2:12" ht="14.4" x14ac:dyDescent="0.3">
      <c r="B3261"/>
      <c r="C3261"/>
      <c r="D3261"/>
      <c r="E3261"/>
      <c r="F3261"/>
      <c r="H3261"/>
      <c r="I3261"/>
      <c r="J3261"/>
      <c r="K3261"/>
      <c r="L3261"/>
    </row>
    <row r="3262" spans="2:12" ht="14.4" x14ac:dyDescent="0.3">
      <c r="B3262"/>
      <c r="C3262"/>
      <c r="D3262"/>
      <c r="E3262"/>
      <c r="F3262"/>
      <c r="H3262"/>
      <c r="I3262"/>
      <c r="J3262"/>
      <c r="K3262"/>
      <c r="L3262"/>
    </row>
    <row r="3263" spans="2:12" ht="14.4" x14ac:dyDescent="0.3">
      <c r="B3263"/>
      <c r="C3263"/>
      <c r="D3263"/>
      <c r="E3263"/>
      <c r="F3263"/>
      <c r="H3263"/>
      <c r="I3263"/>
      <c r="J3263"/>
      <c r="K3263"/>
      <c r="L3263"/>
    </row>
    <row r="3264" spans="2:12" ht="14.4" x14ac:dyDescent="0.3">
      <c r="B3264"/>
      <c r="C3264"/>
      <c r="D3264"/>
      <c r="E3264"/>
      <c r="F3264"/>
      <c r="H3264"/>
      <c r="I3264"/>
      <c r="J3264"/>
      <c r="K3264"/>
      <c r="L3264"/>
    </row>
    <row r="3265" spans="2:12" ht="14.4" x14ac:dyDescent="0.3">
      <c r="B3265"/>
      <c r="C3265"/>
      <c r="D3265"/>
      <c r="E3265"/>
      <c r="F3265"/>
      <c r="H3265"/>
      <c r="I3265"/>
      <c r="J3265"/>
      <c r="K3265"/>
      <c r="L3265"/>
    </row>
    <row r="3266" spans="2:12" ht="14.4" x14ac:dyDescent="0.3">
      <c r="B3266"/>
      <c r="C3266"/>
      <c r="D3266"/>
      <c r="E3266"/>
      <c r="F3266"/>
      <c r="H3266"/>
      <c r="I3266"/>
      <c r="J3266"/>
      <c r="K3266"/>
      <c r="L3266"/>
    </row>
    <row r="3267" spans="2:12" ht="14.4" x14ac:dyDescent="0.3">
      <c r="B3267"/>
      <c r="C3267"/>
      <c r="D3267"/>
      <c r="E3267"/>
      <c r="F3267"/>
      <c r="H3267"/>
      <c r="I3267"/>
      <c r="J3267"/>
      <c r="K3267"/>
      <c r="L3267"/>
    </row>
    <row r="3268" spans="2:12" ht="14.4" x14ac:dyDescent="0.3">
      <c r="B3268"/>
      <c r="C3268"/>
      <c r="D3268"/>
      <c r="E3268"/>
      <c r="F3268"/>
      <c r="H3268"/>
      <c r="I3268"/>
      <c r="J3268"/>
      <c r="K3268"/>
      <c r="L3268"/>
    </row>
    <row r="3269" spans="2:12" ht="14.4" x14ac:dyDescent="0.3">
      <c r="B3269"/>
      <c r="C3269"/>
      <c r="D3269"/>
      <c r="E3269"/>
      <c r="F3269"/>
      <c r="H3269"/>
      <c r="I3269"/>
      <c r="J3269"/>
      <c r="K3269"/>
      <c r="L3269"/>
    </row>
    <row r="3270" spans="2:12" ht="14.4" x14ac:dyDescent="0.3">
      <c r="B3270"/>
      <c r="C3270"/>
      <c r="D3270"/>
      <c r="E3270"/>
      <c r="F3270"/>
      <c r="H3270"/>
      <c r="I3270"/>
      <c r="J3270"/>
      <c r="K3270"/>
      <c r="L3270"/>
    </row>
    <row r="3271" spans="2:12" ht="14.4" x14ac:dyDescent="0.3">
      <c r="B3271"/>
      <c r="C3271"/>
      <c r="D3271"/>
      <c r="E3271"/>
      <c r="F3271"/>
      <c r="H3271"/>
      <c r="I3271"/>
      <c r="J3271"/>
      <c r="K3271"/>
      <c r="L3271"/>
    </row>
    <row r="3272" spans="2:12" ht="14.4" x14ac:dyDescent="0.3">
      <c r="B3272"/>
      <c r="C3272"/>
      <c r="D3272"/>
      <c r="E3272"/>
      <c r="F3272"/>
      <c r="H3272"/>
      <c r="I3272"/>
      <c r="J3272"/>
      <c r="K3272"/>
      <c r="L3272"/>
    </row>
    <row r="3273" spans="2:12" ht="14.4" x14ac:dyDescent="0.3">
      <c r="B3273"/>
      <c r="C3273"/>
      <c r="D3273"/>
      <c r="E3273"/>
      <c r="F3273"/>
      <c r="H3273"/>
      <c r="I3273"/>
      <c r="J3273"/>
      <c r="K3273"/>
      <c r="L3273"/>
    </row>
    <row r="3274" spans="2:12" ht="14.4" x14ac:dyDescent="0.3">
      <c r="B3274"/>
      <c r="C3274"/>
      <c r="D3274"/>
      <c r="E3274"/>
      <c r="F3274"/>
      <c r="H3274"/>
      <c r="I3274"/>
      <c r="J3274"/>
      <c r="K3274"/>
      <c r="L3274"/>
    </row>
    <row r="3275" spans="2:12" ht="14.4" x14ac:dyDescent="0.3">
      <c r="B3275"/>
      <c r="C3275"/>
      <c r="D3275"/>
      <c r="E3275"/>
      <c r="F3275"/>
      <c r="H3275"/>
      <c r="I3275"/>
      <c r="J3275"/>
      <c r="K3275"/>
      <c r="L3275"/>
    </row>
    <row r="3276" spans="2:12" ht="14.4" x14ac:dyDescent="0.3">
      <c r="B3276"/>
      <c r="C3276"/>
      <c r="D3276"/>
      <c r="E3276"/>
      <c r="F3276"/>
      <c r="H3276"/>
      <c r="I3276"/>
      <c r="J3276"/>
      <c r="K3276"/>
      <c r="L3276"/>
    </row>
    <row r="3277" spans="2:12" ht="14.4" x14ac:dyDescent="0.3">
      <c r="B3277"/>
      <c r="C3277"/>
      <c r="D3277"/>
      <c r="E3277"/>
      <c r="F3277"/>
      <c r="H3277"/>
      <c r="I3277"/>
      <c r="J3277"/>
      <c r="K3277"/>
      <c r="L3277"/>
    </row>
    <row r="3278" spans="2:12" ht="14.4" x14ac:dyDescent="0.3">
      <c r="B3278"/>
      <c r="C3278"/>
      <c r="D3278"/>
      <c r="E3278"/>
      <c r="F3278"/>
      <c r="H3278"/>
      <c r="I3278"/>
      <c r="J3278"/>
      <c r="K3278"/>
      <c r="L3278"/>
    </row>
    <row r="3279" spans="2:12" ht="14.4" x14ac:dyDescent="0.3">
      <c r="B3279"/>
      <c r="C3279"/>
      <c r="D3279"/>
      <c r="E3279"/>
      <c r="F3279"/>
      <c r="H3279"/>
      <c r="I3279"/>
      <c r="J3279"/>
      <c r="K3279"/>
      <c r="L3279"/>
    </row>
    <row r="3280" spans="2:12" ht="14.4" x14ac:dyDescent="0.3">
      <c r="B3280"/>
      <c r="C3280"/>
      <c r="D3280"/>
      <c r="E3280"/>
      <c r="F3280"/>
      <c r="H3280"/>
      <c r="I3280"/>
      <c r="J3280"/>
      <c r="K3280"/>
      <c r="L3280"/>
    </row>
    <row r="3281" spans="2:12" ht="14.4" x14ac:dyDescent="0.3">
      <c r="B3281"/>
      <c r="C3281"/>
      <c r="D3281"/>
      <c r="E3281"/>
      <c r="F3281"/>
      <c r="H3281"/>
      <c r="I3281"/>
      <c r="J3281"/>
      <c r="K3281"/>
      <c r="L3281"/>
    </row>
    <row r="3282" spans="2:12" ht="14.4" x14ac:dyDescent="0.3">
      <c r="B3282"/>
      <c r="C3282"/>
      <c r="D3282"/>
      <c r="E3282"/>
      <c r="F3282"/>
      <c r="H3282"/>
      <c r="I3282"/>
      <c r="J3282"/>
      <c r="K3282"/>
      <c r="L3282"/>
    </row>
    <row r="3283" spans="2:12" ht="14.4" x14ac:dyDescent="0.3">
      <c r="B3283"/>
      <c r="C3283"/>
      <c r="D3283"/>
      <c r="E3283"/>
      <c r="F3283"/>
      <c r="H3283"/>
      <c r="I3283"/>
      <c r="J3283"/>
      <c r="K3283"/>
      <c r="L3283"/>
    </row>
    <row r="3284" spans="2:12" ht="14.4" x14ac:dyDescent="0.3">
      <c r="B3284"/>
      <c r="C3284"/>
      <c r="D3284"/>
      <c r="E3284"/>
      <c r="F3284"/>
      <c r="H3284"/>
      <c r="I3284"/>
      <c r="J3284"/>
      <c r="K3284"/>
      <c r="L3284"/>
    </row>
    <row r="3285" spans="2:12" ht="14.4" x14ac:dyDescent="0.3">
      <c r="B3285"/>
      <c r="C3285"/>
      <c r="D3285"/>
      <c r="E3285"/>
      <c r="F3285"/>
      <c r="H3285"/>
      <c r="I3285"/>
      <c r="J3285"/>
      <c r="K3285"/>
      <c r="L3285"/>
    </row>
    <row r="3286" spans="2:12" ht="14.4" x14ac:dyDescent="0.3">
      <c r="B3286"/>
      <c r="C3286"/>
      <c r="D3286"/>
      <c r="E3286"/>
      <c r="F3286"/>
      <c r="H3286"/>
      <c r="I3286"/>
      <c r="J3286"/>
      <c r="K3286"/>
      <c r="L3286"/>
    </row>
    <row r="3287" spans="2:12" ht="14.4" x14ac:dyDescent="0.3">
      <c r="B3287"/>
      <c r="C3287"/>
      <c r="D3287"/>
      <c r="E3287"/>
      <c r="F3287"/>
      <c r="H3287"/>
      <c r="I3287"/>
      <c r="J3287"/>
      <c r="K3287"/>
      <c r="L3287"/>
    </row>
    <row r="3288" spans="2:12" ht="14.4" x14ac:dyDescent="0.3">
      <c r="B3288"/>
      <c r="C3288"/>
      <c r="D3288"/>
      <c r="E3288"/>
      <c r="F3288"/>
      <c r="H3288"/>
      <c r="I3288"/>
      <c r="J3288"/>
      <c r="K3288"/>
      <c r="L3288"/>
    </row>
    <row r="3289" spans="2:12" ht="14.4" x14ac:dyDescent="0.3">
      <c r="B3289"/>
      <c r="C3289"/>
      <c r="D3289"/>
      <c r="E3289"/>
      <c r="F3289"/>
      <c r="H3289"/>
      <c r="I3289"/>
      <c r="J3289"/>
      <c r="K3289"/>
      <c r="L3289"/>
    </row>
    <row r="3290" spans="2:12" ht="14.4" x14ac:dyDescent="0.3">
      <c r="B3290"/>
      <c r="C3290"/>
      <c r="D3290"/>
      <c r="E3290"/>
      <c r="F3290"/>
      <c r="H3290"/>
      <c r="I3290"/>
      <c r="J3290"/>
      <c r="K3290"/>
      <c r="L3290"/>
    </row>
    <row r="3291" spans="2:12" ht="14.4" x14ac:dyDescent="0.3">
      <c r="B3291"/>
      <c r="C3291"/>
      <c r="D3291"/>
      <c r="E3291"/>
      <c r="F3291"/>
      <c r="H3291"/>
      <c r="I3291"/>
      <c r="J3291"/>
      <c r="K3291"/>
      <c r="L3291"/>
    </row>
    <row r="3292" spans="2:12" ht="14.4" x14ac:dyDescent="0.3">
      <c r="B3292"/>
      <c r="C3292"/>
      <c r="D3292"/>
      <c r="E3292"/>
      <c r="F3292"/>
      <c r="H3292"/>
      <c r="I3292"/>
      <c r="J3292"/>
      <c r="K3292"/>
      <c r="L3292"/>
    </row>
    <row r="3293" spans="2:12" ht="14.4" x14ac:dyDescent="0.3">
      <c r="B3293"/>
      <c r="C3293"/>
      <c r="D3293"/>
      <c r="E3293"/>
      <c r="F3293"/>
      <c r="H3293"/>
      <c r="I3293"/>
      <c r="J3293"/>
      <c r="K3293"/>
      <c r="L3293"/>
    </row>
    <row r="3294" spans="2:12" ht="14.4" x14ac:dyDescent="0.3">
      <c r="B3294"/>
      <c r="C3294"/>
      <c r="D3294"/>
      <c r="E3294"/>
      <c r="F3294"/>
      <c r="H3294"/>
      <c r="I3294"/>
      <c r="J3294"/>
      <c r="K3294"/>
      <c r="L3294"/>
    </row>
    <row r="3295" spans="2:12" ht="14.4" x14ac:dyDescent="0.3">
      <c r="B3295"/>
      <c r="C3295"/>
      <c r="D3295"/>
      <c r="E3295"/>
      <c r="F3295"/>
      <c r="H3295"/>
      <c r="I3295"/>
      <c r="J3295"/>
      <c r="K3295"/>
      <c r="L3295"/>
    </row>
    <row r="3296" spans="2:12" ht="14.4" x14ac:dyDescent="0.3">
      <c r="B3296"/>
      <c r="C3296"/>
      <c r="D3296"/>
      <c r="E3296"/>
      <c r="F3296"/>
      <c r="H3296"/>
      <c r="I3296"/>
      <c r="J3296"/>
      <c r="K3296"/>
      <c r="L3296"/>
    </row>
    <row r="3297" spans="2:12" ht="14.4" x14ac:dyDescent="0.3">
      <c r="B3297"/>
      <c r="C3297"/>
      <c r="D3297"/>
      <c r="E3297"/>
      <c r="F3297"/>
      <c r="H3297"/>
      <c r="I3297"/>
      <c r="J3297"/>
      <c r="K3297"/>
      <c r="L3297"/>
    </row>
    <row r="3298" spans="2:12" ht="14.4" x14ac:dyDescent="0.3">
      <c r="B3298"/>
      <c r="C3298"/>
      <c r="D3298"/>
      <c r="E3298"/>
      <c r="F3298"/>
      <c r="H3298"/>
      <c r="I3298"/>
      <c r="J3298"/>
      <c r="K3298"/>
      <c r="L3298"/>
    </row>
    <row r="3299" spans="2:12" ht="14.4" x14ac:dyDescent="0.3">
      <c r="B3299"/>
      <c r="C3299"/>
      <c r="D3299"/>
      <c r="E3299"/>
      <c r="F3299"/>
      <c r="H3299"/>
      <c r="I3299"/>
      <c r="J3299"/>
      <c r="K3299"/>
      <c r="L3299"/>
    </row>
    <row r="3300" spans="2:12" ht="14.4" x14ac:dyDescent="0.3">
      <c r="B3300"/>
      <c r="C3300"/>
      <c r="D3300"/>
      <c r="E3300"/>
      <c r="F3300"/>
      <c r="H3300"/>
      <c r="I3300"/>
      <c r="J3300"/>
      <c r="K3300"/>
      <c r="L3300"/>
    </row>
    <row r="3301" spans="2:12" ht="14.4" x14ac:dyDescent="0.3">
      <c r="B3301"/>
      <c r="C3301"/>
      <c r="D3301"/>
      <c r="E3301"/>
      <c r="F3301"/>
      <c r="H3301"/>
      <c r="I3301"/>
      <c r="J3301"/>
      <c r="K3301"/>
      <c r="L3301"/>
    </row>
    <row r="3302" spans="2:12" ht="14.4" x14ac:dyDescent="0.3">
      <c r="B3302"/>
      <c r="C3302"/>
      <c r="D3302"/>
      <c r="E3302"/>
      <c r="F3302"/>
      <c r="H3302"/>
      <c r="I3302"/>
      <c r="J3302"/>
      <c r="K3302"/>
      <c r="L3302"/>
    </row>
    <row r="3303" spans="2:12" ht="14.4" x14ac:dyDescent="0.3">
      <c r="B3303"/>
      <c r="C3303"/>
      <c r="D3303"/>
      <c r="E3303"/>
      <c r="F3303"/>
      <c r="H3303"/>
      <c r="I3303"/>
      <c r="J3303"/>
      <c r="K3303"/>
      <c r="L3303"/>
    </row>
    <row r="3304" spans="2:12" ht="14.4" x14ac:dyDescent="0.3">
      <c r="B3304"/>
      <c r="C3304"/>
      <c r="D3304"/>
      <c r="E3304"/>
      <c r="F3304"/>
      <c r="H3304"/>
      <c r="I3304"/>
      <c r="J3304"/>
      <c r="K3304"/>
      <c r="L3304"/>
    </row>
    <row r="3305" spans="2:12" ht="14.4" x14ac:dyDescent="0.3">
      <c r="B3305"/>
      <c r="C3305"/>
      <c r="D3305"/>
      <c r="E3305"/>
      <c r="F3305"/>
      <c r="H3305"/>
      <c r="I3305"/>
      <c r="J3305"/>
      <c r="K3305"/>
      <c r="L3305"/>
    </row>
    <row r="3306" spans="2:12" ht="14.4" x14ac:dyDescent="0.3">
      <c r="B3306"/>
      <c r="C3306"/>
      <c r="D3306"/>
      <c r="E3306"/>
      <c r="F3306"/>
      <c r="H3306"/>
      <c r="I3306"/>
      <c r="J3306"/>
      <c r="K3306"/>
      <c r="L3306"/>
    </row>
    <row r="3307" spans="2:12" ht="14.4" x14ac:dyDescent="0.3">
      <c r="B3307"/>
      <c r="C3307"/>
      <c r="D3307"/>
      <c r="E3307"/>
      <c r="F3307"/>
      <c r="H3307"/>
      <c r="I3307"/>
      <c r="J3307"/>
      <c r="K3307"/>
      <c r="L3307"/>
    </row>
    <row r="3308" spans="2:12" ht="14.4" x14ac:dyDescent="0.3">
      <c r="B3308"/>
      <c r="C3308"/>
      <c r="D3308"/>
      <c r="E3308"/>
      <c r="F3308"/>
      <c r="H3308"/>
      <c r="I3308"/>
      <c r="J3308"/>
      <c r="K3308"/>
      <c r="L3308"/>
    </row>
    <row r="3309" spans="2:12" ht="14.4" x14ac:dyDescent="0.3">
      <c r="B3309"/>
      <c r="C3309"/>
      <c r="D3309"/>
      <c r="E3309"/>
      <c r="F3309"/>
      <c r="H3309"/>
      <c r="I3309"/>
      <c r="J3309"/>
      <c r="K3309"/>
      <c r="L3309"/>
    </row>
    <row r="3310" spans="2:12" ht="14.4" x14ac:dyDescent="0.3">
      <c r="B3310"/>
      <c r="C3310"/>
      <c r="D3310"/>
      <c r="E3310"/>
      <c r="F3310"/>
      <c r="H3310"/>
      <c r="I3310"/>
      <c r="J3310"/>
      <c r="K3310"/>
      <c r="L3310"/>
    </row>
    <row r="3311" spans="2:12" ht="14.4" x14ac:dyDescent="0.3">
      <c r="B3311"/>
      <c r="C3311"/>
      <c r="D3311"/>
      <c r="E3311"/>
      <c r="F3311"/>
      <c r="H3311"/>
      <c r="I3311"/>
      <c r="J3311"/>
      <c r="K3311"/>
      <c r="L3311"/>
    </row>
    <row r="3312" spans="2:12" ht="14.4" x14ac:dyDescent="0.3">
      <c r="B3312"/>
      <c r="C3312"/>
      <c r="D3312"/>
      <c r="E3312"/>
      <c r="F3312"/>
      <c r="H3312"/>
      <c r="I3312"/>
      <c r="J3312"/>
      <c r="K3312"/>
      <c r="L3312"/>
    </row>
    <row r="3313" spans="2:12" ht="14.4" x14ac:dyDescent="0.3">
      <c r="B3313"/>
      <c r="C3313"/>
      <c r="D3313"/>
      <c r="E3313"/>
      <c r="F3313"/>
      <c r="H3313"/>
      <c r="I3313"/>
      <c r="J3313"/>
      <c r="K3313"/>
      <c r="L3313"/>
    </row>
    <row r="3314" spans="2:12" ht="14.4" x14ac:dyDescent="0.3">
      <c r="B3314"/>
      <c r="C3314"/>
      <c r="D3314"/>
      <c r="E3314"/>
      <c r="F3314"/>
      <c r="H3314"/>
      <c r="I3314"/>
      <c r="J3314"/>
      <c r="K3314"/>
      <c r="L3314"/>
    </row>
    <row r="3315" spans="2:12" ht="14.4" x14ac:dyDescent="0.3">
      <c r="B3315"/>
      <c r="C3315"/>
      <c r="D3315"/>
      <c r="E3315"/>
      <c r="F3315"/>
      <c r="H3315"/>
      <c r="I3315"/>
      <c r="J3315"/>
      <c r="K3315"/>
      <c r="L3315"/>
    </row>
    <row r="3316" spans="2:12" ht="14.4" x14ac:dyDescent="0.3">
      <c r="B3316"/>
      <c r="C3316"/>
      <c r="D3316"/>
      <c r="E3316"/>
      <c r="F3316"/>
      <c r="H3316"/>
      <c r="I3316"/>
      <c r="J3316"/>
      <c r="K3316"/>
      <c r="L3316"/>
    </row>
    <row r="3317" spans="2:12" ht="14.4" x14ac:dyDescent="0.3">
      <c r="B3317"/>
      <c r="C3317"/>
      <c r="D3317"/>
      <c r="E3317"/>
      <c r="F3317"/>
      <c r="H3317"/>
      <c r="I3317"/>
      <c r="J3317"/>
      <c r="K3317"/>
      <c r="L3317"/>
    </row>
    <row r="3318" spans="2:12" ht="14.4" x14ac:dyDescent="0.3">
      <c r="B3318"/>
      <c r="C3318"/>
      <c r="D3318"/>
      <c r="E3318"/>
      <c r="F3318"/>
      <c r="H3318"/>
      <c r="I3318"/>
      <c r="J3318"/>
      <c r="K3318"/>
      <c r="L3318"/>
    </row>
    <row r="3319" spans="2:12" ht="14.4" x14ac:dyDescent="0.3">
      <c r="B3319"/>
      <c r="C3319"/>
      <c r="D3319"/>
      <c r="E3319"/>
      <c r="F3319"/>
      <c r="H3319"/>
      <c r="I3319"/>
      <c r="J3319"/>
      <c r="K3319"/>
      <c r="L3319"/>
    </row>
    <row r="3320" spans="2:12" ht="14.4" x14ac:dyDescent="0.3">
      <c r="B3320"/>
      <c r="C3320"/>
      <c r="D3320"/>
      <c r="E3320"/>
      <c r="F3320"/>
      <c r="H3320"/>
      <c r="I3320"/>
      <c r="J3320"/>
      <c r="K3320"/>
      <c r="L3320"/>
    </row>
    <row r="3321" spans="2:12" ht="14.4" x14ac:dyDescent="0.3">
      <c r="B3321"/>
      <c r="C3321"/>
      <c r="D3321"/>
      <c r="E3321"/>
      <c r="F3321"/>
      <c r="H3321"/>
      <c r="I3321"/>
      <c r="J3321"/>
      <c r="K3321"/>
      <c r="L3321"/>
    </row>
    <row r="3322" spans="2:12" ht="14.4" x14ac:dyDescent="0.3">
      <c r="B3322"/>
      <c r="C3322"/>
      <c r="D3322"/>
      <c r="E3322"/>
      <c r="F3322"/>
      <c r="H3322"/>
      <c r="I3322"/>
      <c r="J3322"/>
      <c r="K3322"/>
      <c r="L3322"/>
    </row>
    <row r="3323" spans="2:12" ht="14.4" x14ac:dyDescent="0.3">
      <c r="B3323"/>
      <c r="C3323"/>
      <c r="D3323"/>
      <c r="E3323"/>
      <c r="F3323"/>
      <c r="H3323"/>
      <c r="I3323"/>
      <c r="J3323"/>
      <c r="K3323"/>
      <c r="L3323"/>
    </row>
    <row r="3324" spans="2:12" ht="14.4" x14ac:dyDescent="0.3">
      <c r="B3324"/>
      <c r="C3324"/>
      <c r="D3324"/>
      <c r="E3324"/>
      <c r="F3324"/>
      <c r="H3324"/>
      <c r="I3324"/>
      <c r="J3324"/>
      <c r="K3324"/>
      <c r="L3324"/>
    </row>
    <row r="3325" spans="2:12" ht="14.4" x14ac:dyDescent="0.3">
      <c r="B3325"/>
      <c r="C3325"/>
      <c r="D3325"/>
      <c r="E3325"/>
      <c r="F3325"/>
      <c r="H3325"/>
      <c r="I3325"/>
      <c r="J3325"/>
      <c r="K3325"/>
      <c r="L3325"/>
    </row>
    <row r="3326" spans="2:12" ht="14.4" x14ac:dyDescent="0.3">
      <c r="B3326"/>
      <c r="C3326"/>
      <c r="D3326"/>
      <c r="E3326"/>
      <c r="F3326"/>
      <c r="H3326"/>
      <c r="I3326"/>
      <c r="J3326"/>
      <c r="K3326"/>
      <c r="L3326"/>
    </row>
    <row r="3327" spans="2:12" ht="14.4" x14ac:dyDescent="0.3">
      <c r="B3327"/>
      <c r="C3327"/>
      <c r="D3327"/>
      <c r="E3327"/>
      <c r="F3327"/>
      <c r="H3327"/>
      <c r="I3327"/>
      <c r="J3327"/>
      <c r="K3327"/>
      <c r="L3327"/>
    </row>
    <row r="3328" spans="2:12" ht="14.4" x14ac:dyDescent="0.3">
      <c r="B3328"/>
      <c r="C3328"/>
      <c r="D3328"/>
      <c r="E3328"/>
      <c r="F3328"/>
      <c r="H3328"/>
      <c r="I3328"/>
      <c r="J3328"/>
      <c r="K3328"/>
      <c r="L3328"/>
    </row>
    <row r="3329" spans="2:12" ht="14.4" x14ac:dyDescent="0.3">
      <c r="B3329"/>
      <c r="C3329"/>
      <c r="D3329"/>
      <c r="E3329"/>
      <c r="F3329"/>
      <c r="H3329"/>
      <c r="I3329"/>
      <c r="J3329"/>
      <c r="K3329"/>
      <c r="L3329"/>
    </row>
    <row r="3330" spans="2:12" ht="14.4" x14ac:dyDescent="0.3">
      <c r="B3330"/>
      <c r="C3330"/>
      <c r="D3330"/>
      <c r="E3330"/>
      <c r="F3330"/>
      <c r="H3330"/>
      <c r="I3330"/>
      <c r="J3330"/>
      <c r="K3330"/>
      <c r="L3330"/>
    </row>
    <row r="3331" spans="2:12" ht="14.4" x14ac:dyDescent="0.3">
      <c r="B3331"/>
      <c r="C3331"/>
      <c r="D3331"/>
      <c r="E3331"/>
      <c r="F3331"/>
      <c r="H3331"/>
      <c r="I3331"/>
      <c r="J3331"/>
      <c r="K3331"/>
      <c r="L3331"/>
    </row>
    <row r="3332" spans="2:12" ht="14.4" x14ac:dyDescent="0.3">
      <c r="B3332"/>
      <c r="C3332"/>
      <c r="D3332"/>
      <c r="E3332"/>
      <c r="F3332"/>
      <c r="H3332"/>
      <c r="I3332"/>
      <c r="J3332"/>
      <c r="K3332"/>
      <c r="L3332"/>
    </row>
    <row r="3333" spans="2:12" ht="14.4" x14ac:dyDescent="0.3">
      <c r="B3333"/>
      <c r="C3333"/>
      <c r="D3333"/>
      <c r="E3333"/>
      <c r="F3333"/>
      <c r="H3333"/>
      <c r="I3333"/>
      <c r="J3333"/>
      <c r="K3333"/>
      <c r="L3333"/>
    </row>
    <row r="3334" spans="2:12" ht="14.4" x14ac:dyDescent="0.3">
      <c r="B3334"/>
      <c r="C3334"/>
      <c r="D3334"/>
      <c r="E3334"/>
      <c r="F3334"/>
      <c r="H3334"/>
      <c r="I3334"/>
      <c r="J3334"/>
      <c r="K3334"/>
      <c r="L3334"/>
    </row>
    <row r="3335" spans="2:12" ht="14.4" x14ac:dyDescent="0.3">
      <c r="B3335"/>
      <c r="C3335"/>
      <c r="D3335"/>
      <c r="E3335"/>
      <c r="F3335"/>
      <c r="H3335"/>
      <c r="I3335"/>
      <c r="J3335"/>
      <c r="K3335"/>
      <c r="L3335"/>
    </row>
    <row r="3336" spans="2:12" ht="14.4" x14ac:dyDescent="0.3">
      <c r="B3336"/>
      <c r="C3336"/>
      <c r="D3336"/>
      <c r="E3336"/>
      <c r="F3336"/>
      <c r="H3336"/>
      <c r="I3336"/>
      <c r="J3336"/>
      <c r="K3336"/>
      <c r="L3336"/>
    </row>
    <row r="3337" spans="2:12" ht="14.4" x14ac:dyDescent="0.3">
      <c r="B3337"/>
      <c r="C3337"/>
      <c r="D3337"/>
      <c r="E3337"/>
      <c r="F3337"/>
      <c r="H3337"/>
      <c r="I3337"/>
      <c r="J3337"/>
      <c r="K3337"/>
      <c r="L3337"/>
    </row>
    <row r="3338" spans="2:12" ht="14.4" x14ac:dyDescent="0.3">
      <c r="B3338"/>
      <c r="C3338"/>
      <c r="D3338"/>
      <c r="E3338"/>
      <c r="F3338"/>
      <c r="H3338"/>
      <c r="I3338"/>
      <c r="J3338"/>
      <c r="K3338"/>
      <c r="L3338"/>
    </row>
    <row r="3339" spans="2:12" ht="14.4" x14ac:dyDescent="0.3">
      <c r="B3339"/>
      <c r="C3339"/>
      <c r="D3339"/>
      <c r="E3339"/>
      <c r="F3339"/>
      <c r="H3339"/>
      <c r="I3339"/>
      <c r="J3339"/>
      <c r="K3339"/>
      <c r="L3339"/>
    </row>
    <row r="3340" spans="2:12" ht="14.4" x14ac:dyDescent="0.3">
      <c r="B3340"/>
      <c r="C3340"/>
      <c r="D3340"/>
      <c r="E3340"/>
      <c r="F3340"/>
      <c r="H3340"/>
      <c r="I3340"/>
      <c r="J3340"/>
      <c r="K3340"/>
      <c r="L3340"/>
    </row>
    <row r="3341" spans="2:12" ht="14.4" x14ac:dyDescent="0.3">
      <c r="B3341"/>
      <c r="C3341"/>
      <c r="D3341"/>
      <c r="E3341"/>
      <c r="F3341"/>
      <c r="H3341"/>
      <c r="I3341"/>
      <c r="J3341"/>
      <c r="K3341"/>
      <c r="L3341"/>
    </row>
    <row r="3342" spans="2:12" ht="14.4" x14ac:dyDescent="0.3">
      <c r="B3342"/>
      <c r="C3342"/>
      <c r="D3342"/>
      <c r="E3342"/>
      <c r="F3342"/>
      <c r="H3342"/>
      <c r="I3342"/>
      <c r="J3342"/>
      <c r="K3342"/>
      <c r="L3342"/>
    </row>
    <row r="3343" spans="2:12" ht="14.4" x14ac:dyDescent="0.3">
      <c r="B3343"/>
      <c r="C3343"/>
      <c r="D3343"/>
      <c r="E3343"/>
      <c r="F3343"/>
      <c r="H3343"/>
      <c r="I3343"/>
      <c r="J3343"/>
      <c r="K3343"/>
      <c r="L3343"/>
    </row>
    <row r="3344" spans="2:12" ht="14.4" x14ac:dyDescent="0.3">
      <c r="B3344"/>
      <c r="C3344"/>
      <c r="D3344"/>
      <c r="E3344"/>
      <c r="F3344"/>
      <c r="H3344"/>
      <c r="I3344"/>
      <c r="J3344"/>
      <c r="K3344"/>
      <c r="L3344"/>
    </row>
    <row r="3345" spans="2:12" ht="14.4" x14ac:dyDescent="0.3">
      <c r="B3345"/>
      <c r="C3345"/>
      <c r="D3345"/>
      <c r="E3345"/>
      <c r="F3345"/>
      <c r="H3345"/>
      <c r="I3345"/>
      <c r="J3345"/>
      <c r="K3345"/>
      <c r="L3345"/>
    </row>
    <row r="3346" spans="2:12" ht="14.4" x14ac:dyDescent="0.3">
      <c r="B3346"/>
      <c r="C3346"/>
      <c r="D3346"/>
      <c r="E3346"/>
      <c r="F3346"/>
      <c r="H3346"/>
      <c r="I3346"/>
      <c r="J3346"/>
      <c r="K3346"/>
      <c r="L3346"/>
    </row>
    <row r="3347" spans="2:12" ht="14.4" x14ac:dyDescent="0.3">
      <c r="B3347"/>
      <c r="C3347"/>
      <c r="D3347"/>
      <c r="E3347"/>
      <c r="F3347"/>
      <c r="H3347"/>
      <c r="I3347"/>
      <c r="J3347"/>
      <c r="K3347"/>
      <c r="L3347"/>
    </row>
    <row r="3348" spans="2:12" ht="14.4" x14ac:dyDescent="0.3">
      <c r="B3348"/>
      <c r="C3348"/>
      <c r="D3348"/>
      <c r="E3348"/>
      <c r="F3348"/>
      <c r="H3348"/>
      <c r="I3348"/>
      <c r="J3348"/>
      <c r="K3348"/>
      <c r="L3348"/>
    </row>
    <row r="3349" spans="2:12" ht="14.4" x14ac:dyDescent="0.3">
      <c r="B3349"/>
      <c r="C3349"/>
      <c r="D3349"/>
      <c r="E3349"/>
      <c r="F3349"/>
      <c r="H3349"/>
      <c r="I3349"/>
      <c r="J3349"/>
      <c r="K3349"/>
      <c r="L3349"/>
    </row>
    <row r="3350" spans="2:12" ht="14.4" x14ac:dyDescent="0.3">
      <c r="B3350"/>
      <c r="C3350"/>
      <c r="D3350"/>
      <c r="E3350"/>
      <c r="F3350"/>
      <c r="H3350"/>
      <c r="I3350"/>
      <c r="J3350"/>
      <c r="K3350"/>
      <c r="L3350"/>
    </row>
    <row r="3351" spans="2:12" ht="14.4" x14ac:dyDescent="0.3">
      <c r="B3351"/>
      <c r="C3351"/>
      <c r="D3351"/>
      <c r="E3351"/>
      <c r="F3351"/>
      <c r="H3351"/>
      <c r="I3351"/>
      <c r="J3351"/>
      <c r="K3351"/>
      <c r="L3351"/>
    </row>
    <row r="3352" spans="2:12" ht="14.4" x14ac:dyDescent="0.3">
      <c r="B3352"/>
      <c r="C3352"/>
      <c r="D3352"/>
      <c r="E3352"/>
      <c r="F3352"/>
      <c r="H3352"/>
      <c r="I3352"/>
      <c r="J3352"/>
      <c r="K3352"/>
      <c r="L3352"/>
    </row>
    <row r="3353" spans="2:12" ht="14.4" x14ac:dyDescent="0.3">
      <c r="B3353"/>
      <c r="C3353"/>
      <c r="D3353"/>
      <c r="E3353"/>
      <c r="F3353"/>
      <c r="H3353"/>
      <c r="I3353"/>
      <c r="J3353"/>
      <c r="K3353"/>
      <c r="L3353"/>
    </row>
    <row r="3354" spans="2:12" ht="14.4" x14ac:dyDescent="0.3">
      <c r="B3354"/>
      <c r="C3354"/>
      <c r="D3354"/>
      <c r="E3354"/>
      <c r="F3354"/>
      <c r="H3354"/>
      <c r="I3354"/>
      <c r="J3354"/>
      <c r="K3354"/>
      <c r="L3354"/>
    </row>
    <row r="3355" spans="2:12" ht="14.4" x14ac:dyDescent="0.3">
      <c r="B3355"/>
      <c r="C3355"/>
      <c r="D3355"/>
      <c r="E3355"/>
      <c r="F3355"/>
      <c r="H3355"/>
      <c r="I3355"/>
      <c r="J3355"/>
      <c r="K3355"/>
      <c r="L3355"/>
    </row>
    <row r="3356" spans="2:12" ht="14.4" x14ac:dyDescent="0.3">
      <c r="B3356"/>
      <c r="C3356"/>
      <c r="D3356"/>
      <c r="E3356"/>
      <c r="F3356"/>
      <c r="H3356"/>
      <c r="I3356"/>
      <c r="J3356"/>
      <c r="K3356"/>
      <c r="L3356"/>
    </row>
    <row r="3357" spans="2:12" ht="14.4" x14ac:dyDescent="0.3">
      <c r="B3357"/>
      <c r="C3357"/>
      <c r="D3357"/>
      <c r="E3357"/>
      <c r="F3357"/>
      <c r="H3357"/>
      <c r="I3357"/>
      <c r="J3357"/>
      <c r="K3357"/>
      <c r="L3357"/>
    </row>
    <row r="3358" spans="2:12" ht="14.4" x14ac:dyDescent="0.3">
      <c r="B3358"/>
      <c r="C3358"/>
      <c r="D3358"/>
      <c r="E3358"/>
      <c r="F3358"/>
      <c r="H3358"/>
      <c r="I3358"/>
      <c r="J3358"/>
      <c r="K3358"/>
      <c r="L3358"/>
    </row>
    <row r="3359" spans="2:12" ht="14.4" x14ac:dyDescent="0.3">
      <c r="B3359"/>
      <c r="C3359"/>
      <c r="D3359"/>
      <c r="E3359"/>
      <c r="F3359"/>
      <c r="H3359"/>
      <c r="I3359"/>
      <c r="J3359"/>
      <c r="K3359"/>
      <c r="L3359"/>
    </row>
    <row r="3360" spans="2:12" ht="14.4" x14ac:dyDescent="0.3">
      <c r="B3360"/>
      <c r="C3360"/>
      <c r="D3360"/>
      <c r="E3360"/>
      <c r="F3360"/>
      <c r="H3360"/>
      <c r="I3360"/>
      <c r="J3360"/>
      <c r="K3360"/>
      <c r="L3360"/>
    </row>
    <row r="3361" spans="2:12" ht="14.4" x14ac:dyDescent="0.3">
      <c r="B3361"/>
      <c r="C3361"/>
      <c r="D3361"/>
      <c r="E3361"/>
      <c r="F3361"/>
      <c r="H3361"/>
      <c r="I3361"/>
      <c r="J3361"/>
      <c r="K3361"/>
      <c r="L3361"/>
    </row>
    <row r="3362" spans="2:12" ht="14.4" x14ac:dyDescent="0.3">
      <c r="B3362"/>
      <c r="C3362"/>
      <c r="D3362"/>
      <c r="E3362"/>
      <c r="F3362"/>
      <c r="H3362"/>
      <c r="I3362"/>
      <c r="J3362"/>
      <c r="K3362"/>
      <c r="L3362"/>
    </row>
    <row r="3363" spans="2:12" ht="14.4" x14ac:dyDescent="0.3">
      <c r="B3363"/>
      <c r="C3363"/>
      <c r="D3363"/>
      <c r="E3363"/>
      <c r="F3363"/>
      <c r="H3363"/>
      <c r="I3363"/>
      <c r="J3363"/>
      <c r="K3363"/>
      <c r="L3363"/>
    </row>
    <row r="3364" spans="2:12" ht="14.4" x14ac:dyDescent="0.3">
      <c r="B3364"/>
      <c r="C3364"/>
      <c r="D3364"/>
      <c r="E3364"/>
      <c r="F3364"/>
      <c r="H3364"/>
      <c r="I3364"/>
      <c r="J3364"/>
      <c r="K3364"/>
      <c r="L3364"/>
    </row>
    <row r="3365" spans="2:12" ht="14.4" x14ac:dyDescent="0.3">
      <c r="B3365"/>
      <c r="C3365"/>
      <c r="D3365"/>
      <c r="E3365"/>
      <c r="F3365"/>
      <c r="H3365"/>
      <c r="I3365"/>
      <c r="J3365"/>
      <c r="K3365"/>
      <c r="L3365"/>
    </row>
    <row r="3366" spans="2:12" ht="14.4" x14ac:dyDescent="0.3">
      <c r="B3366"/>
      <c r="C3366"/>
      <c r="D3366"/>
      <c r="E3366"/>
      <c r="F3366"/>
      <c r="H3366"/>
      <c r="I3366"/>
      <c r="J3366"/>
      <c r="K3366"/>
      <c r="L3366"/>
    </row>
    <row r="3367" spans="2:12" ht="14.4" x14ac:dyDescent="0.3">
      <c r="B3367"/>
      <c r="C3367"/>
      <c r="D3367"/>
      <c r="E3367"/>
      <c r="F3367"/>
      <c r="H3367"/>
      <c r="I3367"/>
      <c r="J3367"/>
      <c r="K3367"/>
      <c r="L3367"/>
    </row>
    <row r="3368" spans="2:12" ht="14.4" x14ac:dyDescent="0.3">
      <c r="B3368"/>
      <c r="C3368"/>
      <c r="D3368"/>
      <c r="E3368"/>
      <c r="F3368"/>
      <c r="H3368"/>
      <c r="I3368"/>
      <c r="J3368"/>
      <c r="K3368"/>
      <c r="L3368"/>
    </row>
    <row r="3369" spans="2:12" ht="14.4" x14ac:dyDescent="0.3">
      <c r="B3369"/>
      <c r="C3369"/>
      <c r="D3369"/>
      <c r="E3369"/>
      <c r="F3369"/>
      <c r="H3369"/>
      <c r="I3369"/>
      <c r="J3369"/>
      <c r="K3369"/>
      <c r="L3369"/>
    </row>
    <row r="3370" spans="2:12" ht="14.4" x14ac:dyDescent="0.3">
      <c r="B3370"/>
      <c r="C3370"/>
      <c r="D3370"/>
      <c r="E3370"/>
      <c r="F3370"/>
      <c r="H3370"/>
      <c r="I3370"/>
      <c r="J3370"/>
      <c r="K3370"/>
      <c r="L3370"/>
    </row>
    <row r="3371" spans="2:12" ht="14.4" x14ac:dyDescent="0.3">
      <c r="B3371"/>
      <c r="C3371"/>
      <c r="D3371"/>
      <c r="E3371"/>
      <c r="F3371"/>
      <c r="H3371"/>
      <c r="I3371"/>
      <c r="J3371"/>
      <c r="K3371"/>
      <c r="L3371"/>
    </row>
    <row r="3372" spans="2:12" ht="14.4" x14ac:dyDescent="0.3">
      <c r="B3372"/>
      <c r="C3372"/>
      <c r="D3372"/>
      <c r="E3372"/>
      <c r="F3372"/>
      <c r="H3372"/>
      <c r="I3372"/>
      <c r="J3372"/>
      <c r="K3372"/>
      <c r="L3372"/>
    </row>
    <row r="3373" spans="2:12" ht="14.4" x14ac:dyDescent="0.3">
      <c r="B3373"/>
      <c r="C3373"/>
      <c r="D3373"/>
      <c r="E3373"/>
      <c r="F3373"/>
      <c r="H3373"/>
      <c r="I3373"/>
      <c r="J3373"/>
      <c r="K3373"/>
      <c r="L3373"/>
    </row>
    <row r="3374" spans="2:12" ht="14.4" x14ac:dyDescent="0.3">
      <c r="B3374"/>
      <c r="C3374"/>
      <c r="D3374"/>
      <c r="E3374"/>
      <c r="F3374"/>
      <c r="H3374"/>
      <c r="I3374"/>
      <c r="J3374"/>
      <c r="K3374"/>
      <c r="L3374"/>
    </row>
    <row r="3375" spans="2:12" ht="14.4" x14ac:dyDescent="0.3">
      <c r="B3375"/>
      <c r="C3375"/>
      <c r="D3375"/>
      <c r="E3375"/>
      <c r="F3375"/>
      <c r="H3375"/>
      <c r="I3375"/>
      <c r="J3375"/>
      <c r="K3375"/>
      <c r="L3375"/>
    </row>
    <row r="3376" spans="2:12" ht="14.4" x14ac:dyDescent="0.3">
      <c r="B3376"/>
      <c r="C3376"/>
      <c r="D3376"/>
      <c r="E3376"/>
      <c r="F3376"/>
      <c r="H3376"/>
      <c r="I3376"/>
      <c r="J3376"/>
      <c r="K3376"/>
      <c r="L3376"/>
    </row>
    <row r="3377" spans="2:12" ht="14.4" x14ac:dyDescent="0.3">
      <c r="B3377"/>
      <c r="C3377"/>
      <c r="D3377"/>
      <c r="E3377"/>
      <c r="F3377"/>
      <c r="H3377"/>
      <c r="I3377"/>
      <c r="J3377"/>
      <c r="K3377"/>
      <c r="L3377"/>
    </row>
    <row r="3378" spans="2:12" ht="14.4" x14ac:dyDescent="0.3">
      <c r="B3378"/>
      <c r="C3378"/>
      <c r="D3378"/>
      <c r="E3378"/>
      <c r="F3378"/>
      <c r="H3378"/>
      <c r="I3378"/>
      <c r="J3378"/>
      <c r="K3378"/>
      <c r="L3378"/>
    </row>
    <row r="3379" spans="2:12" ht="14.4" x14ac:dyDescent="0.3">
      <c r="B3379"/>
      <c r="C3379"/>
      <c r="D3379"/>
      <c r="E3379"/>
      <c r="F3379"/>
      <c r="H3379"/>
      <c r="I3379"/>
      <c r="J3379"/>
      <c r="K3379"/>
      <c r="L3379"/>
    </row>
    <row r="3380" spans="2:12" ht="14.4" x14ac:dyDescent="0.3">
      <c r="B3380"/>
      <c r="C3380"/>
      <c r="D3380"/>
      <c r="E3380"/>
      <c r="F3380"/>
      <c r="H3380"/>
      <c r="I3380"/>
      <c r="J3380"/>
      <c r="K3380"/>
      <c r="L3380"/>
    </row>
    <row r="3381" spans="2:12" ht="14.4" x14ac:dyDescent="0.3">
      <c r="B3381"/>
      <c r="C3381"/>
      <c r="D3381"/>
      <c r="E3381"/>
      <c r="F3381"/>
      <c r="H3381"/>
      <c r="I3381"/>
      <c r="J3381"/>
      <c r="K3381"/>
      <c r="L3381"/>
    </row>
    <row r="3382" spans="2:12" ht="14.4" x14ac:dyDescent="0.3">
      <c r="B3382"/>
      <c r="C3382"/>
      <c r="D3382"/>
      <c r="E3382"/>
      <c r="F3382"/>
      <c r="H3382"/>
      <c r="I3382"/>
      <c r="J3382"/>
      <c r="K3382"/>
      <c r="L3382"/>
    </row>
    <row r="3383" spans="2:12" ht="14.4" x14ac:dyDescent="0.3">
      <c r="B3383"/>
      <c r="C3383"/>
      <c r="D3383"/>
      <c r="E3383"/>
      <c r="F3383"/>
      <c r="H3383"/>
      <c r="I3383"/>
      <c r="J3383"/>
      <c r="K3383"/>
      <c r="L3383"/>
    </row>
    <row r="3384" spans="2:12" ht="14.4" x14ac:dyDescent="0.3">
      <c r="B3384"/>
      <c r="C3384"/>
      <c r="D3384"/>
      <c r="E3384"/>
      <c r="F3384"/>
      <c r="H3384"/>
      <c r="I3384"/>
      <c r="J3384"/>
      <c r="K3384"/>
      <c r="L3384"/>
    </row>
    <row r="3385" spans="2:12" ht="14.4" x14ac:dyDescent="0.3">
      <c r="B3385"/>
      <c r="C3385"/>
      <c r="D3385"/>
      <c r="E3385"/>
      <c r="F3385"/>
      <c r="H3385"/>
      <c r="I3385"/>
      <c r="J3385"/>
      <c r="K3385"/>
      <c r="L3385"/>
    </row>
    <row r="3386" spans="2:12" ht="14.4" x14ac:dyDescent="0.3">
      <c r="B3386"/>
      <c r="C3386"/>
      <c r="D3386"/>
      <c r="E3386"/>
      <c r="F3386"/>
      <c r="H3386"/>
      <c r="I3386"/>
      <c r="J3386"/>
      <c r="K3386"/>
      <c r="L3386"/>
    </row>
    <row r="3387" spans="2:12" ht="14.4" x14ac:dyDescent="0.3">
      <c r="B3387"/>
      <c r="C3387"/>
      <c r="D3387"/>
      <c r="E3387"/>
      <c r="F3387"/>
      <c r="H3387"/>
      <c r="I3387"/>
      <c r="J3387"/>
      <c r="K3387"/>
      <c r="L3387"/>
    </row>
    <row r="3388" spans="2:12" ht="14.4" x14ac:dyDescent="0.3">
      <c r="B3388"/>
      <c r="C3388"/>
      <c r="D3388"/>
      <c r="E3388"/>
      <c r="F3388"/>
      <c r="H3388"/>
      <c r="I3388"/>
      <c r="J3388"/>
      <c r="K3388"/>
      <c r="L3388"/>
    </row>
    <row r="3389" spans="2:12" ht="14.4" x14ac:dyDescent="0.3">
      <c r="B3389"/>
      <c r="C3389"/>
      <c r="D3389"/>
      <c r="E3389"/>
      <c r="F3389"/>
      <c r="H3389"/>
      <c r="I3389"/>
      <c r="J3389"/>
      <c r="K3389"/>
      <c r="L3389"/>
    </row>
    <row r="3390" spans="2:12" ht="14.4" x14ac:dyDescent="0.3">
      <c r="B3390"/>
      <c r="C3390"/>
      <c r="D3390"/>
      <c r="E3390"/>
      <c r="F3390"/>
      <c r="H3390"/>
      <c r="I3390"/>
      <c r="J3390"/>
      <c r="K3390"/>
      <c r="L3390"/>
    </row>
    <row r="3391" spans="2:12" ht="14.4" x14ac:dyDescent="0.3">
      <c r="B3391"/>
      <c r="C3391"/>
      <c r="D3391"/>
      <c r="E3391"/>
      <c r="F3391"/>
      <c r="H3391"/>
      <c r="I3391"/>
      <c r="J3391"/>
      <c r="K3391"/>
      <c r="L3391"/>
    </row>
    <row r="3392" spans="2:12" ht="14.4" x14ac:dyDescent="0.3">
      <c r="B3392"/>
      <c r="C3392"/>
      <c r="D3392"/>
      <c r="E3392"/>
      <c r="F3392"/>
      <c r="H3392"/>
      <c r="I3392"/>
      <c r="J3392"/>
      <c r="K3392"/>
      <c r="L3392"/>
    </row>
    <row r="3393" spans="2:12" ht="14.4" x14ac:dyDescent="0.3">
      <c r="B3393"/>
      <c r="C3393"/>
      <c r="D3393"/>
      <c r="E3393"/>
      <c r="F3393"/>
      <c r="H3393"/>
      <c r="I3393"/>
      <c r="J3393"/>
      <c r="K3393"/>
      <c r="L3393"/>
    </row>
    <row r="3394" spans="2:12" ht="14.4" x14ac:dyDescent="0.3">
      <c r="B3394"/>
      <c r="C3394"/>
      <c r="D3394"/>
      <c r="E3394"/>
      <c r="F3394"/>
      <c r="H3394"/>
      <c r="I3394"/>
      <c r="J3394"/>
      <c r="K3394"/>
      <c r="L3394"/>
    </row>
    <row r="3395" spans="2:12" ht="14.4" x14ac:dyDescent="0.3">
      <c r="B3395"/>
      <c r="C3395"/>
      <c r="D3395"/>
      <c r="E3395"/>
      <c r="F3395"/>
      <c r="H3395"/>
      <c r="I3395"/>
      <c r="J3395"/>
      <c r="K3395"/>
      <c r="L3395"/>
    </row>
    <row r="3396" spans="2:12" ht="14.4" x14ac:dyDescent="0.3">
      <c r="B3396"/>
      <c r="C3396"/>
      <c r="D3396"/>
      <c r="E3396"/>
      <c r="F3396"/>
      <c r="H3396"/>
      <c r="I3396"/>
      <c r="J3396"/>
      <c r="K3396"/>
      <c r="L3396"/>
    </row>
    <row r="3397" spans="2:12" ht="14.4" x14ac:dyDescent="0.3">
      <c r="B3397"/>
      <c r="C3397"/>
      <c r="D3397"/>
      <c r="E3397"/>
      <c r="F3397"/>
      <c r="H3397"/>
      <c r="I3397"/>
      <c r="J3397"/>
      <c r="K3397"/>
      <c r="L3397"/>
    </row>
    <row r="3398" spans="2:12" ht="14.4" x14ac:dyDescent="0.3">
      <c r="B3398"/>
      <c r="C3398"/>
      <c r="D3398"/>
      <c r="E3398"/>
      <c r="F3398"/>
      <c r="H3398"/>
      <c r="I3398"/>
      <c r="J3398"/>
      <c r="K3398"/>
      <c r="L3398"/>
    </row>
    <row r="3399" spans="2:12" ht="14.4" x14ac:dyDescent="0.3">
      <c r="B3399"/>
      <c r="C3399"/>
      <c r="D3399"/>
      <c r="E3399"/>
      <c r="F3399"/>
      <c r="H3399"/>
      <c r="I3399"/>
      <c r="J3399"/>
      <c r="K3399"/>
      <c r="L3399"/>
    </row>
    <row r="3400" spans="2:12" ht="14.4" x14ac:dyDescent="0.3">
      <c r="B3400"/>
      <c r="C3400"/>
      <c r="D3400"/>
      <c r="E3400"/>
      <c r="F3400"/>
      <c r="H3400"/>
      <c r="I3400"/>
      <c r="J3400"/>
      <c r="K3400"/>
      <c r="L3400"/>
    </row>
    <row r="3401" spans="2:12" ht="14.4" x14ac:dyDescent="0.3">
      <c r="B3401"/>
      <c r="C3401"/>
      <c r="D3401"/>
      <c r="E3401"/>
      <c r="F3401"/>
      <c r="H3401"/>
      <c r="I3401"/>
      <c r="J3401"/>
      <c r="K3401"/>
      <c r="L3401"/>
    </row>
    <row r="3402" spans="2:12" ht="14.4" x14ac:dyDescent="0.3">
      <c r="B3402"/>
      <c r="C3402"/>
      <c r="D3402"/>
      <c r="E3402"/>
      <c r="F3402"/>
      <c r="H3402"/>
      <c r="I3402"/>
      <c r="J3402"/>
      <c r="K3402"/>
      <c r="L3402"/>
    </row>
    <row r="3403" spans="2:12" ht="14.4" x14ac:dyDescent="0.3">
      <c r="B3403"/>
      <c r="C3403"/>
      <c r="D3403"/>
      <c r="E3403"/>
      <c r="F3403"/>
      <c r="H3403"/>
      <c r="I3403"/>
      <c r="J3403"/>
      <c r="K3403"/>
      <c r="L3403"/>
    </row>
    <row r="3404" spans="2:12" ht="14.4" x14ac:dyDescent="0.3">
      <c r="B3404"/>
      <c r="C3404"/>
      <c r="D3404"/>
      <c r="E3404"/>
      <c r="F3404"/>
      <c r="H3404"/>
      <c r="I3404"/>
      <c r="J3404"/>
      <c r="K3404"/>
      <c r="L3404"/>
    </row>
    <row r="3405" spans="2:12" ht="14.4" x14ac:dyDescent="0.3">
      <c r="B3405"/>
      <c r="C3405"/>
      <c r="D3405"/>
      <c r="E3405"/>
      <c r="F3405"/>
      <c r="H3405"/>
      <c r="I3405"/>
      <c r="J3405"/>
      <c r="K3405"/>
      <c r="L3405"/>
    </row>
    <row r="3406" spans="2:12" ht="14.4" x14ac:dyDescent="0.3">
      <c r="B3406"/>
      <c r="C3406"/>
      <c r="D3406"/>
      <c r="E3406"/>
      <c r="F3406"/>
      <c r="H3406"/>
      <c r="I3406"/>
      <c r="J3406"/>
      <c r="K3406"/>
      <c r="L3406"/>
    </row>
    <row r="3407" spans="2:12" ht="14.4" x14ac:dyDescent="0.3">
      <c r="B3407"/>
      <c r="C3407"/>
      <c r="D3407"/>
      <c r="E3407"/>
      <c r="F3407"/>
      <c r="H3407"/>
      <c r="I3407"/>
      <c r="J3407"/>
      <c r="K3407"/>
      <c r="L3407"/>
    </row>
    <row r="3408" spans="2:12" ht="14.4" x14ac:dyDescent="0.3">
      <c r="B3408"/>
      <c r="C3408"/>
      <c r="D3408"/>
      <c r="E3408"/>
      <c r="F3408"/>
      <c r="H3408"/>
      <c r="I3408"/>
      <c r="J3408"/>
      <c r="K3408"/>
      <c r="L3408"/>
    </row>
    <row r="3409" spans="2:12" ht="14.4" x14ac:dyDescent="0.3">
      <c r="B3409"/>
      <c r="C3409"/>
      <c r="D3409"/>
      <c r="E3409"/>
      <c r="F3409"/>
      <c r="H3409"/>
      <c r="I3409"/>
      <c r="J3409"/>
      <c r="K3409"/>
      <c r="L3409"/>
    </row>
    <row r="3410" spans="2:12" ht="14.4" x14ac:dyDescent="0.3">
      <c r="B3410"/>
      <c r="C3410"/>
      <c r="D3410"/>
      <c r="E3410"/>
      <c r="F3410"/>
      <c r="H3410"/>
      <c r="I3410"/>
      <c r="J3410"/>
      <c r="K3410"/>
      <c r="L3410"/>
    </row>
    <row r="3411" spans="2:12" ht="14.4" x14ac:dyDescent="0.3">
      <c r="B3411"/>
      <c r="C3411"/>
      <c r="D3411"/>
      <c r="E3411"/>
      <c r="F3411"/>
      <c r="H3411"/>
      <c r="I3411"/>
      <c r="J3411"/>
      <c r="K3411"/>
      <c r="L3411"/>
    </row>
    <row r="3412" spans="2:12" ht="14.4" x14ac:dyDescent="0.3">
      <c r="B3412"/>
      <c r="C3412"/>
      <c r="D3412"/>
      <c r="E3412"/>
      <c r="F3412"/>
      <c r="H3412"/>
      <c r="I3412"/>
      <c r="J3412"/>
      <c r="K3412"/>
      <c r="L3412"/>
    </row>
    <row r="3413" spans="2:12" ht="14.4" x14ac:dyDescent="0.3">
      <c r="B3413"/>
      <c r="C3413"/>
      <c r="D3413"/>
      <c r="E3413"/>
      <c r="F3413"/>
      <c r="H3413"/>
      <c r="I3413"/>
      <c r="J3413"/>
      <c r="K3413"/>
      <c r="L3413"/>
    </row>
    <row r="3414" spans="2:12" ht="14.4" x14ac:dyDescent="0.3">
      <c r="B3414"/>
      <c r="C3414"/>
      <c r="D3414"/>
      <c r="E3414"/>
      <c r="F3414"/>
      <c r="H3414"/>
      <c r="I3414"/>
      <c r="J3414"/>
      <c r="K3414"/>
      <c r="L3414"/>
    </row>
    <row r="3415" spans="2:12" ht="14.4" x14ac:dyDescent="0.3">
      <c r="B3415"/>
      <c r="C3415"/>
      <c r="D3415"/>
      <c r="E3415"/>
      <c r="F3415"/>
      <c r="H3415"/>
      <c r="I3415"/>
      <c r="J3415"/>
      <c r="K3415"/>
      <c r="L3415"/>
    </row>
    <row r="3416" spans="2:12" ht="14.4" x14ac:dyDescent="0.3">
      <c r="B3416"/>
      <c r="C3416"/>
      <c r="D3416"/>
      <c r="E3416"/>
      <c r="F3416"/>
      <c r="H3416"/>
      <c r="I3416"/>
      <c r="J3416"/>
      <c r="K3416"/>
      <c r="L3416"/>
    </row>
    <row r="3417" spans="2:12" ht="14.4" x14ac:dyDescent="0.3">
      <c r="B3417"/>
      <c r="C3417"/>
      <c r="D3417"/>
      <c r="E3417"/>
      <c r="F3417"/>
      <c r="H3417"/>
      <c r="I3417"/>
      <c r="J3417"/>
      <c r="K3417"/>
      <c r="L3417"/>
    </row>
    <row r="3418" spans="2:12" ht="14.4" x14ac:dyDescent="0.3">
      <c r="B3418"/>
      <c r="C3418"/>
      <c r="D3418"/>
      <c r="E3418"/>
      <c r="F3418"/>
      <c r="H3418"/>
      <c r="I3418"/>
      <c r="J3418"/>
      <c r="K3418"/>
      <c r="L3418"/>
    </row>
    <row r="3419" spans="2:12" ht="14.4" x14ac:dyDescent="0.3">
      <c r="B3419"/>
      <c r="C3419"/>
      <c r="D3419"/>
      <c r="E3419"/>
      <c r="F3419"/>
      <c r="H3419"/>
      <c r="I3419"/>
      <c r="J3419"/>
      <c r="K3419"/>
      <c r="L3419"/>
    </row>
    <row r="3420" spans="2:12" ht="14.4" x14ac:dyDescent="0.3">
      <c r="B3420"/>
      <c r="C3420"/>
      <c r="D3420"/>
      <c r="E3420"/>
      <c r="F3420"/>
      <c r="H3420"/>
      <c r="I3420"/>
      <c r="J3420"/>
      <c r="K3420"/>
      <c r="L3420"/>
    </row>
    <row r="3421" spans="2:12" ht="14.4" x14ac:dyDescent="0.3">
      <c r="B3421"/>
      <c r="C3421"/>
      <c r="D3421"/>
      <c r="E3421"/>
      <c r="F3421"/>
      <c r="H3421"/>
      <c r="I3421"/>
      <c r="J3421"/>
      <c r="K3421"/>
      <c r="L3421"/>
    </row>
    <row r="3422" spans="2:12" ht="14.4" x14ac:dyDescent="0.3">
      <c r="B3422"/>
      <c r="C3422"/>
      <c r="D3422"/>
      <c r="E3422"/>
      <c r="F3422"/>
      <c r="H3422"/>
      <c r="I3422"/>
      <c r="J3422"/>
      <c r="K3422"/>
      <c r="L3422"/>
    </row>
    <row r="3423" spans="2:12" ht="14.4" x14ac:dyDescent="0.3">
      <c r="B3423"/>
      <c r="C3423"/>
      <c r="D3423"/>
      <c r="E3423"/>
      <c r="F3423"/>
      <c r="H3423"/>
      <c r="I3423"/>
      <c r="J3423"/>
      <c r="K3423"/>
      <c r="L3423"/>
    </row>
    <row r="3424" spans="2:12" ht="14.4" x14ac:dyDescent="0.3">
      <c r="B3424"/>
      <c r="C3424"/>
      <c r="D3424"/>
      <c r="E3424"/>
      <c r="F3424"/>
      <c r="H3424"/>
      <c r="I3424"/>
      <c r="J3424"/>
      <c r="K3424"/>
      <c r="L3424"/>
    </row>
    <row r="3425" spans="2:12" ht="14.4" x14ac:dyDescent="0.3">
      <c r="B3425"/>
      <c r="C3425"/>
      <c r="D3425"/>
      <c r="E3425"/>
      <c r="F3425"/>
      <c r="H3425"/>
      <c r="I3425"/>
      <c r="J3425"/>
      <c r="K3425"/>
      <c r="L3425"/>
    </row>
    <row r="3426" spans="2:12" ht="14.4" x14ac:dyDescent="0.3">
      <c r="B3426"/>
      <c r="C3426"/>
      <c r="D3426"/>
      <c r="E3426"/>
      <c r="F3426"/>
      <c r="H3426"/>
      <c r="I3426"/>
      <c r="J3426"/>
      <c r="K3426"/>
      <c r="L3426"/>
    </row>
    <row r="3427" spans="2:12" ht="14.4" x14ac:dyDescent="0.3">
      <c r="B3427"/>
      <c r="C3427"/>
      <c r="D3427"/>
      <c r="E3427"/>
      <c r="F3427"/>
      <c r="H3427"/>
      <c r="I3427"/>
      <c r="J3427"/>
      <c r="K3427"/>
      <c r="L3427"/>
    </row>
    <row r="3428" spans="2:12" ht="14.4" x14ac:dyDescent="0.3">
      <c r="B3428"/>
      <c r="C3428"/>
      <c r="D3428"/>
      <c r="E3428"/>
      <c r="F3428"/>
      <c r="H3428"/>
      <c r="I3428"/>
      <c r="J3428"/>
      <c r="K3428"/>
      <c r="L3428"/>
    </row>
    <row r="3429" spans="2:12" ht="14.4" x14ac:dyDescent="0.3">
      <c r="B3429"/>
      <c r="C3429"/>
      <c r="D3429"/>
      <c r="E3429"/>
      <c r="F3429"/>
      <c r="H3429"/>
      <c r="I3429"/>
      <c r="J3429"/>
      <c r="K3429"/>
      <c r="L3429"/>
    </row>
    <row r="3430" spans="2:12" ht="14.4" x14ac:dyDescent="0.3">
      <c r="B3430"/>
      <c r="C3430"/>
      <c r="D3430"/>
      <c r="E3430"/>
      <c r="F3430"/>
      <c r="H3430"/>
      <c r="I3430"/>
      <c r="J3430"/>
      <c r="K3430"/>
      <c r="L3430"/>
    </row>
    <row r="3431" spans="2:12" ht="14.4" x14ac:dyDescent="0.3">
      <c r="B3431"/>
      <c r="C3431"/>
      <c r="D3431"/>
      <c r="E3431"/>
      <c r="F3431"/>
      <c r="H3431"/>
      <c r="I3431"/>
      <c r="J3431"/>
      <c r="K3431"/>
      <c r="L3431"/>
    </row>
    <row r="3432" spans="2:12" ht="14.4" x14ac:dyDescent="0.3">
      <c r="B3432"/>
      <c r="C3432"/>
      <c r="D3432"/>
      <c r="E3432"/>
      <c r="F3432"/>
      <c r="H3432"/>
      <c r="I3432"/>
      <c r="J3432"/>
      <c r="K3432"/>
      <c r="L3432"/>
    </row>
    <row r="3433" spans="2:12" ht="14.4" x14ac:dyDescent="0.3">
      <c r="B3433"/>
      <c r="C3433"/>
      <c r="D3433"/>
      <c r="E3433"/>
      <c r="F3433"/>
      <c r="H3433"/>
      <c r="I3433"/>
      <c r="J3433"/>
      <c r="K3433"/>
      <c r="L3433"/>
    </row>
    <row r="3434" spans="2:12" ht="14.4" x14ac:dyDescent="0.3">
      <c r="B3434"/>
      <c r="C3434"/>
      <c r="D3434"/>
      <c r="E3434"/>
      <c r="F3434"/>
      <c r="H3434"/>
      <c r="I3434"/>
      <c r="J3434"/>
      <c r="K3434"/>
      <c r="L3434"/>
    </row>
    <row r="3435" spans="2:12" ht="14.4" x14ac:dyDescent="0.3">
      <c r="B3435"/>
      <c r="C3435"/>
      <c r="D3435"/>
      <c r="E3435"/>
      <c r="F3435"/>
      <c r="H3435"/>
      <c r="I3435"/>
      <c r="J3435"/>
      <c r="K3435"/>
      <c r="L3435"/>
    </row>
    <row r="3436" spans="2:12" ht="14.4" x14ac:dyDescent="0.3">
      <c r="B3436"/>
      <c r="C3436"/>
      <c r="D3436"/>
      <c r="E3436"/>
      <c r="F3436"/>
      <c r="H3436"/>
      <c r="I3436"/>
      <c r="J3436"/>
      <c r="K3436"/>
      <c r="L3436"/>
    </row>
    <row r="3437" spans="2:12" ht="14.4" x14ac:dyDescent="0.3">
      <c r="B3437"/>
      <c r="C3437"/>
      <c r="D3437"/>
      <c r="E3437"/>
      <c r="F3437"/>
      <c r="H3437"/>
      <c r="I3437"/>
      <c r="J3437"/>
      <c r="K3437"/>
      <c r="L3437"/>
    </row>
    <row r="3438" spans="2:12" ht="14.4" x14ac:dyDescent="0.3">
      <c r="B3438"/>
      <c r="C3438"/>
      <c r="D3438"/>
      <c r="E3438"/>
      <c r="F3438"/>
      <c r="H3438"/>
      <c r="I3438"/>
      <c r="J3438"/>
      <c r="K3438"/>
      <c r="L3438"/>
    </row>
    <row r="3439" spans="2:12" ht="14.4" x14ac:dyDescent="0.3">
      <c r="B3439"/>
      <c r="C3439"/>
      <c r="D3439"/>
      <c r="E3439"/>
      <c r="F3439"/>
      <c r="H3439"/>
      <c r="I3439"/>
      <c r="J3439"/>
      <c r="K3439"/>
      <c r="L3439"/>
    </row>
    <row r="3440" spans="2:12" ht="14.4" x14ac:dyDescent="0.3">
      <c r="B3440"/>
      <c r="C3440"/>
      <c r="D3440"/>
      <c r="E3440"/>
      <c r="F3440"/>
      <c r="H3440"/>
      <c r="I3440"/>
      <c r="J3440"/>
      <c r="K3440"/>
      <c r="L3440"/>
    </row>
    <row r="3441" spans="2:12" ht="14.4" x14ac:dyDescent="0.3">
      <c r="B3441"/>
      <c r="C3441"/>
      <c r="D3441"/>
      <c r="E3441"/>
      <c r="F3441"/>
      <c r="H3441"/>
      <c r="I3441"/>
      <c r="J3441"/>
      <c r="K3441"/>
      <c r="L3441"/>
    </row>
    <row r="3442" spans="2:12" ht="14.4" x14ac:dyDescent="0.3">
      <c r="B3442"/>
      <c r="C3442"/>
      <c r="D3442"/>
      <c r="E3442"/>
      <c r="F3442"/>
      <c r="H3442"/>
      <c r="I3442"/>
      <c r="J3442"/>
      <c r="K3442"/>
      <c r="L3442"/>
    </row>
    <row r="3443" spans="2:12" ht="14.4" x14ac:dyDescent="0.3">
      <c r="B3443"/>
      <c r="C3443"/>
      <c r="D3443"/>
      <c r="E3443"/>
      <c r="F3443"/>
      <c r="H3443"/>
      <c r="I3443"/>
      <c r="J3443"/>
      <c r="K3443"/>
      <c r="L3443"/>
    </row>
    <row r="3444" spans="2:12" ht="14.4" x14ac:dyDescent="0.3">
      <c r="B3444"/>
      <c r="C3444"/>
      <c r="D3444"/>
      <c r="E3444"/>
      <c r="F3444"/>
      <c r="H3444"/>
      <c r="I3444"/>
      <c r="J3444"/>
      <c r="K3444"/>
      <c r="L3444"/>
    </row>
    <row r="3445" spans="2:12" ht="14.4" x14ac:dyDescent="0.3">
      <c r="B3445"/>
      <c r="C3445"/>
      <c r="D3445"/>
      <c r="E3445"/>
      <c r="F3445"/>
      <c r="H3445"/>
      <c r="I3445"/>
      <c r="J3445"/>
      <c r="K3445"/>
      <c r="L3445"/>
    </row>
    <row r="3446" spans="2:12" ht="14.4" x14ac:dyDescent="0.3">
      <c r="B3446"/>
      <c r="C3446"/>
      <c r="D3446"/>
      <c r="E3446"/>
      <c r="F3446"/>
      <c r="H3446"/>
      <c r="I3446"/>
      <c r="J3446"/>
      <c r="K3446"/>
      <c r="L3446"/>
    </row>
    <row r="3447" spans="2:12" ht="14.4" x14ac:dyDescent="0.3">
      <c r="B3447"/>
      <c r="C3447"/>
      <c r="D3447"/>
      <c r="E3447"/>
      <c r="F3447"/>
      <c r="H3447"/>
      <c r="I3447"/>
      <c r="J3447"/>
      <c r="K3447"/>
      <c r="L3447"/>
    </row>
    <row r="3448" spans="2:12" ht="14.4" x14ac:dyDescent="0.3">
      <c r="B3448"/>
      <c r="C3448"/>
      <c r="D3448"/>
      <c r="E3448"/>
      <c r="F3448"/>
      <c r="H3448"/>
      <c r="I3448"/>
      <c r="J3448"/>
      <c r="K3448"/>
      <c r="L3448"/>
    </row>
    <row r="3449" spans="2:12" ht="14.4" x14ac:dyDescent="0.3">
      <c r="B3449"/>
      <c r="C3449"/>
      <c r="D3449"/>
      <c r="E3449"/>
      <c r="F3449"/>
      <c r="H3449"/>
      <c r="I3449"/>
      <c r="J3449"/>
      <c r="K3449"/>
      <c r="L3449"/>
    </row>
    <row r="3450" spans="2:12" ht="14.4" x14ac:dyDescent="0.3">
      <c r="B3450"/>
      <c r="C3450"/>
      <c r="D3450"/>
      <c r="E3450"/>
      <c r="F3450"/>
      <c r="H3450"/>
      <c r="I3450"/>
      <c r="J3450"/>
      <c r="K3450"/>
      <c r="L3450"/>
    </row>
    <row r="3451" spans="2:12" ht="14.4" x14ac:dyDescent="0.3">
      <c r="B3451"/>
      <c r="C3451"/>
      <c r="D3451"/>
      <c r="E3451"/>
      <c r="F3451"/>
      <c r="H3451"/>
      <c r="I3451"/>
      <c r="J3451"/>
      <c r="K3451"/>
      <c r="L3451"/>
    </row>
    <row r="3452" spans="2:12" ht="14.4" x14ac:dyDescent="0.3">
      <c r="B3452"/>
      <c r="C3452"/>
      <c r="D3452"/>
      <c r="E3452"/>
      <c r="F3452"/>
      <c r="H3452"/>
      <c r="I3452"/>
      <c r="J3452"/>
      <c r="K3452"/>
      <c r="L3452"/>
    </row>
    <row r="3453" spans="2:12" ht="14.4" x14ac:dyDescent="0.3">
      <c r="B3453"/>
      <c r="C3453"/>
      <c r="D3453"/>
      <c r="E3453"/>
      <c r="F3453"/>
      <c r="H3453"/>
      <c r="I3453"/>
      <c r="J3453"/>
      <c r="K3453"/>
      <c r="L3453"/>
    </row>
    <row r="3454" spans="2:12" ht="14.4" x14ac:dyDescent="0.3">
      <c r="B3454"/>
      <c r="C3454"/>
      <c r="D3454"/>
      <c r="E3454"/>
      <c r="F3454"/>
      <c r="H3454"/>
      <c r="I3454"/>
      <c r="J3454"/>
      <c r="K3454"/>
      <c r="L3454"/>
    </row>
    <row r="3455" spans="2:12" ht="14.4" x14ac:dyDescent="0.3">
      <c r="B3455"/>
      <c r="C3455"/>
      <c r="D3455"/>
      <c r="E3455"/>
      <c r="F3455"/>
      <c r="H3455"/>
      <c r="I3455"/>
      <c r="J3455"/>
      <c r="K3455"/>
      <c r="L3455"/>
    </row>
    <row r="3456" spans="2:12" ht="14.4" x14ac:dyDescent="0.3">
      <c r="B3456"/>
      <c r="C3456"/>
      <c r="D3456"/>
      <c r="E3456"/>
      <c r="F3456"/>
      <c r="H3456"/>
      <c r="I3456"/>
      <c r="J3456"/>
      <c r="K3456"/>
      <c r="L3456"/>
    </row>
    <row r="3457" spans="2:12" ht="14.4" x14ac:dyDescent="0.3">
      <c r="B3457"/>
      <c r="C3457"/>
      <c r="D3457"/>
      <c r="E3457"/>
      <c r="F3457"/>
      <c r="H3457"/>
      <c r="I3457"/>
      <c r="J3457"/>
      <c r="K3457"/>
      <c r="L3457"/>
    </row>
    <row r="3458" spans="2:12" ht="14.4" x14ac:dyDescent="0.3">
      <c r="B3458"/>
      <c r="C3458"/>
      <c r="D3458"/>
      <c r="E3458"/>
      <c r="F3458"/>
      <c r="H3458"/>
      <c r="I3458"/>
      <c r="J3458"/>
      <c r="K3458"/>
      <c r="L3458"/>
    </row>
    <row r="3459" spans="2:12" ht="14.4" x14ac:dyDescent="0.3">
      <c r="B3459"/>
      <c r="C3459"/>
      <c r="D3459"/>
      <c r="E3459"/>
      <c r="F3459"/>
      <c r="H3459"/>
      <c r="I3459"/>
      <c r="J3459"/>
      <c r="K3459"/>
      <c r="L3459"/>
    </row>
    <row r="3460" spans="2:12" ht="14.4" x14ac:dyDescent="0.3">
      <c r="B3460"/>
      <c r="C3460"/>
      <c r="D3460"/>
      <c r="E3460"/>
      <c r="F3460"/>
      <c r="H3460"/>
      <c r="I3460"/>
      <c r="J3460"/>
      <c r="K3460"/>
      <c r="L3460"/>
    </row>
    <row r="3461" spans="2:12" ht="14.4" x14ac:dyDescent="0.3">
      <c r="B3461"/>
      <c r="C3461"/>
      <c r="D3461"/>
      <c r="E3461"/>
      <c r="F3461"/>
      <c r="H3461"/>
      <c r="I3461"/>
      <c r="J3461"/>
      <c r="K3461"/>
      <c r="L3461"/>
    </row>
    <row r="3462" spans="2:12" ht="14.4" x14ac:dyDescent="0.3">
      <c r="B3462"/>
      <c r="C3462"/>
      <c r="D3462"/>
      <c r="E3462"/>
      <c r="F3462"/>
      <c r="H3462"/>
      <c r="I3462"/>
      <c r="J3462"/>
      <c r="K3462"/>
      <c r="L3462"/>
    </row>
    <row r="3463" spans="2:12" ht="14.4" x14ac:dyDescent="0.3">
      <c r="B3463"/>
      <c r="C3463"/>
      <c r="D3463"/>
      <c r="E3463"/>
      <c r="F3463"/>
      <c r="H3463"/>
      <c r="I3463"/>
      <c r="J3463"/>
      <c r="K3463"/>
      <c r="L3463"/>
    </row>
    <row r="3464" spans="2:12" ht="14.4" x14ac:dyDescent="0.3">
      <c r="B3464"/>
      <c r="C3464"/>
      <c r="D3464"/>
      <c r="E3464"/>
      <c r="F3464"/>
      <c r="H3464"/>
      <c r="I3464"/>
      <c r="J3464"/>
      <c r="K3464"/>
      <c r="L3464"/>
    </row>
    <row r="3465" spans="2:12" ht="14.4" x14ac:dyDescent="0.3">
      <c r="B3465"/>
      <c r="C3465"/>
      <c r="D3465"/>
      <c r="E3465"/>
      <c r="F3465"/>
      <c r="H3465"/>
      <c r="I3465"/>
      <c r="J3465"/>
      <c r="K3465"/>
      <c r="L3465"/>
    </row>
    <row r="3466" spans="2:12" ht="14.4" x14ac:dyDescent="0.3">
      <c r="B3466"/>
      <c r="C3466"/>
      <c r="D3466"/>
      <c r="E3466"/>
      <c r="F3466"/>
      <c r="H3466"/>
      <c r="I3466"/>
      <c r="J3466"/>
      <c r="K3466"/>
      <c r="L3466"/>
    </row>
    <row r="3467" spans="2:12" ht="14.4" x14ac:dyDescent="0.3">
      <c r="B3467"/>
      <c r="C3467"/>
      <c r="D3467"/>
      <c r="E3467"/>
      <c r="F3467"/>
      <c r="H3467"/>
      <c r="I3467"/>
      <c r="J3467"/>
      <c r="K3467"/>
      <c r="L3467"/>
    </row>
    <row r="3468" spans="2:12" ht="14.4" x14ac:dyDescent="0.3">
      <c r="B3468"/>
      <c r="C3468"/>
      <c r="D3468"/>
      <c r="E3468"/>
      <c r="F3468"/>
      <c r="H3468"/>
      <c r="I3468"/>
      <c r="J3468"/>
      <c r="K3468"/>
      <c r="L3468"/>
    </row>
    <row r="3469" spans="2:12" ht="14.4" x14ac:dyDescent="0.3">
      <c r="B3469"/>
      <c r="C3469"/>
      <c r="D3469"/>
      <c r="E3469"/>
      <c r="F3469"/>
      <c r="H3469"/>
      <c r="I3469"/>
      <c r="J3469"/>
      <c r="K3469"/>
      <c r="L3469"/>
    </row>
    <row r="3470" spans="2:12" ht="14.4" x14ac:dyDescent="0.3">
      <c r="B3470"/>
      <c r="C3470"/>
      <c r="D3470"/>
      <c r="E3470"/>
      <c r="F3470"/>
      <c r="H3470"/>
      <c r="I3470"/>
      <c r="J3470"/>
      <c r="K3470"/>
      <c r="L3470"/>
    </row>
    <row r="3471" spans="2:12" ht="14.4" x14ac:dyDescent="0.3">
      <c r="B3471"/>
      <c r="C3471"/>
      <c r="D3471"/>
      <c r="E3471"/>
      <c r="F3471"/>
      <c r="H3471"/>
      <c r="I3471"/>
      <c r="J3471"/>
      <c r="K3471"/>
      <c r="L3471"/>
    </row>
    <row r="3472" spans="2:12" ht="14.4" x14ac:dyDescent="0.3">
      <c r="B3472"/>
      <c r="C3472"/>
      <c r="D3472"/>
      <c r="E3472"/>
      <c r="F3472"/>
      <c r="H3472"/>
      <c r="I3472"/>
      <c r="J3472"/>
      <c r="K3472"/>
      <c r="L3472"/>
    </row>
    <row r="3473" spans="2:12" ht="14.4" x14ac:dyDescent="0.3">
      <c r="B3473"/>
      <c r="C3473"/>
      <c r="D3473"/>
      <c r="E3473"/>
      <c r="F3473"/>
      <c r="H3473"/>
      <c r="I3473"/>
      <c r="J3473"/>
      <c r="K3473"/>
      <c r="L3473"/>
    </row>
    <row r="3474" spans="2:12" ht="14.4" x14ac:dyDescent="0.3">
      <c r="B3474"/>
      <c r="C3474"/>
      <c r="D3474"/>
      <c r="E3474"/>
      <c r="F3474"/>
      <c r="H3474"/>
      <c r="I3474"/>
      <c r="J3474"/>
      <c r="K3474"/>
      <c r="L3474"/>
    </row>
    <row r="3475" spans="2:12" ht="14.4" x14ac:dyDescent="0.3">
      <c r="B3475"/>
      <c r="C3475"/>
      <c r="D3475"/>
      <c r="E3475"/>
      <c r="F3475"/>
      <c r="H3475"/>
      <c r="I3475"/>
      <c r="J3475"/>
      <c r="K3475"/>
      <c r="L3475"/>
    </row>
    <row r="3476" spans="2:12" ht="14.4" x14ac:dyDescent="0.3">
      <c r="B3476"/>
      <c r="C3476"/>
      <c r="D3476"/>
      <c r="E3476"/>
      <c r="F3476"/>
      <c r="H3476"/>
      <c r="I3476"/>
      <c r="J3476"/>
      <c r="K3476"/>
      <c r="L3476"/>
    </row>
    <row r="3477" spans="2:12" ht="14.4" x14ac:dyDescent="0.3">
      <c r="B3477"/>
      <c r="C3477"/>
      <c r="D3477"/>
      <c r="E3477"/>
      <c r="F3477"/>
      <c r="H3477"/>
      <c r="I3477"/>
      <c r="J3477"/>
      <c r="K3477"/>
      <c r="L3477"/>
    </row>
    <row r="3478" spans="2:12" ht="14.4" x14ac:dyDescent="0.3">
      <c r="B3478"/>
      <c r="C3478"/>
      <c r="D3478"/>
      <c r="E3478"/>
      <c r="F3478"/>
      <c r="H3478"/>
      <c r="I3478"/>
      <c r="J3478"/>
      <c r="K3478"/>
      <c r="L3478"/>
    </row>
    <row r="3479" spans="2:12" ht="14.4" x14ac:dyDescent="0.3">
      <c r="B3479"/>
      <c r="C3479"/>
      <c r="D3479"/>
      <c r="E3479"/>
      <c r="F3479"/>
      <c r="H3479"/>
      <c r="I3479"/>
      <c r="J3479"/>
      <c r="K3479"/>
      <c r="L3479"/>
    </row>
    <row r="3480" spans="2:12" ht="14.4" x14ac:dyDescent="0.3">
      <c r="B3480"/>
      <c r="C3480"/>
      <c r="D3480"/>
      <c r="E3480"/>
      <c r="F3480"/>
      <c r="H3480"/>
      <c r="I3480"/>
      <c r="J3480"/>
      <c r="K3480"/>
      <c r="L3480"/>
    </row>
    <row r="3481" spans="2:12" ht="14.4" x14ac:dyDescent="0.3">
      <c r="B3481"/>
      <c r="C3481"/>
      <c r="D3481"/>
      <c r="E3481"/>
      <c r="F3481"/>
      <c r="H3481"/>
      <c r="I3481"/>
      <c r="J3481"/>
      <c r="K3481"/>
      <c r="L3481"/>
    </row>
    <row r="3482" spans="2:12" ht="14.4" x14ac:dyDescent="0.3">
      <c r="B3482"/>
      <c r="C3482"/>
      <c r="D3482"/>
      <c r="E3482"/>
      <c r="F3482"/>
      <c r="H3482"/>
      <c r="I3482"/>
      <c r="J3482"/>
      <c r="K3482"/>
      <c r="L3482"/>
    </row>
    <row r="3483" spans="2:12" ht="14.4" x14ac:dyDescent="0.3">
      <c r="B3483"/>
      <c r="C3483"/>
      <c r="D3483"/>
      <c r="E3483"/>
      <c r="F3483"/>
      <c r="H3483"/>
      <c r="I3483"/>
      <c r="J3483"/>
      <c r="K3483"/>
      <c r="L3483"/>
    </row>
    <row r="3484" spans="2:12" ht="14.4" x14ac:dyDescent="0.3">
      <c r="B3484"/>
      <c r="C3484"/>
      <c r="D3484"/>
      <c r="E3484"/>
      <c r="F3484"/>
      <c r="H3484"/>
      <c r="I3484"/>
      <c r="J3484"/>
      <c r="K3484"/>
      <c r="L3484"/>
    </row>
    <row r="3485" spans="2:12" ht="14.4" x14ac:dyDescent="0.3">
      <c r="B3485"/>
      <c r="C3485"/>
      <c r="D3485"/>
      <c r="E3485"/>
      <c r="F3485"/>
      <c r="H3485"/>
      <c r="I3485"/>
      <c r="J3485"/>
      <c r="K3485"/>
      <c r="L3485"/>
    </row>
    <row r="3486" spans="2:12" ht="14.4" x14ac:dyDescent="0.3">
      <c r="B3486"/>
      <c r="C3486"/>
      <c r="D3486"/>
      <c r="E3486"/>
      <c r="F3486"/>
      <c r="H3486"/>
      <c r="I3486"/>
      <c r="J3486"/>
      <c r="K3486"/>
      <c r="L3486"/>
    </row>
    <row r="3487" spans="2:12" ht="14.4" x14ac:dyDescent="0.3">
      <c r="B3487"/>
      <c r="C3487"/>
      <c r="D3487"/>
      <c r="E3487"/>
      <c r="F3487"/>
      <c r="H3487"/>
      <c r="I3487"/>
      <c r="J3487"/>
      <c r="K3487"/>
      <c r="L3487"/>
    </row>
    <row r="3488" spans="2:12" ht="14.4" x14ac:dyDescent="0.3">
      <c r="B3488"/>
      <c r="C3488"/>
      <c r="D3488"/>
      <c r="E3488"/>
      <c r="F3488"/>
      <c r="H3488"/>
      <c r="I3488"/>
      <c r="J3488"/>
      <c r="K3488"/>
      <c r="L3488"/>
    </row>
    <row r="3489" spans="2:12" ht="14.4" x14ac:dyDescent="0.3">
      <c r="B3489"/>
      <c r="C3489"/>
      <c r="D3489"/>
      <c r="E3489"/>
      <c r="F3489"/>
      <c r="H3489"/>
      <c r="I3489"/>
      <c r="J3489"/>
      <c r="K3489"/>
      <c r="L3489"/>
    </row>
    <row r="3490" spans="2:12" ht="14.4" x14ac:dyDescent="0.3">
      <c r="B3490"/>
      <c r="C3490"/>
      <c r="D3490"/>
      <c r="E3490"/>
      <c r="F3490"/>
      <c r="H3490"/>
      <c r="I3490"/>
      <c r="J3490"/>
      <c r="K3490"/>
      <c r="L3490"/>
    </row>
    <row r="3491" spans="2:12" ht="14.4" x14ac:dyDescent="0.3">
      <c r="B3491"/>
      <c r="C3491"/>
      <c r="D3491"/>
      <c r="E3491"/>
      <c r="F3491"/>
      <c r="H3491"/>
      <c r="I3491"/>
      <c r="J3491"/>
      <c r="K3491"/>
      <c r="L3491"/>
    </row>
    <row r="3492" spans="2:12" ht="14.4" x14ac:dyDescent="0.3">
      <c r="B3492"/>
      <c r="C3492"/>
      <c r="D3492"/>
      <c r="E3492"/>
      <c r="F3492"/>
      <c r="H3492"/>
      <c r="I3492"/>
      <c r="J3492"/>
      <c r="K3492"/>
      <c r="L3492"/>
    </row>
    <row r="3493" spans="2:12" ht="14.4" x14ac:dyDescent="0.3">
      <c r="B3493"/>
      <c r="C3493"/>
      <c r="D3493"/>
      <c r="E3493"/>
      <c r="F3493"/>
      <c r="H3493"/>
      <c r="I3493"/>
      <c r="J3493"/>
      <c r="K3493"/>
      <c r="L3493"/>
    </row>
    <row r="3494" spans="2:12" ht="14.4" x14ac:dyDescent="0.3">
      <c r="B3494"/>
      <c r="C3494"/>
      <c r="D3494"/>
      <c r="E3494"/>
      <c r="F3494"/>
      <c r="H3494"/>
      <c r="I3494"/>
      <c r="J3494"/>
      <c r="K3494"/>
      <c r="L3494"/>
    </row>
    <row r="3495" spans="2:12" ht="14.4" x14ac:dyDescent="0.3">
      <c r="B3495"/>
      <c r="C3495"/>
      <c r="D3495"/>
      <c r="E3495"/>
      <c r="F3495"/>
      <c r="H3495"/>
      <c r="I3495"/>
      <c r="J3495"/>
      <c r="K3495"/>
      <c r="L3495"/>
    </row>
    <row r="3496" spans="2:12" ht="14.4" x14ac:dyDescent="0.3">
      <c r="B3496"/>
      <c r="C3496"/>
      <c r="D3496"/>
      <c r="E3496"/>
      <c r="F3496"/>
      <c r="H3496"/>
      <c r="I3496"/>
      <c r="J3496"/>
      <c r="K3496"/>
      <c r="L3496"/>
    </row>
    <row r="3497" spans="2:12" ht="14.4" x14ac:dyDescent="0.3">
      <c r="B3497"/>
      <c r="C3497"/>
      <c r="D3497"/>
      <c r="E3497"/>
      <c r="F3497"/>
      <c r="H3497"/>
      <c r="I3497"/>
      <c r="J3497"/>
      <c r="K3497"/>
      <c r="L3497"/>
    </row>
    <row r="3498" spans="2:12" ht="14.4" x14ac:dyDescent="0.3">
      <c r="B3498"/>
      <c r="C3498"/>
      <c r="D3498"/>
      <c r="E3498"/>
      <c r="F3498"/>
      <c r="H3498"/>
      <c r="I3498"/>
      <c r="J3498"/>
      <c r="K3498"/>
      <c r="L3498"/>
    </row>
    <row r="3499" spans="2:12" ht="14.4" x14ac:dyDescent="0.3">
      <c r="B3499"/>
      <c r="C3499"/>
      <c r="D3499"/>
      <c r="E3499"/>
      <c r="F3499"/>
      <c r="H3499"/>
      <c r="I3499"/>
      <c r="J3499"/>
      <c r="K3499"/>
      <c r="L3499"/>
    </row>
    <row r="3500" spans="2:12" ht="14.4" x14ac:dyDescent="0.3">
      <c r="B3500"/>
      <c r="C3500"/>
      <c r="D3500"/>
      <c r="E3500"/>
      <c r="F3500"/>
      <c r="H3500"/>
      <c r="I3500"/>
      <c r="J3500"/>
      <c r="K3500"/>
      <c r="L3500"/>
    </row>
    <row r="3501" spans="2:12" ht="14.4" x14ac:dyDescent="0.3">
      <c r="B3501"/>
      <c r="C3501"/>
      <c r="D3501"/>
      <c r="E3501"/>
      <c r="F3501"/>
      <c r="H3501"/>
      <c r="I3501"/>
      <c r="J3501"/>
      <c r="K3501"/>
      <c r="L3501"/>
    </row>
    <row r="3502" spans="2:12" ht="14.4" x14ac:dyDescent="0.3">
      <c r="B3502"/>
      <c r="C3502"/>
      <c r="D3502"/>
      <c r="E3502"/>
      <c r="F3502"/>
      <c r="H3502"/>
      <c r="I3502"/>
      <c r="J3502"/>
      <c r="K3502"/>
      <c r="L3502"/>
    </row>
    <row r="3503" spans="2:12" ht="14.4" x14ac:dyDescent="0.3">
      <c r="B3503"/>
      <c r="C3503"/>
      <c r="D3503"/>
      <c r="E3503"/>
      <c r="F3503"/>
      <c r="H3503"/>
      <c r="I3503"/>
      <c r="J3503"/>
      <c r="K3503"/>
      <c r="L3503"/>
    </row>
    <row r="3504" spans="2:12" ht="14.4" x14ac:dyDescent="0.3">
      <c r="B3504"/>
      <c r="C3504"/>
      <c r="D3504"/>
      <c r="E3504"/>
      <c r="F3504"/>
      <c r="H3504"/>
      <c r="I3504"/>
      <c r="J3504"/>
      <c r="K3504"/>
      <c r="L3504"/>
    </row>
    <row r="3505" spans="2:12" ht="14.4" x14ac:dyDescent="0.3">
      <c r="B3505"/>
      <c r="C3505"/>
      <c r="D3505"/>
      <c r="E3505"/>
      <c r="F3505"/>
      <c r="H3505"/>
      <c r="I3505"/>
      <c r="J3505"/>
      <c r="K3505"/>
      <c r="L3505"/>
    </row>
    <row r="3506" spans="2:12" ht="14.4" x14ac:dyDescent="0.3">
      <c r="B3506"/>
      <c r="C3506"/>
      <c r="D3506"/>
      <c r="E3506"/>
      <c r="F3506"/>
      <c r="H3506"/>
      <c r="I3506"/>
      <c r="J3506"/>
      <c r="K3506"/>
      <c r="L3506"/>
    </row>
    <row r="3507" spans="2:12" ht="14.4" x14ac:dyDescent="0.3">
      <c r="B3507"/>
      <c r="C3507"/>
      <c r="D3507"/>
      <c r="E3507"/>
      <c r="F3507"/>
      <c r="H3507"/>
      <c r="I3507"/>
      <c r="J3507"/>
      <c r="K3507"/>
      <c r="L3507"/>
    </row>
    <row r="3508" spans="2:12" ht="14.4" x14ac:dyDescent="0.3">
      <c r="B3508"/>
      <c r="C3508"/>
      <c r="D3508"/>
      <c r="E3508"/>
      <c r="F3508"/>
      <c r="H3508"/>
      <c r="I3508"/>
      <c r="J3508"/>
      <c r="K3508"/>
      <c r="L3508"/>
    </row>
    <row r="3509" spans="2:12" ht="14.4" x14ac:dyDescent="0.3">
      <c r="B3509"/>
      <c r="C3509"/>
      <c r="D3509"/>
      <c r="E3509"/>
      <c r="F3509"/>
      <c r="H3509"/>
      <c r="I3509"/>
      <c r="J3509"/>
      <c r="K3509"/>
      <c r="L3509"/>
    </row>
    <row r="3510" spans="2:12" ht="14.4" x14ac:dyDescent="0.3">
      <c r="B3510"/>
      <c r="C3510"/>
      <c r="D3510"/>
      <c r="E3510"/>
      <c r="F3510"/>
      <c r="H3510"/>
      <c r="I3510"/>
      <c r="J3510"/>
      <c r="K3510"/>
      <c r="L3510"/>
    </row>
    <row r="3511" spans="2:12" ht="14.4" x14ac:dyDescent="0.3">
      <c r="B3511"/>
      <c r="C3511"/>
      <c r="D3511"/>
      <c r="E3511"/>
      <c r="F3511"/>
      <c r="H3511"/>
      <c r="I3511"/>
      <c r="J3511"/>
      <c r="K3511"/>
      <c r="L3511"/>
    </row>
    <row r="3512" spans="2:12" ht="14.4" x14ac:dyDescent="0.3">
      <c r="B3512"/>
      <c r="C3512"/>
      <c r="D3512"/>
      <c r="E3512"/>
      <c r="F3512"/>
      <c r="H3512"/>
      <c r="I3512"/>
      <c r="J3512"/>
      <c r="K3512"/>
      <c r="L3512"/>
    </row>
    <row r="3513" spans="2:12" ht="14.4" x14ac:dyDescent="0.3">
      <c r="B3513"/>
      <c r="C3513"/>
      <c r="D3513"/>
      <c r="E3513"/>
      <c r="F3513"/>
      <c r="H3513"/>
      <c r="I3513"/>
      <c r="J3513"/>
      <c r="K3513"/>
      <c r="L3513"/>
    </row>
    <row r="3514" spans="2:12" ht="14.4" x14ac:dyDescent="0.3">
      <c r="B3514"/>
      <c r="C3514"/>
      <c r="D3514"/>
      <c r="E3514"/>
      <c r="F3514"/>
      <c r="H3514"/>
      <c r="I3514"/>
      <c r="J3514"/>
      <c r="K3514"/>
      <c r="L3514"/>
    </row>
    <row r="3515" spans="2:12" ht="14.4" x14ac:dyDescent="0.3">
      <c r="B3515"/>
      <c r="C3515"/>
      <c r="D3515"/>
      <c r="E3515"/>
      <c r="F3515"/>
      <c r="H3515"/>
      <c r="I3515"/>
      <c r="J3515"/>
      <c r="K3515"/>
      <c r="L3515"/>
    </row>
    <row r="3516" spans="2:12" ht="14.4" x14ac:dyDescent="0.3">
      <c r="B3516"/>
      <c r="C3516"/>
      <c r="D3516"/>
      <c r="E3516"/>
      <c r="F3516"/>
      <c r="H3516"/>
      <c r="I3516"/>
      <c r="J3516"/>
      <c r="K3516"/>
      <c r="L3516"/>
    </row>
    <row r="3517" spans="2:12" ht="14.4" x14ac:dyDescent="0.3">
      <c r="B3517"/>
      <c r="C3517"/>
      <c r="D3517"/>
      <c r="E3517"/>
      <c r="F3517"/>
      <c r="H3517"/>
      <c r="I3517"/>
      <c r="J3517"/>
      <c r="K3517"/>
      <c r="L3517"/>
    </row>
    <row r="3518" spans="2:12" ht="14.4" x14ac:dyDescent="0.3">
      <c r="B3518"/>
      <c r="C3518"/>
      <c r="D3518"/>
      <c r="E3518"/>
      <c r="F3518"/>
      <c r="H3518"/>
      <c r="I3518"/>
      <c r="J3518"/>
      <c r="K3518"/>
      <c r="L3518"/>
    </row>
    <row r="3519" spans="2:12" ht="14.4" x14ac:dyDescent="0.3">
      <c r="B3519"/>
      <c r="C3519"/>
      <c r="D3519"/>
      <c r="E3519"/>
      <c r="F3519"/>
      <c r="H3519"/>
      <c r="I3519"/>
      <c r="J3519"/>
      <c r="K3519"/>
      <c r="L3519"/>
    </row>
    <row r="3520" spans="2:12" ht="14.4" x14ac:dyDescent="0.3">
      <c r="B3520"/>
      <c r="C3520"/>
      <c r="D3520"/>
      <c r="E3520"/>
      <c r="F3520"/>
      <c r="H3520"/>
      <c r="I3520"/>
      <c r="J3520"/>
      <c r="K3520"/>
      <c r="L3520"/>
    </row>
    <row r="3521" spans="2:12" ht="14.4" x14ac:dyDescent="0.3">
      <c r="B3521"/>
      <c r="C3521"/>
      <c r="D3521"/>
      <c r="E3521"/>
      <c r="F3521"/>
      <c r="H3521"/>
      <c r="I3521"/>
      <c r="J3521"/>
      <c r="K3521"/>
      <c r="L3521"/>
    </row>
    <row r="3522" spans="2:12" ht="14.4" x14ac:dyDescent="0.3">
      <c r="B3522"/>
      <c r="C3522"/>
      <c r="D3522"/>
      <c r="E3522"/>
      <c r="F3522"/>
      <c r="H3522"/>
      <c r="I3522"/>
      <c r="J3522"/>
      <c r="K3522"/>
      <c r="L3522"/>
    </row>
    <row r="3523" spans="2:12" ht="14.4" x14ac:dyDescent="0.3">
      <c r="B3523"/>
      <c r="C3523"/>
      <c r="D3523"/>
      <c r="E3523"/>
      <c r="F3523"/>
      <c r="H3523"/>
      <c r="I3523"/>
      <c r="J3523"/>
      <c r="K3523"/>
      <c r="L3523"/>
    </row>
    <row r="3524" spans="2:12" ht="14.4" x14ac:dyDescent="0.3">
      <c r="B3524"/>
      <c r="C3524"/>
      <c r="D3524"/>
      <c r="E3524"/>
      <c r="F3524"/>
      <c r="H3524"/>
      <c r="I3524"/>
      <c r="J3524"/>
      <c r="K3524"/>
      <c r="L3524"/>
    </row>
    <row r="3525" spans="2:12" ht="14.4" x14ac:dyDescent="0.3">
      <c r="B3525"/>
      <c r="C3525"/>
      <c r="D3525"/>
      <c r="E3525"/>
      <c r="F3525"/>
      <c r="H3525"/>
      <c r="I3525"/>
      <c r="J3525"/>
      <c r="K3525"/>
      <c r="L3525"/>
    </row>
    <row r="3526" spans="2:12" ht="14.4" x14ac:dyDescent="0.3">
      <c r="B3526"/>
      <c r="C3526"/>
      <c r="D3526"/>
      <c r="E3526"/>
      <c r="F3526"/>
      <c r="H3526"/>
      <c r="I3526"/>
      <c r="J3526"/>
      <c r="K3526"/>
      <c r="L3526"/>
    </row>
    <row r="3527" spans="2:12" ht="14.4" x14ac:dyDescent="0.3">
      <c r="B3527"/>
      <c r="C3527"/>
      <c r="D3527"/>
      <c r="E3527"/>
      <c r="F3527"/>
      <c r="H3527"/>
      <c r="I3527"/>
      <c r="J3527"/>
      <c r="K3527"/>
      <c r="L3527"/>
    </row>
    <row r="3528" spans="2:12" ht="14.4" x14ac:dyDescent="0.3">
      <c r="B3528"/>
      <c r="C3528"/>
      <c r="D3528"/>
      <c r="E3528"/>
      <c r="F3528"/>
      <c r="H3528"/>
      <c r="I3528"/>
      <c r="J3528"/>
      <c r="K3528"/>
      <c r="L3528"/>
    </row>
    <row r="3529" spans="2:12" ht="14.4" x14ac:dyDescent="0.3">
      <c r="B3529"/>
      <c r="C3529"/>
      <c r="D3529"/>
      <c r="E3529"/>
      <c r="F3529"/>
      <c r="H3529"/>
      <c r="I3529"/>
      <c r="J3529"/>
      <c r="K3529"/>
      <c r="L3529"/>
    </row>
    <row r="3530" spans="2:12" ht="14.4" x14ac:dyDescent="0.3">
      <c r="B3530"/>
      <c r="C3530"/>
      <c r="D3530"/>
      <c r="E3530"/>
      <c r="F3530"/>
      <c r="H3530"/>
      <c r="I3530"/>
      <c r="J3530"/>
      <c r="K3530"/>
      <c r="L3530"/>
    </row>
    <row r="3531" spans="2:12" ht="14.4" x14ac:dyDescent="0.3">
      <c r="B3531"/>
      <c r="C3531"/>
      <c r="D3531"/>
      <c r="E3531"/>
      <c r="F3531"/>
      <c r="H3531"/>
      <c r="I3531"/>
      <c r="J3531"/>
      <c r="K3531"/>
      <c r="L3531"/>
    </row>
    <row r="3532" spans="2:12" ht="14.4" x14ac:dyDescent="0.3">
      <c r="B3532"/>
      <c r="C3532"/>
      <c r="D3532"/>
      <c r="E3532"/>
      <c r="F3532"/>
      <c r="H3532"/>
      <c r="I3532"/>
      <c r="J3532"/>
      <c r="K3532"/>
      <c r="L3532"/>
    </row>
    <row r="3533" spans="2:12" ht="14.4" x14ac:dyDescent="0.3">
      <c r="B3533"/>
      <c r="C3533"/>
      <c r="D3533"/>
      <c r="E3533"/>
      <c r="F3533"/>
      <c r="H3533"/>
      <c r="I3533"/>
      <c r="J3533"/>
      <c r="K3533"/>
      <c r="L3533"/>
    </row>
    <row r="3534" spans="2:12" ht="14.4" x14ac:dyDescent="0.3">
      <c r="B3534"/>
      <c r="C3534"/>
      <c r="D3534"/>
      <c r="E3534"/>
      <c r="F3534"/>
      <c r="H3534"/>
      <c r="I3534"/>
      <c r="J3534"/>
      <c r="K3534"/>
      <c r="L3534"/>
    </row>
    <row r="3535" spans="2:12" ht="14.4" x14ac:dyDescent="0.3">
      <c r="B3535"/>
      <c r="C3535"/>
      <c r="D3535"/>
      <c r="E3535"/>
      <c r="F3535"/>
      <c r="H3535"/>
      <c r="I3535"/>
      <c r="J3535"/>
      <c r="K3535"/>
      <c r="L3535"/>
    </row>
    <row r="3536" spans="2:12" ht="14.4" x14ac:dyDescent="0.3">
      <c r="B3536"/>
      <c r="C3536"/>
      <c r="D3536"/>
      <c r="E3536"/>
      <c r="F3536"/>
      <c r="H3536"/>
      <c r="I3536"/>
      <c r="J3536"/>
      <c r="K3536"/>
      <c r="L3536"/>
    </row>
    <row r="3537" spans="2:12" ht="14.4" x14ac:dyDescent="0.3">
      <c r="B3537"/>
      <c r="C3537"/>
      <c r="D3537"/>
      <c r="E3537"/>
      <c r="F3537"/>
      <c r="H3537"/>
      <c r="I3537"/>
      <c r="J3537"/>
      <c r="K3537"/>
      <c r="L3537"/>
    </row>
    <row r="3538" spans="2:12" ht="14.4" x14ac:dyDescent="0.3">
      <c r="B3538"/>
      <c r="C3538"/>
      <c r="D3538"/>
      <c r="E3538"/>
      <c r="F3538"/>
      <c r="H3538"/>
      <c r="I3538"/>
      <c r="J3538"/>
      <c r="K3538"/>
      <c r="L3538"/>
    </row>
    <row r="3539" spans="2:12" ht="14.4" x14ac:dyDescent="0.3">
      <c r="B3539"/>
      <c r="C3539"/>
      <c r="D3539"/>
      <c r="E3539"/>
      <c r="F3539"/>
      <c r="H3539"/>
      <c r="I3539"/>
      <c r="J3539"/>
      <c r="K3539"/>
      <c r="L3539"/>
    </row>
    <row r="3540" spans="2:12" ht="14.4" x14ac:dyDescent="0.3">
      <c r="B3540"/>
      <c r="C3540"/>
      <c r="D3540"/>
      <c r="E3540"/>
      <c r="F3540"/>
      <c r="H3540"/>
      <c r="I3540"/>
      <c r="J3540"/>
      <c r="K3540"/>
      <c r="L3540"/>
    </row>
    <row r="3541" spans="2:12" ht="14.4" x14ac:dyDescent="0.3">
      <c r="B3541"/>
      <c r="C3541"/>
      <c r="D3541"/>
      <c r="E3541"/>
      <c r="F3541"/>
      <c r="H3541"/>
      <c r="I3541"/>
      <c r="J3541"/>
      <c r="K3541"/>
      <c r="L3541"/>
    </row>
    <row r="3542" spans="2:12" ht="14.4" x14ac:dyDescent="0.3">
      <c r="B3542"/>
      <c r="C3542"/>
      <c r="D3542"/>
      <c r="E3542"/>
      <c r="F3542"/>
      <c r="H3542"/>
      <c r="I3542"/>
      <c r="J3542"/>
      <c r="K3542"/>
      <c r="L3542"/>
    </row>
    <row r="3543" spans="2:12" ht="14.4" x14ac:dyDescent="0.3">
      <c r="B3543"/>
      <c r="C3543"/>
      <c r="D3543"/>
      <c r="E3543"/>
      <c r="F3543"/>
      <c r="H3543"/>
      <c r="I3543"/>
      <c r="J3543"/>
      <c r="K3543"/>
      <c r="L3543"/>
    </row>
    <row r="3544" spans="2:12" ht="14.4" x14ac:dyDescent="0.3">
      <c r="B3544"/>
      <c r="C3544"/>
      <c r="D3544"/>
      <c r="E3544"/>
      <c r="F3544"/>
      <c r="H3544"/>
      <c r="I3544"/>
      <c r="J3544"/>
      <c r="K3544"/>
      <c r="L3544"/>
    </row>
    <row r="3545" spans="2:12" ht="14.4" x14ac:dyDescent="0.3">
      <c r="B3545"/>
      <c r="C3545"/>
      <c r="D3545"/>
      <c r="E3545"/>
      <c r="F3545"/>
      <c r="H3545"/>
      <c r="I3545"/>
      <c r="J3545"/>
      <c r="K3545"/>
      <c r="L3545"/>
    </row>
    <row r="3546" spans="2:12" ht="14.4" x14ac:dyDescent="0.3">
      <c r="B3546"/>
      <c r="C3546"/>
      <c r="D3546"/>
      <c r="E3546"/>
      <c r="F3546"/>
      <c r="H3546"/>
      <c r="I3546"/>
      <c r="J3546"/>
      <c r="K3546"/>
      <c r="L3546"/>
    </row>
    <row r="3547" spans="2:12" ht="14.4" x14ac:dyDescent="0.3">
      <c r="B3547"/>
      <c r="C3547"/>
      <c r="D3547"/>
      <c r="E3547"/>
      <c r="F3547"/>
      <c r="H3547"/>
      <c r="I3547"/>
      <c r="J3547"/>
      <c r="K3547"/>
      <c r="L3547"/>
    </row>
    <row r="3548" spans="2:12" ht="14.4" x14ac:dyDescent="0.3">
      <c r="B3548"/>
      <c r="C3548"/>
      <c r="D3548"/>
      <c r="E3548"/>
      <c r="F3548"/>
      <c r="H3548"/>
      <c r="I3548"/>
      <c r="J3548"/>
      <c r="K3548"/>
      <c r="L3548"/>
    </row>
    <row r="3549" spans="2:12" ht="14.4" x14ac:dyDescent="0.3">
      <c r="B3549"/>
      <c r="C3549"/>
      <c r="D3549"/>
      <c r="E3549"/>
      <c r="F3549"/>
      <c r="H3549"/>
      <c r="I3549"/>
      <c r="J3549"/>
      <c r="K3549"/>
      <c r="L3549"/>
    </row>
    <row r="3550" spans="2:12" ht="14.4" x14ac:dyDescent="0.3">
      <c r="B3550"/>
      <c r="C3550"/>
      <c r="D3550"/>
      <c r="E3550"/>
      <c r="F3550"/>
      <c r="H3550"/>
      <c r="I3550"/>
      <c r="J3550"/>
      <c r="K3550"/>
      <c r="L3550"/>
    </row>
    <row r="3551" spans="2:12" ht="14.4" x14ac:dyDescent="0.3">
      <c r="B3551"/>
      <c r="C3551"/>
      <c r="D3551"/>
      <c r="E3551"/>
      <c r="F3551"/>
      <c r="H3551"/>
      <c r="I3551"/>
      <c r="J3551"/>
      <c r="K3551"/>
      <c r="L3551"/>
    </row>
    <row r="3552" spans="2:12" ht="14.4" x14ac:dyDescent="0.3">
      <c r="B3552"/>
      <c r="C3552"/>
      <c r="D3552"/>
      <c r="E3552"/>
      <c r="F3552"/>
      <c r="H3552"/>
      <c r="I3552"/>
      <c r="J3552"/>
      <c r="K3552"/>
      <c r="L3552"/>
    </row>
    <row r="3553" spans="2:12" ht="14.4" x14ac:dyDescent="0.3">
      <c r="B3553"/>
      <c r="C3553"/>
      <c r="D3553"/>
      <c r="E3553"/>
      <c r="F3553"/>
      <c r="H3553"/>
      <c r="I3553"/>
      <c r="J3553"/>
      <c r="K3553"/>
      <c r="L3553"/>
    </row>
    <row r="3554" spans="2:12" ht="14.4" x14ac:dyDescent="0.3">
      <c r="B3554"/>
      <c r="C3554"/>
      <c r="D3554"/>
      <c r="E3554"/>
      <c r="F3554"/>
      <c r="H3554"/>
      <c r="I3554"/>
      <c r="J3554"/>
      <c r="K3554"/>
      <c r="L3554"/>
    </row>
    <row r="3555" spans="2:12" ht="14.4" x14ac:dyDescent="0.3">
      <c r="B3555"/>
      <c r="C3555"/>
      <c r="D3555"/>
      <c r="E3555"/>
      <c r="F3555"/>
      <c r="H3555"/>
      <c r="I3555"/>
      <c r="J3555"/>
      <c r="K3555"/>
      <c r="L3555"/>
    </row>
    <row r="3556" spans="2:12" ht="14.4" x14ac:dyDescent="0.3">
      <c r="B3556"/>
      <c r="C3556"/>
      <c r="D3556"/>
      <c r="E3556"/>
      <c r="F3556"/>
      <c r="H3556"/>
      <c r="I3556"/>
      <c r="J3556"/>
      <c r="K3556"/>
      <c r="L3556"/>
    </row>
    <row r="3557" spans="2:12" ht="14.4" x14ac:dyDescent="0.3">
      <c r="B3557"/>
      <c r="C3557"/>
      <c r="D3557"/>
      <c r="E3557"/>
      <c r="F3557"/>
      <c r="H3557"/>
      <c r="I3557"/>
      <c r="J3557"/>
      <c r="K3557"/>
      <c r="L3557"/>
    </row>
    <row r="3558" spans="2:12" ht="14.4" x14ac:dyDescent="0.3">
      <c r="B3558"/>
      <c r="C3558"/>
      <c r="D3558"/>
      <c r="E3558"/>
      <c r="F3558"/>
      <c r="H3558"/>
      <c r="I3558"/>
      <c r="J3558"/>
      <c r="K3558"/>
      <c r="L3558"/>
    </row>
    <row r="3559" spans="2:12" ht="14.4" x14ac:dyDescent="0.3">
      <c r="B3559"/>
      <c r="C3559"/>
      <c r="D3559"/>
      <c r="E3559"/>
      <c r="F3559"/>
      <c r="H3559"/>
      <c r="I3559"/>
      <c r="J3559"/>
      <c r="K3559"/>
      <c r="L3559"/>
    </row>
    <row r="3560" spans="2:12" ht="14.4" x14ac:dyDescent="0.3">
      <c r="B3560"/>
      <c r="C3560"/>
      <c r="D3560"/>
      <c r="E3560"/>
      <c r="F3560"/>
      <c r="H3560"/>
      <c r="I3560"/>
      <c r="J3560"/>
      <c r="K3560"/>
      <c r="L3560"/>
    </row>
    <row r="3561" spans="2:12" ht="14.4" x14ac:dyDescent="0.3">
      <c r="B3561"/>
      <c r="C3561"/>
      <c r="D3561"/>
      <c r="E3561"/>
      <c r="F3561"/>
      <c r="H3561"/>
      <c r="I3561"/>
      <c r="J3561"/>
      <c r="K3561"/>
      <c r="L3561"/>
    </row>
    <row r="3562" spans="2:12" ht="14.4" x14ac:dyDescent="0.3">
      <c r="B3562"/>
      <c r="C3562"/>
      <c r="D3562"/>
      <c r="E3562"/>
      <c r="F3562"/>
      <c r="H3562"/>
      <c r="I3562"/>
      <c r="J3562"/>
      <c r="K3562"/>
      <c r="L3562"/>
    </row>
    <row r="3563" spans="2:12" ht="14.4" x14ac:dyDescent="0.3">
      <c r="B3563"/>
      <c r="C3563"/>
      <c r="D3563"/>
      <c r="E3563"/>
      <c r="F3563"/>
      <c r="H3563"/>
      <c r="I3563"/>
      <c r="J3563"/>
      <c r="K3563"/>
      <c r="L3563"/>
    </row>
    <row r="3564" spans="2:12" ht="14.4" x14ac:dyDescent="0.3">
      <c r="B3564"/>
      <c r="C3564"/>
      <c r="D3564"/>
      <c r="E3564"/>
      <c r="F3564"/>
      <c r="H3564"/>
      <c r="I3564"/>
      <c r="J3564"/>
      <c r="K3564"/>
      <c r="L3564"/>
    </row>
    <row r="3565" spans="2:12" ht="14.4" x14ac:dyDescent="0.3">
      <c r="B3565"/>
      <c r="C3565"/>
      <c r="D3565"/>
      <c r="E3565"/>
      <c r="F3565"/>
      <c r="H3565"/>
      <c r="I3565"/>
      <c r="J3565"/>
      <c r="K3565"/>
      <c r="L3565"/>
    </row>
    <row r="3566" spans="2:12" ht="14.4" x14ac:dyDescent="0.3">
      <c r="B3566"/>
      <c r="C3566"/>
      <c r="D3566"/>
      <c r="E3566"/>
      <c r="F3566"/>
      <c r="H3566"/>
      <c r="I3566"/>
      <c r="J3566"/>
      <c r="K3566"/>
      <c r="L3566"/>
    </row>
    <row r="3567" spans="2:12" ht="14.4" x14ac:dyDescent="0.3">
      <c r="B3567"/>
      <c r="C3567"/>
      <c r="D3567"/>
      <c r="E3567"/>
      <c r="F3567"/>
      <c r="H3567"/>
      <c r="I3567"/>
      <c r="J3567"/>
      <c r="K3567"/>
      <c r="L3567"/>
    </row>
    <row r="3568" spans="2:12" ht="14.4" x14ac:dyDescent="0.3">
      <c r="B3568"/>
      <c r="C3568"/>
      <c r="D3568"/>
      <c r="E3568"/>
      <c r="F3568"/>
      <c r="H3568"/>
      <c r="I3568"/>
      <c r="J3568"/>
      <c r="K3568"/>
      <c r="L3568"/>
    </row>
    <row r="3569" spans="2:12" ht="14.4" x14ac:dyDescent="0.3">
      <c r="B3569"/>
      <c r="C3569"/>
      <c r="D3569"/>
      <c r="E3569"/>
      <c r="F3569"/>
      <c r="H3569"/>
      <c r="I3569"/>
      <c r="J3569"/>
      <c r="K3569"/>
      <c r="L3569"/>
    </row>
    <row r="3570" spans="2:12" ht="14.4" x14ac:dyDescent="0.3">
      <c r="B3570"/>
      <c r="C3570"/>
      <c r="D3570"/>
      <c r="E3570"/>
      <c r="F3570"/>
      <c r="H3570"/>
      <c r="I3570"/>
      <c r="J3570"/>
      <c r="K3570"/>
      <c r="L3570"/>
    </row>
    <row r="3571" spans="2:12" ht="14.4" x14ac:dyDescent="0.3">
      <c r="B3571"/>
      <c r="C3571"/>
      <c r="D3571"/>
      <c r="E3571"/>
      <c r="F3571"/>
      <c r="H3571"/>
      <c r="I3571"/>
      <c r="J3571"/>
      <c r="K3571"/>
      <c r="L3571"/>
    </row>
    <row r="3572" spans="2:12" ht="14.4" x14ac:dyDescent="0.3">
      <c r="B3572"/>
      <c r="C3572"/>
      <c r="D3572"/>
      <c r="E3572"/>
      <c r="F3572"/>
      <c r="H3572"/>
      <c r="I3572"/>
      <c r="J3572"/>
      <c r="K3572"/>
      <c r="L3572"/>
    </row>
    <row r="3573" spans="2:12" ht="14.4" x14ac:dyDescent="0.3">
      <c r="B3573"/>
      <c r="C3573"/>
      <c r="D3573"/>
      <c r="E3573"/>
      <c r="F3573"/>
      <c r="H3573"/>
      <c r="I3573"/>
      <c r="J3573"/>
      <c r="K3573"/>
      <c r="L3573"/>
    </row>
    <row r="3574" spans="2:12" ht="14.4" x14ac:dyDescent="0.3">
      <c r="B3574"/>
      <c r="C3574"/>
      <c r="D3574"/>
      <c r="E3574"/>
      <c r="F3574"/>
      <c r="H3574"/>
      <c r="I3574"/>
      <c r="J3574"/>
      <c r="K3574"/>
      <c r="L3574"/>
    </row>
    <row r="3575" spans="2:12" ht="14.4" x14ac:dyDescent="0.3">
      <c r="B3575"/>
      <c r="C3575"/>
      <c r="D3575"/>
      <c r="E3575"/>
      <c r="F3575"/>
      <c r="H3575"/>
      <c r="I3575"/>
      <c r="J3575"/>
      <c r="K3575"/>
      <c r="L3575"/>
    </row>
    <row r="3576" spans="2:12" ht="14.4" x14ac:dyDescent="0.3">
      <c r="B3576"/>
      <c r="C3576"/>
      <c r="D3576"/>
      <c r="E3576"/>
      <c r="F3576"/>
      <c r="H3576"/>
      <c r="I3576"/>
      <c r="J3576"/>
      <c r="K3576"/>
      <c r="L3576"/>
    </row>
    <row r="3577" spans="2:12" ht="14.4" x14ac:dyDescent="0.3">
      <c r="B3577"/>
      <c r="C3577"/>
      <c r="D3577"/>
      <c r="E3577"/>
      <c r="F3577"/>
      <c r="H3577"/>
      <c r="I3577"/>
      <c r="J3577"/>
      <c r="K3577"/>
      <c r="L3577"/>
    </row>
    <row r="3578" spans="2:12" ht="14.4" x14ac:dyDescent="0.3">
      <c r="B3578"/>
      <c r="C3578"/>
      <c r="D3578"/>
      <c r="E3578"/>
      <c r="F3578"/>
      <c r="H3578"/>
      <c r="I3578"/>
      <c r="J3578"/>
      <c r="K3578"/>
      <c r="L3578"/>
    </row>
    <row r="3579" spans="2:12" ht="14.4" x14ac:dyDescent="0.3">
      <c r="B3579"/>
      <c r="C3579"/>
      <c r="D3579"/>
      <c r="E3579"/>
      <c r="F3579"/>
      <c r="H3579"/>
      <c r="I3579"/>
      <c r="J3579"/>
      <c r="K3579"/>
      <c r="L3579"/>
    </row>
    <row r="3580" spans="2:12" ht="14.4" x14ac:dyDescent="0.3">
      <c r="B3580"/>
      <c r="C3580"/>
      <c r="D3580"/>
      <c r="E3580"/>
      <c r="F3580"/>
      <c r="H3580"/>
      <c r="I3580"/>
      <c r="J3580"/>
      <c r="K3580"/>
      <c r="L3580"/>
    </row>
    <row r="3581" spans="2:12" ht="14.4" x14ac:dyDescent="0.3">
      <c r="B3581"/>
      <c r="C3581"/>
      <c r="D3581"/>
      <c r="E3581"/>
      <c r="F3581"/>
      <c r="H3581"/>
      <c r="I3581"/>
      <c r="J3581"/>
      <c r="K3581"/>
      <c r="L3581"/>
    </row>
    <row r="3582" spans="2:12" ht="14.4" x14ac:dyDescent="0.3">
      <c r="B3582"/>
      <c r="C3582"/>
      <c r="D3582"/>
      <c r="E3582"/>
      <c r="F3582"/>
      <c r="H3582"/>
      <c r="I3582"/>
      <c r="J3582"/>
      <c r="K3582"/>
      <c r="L3582"/>
    </row>
    <row r="3583" spans="2:12" ht="14.4" x14ac:dyDescent="0.3">
      <c r="B3583"/>
      <c r="C3583"/>
      <c r="D3583"/>
      <c r="E3583"/>
      <c r="F3583"/>
      <c r="H3583"/>
      <c r="I3583"/>
      <c r="J3583"/>
      <c r="K3583"/>
      <c r="L3583"/>
    </row>
    <row r="3584" spans="2:12" ht="14.4" x14ac:dyDescent="0.3">
      <c r="B3584"/>
      <c r="C3584"/>
      <c r="D3584"/>
      <c r="E3584"/>
      <c r="F3584"/>
      <c r="H3584"/>
      <c r="I3584"/>
      <c r="J3584"/>
      <c r="K3584"/>
      <c r="L3584"/>
    </row>
    <row r="3585" spans="2:12" ht="14.4" x14ac:dyDescent="0.3">
      <c r="B3585"/>
      <c r="C3585"/>
      <c r="D3585"/>
      <c r="E3585"/>
      <c r="F3585"/>
      <c r="H3585"/>
      <c r="I3585"/>
      <c r="J3585"/>
      <c r="K3585"/>
      <c r="L3585"/>
    </row>
    <row r="3586" spans="2:12" ht="14.4" x14ac:dyDescent="0.3">
      <c r="B3586"/>
      <c r="C3586"/>
      <c r="D3586"/>
      <c r="E3586"/>
      <c r="F3586"/>
      <c r="H3586"/>
      <c r="I3586"/>
      <c r="J3586"/>
      <c r="K3586"/>
      <c r="L3586"/>
    </row>
    <row r="3587" spans="2:12" ht="14.4" x14ac:dyDescent="0.3">
      <c r="B3587"/>
      <c r="C3587"/>
      <c r="D3587"/>
      <c r="E3587"/>
      <c r="F3587"/>
      <c r="H3587"/>
      <c r="I3587"/>
      <c r="J3587"/>
      <c r="K3587"/>
      <c r="L3587"/>
    </row>
    <row r="3588" spans="2:12" ht="14.4" x14ac:dyDescent="0.3">
      <c r="B3588"/>
      <c r="C3588"/>
      <c r="D3588"/>
      <c r="E3588"/>
      <c r="F3588"/>
      <c r="H3588"/>
      <c r="I3588"/>
      <c r="J3588"/>
      <c r="K3588"/>
      <c r="L3588"/>
    </row>
    <row r="3589" spans="2:12" ht="14.4" x14ac:dyDescent="0.3">
      <c r="B3589"/>
      <c r="C3589"/>
      <c r="D3589"/>
      <c r="E3589"/>
      <c r="F3589"/>
      <c r="H3589"/>
      <c r="I3589"/>
      <c r="J3589"/>
      <c r="K3589"/>
      <c r="L3589"/>
    </row>
    <row r="3590" spans="2:12" ht="14.4" x14ac:dyDescent="0.3">
      <c r="B3590"/>
      <c r="C3590"/>
      <c r="D3590"/>
      <c r="E3590"/>
      <c r="F3590"/>
      <c r="H3590"/>
      <c r="I3590"/>
      <c r="J3590"/>
      <c r="K3590"/>
      <c r="L3590"/>
    </row>
    <row r="3591" spans="2:12" ht="14.4" x14ac:dyDescent="0.3">
      <c r="B3591"/>
      <c r="C3591"/>
      <c r="D3591"/>
      <c r="E3591"/>
      <c r="F3591"/>
      <c r="H3591"/>
      <c r="I3591"/>
      <c r="J3591"/>
      <c r="K3591"/>
      <c r="L3591"/>
    </row>
    <row r="3592" spans="2:12" ht="14.4" x14ac:dyDescent="0.3">
      <c r="B3592"/>
      <c r="C3592"/>
      <c r="D3592"/>
      <c r="E3592"/>
      <c r="F3592"/>
      <c r="H3592"/>
      <c r="I3592"/>
      <c r="J3592"/>
      <c r="K3592"/>
      <c r="L3592"/>
    </row>
    <row r="3593" spans="2:12" ht="14.4" x14ac:dyDescent="0.3">
      <c r="B3593"/>
      <c r="C3593"/>
      <c r="D3593"/>
      <c r="E3593"/>
      <c r="F3593"/>
      <c r="H3593"/>
      <c r="I3593"/>
      <c r="J3593"/>
      <c r="K3593"/>
      <c r="L3593"/>
    </row>
    <row r="3594" spans="2:12" ht="14.4" x14ac:dyDescent="0.3">
      <c r="B3594"/>
      <c r="C3594"/>
      <c r="D3594"/>
      <c r="E3594"/>
      <c r="F3594"/>
      <c r="H3594"/>
      <c r="I3594"/>
      <c r="J3594"/>
      <c r="K3594"/>
      <c r="L3594"/>
    </row>
    <row r="3595" spans="2:12" ht="14.4" x14ac:dyDescent="0.3">
      <c r="B3595"/>
      <c r="C3595"/>
      <c r="D3595"/>
      <c r="E3595"/>
      <c r="F3595"/>
      <c r="H3595"/>
      <c r="I3595"/>
      <c r="J3595"/>
      <c r="K3595"/>
      <c r="L3595"/>
    </row>
    <row r="3596" spans="2:12" ht="14.4" x14ac:dyDescent="0.3">
      <c r="B3596"/>
      <c r="C3596"/>
      <c r="D3596"/>
      <c r="E3596"/>
      <c r="F3596"/>
      <c r="H3596"/>
      <c r="I3596"/>
      <c r="J3596"/>
      <c r="K3596"/>
      <c r="L3596"/>
    </row>
    <row r="3597" spans="2:12" ht="14.4" x14ac:dyDescent="0.3">
      <c r="B3597"/>
      <c r="C3597"/>
      <c r="D3597"/>
      <c r="E3597"/>
      <c r="F3597"/>
      <c r="H3597"/>
      <c r="I3597"/>
      <c r="J3597"/>
      <c r="K3597"/>
      <c r="L3597"/>
    </row>
    <row r="3598" spans="2:12" ht="14.4" x14ac:dyDescent="0.3">
      <c r="B3598"/>
      <c r="C3598"/>
      <c r="D3598"/>
      <c r="E3598"/>
      <c r="F3598"/>
      <c r="H3598"/>
      <c r="I3598"/>
      <c r="J3598"/>
      <c r="K3598"/>
      <c r="L3598"/>
    </row>
    <row r="3599" spans="2:12" ht="14.4" x14ac:dyDescent="0.3">
      <c r="B3599"/>
      <c r="C3599"/>
      <c r="D3599"/>
      <c r="E3599"/>
      <c r="F3599"/>
      <c r="H3599"/>
      <c r="I3599"/>
      <c r="J3599"/>
      <c r="K3599"/>
      <c r="L3599"/>
    </row>
    <row r="3600" spans="2:12" ht="14.4" x14ac:dyDescent="0.3">
      <c r="B3600"/>
      <c r="C3600"/>
      <c r="D3600"/>
      <c r="E3600"/>
      <c r="F3600"/>
      <c r="H3600"/>
      <c r="I3600"/>
      <c r="J3600"/>
      <c r="K3600"/>
      <c r="L3600"/>
    </row>
    <row r="3601" spans="2:12" ht="14.4" x14ac:dyDescent="0.3">
      <c r="B3601"/>
      <c r="C3601"/>
      <c r="D3601"/>
      <c r="E3601"/>
      <c r="F3601"/>
      <c r="H3601"/>
      <c r="I3601"/>
      <c r="J3601"/>
      <c r="K3601"/>
      <c r="L3601"/>
    </row>
    <row r="3602" spans="2:12" ht="14.4" x14ac:dyDescent="0.3">
      <c r="B3602"/>
      <c r="C3602"/>
      <c r="D3602"/>
      <c r="E3602"/>
      <c r="F3602"/>
      <c r="H3602"/>
      <c r="I3602"/>
      <c r="J3602"/>
      <c r="K3602"/>
      <c r="L3602"/>
    </row>
    <row r="3603" spans="2:12" ht="14.4" x14ac:dyDescent="0.3">
      <c r="B3603"/>
      <c r="C3603"/>
      <c r="D3603"/>
      <c r="E3603"/>
      <c r="F3603"/>
      <c r="H3603"/>
      <c r="I3603"/>
      <c r="J3603"/>
      <c r="K3603"/>
      <c r="L3603"/>
    </row>
    <row r="3604" spans="2:12" ht="14.4" x14ac:dyDescent="0.3">
      <c r="B3604"/>
      <c r="C3604"/>
      <c r="D3604"/>
      <c r="E3604"/>
      <c r="F3604"/>
      <c r="H3604"/>
      <c r="I3604"/>
      <c r="J3604"/>
      <c r="K3604"/>
      <c r="L3604"/>
    </row>
    <row r="3605" spans="2:12" ht="14.4" x14ac:dyDescent="0.3">
      <c r="B3605"/>
      <c r="C3605"/>
      <c r="D3605"/>
      <c r="E3605"/>
      <c r="F3605"/>
      <c r="H3605"/>
      <c r="I3605"/>
      <c r="J3605"/>
      <c r="K3605"/>
      <c r="L3605"/>
    </row>
    <row r="3606" spans="2:12" ht="14.4" x14ac:dyDescent="0.3">
      <c r="B3606"/>
      <c r="C3606"/>
      <c r="D3606"/>
      <c r="E3606"/>
      <c r="F3606"/>
      <c r="H3606"/>
      <c r="I3606"/>
      <c r="J3606"/>
      <c r="K3606"/>
      <c r="L3606"/>
    </row>
    <row r="3607" spans="2:12" ht="14.4" x14ac:dyDescent="0.3">
      <c r="B3607"/>
      <c r="C3607"/>
      <c r="D3607"/>
      <c r="E3607"/>
      <c r="F3607"/>
      <c r="H3607"/>
      <c r="I3607"/>
      <c r="J3607"/>
      <c r="K3607"/>
      <c r="L3607"/>
    </row>
    <row r="3608" spans="2:12" ht="14.4" x14ac:dyDescent="0.3">
      <c r="B3608"/>
      <c r="C3608"/>
      <c r="D3608"/>
      <c r="E3608"/>
      <c r="F3608"/>
      <c r="H3608"/>
      <c r="I3608"/>
      <c r="J3608"/>
      <c r="K3608"/>
      <c r="L3608"/>
    </row>
    <row r="3609" spans="2:12" ht="14.4" x14ac:dyDescent="0.3">
      <c r="B3609"/>
      <c r="C3609"/>
      <c r="D3609"/>
      <c r="E3609"/>
      <c r="F3609"/>
      <c r="H3609"/>
      <c r="I3609"/>
      <c r="J3609"/>
      <c r="K3609"/>
      <c r="L3609"/>
    </row>
    <row r="3610" spans="2:12" ht="14.4" x14ac:dyDescent="0.3">
      <c r="B3610"/>
      <c r="C3610"/>
      <c r="D3610"/>
      <c r="E3610"/>
      <c r="F3610"/>
      <c r="H3610"/>
      <c r="I3610"/>
      <c r="J3610"/>
      <c r="K3610"/>
      <c r="L3610"/>
    </row>
    <row r="3611" spans="2:12" ht="14.4" x14ac:dyDescent="0.3">
      <c r="B3611"/>
      <c r="C3611"/>
      <c r="D3611"/>
      <c r="E3611"/>
      <c r="F3611"/>
      <c r="H3611"/>
      <c r="I3611"/>
      <c r="J3611"/>
      <c r="K3611"/>
      <c r="L3611"/>
    </row>
    <row r="3612" spans="2:12" ht="14.4" x14ac:dyDescent="0.3">
      <c r="B3612"/>
      <c r="C3612"/>
      <c r="D3612"/>
      <c r="E3612"/>
      <c r="F3612"/>
      <c r="H3612"/>
      <c r="I3612"/>
      <c r="J3612"/>
      <c r="K3612"/>
      <c r="L3612"/>
    </row>
    <row r="3613" spans="2:12" ht="14.4" x14ac:dyDescent="0.3">
      <c r="B3613"/>
      <c r="C3613"/>
      <c r="D3613"/>
      <c r="E3613"/>
      <c r="F3613"/>
      <c r="H3613"/>
      <c r="I3613"/>
      <c r="J3613"/>
      <c r="K3613"/>
      <c r="L3613"/>
    </row>
    <row r="3614" spans="2:12" ht="14.4" x14ac:dyDescent="0.3">
      <c r="B3614"/>
      <c r="C3614"/>
      <c r="D3614"/>
      <c r="E3614"/>
      <c r="F3614"/>
      <c r="H3614"/>
      <c r="I3614"/>
      <c r="J3614"/>
      <c r="K3614"/>
      <c r="L3614"/>
    </row>
    <row r="3615" spans="2:12" ht="14.4" x14ac:dyDescent="0.3">
      <c r="B3615"/>
      <c r="C3615"/>
      <c r="D3615"/>
      <c r="E3615"/>
      <c r="F3615"/>
      <c r="H3615"/>
      <c r="I3615"/>
      <c r="J3615"/>
      <c r="K3615"/>
      <c r="L3615"/>
    </row>
    <row r="3616" spans="2:12" ht="14.4" x14ac:dyDescent="0.3">
      <c r="B3616"/>
      <c r="C3616"/>
      <c r="D3616"/>
      <c r="E3616"/>
      <c r="F3616"/>
      <c r="H3616"/>
      <c r="I3616"/>
      <c r="J3616"/>
      <c r="K3616"/>
      <c r="L3616"/>
    </row>
    <row r="3617" spans="2:12" ht="14.4" x14ac:dyDescent="0.3">
      <c r="B3617"/>
      <c r="C3617"/>
      <c r="D3617"/>
      <c r="E3617"/>
      <c r="F3617"/>
      <c r="H3617"/>
      <c r="I3617"/>
      <c r="J3617"/>
      <c r="K3617"/>
      <c r="L3617"/>
    </row>
    <row r="3618" spans="2:12" ht="14.4" x14ac:dyDescent="0.3">
      <c r="B3618"/>
      <c r="C3618"/>
      <c r="D3618"/>
      <c r="E3618"/>
      <c r="F3618"/>
      <c r="H3618"/>
      <c r="I3618"/>
      <c r="J3618"/>
      <c r="K3618"/>
      <c r="L3618"/>
    </row>
    <row r="3619" spans="2:12" ht="14.4" x14ac:dyDescent="0.3">
      <c r="B3619"/>
      <c r="C3619"/>
      <c r="D3619"/>
      <c r="E3619"/>
      <c r="F3619"/>
      <c r="H3619"/>
      <c r="I3619"/>
      <c r="J3619"/>
      <c r="K3619"/>
      <c r="L3619"/>
    </row>
    <row r="3620" spans="2:12" ht="14.4" x14ac:dyDescent="0.3">
      <c r="B3620"/>
      <c r="C3620"/>
      <c r="D3620"/>
      <c r="E3620"/>
      <c r="F3620"/>
      <c r="H3620"/>
      <c r="I3620"/>
      <c r="J3620"/>
      <c r="K3620"/>
      <c r="L3620"/>
    </row>
    <row r="3621" spans="2:12" ht="14.4" x14ac:dyDescent="0.3">
      <c r="B3621"/>
      <c r="C3621"/>
      <c r="D3621"/>
      <c r="E3621"/>
      <c r="F3621"/>
      <c r="H3621"/>
      <c r="I3621"/>
      <c r="J3621"/>
      <c r="K3621"/>
      <c r="L3621"/>
    </row>
    <row r="3622" spans="2:12" ht="14.4" x14ac:dyDescent="0.3">
      <c r="B3622"/>
      <c r="C3622"/>
      <c r="D3622"/>
      <c r="E3622"/>
      <c r="F3622"/>
      <c r="H3622"/>
      <c r="I3622"/>
      <c r="J3622"/>
      <c r="K3622"/>
      <c r="L3622"/>
    </row>
    <row r="3623" spans="2:12" ht="14.4" x14ac:dyDescent="0.3">
      <c r="B3623"/>
      <c r="C3623"/>
      <c r="D3623"/>
      <c r="E3623"/>
      <c r="F3623"/>
      <c r="H3623"/>
      <c r="I3623"/>
      <c r="J3623"/>
      <c r="K3623"/>
      <c r="L3623"/>
    </row>
    <row r="3624" spans="2:12" ht="14.4" x14ac:dyDescent="0.3">
      <c r="B3624"/>
      <c r="C3624"/>
      <c r="D3624"/>
      <c r="E3624"/>
      <c r="F3624"/>
      <c r="H3624"/>
      <c r="I3624"/>
      <c r="J3624"/>
      <c r="K3624"/>
      <c r="L3624"/>
    </row>
    <row r="3625" spans="2:12" ht="14.4" x14ac:dyDescent="0.3">
      <c r="B3625"/>
      <c r="C3625"/>
      <c r="D3625"/>
      <c r="E3625"/>
      <c r="F3625"/>
      <c r="H3625"/>
      <c r="I3625"/>
      <c r="J3625"/>
      <c r="K3625"/>
      <c r="L3625"/>
    </row>
    <row r="3626" spans="2:12" ht="14.4" x14ac:dyDescent="0.3">
      <c r="B3626"/>
      <c r="C3626"/>
      <c r="D3626"/>
      <c r="E3626"/>
      <c r="F3626"/>
      <c r="H3626"/>
      <c r="I3626"/>
      <c r="J3626"/>
      <c r="K3626"/>
      <c r="L3626"/>
    </row>
    <row r="3627" spans="2:12" ht="14.4" x14ac:dyDescent="0.3">
      <c r="B3627"/>
      <c r="C3627"/>
      <c r="D3627"/>
      <c r="E3627"/>
      <c r="F3627"/>
      <c r="H3627"/>
      <c r="I3627"/>
      <c r="J3627"/>
      <c r="K3627"/>
      <c r="L3627"/>
    </row>
    <row r="3628" spans="2:12" ht="14.4" x14ac:dyDescent="0.3">
      <c r="B3628"/>
      <c r="C3628"/>
      <c r="D3628"/>
      <c r="E3628"/>
      <c r="F3628"/>
      <c r="H3628"/>
      <c r="I3628"/>
      <c r="J3628"/>
      <c r="K3628"/>
      <c r="L3628"/>
    </row>
    <row r="3629" spans="2:12" ht="14.4" x14ac:dyDescent="0.3">
      <c r="B3629"/>
      <c r="C3629"/>
      <c r="D3629"/>
      <c r="E3629"/>
      <c r="F3629"/>
      <c r="H3629"/>
      <c r="I3629"/>
      <c r="J3629"/>
      <c r="K3629"/>
      <c r="L3629"/>
    </row>
    <row r="3630" spans="2:12" ht="14.4" x14ac:dyDescent="0.3">
      <c r="B3630"/>
      <c r="C3630"/>
      <c r="D3630"/>
      <c r="E3630"/>
      <c r="F3630"/>
      <c r="H3630"/>
      <c r="I3630"/>
      <c r="J3630"/>
      <c r="K3630"/>
      <c r="L3630"/>
    </row>
    <row r="3631" spans="2:12" ht="14.4" x14ac:dyDescent="0.3">
      <c r="B3631"/>
      <c r="C3631"/>
      <c r="D3631"/>
      <c r="E3631"/>
      <c r="F3631"/>
      <c r="H3631"/>
      <c r="I3631"/>
      <c r="J3631"/>
      <c r="K3631"/>
      <c r="L3631"/>
    </row>
    <row r="3632" spans="2:12" ht="14.4" x14ac:dyDescent="0.3">
      <c r="B3632"/>
      <c r="C3632"/>
      <c r="D3632"/>
      <c r="E3632"/>
      <c r="F3632"/>
      <c r="H3632"/>
      <c r="I3632"/>
      <c r="J3632"/>
      <c r="K3632"/>
      <c r="L3632"/>
    </row>
    <row r="3633" spans="2:12" ht="14.4" x14ac:dyDescent="0.3">
      <c r="B3633"/>
      <c r="C3633"/>
      <c r="D3633"/>
      <c r="E3633"/>
      <c r="F3633"/>
      <c r="H3633"/>
      <c r="I3633"/>
      <c r="J3633"/>
      <c r="K3633"/>
      <c r="L3633"/>
    </row>
    <row r="3634" spans="2:12" ht="14.4" x14ac:dyDescent="0.3">
      <c r="B3634"/>
      <c r="C3634"/>
      <c r="D3634"/>
      <c r="E3634"/>
      <c r="F3634"/>
      <c r="H3634"/>
      <c r="I3634"/>
      <c r="J3634"/>
      <c r="K3634"/>
      <c r="L3634"/>
    </row>
    <row r="3635" spans="2:12" ht="14.4" x14ac:dyDescent="0.3">
      <c r="B3635"/>
      <c r="C3635"/>
      <c r="D3635"/>
      <c r="E3635"/>
      <c r="F3635"/>
      <c r="H3635"/>
      <c r="I3635"/>
      <c r="J3635"/>
      <c r="K3635"/>
      <c r="L3635"/>
    </row>
    <row r="3636" spans="2:12" ht="14.4" x14ac:dyDescent="0.3">
      <c r="B3636"/>
      <c r="C3636"/>
      <c r="D3636"/>
      <c r="E3636"/>
      <c r="F3636"/>
      <c r="H3636"/>
      <c r="I3636"/>
      <c r="J3636"/>
      <c r="K3636"/>
      <c r="L3636"/>
    </row>
    <row r="3637" spans="2:12" ht="14.4" x14ac:dyDescent="0.3">
      <c r="B3637"/>
      <c r="C3637"/>
      <c r="D3637"/>
      <c r="E3637"/>
      <c r="F3637"/>
      <c r="H3637"/>
      <c r="I3637"/>
      <c r="J3637"/>
      <c r="K3637"/>
      <c r="L3637"/>
    </row>
    <row r="3638" spans="2:12" ht="14.4" x14ac:dyDescent="0.3">
      <c r="B3638"/>
      <c r="C3638"/>
      <c r="D3638"/>
      <c r="E3638"/>
      <c r="F3638"/>
      <c r="H3638"/>
      <c r="I3638"/>
      <c r="J3638"/>
      <c r="K3638"/>
      <c r="L3638"/>
    </row>
    <row r="3639" spans="2:12" ht="14.4" x14ac:dyDescent="0.3">
      <c r="B3639"/>
      <c r="C3639"/>
      <c r="D3639"/>
      <c r="E3639"/>
      <c r="F3639"/>
      <c r="H3639"/>
      <c r="I3639"/>
      <c r="J3639"/>
      <c r="K3639"/>
      <c r="L3639"/>
    </row>
    <row r="3640" spans="2:12" ht="14.4" x14ac:dyDescent="0.3">
      <c r="B3640"/>
      <c r="C3640"/>
      <c r="D3640"/>
      <c r="E3640"/>
      <c r="F3640"/>
      <c r="H3640"/>
      <c r="I3640"/>
      <c r="J3640"/>
      <c r="K3640"/>
      <c r="L3640"/>
    </row>
    <row r="3641" spans="2:12" ht="14.4" x14ac:dyDescent="0.3">
      <c r="B3641"/>
      <c r="C3641"/>
      <c r="D3641"/>
      <c r="E3641"/>
      <c r="F3641"/>
      <c r="H3641"/>
      <c r="I3641"/>
      <c r="J3641"/>
      <c r="K3641"/>
      <c r="L3641"/>
    </row>
    <row r="3642" spans="2:12" ht="14.4" x14ac:dyDescent="0.3">
      <c r="B3642"/>
      <c r="C3642"/>
      <c r="D3642"/>
      <c r="E3642"/>
      <c r="F3642"/>
      <c r="H3642"/>
      <c r="I3642"/>
      <c r="J3642"/>
      <c r="K3642"/>
      <c r="L3642"/>
    </row>
    <row r="3643" spans="2:12" ht="14.4" x14ac:dyDescent="0.3">
      <c r="B3643"/>
      <c r="C3643"/>
      <c r="D3643"/>
      <c r="E3643"/>
      <c r="F3643"/>
      <c r="H3643"/>
      <c r="I3643"/>
      <c r="J3643"/>
      <c r="K3643"/>
      <c r="L3643"/>
    </row>
    <row r="3644" spans="2:12" ht="14.4" x14ac:dyDescent="0.3">
      <c r="B3644"/>
      <c r="C3644"/>
      <c r="D3644"/>
      <c r="E3644"/>
      <c r="F3644"/>
      <c r="H3644"/>
      <c r="I3644"/>
      <c r="J3644"/>
      <c r="K3644"/>
      <c r="L3644"/>
    </row>
    <row r="3645" spans="2:12" ht="14.4" x14ac:dyDescent="0.3">
      <c r="B3645"/>
      <c r="C3645"/>
      <c r="D3645"/>
      <c r="E3645"/>
      <c r="F3645"/>
      <c r="H3645"/>
      <c r="I3645"/>
      <c r="J3645"/>
      <c r="K3645"/>
      <c r="L3645"/>
    </row>
    <row r="3646" spans="2:12" ht="14.4" x14ac:dyDescent="0.3">
      <c r="B3646"/>
      <c r="C3646"/>
      <c r="D3646"/>
      <c r="E3646"/>
      <c r="F3646"/>
      <c r="H3646"/>
      <c r="I3646"/>
      <c r="J3646"/>
      <c r="K3646"/>
      <c r="L3646"/>
    </row>
    <row r="3647" spans="2:12" ht="14.4" x14ac:dyDescent="0.3">
      <c r="B3647"/>
      <c r="C3647"/>
      <c r="D3647"/>
      <c r="E3647"/>
      <c r="F3647"/>
      <c r="H3647"/>
      <c r="I3647"/>
      <c r="J3647"/>
      <c r="K3647"/>
      <c r="L3647"/>
    </row>
    <row r="3648" spans="2:12" ht="14.4" x14ac:dyDescent="0.3">
      <c r="B3648"/>
      <c r="C3648"/>
      <c r="D3648"/>
      <c r="E3648"/>
      <c r="F3648"/>
      <c r="H3648"/>
      <c r="I3648"/>
      <c r="J3648"/>
      <c r="K3648"/>
      <c r="L3648"/>
    </row>
    <row r="3649" spans="2:12" ht="14.4" x14ac:dyDescent="0.3">
      <c r="B3649"/>
      <c r="C3649"/>
      <c r="D3649"/>
      <c r="E3649"/>
      <c r="F3649"/>
      <c r="H3649"/>
      <c r="I3649"/>
      <c r="J3649"/>
      <c r="K3649"/>
      <c r="L3649"/>
    </row>
    <row r="3650" spans="2:12" ht="14.4" x14ac:dyDescent="0.3">
      <c r="B3650"/>
      <c r="C3650"/>
      <c r="D3650"/>
      <c r="E3650"/>
      <c r="F3650"/>
      <c r="H3650"/>
      <c r="I3650"/>
      <c r="J3650"/>
      <c r="K3650"/>
      <c r="L3650"/>
    </row>
    <row r="3651" spans="2:12" ht="14.4" x14ac:dyDescent="0.3">
      <c r="B3651"/>
      <c r="C3651"/>
      <c r="D3651"/>
      <c r="E3651"/>
      <c r="F3651"/>
      <c r="H3651"/>
      <c r="I3651"/>
      <c r="J3651"/>
      <c r="K3651"/>
      <c r="L3651"/>
    </row>
    <row r="3652" spans="2:12" ht="14.4" x14ac:dyDescent="0.3">
      <c r="B3652"/>
      <c r="C3652"/>
      <c r="D3652"/>
      <c r="E3652"/>
      <c r="F3652"/>
      <c r="H3652"/>
      <c r="I3652"/>
      <c r="J3652"/>
      <c r="K3652"/>
      <c r="L3652"/>
    </row>
    <row r="3653" spans="2:12" ht="14.4" x14ac:dyDescent="0.3">
      <c r="B3653"/>
      <c r="C3653"/>
      <c r="D3653"/>
      <c r="E3653"/>
      <c r="F3653"/>
      <c r="H3653"/>
      <c r="I3653"/>
      <c r="J3653"/>
      <c r="K3653"/>
      <c r="L3653"/>
    </row>
    <row r="3654" spans="2:12" ht="14.4" x14ac:dyDescent="0.3">
      <c r="B3654"/>
      <c r="C3654"/>
      <c r="D3654"/>
      <c r="E3654"/>
      <c r="F3654"/>
      <c r="H3654"/>
      <c r="I3654"/>
      <c r="J3654"/>
      <c r="K3654"/>
      <c r="L3654"/>
    </row>
    <row r="3655" spans="2:12" ht="14.4" x14ac:dyDescent="0.3">
      <c r="B3655"/>
      <c r="C3655"/>
      <c r="D3655"/>
      <c r="E3655"/>
      <c r="F3655"/>
      <c r="H3655"/>
      <c r="I3655"/>
      <c r="J3655"/>
      <c r="K3655"/>
      <c r="L3655"/>
    </row>
    <row r="3656" spans="2:12" ht="14.4" x14ac:dyDescent="0.3">
      <c r="B3656"/>
      <c r="C3656"/>
      <c r="D3656"/>
      <c r="E3656"/>
      <c r="F3656"/>
      <c r="H3656"/>
      <c r="I3656"/>
      <c r="J3656"/>
      <c r="K3656"/>
      <c r="L3656"/>
    </row>
    <row r="3657" spans="2:12" ht="14.4" x14ac:dyDescent="0.3">
      <c r="B3657"/>
      <c r="C3657"/>
      <c r="D3657"/>
      <c r="E3657"/>
      <c r="F3657"/>
      <c r="H3657"/>
      <c r="I3657"/>
      <c r="J3657"/>
      <c r="K3657"/>
      <c r="L3657"/>
    </row>
    <row r="3658" spans="2:12" ht="14.4" x14ac:dyDescent="0.3">
      <c r="B3658"/>
      <c r="C3658"/>
      <c r="D3658"/>
      <c r="E3658"/>
      <c r="F3658"/>
      <c r="H3658"/>
      <c r="I3658"/>
      <c r="J3658"/>
      <c r="K3658"/>
      <c r="L3658"/>
    </row>
    <row r="3659" spans="2:12" ht="14.4" x14ac:dyDescent="0.3">
      <c r="B3659"/>
      <c r="C3659"/>
      <c r="D3659"/>
      <c r="E3659"/>
      <c r="F3659"/>
      <c r="H3659"/>
      <c r="I3659"/>
      <c r="J3659"/>
      <c r="K3659"/>
      <c r="L3659"/>
    </row>
    <row r="3660" spans="2:12" ht="14.4" x14ac:dyDescent="0.3">
      <c r="B3660"/>
      <c r="C3660"/>
      <c r="D3660"/>
      <c r="E3660"/>
      <c r="F3660"/>
      <c r="H3660"/>
      <c r="I3660"/>
      <c r="J3660"/>
      <c r="K3660"/>
      <c r="L3660"/>
    </row>
    <row r="3661" spans="2:12" ht="14.4" x14ac:dyDescent="0.3">
      <c r="B3661"/>
      <c r="C3661"/>
      <c r="D3661"/>
      <c r="E3661"/>
      <c r="F3661"/>
      <c r="H3661"/>
      <c r="I3661"/>
      <c r="J3661"/>
      <c r="K3661"/>
      <c r="L3661"/>
    </row>
    <row r="3662" spans="2:12" ht="14.4" x14ac:dyDescent="0.3">
      <c r="B3662"/>
      <c r="C3662"/>
      <c r="D3662"/>
      <c r="E3662"/>
      <c r="F3662"/>
      <c r="H3662"/>
      <c r="I3662"/>
      <c r="J3662"/>
      <c r="K3662"/>
      <c r="L3662"/>
    </row>
    <row r="3663" spans="2:12" ht="14.4" x14ac:dyDescent="0.3">
      <c r="B3663"/>
      <c r="C3663"/>
      <c r="D3663"/>
      <c r="E3663"/>
      <c r="F3663"/>
      <c r="H3663"/>
      <c r="I3663"/>
      <c r="J3663"/>
      <c r="K3663"/>
      <c r="L3663"/>
    </row>
    <row r="3664" spans="2:12" ht="14.4" x14ac:dyDescent="0.3">
      <c r="B3664"/>
      <c r="C3664"/>
      <c r="D3664"/>
      <c r="E3664"/>
      <c r="F3664"/>
      <c r="H3664"/>
      <c r="I3664"/>
      <c r="J3664"/>
      <c r="K3664"/>
      <c r="L3664"/>
    </row>
    <row r="3665" spans="2:12" ht="14.4" x14ac:dyDescent="0.3">
      <c r="B3665"/>
      <c r="C3665"/>
      <c r="D3665"/>
      <c r="E3665"/>
      <c r="F3665"/>
      <c r="H3665"/>
      <c r="I3665"/>
      <c r="J3665"/>
      <c r="K3665"/>
      <c r="L3665"/>
    </row>
    <row r="3666" spans="2:12" ht="14.4" x14ac:dyDescent="0.3">
      <c r="B3666"/>
      <c r="C3666"/>
      <c r="D3666"/>
      <c r="E3666"/>
      <c r="F3666"/>
      <c r="H3666"/>
      <c r="I3666"/>
      <c r="J3666"/>
      <c r="K3666"/>
      <c r="L3666"/>
    </row>
    <row r="3667" spans="2:12" ht="14.4" x14ac:dyDescent="0.3">
      <c r="B3667"/>
      <c r="C3667"/>
      <c r="D3667"/>
      <c r="E3667"/>
      <c r="F3667"/>
      <c r="H3667"/>
      <c r="I3667"/>
      <c r="J3667"/>
      <c r="K3667"/>
      <c r="L3667"/>
    </row>
    <row r="3668" spans="2:12" ht="14.4" x14ac:dyDescent="0.3">
      <c r="B3668"/>
      <c r="C3668"/>
      <c r="D3668"/>
      <c r="E3668"/>
      <c r="F3668"/>
      <c r="H3668"/>
      <c r="I3668"/>
      <c r="J3668"/>
      <c r="K3668"/>
      <c r="L3668"/>
    </row>
    <row r="3669" spans="2:12" ht="14.4" x14ac:dyDescent="0.3">
      <c r="B3669"/>
      <c r="C3669"/>
      <c r="D3669"/>
      <c r="E3669"/>
      <c r="F3669"/>
      <c r="H3669"/>
      <c r="I3669"/>
      <c r="J3669"/>
      <c r="K3669"/>
      <c r="L3669"/>
    </row>
    <row r="3670" spans="2:12" ht="14.4" x14ac:dyDescent="0.3">
      <c r="B3670"/>
      <c r="C3670"/>
      <c r="D3670"/>
      <c r="E3670"/>
      <c r="F3670"/>
      <c r="H3670"/>
      <c r="I3670"/>
      <c r="J3670"/>
      <c r="K3670"/>
      <c r="L3670"/>
    </row>
    <row r="3671" spans="2:12" ht="14.4" x14ac:dyDescent="0.3">
      <c r="B3671"/>
      <c r="C3671"/>
      <c r="D3671"/>
      <c r="E3671"/>
      <c r="F3671"/>
      <c r="H3671"/>
      <c r="I3671"/>
      <c r="J3671"/>
      <c r="K3671"/>
      <c r="L3671"/>
    </row>
    <row r="3672" spans="2:12" ht="14.4" x14ac:dyDescent="0.3">
      <c r="B3672"/>
      <c r="C3672"/>
      <c r="D3672"/>
      <c r="E3672"/>
      <c r="F3672"/>
      <c r="H3672"/>
      <c r="I3672"/>
      <c r="J3672"/>
      <c r="K3672"/>
      <c r="L3672"/>
    </row>
    <row r="3673" spans="2:12" ht="14.4" x14ac:dyDescent="0.3">
      <c r="B3673"/>
      <c r="C3673"/>
      <c r="D3673"/>
      <c r="E3673"/>
      <c r="F3673"/>
      <c r="H3673"/>
      <c r="I3673"/>
      <c r="J3673"/>
      <c r="K3673"/>
      <c r="L3673"/>
    </row>
    <row r="3674" spans="2:12" ht="14.4" x14ac:dyDescent="0.3">
      <c r="B3674"/>
      <c r="C3674"/>
      <c r="D3674"/>
      <c r="E3674"/>
      <c r="F3674"/>
      <c r="H3674"/>
      <c r="I3674"/>
      <c r="J3674"/>
      <c r="K3674"/>
      <c r="L3674"/>
    </row>
    <row r="3675" spans="2:12" ht="14.4" x14ac:dyDescent="0.3">
      <c r="B3675"/>
      <c r="C3675"/>
      <c r="D3675"/>
      <c r="E3675"/>
      <c r="F3675"/>
      <c r="H3675"/>
      <c r="I3675"/>
      <c r="J3675"/>
      <c r="K3675"/>
      <c r="L3675"/>
    </row>
    <row r="3676" spans="2:12" ht="14.4" x14ac:dyDescent="0.3">
      <c r="B3676"/>
      <c r="C3676"/>
      <c r="D3676"/>
      <c r="E3676"/>
      <c r="F3676"/>
      <c r="H3676"/>
      <c r="I3676"/>
      <c r="J3676"/>
      <c r="K3676"/>
      <c r="L3676"/>
    </row>
    <row r="3677" spans="2:12" ht="14.4" x14ac:dyDescent="0.3">
      <c r="B3677"/>
      <c r="C3677"/>
      <c r="D3677"/>
      <c r="E3677"/>
      <c r="F3677"/>
      <c r="H3677"/>
      <c r="I3677"/>
      <c r="J3677"/>
      <c r="K3677"/>
      <c r="L3677"/>
    </row>
    <row r="3678" spans="2:12" ht="14.4" x14ac:dyDescent="0.3">
      <c r="B3678"/>
      <c r="C3678"/>
      <c r="D3678"/>
      <c r="E3678"/>
      <c r="F3678"/>
      <c r="H3678"/>
      <c r="I3678"/>
      <c r="J3678"/>
      <c r="K3678"/>
      <c r="L3678"/>
    </row>
    <row r="3679" spans="2:12" ht="14.4" x14ac:dyDescent="0.3">
      <c r="B3679"/>
      <c r="C3679"/>
      <c r="D3679"/>
      <c r="E3679"/>
      <c r="F3679"/>
      <c r="H3679"/>
      <c r="I3679"/>
      <c r="J3679"/>
      <c r="K3679"/>
      <c r="L3679"/>
    </row>
    <row r="3680" spans="2:12" ht="14.4" x14ac:dyDescent="0.3">
      <c r="B3680"/>
      <c r="C3680"/>
      <c r="D3680"/>
      <c r="E3680"/>
      <c r="F3680"/>
      <c r="H3680"/>
      <c r="I3680"/>
      <c r="J3680"/>
      <c r="K3680"/>
      <c r="L3680"/>
    </row>
    <row r="3681" spans="2:12" ht="14.4" x14ac:dyDescent="0.3">
      <c r="B3681"/>
      <c r="C3681"/>
      <c r="D3681"/>
      <c r="E3681"/>
      <c r="F3681"/>
      <c r="H3681"/>
      <c r="I3681"/>
      <c r="J3681"/>
      <c r="K3681"/>
      <c r="L3681"/>
    </row>
    <row r="3682" spans="2:12" ht="14.4" x14ac:dyDescent="0.3">
      <c r="B3682"/>
      <c r="C3682"/>
      <c r="D3682"/>
      <c r="E3682"/>
      <c r="F3682"/>
      <c r="H3682"/>
      <c r="I3682"/>
      <c r="J3682"/>
      <c r="K3682"/>
      <c r="L3682"/>
    </row>
    <row r="3683" spans="2:12" ht="14.4" x14ac:dyDescent="0.3">
      <c r="B3683"/>
      <c r="C3683"/>
      <c r="D3683"/>
      <c r="E3683"/>
      <c r="F3683"/>
      <c r="H3683"/>
      <c r="I3683"/>
      <c r="J3683"/>
      <c r="K3683"/>
      <c r="L3683"/>
    </row>
    <row r="3684" spans="2:12" ht="14.4" x14ac:dyDescent="0.3">
      <c r="B3684"/>
      <c r="C3684"/>
      <c r="D3684"/>
      <c r="E3684"/>
      <c r="F3684"/>
      <c r="H3684"/>
      <c r="I3684"/>
      <c r="J3684"/>
      <c r="K3684"/>
      <c r="L3684"/>
    </row>
    <row r="3685" spans="2:12" ht="14.4" x14ac:dyDescent="0.3">
      <c r="B3685"/>
      <c r="C3685"/>
      <c r="D3685"/>
      <c r="E3685"/>
      <c r="F3685"/>
      <c r="H3685"/>
      <c r="I3685"/>
      <c r="J3685"/>
      <c r="K3685"/>
      <c r="L3685"/>
    </row>
    <row r="3686" spans="2:12" ht="14.4" x14ac:dyDescent="0.3">
      <c r="B3686"/>
      <c r="C3686"/>
      <c r="D3686"/>
      <c r="E3686"/>
      <c r="F3686"/>
      <c r="H3686"/>
      <c r="I3686"/>
      <c r="J3686"/>
      <c r="K3686"/>
      <c r="L3686"/>
    </row>
    <row r="3687" spans="2:12" ht="14.4" x14ac:dyDescent="0.3">
      <c r="B3687"/>
      <c r="C3687"/>
      <c r="D3687"/>
      <c r="E3687"/>
      <c r="F3687"/>
      <c r="H3687"/>
      <c r="I3687"/>
      <c r="J3687"/>
      <c r="K3687"/>
      <c r="L3687"/>
    </row>
    <row r="3688" spans="2:12" ht="14.4" x14ac:dyDescent="0.3">
      <c r="B3688"/>
      <c r="C3688"/>
      <c r="D3688"/>
      <c r="E3688"/>
      <c r="F3688"/>
      <c r="H3688"/>
      <c r="I3688"/>
      <c r="J3688"/>
      <c r="K3688"/>
      <c r="L3688"/>
    </row>
    <row r="3689" spans="2:12" ht="14.4" x14ac:dyDescent="0.3">
      <c r="B3689"/>
      <c r="C3689"/>
      <c r="D3689"/>
      <c r="E3689"/>
      <c r="F3689"/>
      <c r="H3689"/>
      <c r="I3689"/>
      <c r="J3689"/>
      <c r="K3689"/>
      <c r="L3689"/>
    </row>
    <row r="3690" spans="2:12" ht="14.4" x14ac:dyDescent="0.3">
      <c r="B3690"/>
      <c r="C3690"/>
      <c r="D3690"/>
      <c r="E3690"/>
      <c r="F3690"/>
      <c r="H3690"/>
      <c r="I3690"/>
      <c r="J3690"/>
      <c r="K3690"/>
      <c r="L3690"/>
    </row>
    <row r="3691" spans="2:12" ht="14.4" x14ac:dyDescent="0.3">
      <c r="B3691"/>
      <c r="C3691"/>
      <c r="D3691"/>
      <c r="E3691"/>
      <c r="F3691"/>
      <c r="H3691"/>
      <c r="I3691"/>
      <c r="J3691"/>
      <c r="K3691"/>
      <c r="L3691"/>
    </row>
    <row r="3692" spans="2:12" ht="14.4" x14ac:dyDescent="0.3">
      <c r="B3692"/>
      <c r="C3692"/>
      <c r="D3692"/>
      <c r="E3692"/>
      <c r="F3692"/>
      <c r="H3692"/>
      <c r="I3692"/>
      <c r="J3692"/>
      <c r="K3692"/>
      <c r="L3692"/>
    </row>
    <row r="3693" spans="2:12" ht="14.4" x14ac:dyDescent="0.3">
      <c r="B3693"/>
      <c r="C3693"/>
      <c r="D3693"/>
      <c r="E3693"/>
      <c r="F3693"/>
      <c r="H3693"/>
      <c r="I3693"/>
      <c r="J3693"/>
      <c r="K3693"/>
      <c r="L3693"/>
    </row>
    <row r="3694" spans="2:12" ht="14.4" x14ac:dyDescent="0.3">
      <c r="B3694"/>
      <c r="C3694"/>
      <c r="D3694"/>
      <c r="E3694"/>
      <c r="F3694"/>
      <c r="H3694"/>
      <c r="I3694"/>
      <c r="J3694"/>
      <c r="K3694"/>
      <c r="L3694"/>
    </row>
    <row r="3695" spans="2:12" ht="14.4" x14ac:dyDescent="0.3">
      <c r="B3695"/>
      <c r="C3695"/>
      <c r="D3695"/>
      <c r="E3695"/>
      <c r="F3695"/>
      <c r="H3695"/>
      <c r="I3695"/>
      <c r="J3695"/>
      <c r="K3695"/>
      <c r="L3695"/>
    </row>
    <row r="3696" spans="2:12" ht="14.4" x14ac:dyDescent="0.3">
      <c r="B3696"/>
      <c r="C3696"/>
      <c r="D3696"/>
      <c r="E3696"/>
      <c r="F3696"/>
      <c r="H3696"/>
      <c r="I3696"/>
      <c r="J3696"/>
      <c r="K3696"/>
      <c r="L3696"/>
    </row>
    <row r="3697" spans="2:12" ht="14.4" x14ac:dyDescent="0.3">
      <c r="B3697"/>
      <c r="C3697"/>
      <c r="D3697"/>
      <c r="E3697"/>
      <c r="F3697"/>
      <c r="H3697"/>
      <c r="I3697"/>
      <c r="J3697"/>
      <c r="K3697"/>
      <c r="L3697"/>
    </row>
    <row r="3698" spans="2:12" ht="14.4" x14ac:dyDescent="0.3">
      <c r="B3698"/>
      <c r="C3698"/>
      <c r="D3698"/>
      <c r="E3698"/>
      <c r="F3698"/>
      <c r="H3698"/>
      <c r="I3698"/>
      <c r="J3698"/>
      <c r="K3698"/>
      <c r="L3698"/>
    </row>
    <row r="3699" spans="2:12" ht="14.4" x14ac:dyDescent="0.3">
      <c r="B3699"/>
      <c r="C3699"/>
      <c r="D3699"/>
      <c r="E3699"/>
      <c r="F3699"/>
      <c r="H3699"/>
      <c r="I3699"/>
      <c r="J3699"/>
      <c r="K3699"/>
      <c r="L3699"/>
    </row>
    <row r="3700" spans="2:12" ht="14.4" x14ac:dyDescent="0.3">
      <c r="B3700"/>
      <c r="C3700"/>
      <c r="D3700"/>
      <c r="E3700"/>
      <c r="F3700"/>
      <c r="H3700"/>
      <c r="I3700"/>
      <c r="J3700"/>
      <c r="K3700"/>
      <c r="L3700"/>
    </row>
    <row r="3701" spans="2:12" ht="14.4" x14ac:dyDescent="0.3">
      <c r="B3701"/>
      <c r="C3701"/>
      <c r="D3701"/>
      <c r="E3701"/>
      <c r="F3701"/>
      <c r="H3701"/>
      <c r="I3701"/>
      <c r="J3701"/>
      <c r="K3701"/>
      <c r="L3701"/>
    </row>
    <row r="3702" spans="2:12" ht="14.4" x14ac:dyDescent="0.3">
      <c r="B3702"/>
      <c r="C3702"/>
      <c r="D3702"/>
      <c r="E3702"/>
      <c r="F3702"/>
      <c r="H3702"/>
      <c r="I3702"/>
      <c r="J3702"/>
      <c r="K3702"/>
      <c r="L3702"/>
    </row>
    <row r="3703" spans="2:12" ht="14.4" x14ac:dyDescent="0.3">
      <c r="B3703"/>
      <c r="C3703"/>
      <c r="D3703"/>
      <c r="E3703"/>
      <c r="F3703"/>
      <c r="H3703"/>
      <c r="I3703"/>
      <c r="J3703"/>
      <c r="K3703"/>
      <c r="L3703"/>
    </row>
    <row r="3704" spans="2:12" ht="14.4" x14ac:dyDescent="0.3">
      <c r="B3704"/>
      <c r="C3704"/>
      <c r="D3704"/>
      <c r="E3704"/>
      <c r="F3704"/>
      <c r="H3704"/>
      <c r="I3704"/>
      <c r="J3704"/>
      <c r="K3704"/>
      <c r="L3704"/>
    </row>
    <row r="3705" spans="2:12" ht="14.4" x14ac:dyDescent="0.3">
      <c r="B3705"/>
      <c r="C3705"/>
      <c r="D3705"/>
      <c r="E3705"/>
      <c r="F3705"/>
      <c r="H3705"/>
      <c r="I3705"/>
      <c r="J3705"/>
      <c r="K3705"/>
      <c r="L3705"/>
    </row>
    <row r="3706" spans="2:12" ht="14.4" x14ac:dyDescent="0.3">
      <c r="B3706"/>
      <c r="C3706"/>
      <c r="D3706"/>
      <c r="E3706"/>
      <c r="F3706"/>
      <c r="H3706"/>
      <c r="I3706"/>
      <c r="J3706"/>
      <c r="K3706"/>
      <c r="L3706"/>
    </row>
    <row r="3707" spans="2:12" ht="14.4" x14ac:dyDescent="0.3">
      <c r="B3707"/>
      <c r="C3707"/>
      <c r="D3707"/>
      <c r="E3707"/>
      <c r="F3707"/>
      <c r="H3707"/>
      <c r="I3707"/>
      <c r="J3707"/>
      <c r="K3707"/>
      <c r="L3707"/>
    </row>
    <row r="3708" spans="2:12" ht="14.4" x14ac:dyDescent="0.3">
      <c r="B3708"/>
      <c r="C3708"/>
      <c r="D3708"/>
      <c r="E3708"/>
      <c r="F3708"/>
      <c r="H3708"/>
      <c r="I3708"/>
      <c r="J3708"/>
      <c r="K3708"/>
      <c r="L3708"/>
    </row>
    <row r="3709" spans="2:12" ht="14.4" x14ac:dyDescent="0.3">
      <c r="B3709"/>
      <c r="C3709"/>
      <c r="D3709"/>
      <c r="E3709"/>
      <c r="F3709"/>
      <c r="H3709"/>
      <c r="I3709"/>
      <c r="J3709"/>
      <c r="K3709"/>
      <c r="L3709"/>
    </row>
    <row r="3710" spans="2:12" ht="14.4" x14ac:dyDescent="0.3">
      <c r="B3710"/>
      <c r="C3710"/>
      <c r="D3710"/>
      <c r="E3710"/>
      <c r="F3710"/>
      <c r="H3710"/>
      <c r="I3710"/>
      <c r="J3710"/>
      <c r="K3710"/>
      <c r="L3710"/>
    </row>
    <row r="3711" spans="2:12" ht="14.4" x14ac:dyDescent="0.3">
      <c r="B3711"/>
      <c r="C3711"/>
      <c r="D3711"/>
      <c r="E3711"/>
      <c r="F3711"/>
      <c r="H3711"/>
      <c r="I3711"/>
      <c r="J3711"/>
      <c r="K3711"/>
      <c r="L3711"/>
    </row>
    <row r="3712" spans="2:12" ht="14.4" x14ac:dyDescent="0.3">
      <c r="B3712"/>
      <c r="C3712"/>
      <c r="D3712"/>
      <c r="E3712"/>
      <c r="F3712"/>
      <c r="H3712"/>
      <c r="I3712"/>
      <c r="J3712"/>
      <c r="K3712"/>
      <c r="L3712"/>
    </row>
    <row r="3713" spans="2:12" ht="14.4" x14ac:dyDescent="0.3">
      <c r="B3713"/>
      <c r="C3713"/>
      <c r="D3713"/>
      <c r="E3713"/>
      <c r="F3713"/>
      <c r="H3713"/>
      <c r="I3713"/>
      <c r="J3713"/>
      <c r="K3713"/>
      <c r="L3713"/>
    </row>
    <row r="3714" spans="2:12" ht="14.4" x14ac:dyDescent="0.3">
      <c r="B3714"/>
      <c r="C3714"/>
      <c r="D3714"/>
      <c r="E3714"/>
      <c r="F3714"/>
      <c r="H3714"/>
      <c r="I3714"/>
      <c r="J3714"/>
      <c r="K3714"/>
      <c r="L3714"/>
    </row>
    <row r="3715" spans="2:12" ht="14.4" x14ac:dyDescent="0.3">
      <c r="B3715"/>
      <c r="C3715"/>
      <c r="D3715"/>
      <c r="E3715"/>
      <c r="F3715"/>
      <c r="H3715"/>
      <c r="I3715"/>
      <c r="J3715"/>
      <c r="K3715"/>
      <c r="L3715"/>
    </row>
    <row r="3716" spans="2:12" ht="14.4" x14ac:dyDescent="0.3">
      <c r="B3716"/>
      <c r="C3716"/>
      <c r="D3716"/>
      <c r="E3716"/>
      <c r="F3716"/>
      <c r="H3716"/>
      <c r="I3716"/>
      <c r="J3716"/>
      <c r="K3716"/>
      <c r="L3716"/>
    </row>
    <row r="3717" spans="2:12" ht="14.4" x14ac:dyDescent="0.3">
      <c r="B3717"/>
      <c r="C3717"/>
      <c r="D3717"/>
      <c r="E3717"/>
      <c r="F3717"/>
      <c r="H3717"/>
      <c r="I3717"/>
      <c r="J3717"/>
      <c r="K3717"/>
      <c r="L3717"/>
    </row>
    <row r="3718" spans="2:12" ht="14.4" x14ac:dyDescent="0.3">
      <c r="B3718"/>
      <c r="C3718"/>
      <c r="D3718"/>
      <c r="E3718"/>
      <c r="F3718"/>
      <c r="H3718"/>
      <c r="I3718"/>
      <c r="J3718"/>
      <c r="K3718"/>
      <c r="L3718"/>
    </row>
    <row r="3719" spans="2:12" ht="14.4" x14ac:dyDescent="0.3">
      <c r="B3719"/>
      <c r="C3719"/>
      <c r="D3719"/>
      <c r="E3719"/>
      <c r="F3719"/>
      <c r="H3719"/>
      <c r="I3719"/>
      <c r="J3719"/>
      <c r="K3719"/>
      <c r="L3719"/>
    </row>
    <row r="3720" spans="2:12" ht="14.4" x14ac:dyDescent="0.3">
      <c r="B3720"/>
      <c r="C3720"/>
      <c r="D3720"/>
      <c r="E3720"/>
      <c r="F3720"/>
      <c r="H3720"/>
      <c r="I3720"/>
      <c r="J3720"/>
      <c r="K3720"/>
      <c r="L3720"/>
    </row>
    <row r="3721" spans="2:12" ht="14.4" x14ac:dyDescent="0.3">
      <c r="B3721"/>
      <c r="C3721"/>
      <c r="D3721"/>
      <c r="E3721"/>
      <c r="F3721"/>
      <c r="H3721"/>
      <c r="I3721"/>
      <c r="J3721"/>
      <c r="K3721"/>
      <c r="L3721"/>
    </row>
    <row r="3722" spans="2:12" ht="14.4" x14ac:dyDescent="0.3">
      <c r="B3722"/>
      <c r="C3722"/>
      <c r="D3722"/>
      <c r="E3722"/>
      <c r="F3722"/>
      <c r="H3722"/>
      <c r="I3722"/>
      <c r="J3722"/>
      <c r="K3722"/>
      <c r="L3722"/>
    </row>
    <row r="3723" spans="2:12" ht="14.4" x14ac:dyDescent="0.3">
      <c r="B3723"/>
      <c r="C3723"/>
      <c r="D3723"/>
      <c r="E3723"/>
      <c r="F3723"/>
      <c r="H3723"/>
      <c r="I3723"/>
      <c r="J3723"/>
      <c r="K3723"/>
      <c r="L3723"/>
    </row>
    <row r="3724" spans="2:12" ht="14.4" x14ac:dyDescent="0.3">
      <c r="B3724"/>
      <c r="C3724"/>
      <c r="D3724"/>
      <c r="E3724"/>
      <c r="F3724"/>
      <c r="H3724"/>
      <c r="I3724"/>
      <c r="J3724"/>
      <c r="K3724"/>
      <c r="L3724"/>
    </row>
    <row r="3725" spans="2:12" ht="14.4" x14ac:dyDescent="0.3">
      <c r="B3725"/>
      <c r="C3725"/>
      <c r="D3725"/>
      <c r="E3725"/>
      <c r="F3725"/>
      <c r="H3725"/>
      <c r="I3725"/>
      <c r="J3725"/>
      <c r="K3725"/>
      <c r="L3725"/>
    </row>
    <row r="3726" spans="2:12" ht="14.4" x14ac:dyDescent="0.3">
      <c r="B3726"/>
      <c r="C3726"/>
      <c r="D3726"/>
      <c r="E3726"/>
      <c r="F3726"/>
      <c r="H3726"/>
      <c r="I3726"/>
      <c r="J3726"/>
      <c r="K3726"/>
      <c r="L3726"/>
    </row>
    <row r="3727" spans="2:12" ht="14.4" x14ac:dyDescent="0.3">
      <c r="B3727"/>
      <c r="C3727"/>
      <c r="D3727"/>
      <c r="E3727"/>
      <c r="F3727"/>
      <c r="H3727"/>
      <c r="I3727"/>
      <c r="J3727"/>
      <c r="K3727"/>
      <c r="L3727"/>
    </row>
    <row r="3728" spans="2:12" ht="14.4" x14ac:dyDescent="0.3">
      <c r="B3728"/>
      <c r="C3728"/>
      <c r="D3728"/>
      <c r="E3728"/>
      <c r="F3728"/>
      <c r="H3728"/>
      <c r="I3728"/>
      <c r="J3728"/>
      <c r="K3728"/>
      <c r="L3728"/>
    </row>
    <row r="3729" spans="2:12" ht="14.4" x14ac:dyDescent="0.3">
      <c r="B3729"/>
      <c r="C3729"/>
      <c r="D3729"/>
      <c r="E3729"/>
      <c r="F3729"/>
      <c r="H3729"/>
      <c r="I3729"/>
      <c r="J3729"/>
      <c r="K3729"/>
      <c r="L3729"/>
    </row>
    <row r="3730" spans="2:12" ht="14.4" x14ac:dyDescent="0.3">
      <c r="B3730"/>
      <c r="C3730"/>
      <c r="D3730"/>
      <c r="E3730"/>
      <c r="F3730"/>
      <c r="H3730"/>
      <c r="I3730"/>
      <c r="J3730"/>
      <c r="K3730"/>
      <c r="L3730"/>
    </row>
    <row r="3731" spans="2:12" ht="14.4" x14ac:dyDescent="0.3">
      <c r="B3731"/>
      <c r="C3731"/>
      <c r="D3731"/>
      <c r="E3731"/>
      <c r="F3731"/>
      <c r="H3731"/>
      <c r="I3731"/>
      <c r="J3731"/>
      <c r="K3731"/>
      <c r="L3731"/>
    </row>
    <row r="3732" spans="2:12" ht="14.4" x14ac:dyDescent="0.3">
      <c r="B3732"/>
      <c r="C3732"/>
      <c r="D3732"/>
      <c r="E3732"/>
      <c r="F3732"/>
      <c r="H3732"/>
      <c r="I3732"/>
      <c r="J3732"/>
      <c r="K3732"/>
      <c r="L3732"/>
    </row>
    <row r="3733" spans="2:12" ht="14.4" x14ac:dyDescent="0.3">
      <c r="B3733"/>
      <c r="C3733"/>
      <c r="D3733"/>
      <c r="E3733"/>
      <c r="F3733"/>
      <c r="H3733"/>
      <c r="I3733"/>
      <c r="J3733"/>
      <c r="K3733"/>
      <c r="L3733"/>
    </row>
    <row r="3734" spans="2:12" ht="14.4" x14ac:dyDescent="0.3">
      <c r="B3734"/>
      <c r="C3734"/>
      <c r="D3734"/>
      <c r="E3734"/>
      <c r="F3734"/>
      <c r="H3734"/>
      <c r="I3734"/>
      <c r="J3734"/>
      <c r="K3734"/>
      <c r="L3734"/>
    </row>
    <row r="3735" spans="2:12" ht="14.4" x14ac:dyDescent="0.3">
      <c r="B3735"/>
      <c r="C3735"/>
      <c r="D3735"/>
      <c r="E3735"/>
      <c r="F3735"/>
      <c r="H3735"/>
      <c r="I3735"/>
      <c r="J3735"/>
      <c r="K3735"/>
      <c r="L3735"/>
    </row>
    <row r="3736" spans="2:12" ht="14.4" x14ac:dyDescent="0.3">
      <c r="B3736"/>
      <c r="C3736"/>
      <c r="D3736"/>
      <c r="E3736"/>
      <c r="F3736"/>
      <c r="H3736"/>
      <c r="I3736"/>
      <c r="J3736"/>
      <c r="K3736"/>
      <c r="L3736"/>
    </row>
    <row r="3737" spans="2:12" ht="14.4" x14ac:dyDescent="0.3">
      <c r="B3737"/>
      <c r="C3737"/>
      <c r="D3737"/>
      <c r="E3737"/>
      <c r="F3737"/>
      <c r="H3737"/>
      <c r="I3737"/>
      <c r="J3737"/>
      <c r="K3737"/>
      <c r="L3737"/>
    </row>
    <row r="3738" spans="2:12" ht="14.4" x14ac:dyDescent="0.3">
      <c r="B3738"/>
      <c r="C3738"/>
      <c r="D3738"/>
      <c r="E3738"/>
      <c r="F3738"/>
      <c r="H3738"/>
      <c r="I3738"/>
      <c r="J3738"/>
      <c r="K3738"/>
      <c r="L3738"/>
    </row>
    <row r="3739" spans="2:12" ht="14.4" x14ac:dyDescent="0.3">
      <c r="B3739"/>
      <c r="C3739"/>
      <c r="D3739"/>
      <c r="E3739"/>
      <c r="F3739"/>
      <c r="H3739"/>
      <c r="I3739"/>
      <c r="J3739"/>
      <c r="K3739"/>
      <c r="L3739"/>
    </row>
    <row r="3740" spans="2:12" ht="14.4" x14ac:dyDescent="0.3">
      <c r="B3740"/>
      <c r="C3740"/>
      <c r="D3740"/>
      <c r="E3740"/>
      <c r="F3740"/>
      <c r="H3740"/>
      <c r="I3740"/>
      <c r="J3740"/>
      <c r="K3740"/>
      <c r="L3740"/>
    </row>
    <row r="3741" spans="2:12" ht="14.4" x14ac:dyDescent="0.3">
      <c r="B3741"/>
      <c r="C3741"/>
      <c r="D3741"/>
      <c r="E3741"/>
      <c r="F3741"/>
      <c r="H3741"/>
      <c r="I3741"/>
      <c r="J3741"/>
      <c r="K3741"/>
      <c r="L3741"/>
    </row>
    <row r="3742" spans="2:12" ht="14.4" x14ac:dyDescent="0.3">
      <c r="B3742"/>
      <c r="C3742"/>
      <c r="D3742"/>
      <c r="E3742"/>
      <c r="F3742"/>
      <c r="H3742"/>
      <c r="I3742"/>
      <c r="J3742"/>
      <c r="K3742"/>
      <c r="L3742"/>
    </row>
    <row r="3743" spans="2:12" ht="14.4" x14ac:dyDescent="0.3">
      <c r="B3743"/>
      <c r="C3743"/>
      <c r="D3743"/>
      <c r="E3743"/>
      <c r="F3743"/>
      <c r="H3743"/>
      <c r="I3743"/>
      <c r="J3743"/>
      <c r="K3743"/>
      <c r="L3743"/>
    </row>
    <row r="3744" spans="2:12" ht="14.4" x14ac:dyDescent="0.3">
      <c r="B3744"/>
      <c r="C3744"/>
      <c r="D3744"/>
      <c r="E3744"/>
      <c r="F3744"/>
      <c r="H3744"/>
      <c r="I3744"/>
      <c r="J3744"/>
      <c r="K3744"/>
      <c r="L3744"/>
    </row>
    <row r="3745" spans="2:12" ht="14.4" x14ac:dyDescent="0.3">
      <c r="B3745"/>
      <c r="C3745"/>
      <c r="D3745"/>
      <c r="E3745"/>
      <c r="F3745"/>
      <c r="H3745"/>
      <c r="I3745"/>
      <c r="J3745"/>
      <c r="K3745"/>
      <c r="L3745"/>
    </row>
    <row r="3746" spans="2:12" ht="14.4" x14ac:dyDescent="0.3">
      <c r="B3746"/>
      <c r="C3746"/>
      <c r="D3746"/>
      <c r="E3746"/>
      <c r="F3746"/>
      <c r="H3746"/>
      <c r="I3746"/>
      <c r="J3746"/>
      <c r="K3746"/>
      <c r="L3746"/>
    </row>
    <row r="3747" spans="2:12" ht="14.4" x14ac:dyDescent="0.3">
      <c r="B3747"/>
      <c r="C3747"/>
      <c r="D3747"/>
      <c r="E3747"/>
      <c r="F3747"/>
      <c r="H3747"/>
      <c r="I3747"/>
      <c r="J3747"/>
      <c r="K3747"/>
      <c r="L3747"/>
    </row>
    <row r="3748" spans="2:12" ht="14.4" x14ac:dyDescent="0.3">
      <c r="B3748"/>
      <c r="C3748"/>
      <c r="D3748"/>
      <c r="E3748"/>
      <c r="F3748"/>
      <c r="H3748"/>
      <c r="I3748"/>
      <c r="J3748"/>
      <c r="K3748"/>
      <c r="L3748"/>
    </row>
    <row r="3749" spans="2:12" ht="14.4" x14ac:dyDescent="0.3">
      <c r="B3749"/>
      <c r="C3749"/>
      <c r="D3749"/>
      <c r="E3749"/>
      <c r="F3749"/>
      <c r="H3749"/>
      <c r="I3749"/>
      <c r="J3749"/>
      <c r="K3749"/>
      <c r="L3749"/>
    </row>
    <row r="3750" spans="2:12" ht="14.4" x14ac:dyDescent="0.3">
      <c r="B3750"/>
      <c r="C3750"/>
      <c r="D3750"/>
      <c r="E3750"/>
      <c r="F3750"/>
      <c r="H3750"/>
      <c r="I3750"/>
      <c r="J3750"/>
      <c r="K3750"/>
      <c r="L3750"/>
    </row>
    <row r="3751" spans="2:12" ht="14.4" x14ac:dyDescent="0.3">
      <c r="B3751"/>
      <c r="C3751"/>
      <c r="D3751"/>
      <c r="E3751"/>
      <c r="F3751"/>
      <c r="H3751"/>
      <c r="I3751"/>
      <c r="J3751"/>
      <c r="K3751"/>
      <c r="L3751"/>
    </row>
    <row r="3752" spans="2:12" ht="14.4" x14ac:dyDescent="0.3">
      <c r="B3752"/>
      <c r="C3752"/>
      <c r="D3752"/>
      <c r="E3752"/>
      <c r="F3752"/>
      <c r="H3752"/>
      <c r="I3752"/>
      <c r="J3752"/>
      <c r="K3752"/>
      <c r="L3752"/>
    </row>
    <row r="3753" spans="2:12" ht="14.4" x14ac:dyDescent="0.3">
      <c r="B3753"/>
      <c r="C3753"/>
      <c r="D3753"/>
      <c r="E3753"/>
      <c r="F3753"/>
      <c r="H3753"/>
      <c r="I3753"/>
      <c r="J3753"/>
      <c r="K3753"/>
      <c r="L3753"/>
    </row>
    <row r="3754" spans="2:12" ht="14.4" x14ac:dyDescent="0.3">
      <c r="B3754"/>
      <c r="C3754"/>
      <c r="D3754"/>
      <c r="E3754"/>
      <c r="F3754"/>
      <c r="H3754"/>
      <c r="I3754"/>
      <c r="J3754"/>
      <c r="K3754"/>
      <c r="L3754"/>
    </row>
    <row r="3755" spans="2:12" ht="14.4" x14ac:dyDescent="0.3">
      <c r="B3755"/>
      <c r="C3755"/>
      <c r="D3755"/>
      <c r="E3755"/>
      <c r="F3755"/>
      <c r="H3755"/>
      <c r="I3755"/>
      <c r="J3755"/>
      <c r="K3755"/>
      <c r="L3755"/>
    </row>
    <row r="3756" spans="2:12" ht="14.4" x14ac:dyDescent="0.3">
      <c r="B3756"/>
      <c r="C3756"/>
      <c r="D3756"/>
      <c r="E3756"/>
      <c r="F3756"/>
      <c r="H3756"/>
      <c r="I3756"/>
      <c r="J3756"/>
      <c r="K3756"/>
      <c r="L3756"/>
    </row>
    <row r="3757" spans="2:12" ht="14.4" x14ac:dyDescent="0.3">
      <c r="B3757"/>
      <c r="C3757"/>
      <c r="D3757"/>
      <c r="E3757"/>
      <c r="F3757"/>
      <c r="H3757"/>
      <c r="I3757"/>
      <c r="J3757"/>
      <c r="K3757"/>
      <c r="L3757"/>
    </row>
    <row r="3758" spans="2:12" ht="14.4" x14ac:dyDescent="0.3">
      <c r="B3758"/>
      <c r="C3758"/>
      <c r="D3758"/>
      <c r="E3758"/>
      <c r="F3758"/>
      <c r="H3758"/>
      <c r="I3758"/>
      <c r="J3758"/>
      <c r="K3758"/>
      <c r="L3758"/>
    </row>
    <row r="3759" spans="2:12" ht="14.4" x14ac:dyDescent="0.3">
      <c r="B3759"/>
      <c r="C3759"/>
      <c r="D3759"/>
      <c r="E3759"/>
      <c r="F3759"/>
      <c r="H3759"/>
      <c r="I3759"/>
      <c r="J3759"/>
      <c r="K3759"/>
      <c r="L3759"/>
    </row>
    <row r="3760" spans="2:12" ht="14.4" x14ac:dyDescent="0.3">
      <c r="B3760"/>
      <c r="C3760"/>
      <c r="D3760"/>
      <c r="E3760"/>
      <c r="F3760"/>
      <c r="H3760"/>
      <c r="I3760"/>
      <c r="J3760"/>
      <c r="K3760"/>
      <c r="L3760"/>
    </row>
    <row r="3761" spans="2:12" ht="14.4" x14ac:dyDescent="0.3">
      <c r="B3761"/>
      <c r="C3761"/>
      <c r="D3761"/>
      <c r="E3761"/>
      <c r="F3761"/>
      <c r="H3761"/>
      <c r="I3761"/>
      <c r="J3761"/>
      <c r="K3761"/>
      <c r="L3761"/>
    </row>
    <row r="3762" spans="2:12" ht="14.4" x14ac:dyDescent="0.3">
      <c r="B3762"/>
      <c r="C3762"/>
      <c r="D3762"/>
      <c r="E3762"/>
      <c r="F3762"/>
      <c r="H3762"/>
      <c r="I3762"/>
      <c r="J3762"/>
      <c r="K3762"/>
      <c r="L3762"/>
    </row>
    <row r="3763" spans="2:12" ht="14.4" x14ac:dyDescent="0.3">
      <c r="B3763"/>
      <c r="C3763"/>
      <c r="D3763"/>
      <c r="E3763"/>
      <c r="F3763"/>
      <c r="H3763"/>
      <c r="I3763"/>
      <c r="J3763"/>
      <c r="K3763"/>
      <c r="L3763"/>
    </row>
    <row r="3764" spans="2:12" ht="14.4" x14ac:dyDescent="0.3">
      <c r="B3764"/>
      <c r="C3764"/>
      <c r="D3764"/>
      <c r="E3764"/>
      <c r="F3764"/>
      <c r="H3764"/>
      <c r="I3764"/>
      <c r="J3764"/>
      <c r="K3764"/>
      <c r="L3764"/>
    </row>
    <row r="3765" spans="2:12" ht="14.4" x14ac:dyDescent="0.3">
      <c r="B3765"/>
      <c r="C3765"/>
      <c r="D3765"/>
      <c r="E3765"/>
      <c r="F3765"/>
      <c r="H3765"/>
      <c r="I3765"/>
      <c r="J3765"/>
      <c r="K3765"/>
      <c r="L3765"/>
    </row>
    <row r="3766" spans="2:12" ht="14.4" x14ac:dyDescent="0.3">
      <c r="B3766"/>
      <c r="C3766"/>
      <c r="D3766"/>
      <c r="E3766"/>
      <c r="F3766"/>
      <c r="H3766"/>
      <c r="I3766"/>
      <c r="J3766"/>
      <c r="K3766"/>
      <c r="L3766"/>
    </row>
    <row r="3767" spans="2:12" ht="14.4" x14ac:dyDescent="0.3">
      <c r="B3767"/>
      <c r="C3767"/>
      <c r="D3767"/>
      <c r="E3767"/>
      <c r="F3767"/>
      <c r="H3767"/>
      <c r="I3767"/>
      <c r="J3767"/>
      <c r="K3767"/>
      <c r="L3767"/>
    </row>
    <row r="3768" spans="2:12" ht="14.4" x14ac:dyDescent="0.3">
      <c r="B3768"/>
      <c r="C3768"/>
      <c r="D3768"/>
      <c r="E3768"/>
      <c r="F3768"/>
      <c r="H3768"/>
      <c r="I3768"/>
      <c r="J3768"/>
      <c r="K3768"/>
      <c r="L3768"/>
    </row>
    <row r="3769" spans="2:12" ht="14.4" x14ac:dyDescent="0.3">
      <c r="B3769"/>
      <c r="C3769"/>
      <c r="D3769"/>
      <c r="E3769"/>
      <c r="F3769"/>
      <c r="H3769"/>
      <c r="I3769"/>
      <c r="J3769"/>
      <c r="K3769"/>
      <c r="L3769"/>
    </row>
    <row r="3770" spans="2:12" ht="14.4" x14ac:dyDescent="0.3">
      <c r="B3770"/>
      <c r="C3770"/>
      <c r="D3770"/>
      <c r="E3770"/>
      <c r="F3770"/>
      <c r="H3770"/>
      <c r="I3770"/>
      <c r="J3770"/>
      <c r="K3770"/>
      <c r="L3770"/>
    </row>
    <row r="3771" spans="2:12" ht="14.4" x14ac:dyDescent="0.3">
      <c r="B3771"/>
      <c r="C3771"/>
      <c r="D3771"/>
      <c r="E3771"/>
      <c r="F3771"/>
      <c r="H3771"/>
      <c r="I3771"/>
      <c r="J3771"/>
      <c r="K3771"/>
      <c r="L3771"/>
    </row>
    <row r="3772" spans="2:12" ht="14.4" x14ac:dyDescent="0.3">
      <c r="B3772"/>
      <c r="C3772"/>
      <c r="D3772"/>
      <c r="E3772"/>
      <c r="F3772"/>
      <c r="H3772"/>
      <c r="I3772"/>
      <c r="J3772"/>
      <c r="K3772"/>
      <c r="L3772"/>
    </row>
    <row r="3773" spans="2:12" ht="14.4" x14ac:dyDescent="0.3">
      <c r="B3773"/>
      <c r="C3773"/>
      <c r="D3773"/>
      <c r="E3773"/>
      <c r="F3773"/>
      <c r="H3773"/>
      <c r="I3773"/>
      <c r="J3773"/>
      <c r="K3773"/>
      <c r="L3773"/>
    </row>
    <row r="3774" spans="2:12" ht="14.4" x14ac:dyDescent="0.3">
      <c r="B3774"/>
      <c r="C3774"/>
      <c r="D3774"/>
      <c r="E3774"/>
      <c r="F3774"/>
      <c r="H3774"/>
      <c r="I3774"/>
      <c r="J3774"/>
      <c r="K3774"/>
      <c r="L3774"/>
    </row>
    <row r="3775" spans="2:12" ht="14.4" x14ac:dyDescent="0.3">
      <c r="B3775"/>
      <c r="C3775"/>
      <c r="D3775"/>
      <c r="E3775"/>
      <c r="F3775"/>
      <c r="H3775"/>
      <c r="I3775"/>
      <c r="J3775"/>
      <c r="K3775"/>
      <c r="L3775"/>
    </row>
    <row r="3776" spans="2:12" ht="14.4" x14ac:dyDescent="0.3">
      <c r="B3776"/>
      <c r="C3776"/>
      <c r="D3776"/>
      <c r="E3776"/>
      <c r="F3776"/>
      <c r="H3776"/>
      <c r="I3776"/>
      <c r="J3776"/>
      <c r="K3776"/>
      <c r="L3776"/>
    </row>
    <row r="3777" spans="2:12" ht="14.4" x14ac:dyDescent="0.3">
      <c r="B3777"/>
      <c r="C3777"/>
      <c r="D3777"/>
      <c r="E3777"/>
      <c r="F3777"/>
      <c r="H3777"/>
      <c r="I3777"/>
      <c r="J3777"/>
      <c r="K3777"/>
      <c r="L3777"/>
    </row>
    <row r="3778" spans="2:12" ht="14.4" x14ac:dyDescent="0.3">
      <c r="B3778"/>
      <c r="C3778"/>
      <c r="D3778"/>
      <c r="E3778"/>
      <c r="F3778"/>
      <c r="H3778"/>
      <c r="I3778"/>
      <c r="J3778"/>
      <c r="K3778"/>
      <c r="L3778"/>
    </row>
    <row r="3779" spans="2:12" ht="14.4" x14ac:dyDescent="0.3">
      <c r="B3779"/>
      <c r="C3779"/>
      <c r="D3779"/>
      <c r="E3779"/>
      <c r="F3779"/>
      <c r="H3779"/>
      <c r="I3779"/>
      <c r="J3779"/>
      <c r="K3779"/>
      <c r="L3779"/>
    </row>
    <row r="3780" spans="2:12" ht="14.4" x14ac:dyDescent="0.3">
      <c r="B3780"/>
      <c r="C3780"/>
      <c r="D3780"/>
      <c r="E3780"/>
      <c r="F3780"/>
      <c r="H3780"/>
      <c r="I3780"/>
      <c r="J3780"/>
      <c r="K3780"/>
      <c r="L3780"/>
    </row>
    <row r="3781" spans="2:12" ht="14.4" x14ac:dyDescent="0.3">
      <c r="B3781"/>
      <c r="C3781"/>
      <c r="D3781"/>
      <c r="E3781"/>
      <c r="F3781"/>
      <c r="H3781"/>
      <c r="I3781"/>
      <c r="J3781"/>
      <c r="K3781"/>
      <c r="L3781"/>
    </row>
    <row r="3782" spans="2:12" ht="14.4" x14ac:dyDescent="0.3">
      <c r="B3782"/>
      <c r="C3782"/>
      <c r="D3782"/>
      <c r="E3782"/>
      <c r="F3782"/>
      <c r="H3782"/>
      <c r="I3782"/>
      <c r="J3782"/>
      <c r="K3782"/>
      <c r="L3782"/>
    </row>
    <row r="3783" spans="2:12" ht="14.4" x14ac:dyDescent="0.3">
      <c r="B3783"/>
      <c r="C3783"/>
      <c r="D3783"/>
      <c r="E3783"/>
      <c r="F3783"/>
      <c r="H3783"/>
      <c r="I3783"/>
      <c r="J3783"/>
      <c r="K3783"/>
      <c r="L3783"/>
    </row>
    <row r="3784" spans="2:12" ht="14.4" x14ac:dyDescent="0.3">
      <c r="B3784"/>
      <c r="C3784"/>
      <c r="D3784"/>
      <c r="E3784"/>
      <c r="F3784"/>
      <c r="H3784"/>
      <c r="I3784"/>
      <c r="J3784"/>
      <c r="K3784"/>
      <c r="L3784"/>
    </row>
    <row r="3785" spans="2:12" ht="14.4" x14ac:dyDescent="0.3">
      <c r="B3785"/>
      <c r="C3785"/>
      <c r="D3785"/>
      <c r="E3785"/>
      <c r="F3785"/>
      <c r="H3785"/>
      <c r="I3785"/>
      <c r="J3785"/>
      <c r="K3785"/>
      <c r="L3785"/>
    </row>
    <row r="3786" spans="2:12" ht="14.4" x14ac:dyDescent="0.3">
      <c r="B3786"/>
      <c r="C3786"/>
      <c r="D3786"/>
      <c r="E3786"/>
      <c r="F3786"/>
      <c r="H3786"/>
      <c r="I3786"/>
      <c r="J3786"/>
      <c r="K3786"/>
      <c r="L3786"/>
    </row>
    <row r="3787" spans="2:12" ht="14.4" x14ac:dyDescent="0.3">
      <c r="B3787"/>
      <c r="C3787"/>
      <c r="D3787"/>
      <c r="E3787"/>
      <c r="F3787"/>
      <c r="H3787"/>
      <c r="I3787"/>
      <c r="J3787"/>
      <c r="K3787"/>
      <c r="L3787"/>
    </row>
    <row r="3788" spans="2:12" ht="14.4" x14ac:dyDescent="0.3">
      <c r="B3788"/>
      <c r="C3788"/>
      <c r="D3788"/>
      <c r="E3788"/>
      <c r="F3788"/>
      <c r="H3788"/>
      <c r="I3788"/>
      <c r="J3788"/>
      <c r="K3788"/>
      <c r="L3788"/>
    </row>
    <row r="3789" spans="2:12" ht="14.4" x14ac:dyDescent="0.3">
      <c r="B3789"/>
      <c r="C3789"/>
      <c r="D3789"/>
      <c r="E3789"/>
      <c r="F3789"/>
      <c r="H3789"/>
      <c r="I3789"/>
      <c r="J3789"/>
      <c r="K3789"/>
      <c r="L3789"/>
    </row>
    <row r="3790" spans="2:12" ht="14.4" x14ac:dyDescent="0.3">
      <c r="B3790"/>
      <c r="C3790"/>
      <c r="D3790"/>
      <c r="E3790"/>
      <c r="F3790"/>
      <c r="H3790"/>
      <c r="I3790"/>
      <c r="J3790"/>
      <c r="K3790"/>
      <c r="L3790"/>
    </row>
    <row r="3791" spans="2:12" ht="14.4" x14ac:dyDescent="0.3">
      <c r="B3791"/>
      <c r="C3791"/>
      <c r="D3791"/>
      <c r="E3791"/>
      <c r="F3791"/>
      <c r="H3791"/>
      <c r="I3791"/>
      <c r="J3791"/>
      <c r="K3791"/>
      <c r="L3791"/>
    </row>
    <row r="3792" spans="2:12" ht="14.4" x14ac:dyDescent="0.3">
      <c r="B3792"/>
      <c r="C3792"/>
      <c r="D3792"/>
      <c r="E3792"/>
      <c r="F3792"/>
      <c r="H3792"/>
      <c r="I3792"/>
      <c r="J3792"/>
      <c r="K3792"/>
      <c r="L3792"/>
    </row>
    <row r="3793" spans="2:12" ht="14.4" x14ac:dyDescent="0.3">
      <c r="B3793"/>
      <c r="C3793"/>
      <c r="D3793"/>
      <c r="E3793"/>
      <c r="F3793"/>
      <c r="H3793"/>
      <c r="I3793"/>
      <c r="J3793"/>
      <c r="K3793"/>
      <c r="L3793"/>
    </row>
    <row r="3794" spans="2:12" ht="14.4" x14ac:dyDescent="0.3">
      <c r="B3794"/>
      <c r="C3794"/>
      <c r="D3794"/>
      <c r="E3794"/>
      <c r="F3794"/>
      <c r="H3794"/>
      <c r="I3794"/>
      <c r="J3794"/>
      <c r="K3794"/>
      <c r="L3794"/>
    </row>
    <row r="3795" spans="2:12" ht="14.4" x14ac:dyDescent="0.3">
      <c r="B3795"/>
      <c r="C3795"/>
      <c r="D3795"/>
      <c r="E3795"/>
      <c r="F3795"/>
      <c r="H3795"/>
      <c r="I3795"/>
      <c r="J3795"/>
      <c r="K3795"/>
      <c r="L3795"/>
    </row>
    <row r="3796" spans="2:12" ht="14.4" x14ac:dyDescent="0.3">
      <c r="B3796"/>
      <c r="C3796"/>
      <c r="D3796"/>
      <c r="E3796"/>
      <c r="F3796"/>
      <c r="H3796"/>
      <c r="I3796"/>
      <c r="J3796"/>
      <c r="K3796"/>
      <c r="L3796"/>
    </row>
    <row r="3797" spans="2:12" ht="14.4" x14ac:dyDescent="0.3">
      <c r="B3797"/>
      <c r="C3797"/>
      <c r="D3797"/>
      <c r="E3797"/>
      <c r="F3797"/>
      <c r="H3797"/>
      <c r="I3797"/>
      <c r="J3797"/>
      <c r="K3797"/>
      <c r="L3797"/>
    </row>
    <row r="3798" spans="2:12" ht="14.4" x14ac:dyDescent="0.3">
      <c r="B3798"/>
      <c r="C3798"/>
      <c r="D3798"/>
      <c r="E3798"/>
      <c r="F3798"/>
      <c r="H3798"/>
      <c r="I3798"/>
      <c r="J3798"/>
      <c r="K3798"/>
      <c r="L3798"/>
    </row>
    <row r="3799" spans="2:12" ht="14.4" x14ac:dyDescent="0.3">
      <c r="B3799"/>
      <c r="C3799"/>
      <c r="D3799"/>
      <c r="E3799"/>
      <c r="F3799"/>
      <c r="H3799"/>
      <c r="I3799"/>
      <c r="J3799"/>
      <c r="K3799"/>
      <c r="L3799"/>
    </row>
    <row r="3800" spans="2:12" ht="14.4" x14ac:dyDescent="0.3">
      <c r="B3800"/>
      <c r="C3800"/>
      <c r="D3800"/>
      <c r="E3800"/>
      <c r="F3800"/>
      <c r="H3800"/>
      <c r="I3800"/>
      <c r="J3800"/>
      <c r="K3800"/>
      <c r="L3800"/>
    </row>
    <row r="3801" spans="2:12" ht="14.4" x14ac:dyDescent="0.3">
      <c r="B3801"/>
      <c r="C3801"/>
      <c r="D3801"/>
      <c r="E3801"/>
      <c r="F3801"/>
      <c r="H3801"/>
      <c r="I3801"/>
      <c r="J3801"/>
      <c r="K3801"/>
      <c r="L3801"/>
    </row>
    <row r="3802" spans="2:12" ht="14.4" x14ac:dyDescent="0.3">
      <c r="B3802"/>
      <c r="C3802"/>
      <c r="D3802"/>
      <c r="E3802"/>
      <c r="F3802"/>
      <c r="H3802"/>
      <c r="I3802"/>
      <c r="J3802"/>
      <c r="K3802"/>
      <c r="L3802"/>
    </row>
    <row r="3803" spans="2:12" ht="14.4" x14ac:dyDescent="0.3">
      <c r="B3803"/>
      <c r="C3803"/>
      <c r="D3803"/>
      <c r="E3803"/>
      <c r="F3803"/>
      <c r="H3803"/>
      <c r="I3803"/>
      <c r="J3803"/>
      <c r="K3803"/>
      <c r="L3803"/>
    </row>
    <row r="3804" spans="2:12" ht="14.4" x14ac:dyDescent="0.3">
      <c r="B3804"/>
      <c r="C3804"/>
      <c r="D3804"/>
      <c r="E3804"/>
      <c r="F3804"/>
      <c r="H3804"/>
      <c r="I3804"/>
      <c r="J3804"/>
      <c r="K3804"/>
      <c r="L3804"/>
    </row>
    <row r="3805" spans="2:12" ht="14.4" x14ac:dyDescent="0.3">
      <c r="B3805"/>
      <c r="C3805"/>
      <c r="D3805"/>
      <c r="E3805"/>
      <c r="F3805"/>
      <c r="H3805"/>
      <c r="I3805"/>
      <c r="J3805"/>
      <c r="K3805"/>
      <c r="L3805"/>
    </row>
    <row r="3806" spans="2:12" ht="14.4" x14ac:dyDescent="0.3">
      <c r="B3806"/>
      <c r="C3806"/>
      <c r="D3806"/>
      <c r="E3806"/>
      <c r="F3806"/>
      <c r="H3806"/>
      <c r="I3806"/>
      <c r="J3806"/>
      <c r="K3806"/>
      <c r="L3806"/>
    </row>
    <row r="3807" spans="2:12" ht="14.4" x14ac:dyDescent="0.3">
      <c r="B3807"/>
      <c r="C3807"/>
      <c r="D3807"/>
      <c r="E3807"/>
      <c r="F3807"/>
      <c r="H3807"/>
      <c r="I3807"/>
      <c r="J3807"/>
      <c r="K3807"/>
      <c r="L3807"/>
    </row>
    <row r="3808" spans="2:12" ht="14.4" x14ac:dyDescent="0.3">
      <c r="B3808"/>
      <c r="C3808"/>
      <c r="D3808"/>
      <c r="E3808"/>
      <c r="F3808"/>
      <c r="H3808"/>
      <c r="I3808"/>
      <c r="J3808"/>
      <c r="K3808"/>
      <c r="L3808"/>
    </row>
    <row r="3809" spans="2:12" ht="14.4" x14ac:dyDescent="0.3">
      <c r="B3809"/>
      <c r="C3809"/>
      <c r="D3809"/>
      <c r="E3809"/>
      <c r="F3809"/>
      <c r="H3809"/>
      <c r="I3809"/>
      <c r="J3809"/>
      <c r="K3809"/>
      <c r="L3809"/>
    </row>
    <row r="3810" spans="2:12" ht="14.4" x14ac:dyDescent="0.3">
      <c r="B3810"/>
      <c r="C3810"/>
      <c r="D3810"/>
      <c r="E3810"/>
      <c r="F3810"/>
      <c r="H3810"/>
      <c r="I3810"/>
      <c r="J3810"/>
      <c r="K3810"/>
      <c r="L3810"/>
    </row>
    <row r="3811" spans="2:12" ht="14.4" x14ac:dyDescent="0.3">
      <c r="B3811"/>
      <c r="C3811"/>
      <c r="D3811"/>
      <c r="E3811"/>
      <c r="F3811"/>
      <c r="H3811"/>
      <c r="I3811"/>
      <c r="J3811"/>
      <c r="K3811"/>
      <c r="L3811"/>
    </row>
    <row r="3812" spans="2:12" ht="14.4" x14ac:dyDescent="0.3">
      <c r="B3812"/>
      <c r="C3812"/>
      <c r="D3812"/>
      <c r="E3812"/>
      <c r="F3812"/>
      <c r="H3812"/>
      <c r="I3812"/>
      <c r="J3812"/>
      <c r="K3812"/>
      <c r="L3812"/>
    </row>
    <row r="3813" spans="2:12" ht="14.4" x14ac:dyDescent="0.3">
      <c r="B3813"/>
      <c r="C3813"/>
      <c r="D3813"/>
      <c r="E3813"/>
      <c r="F3813"/>
      <c r="H3813"/>
      <c r="I3813"/>
      <c r="J3813"/>
      <c r="K3813"/>
      <c r="L3813"/>
    </row>
    <row r="3814" spans="2:12" ht="14.4" x14ac:dyDescent="0.3">
      <c r="B3814"/>
      <c r="C3814"/>
      <c r="D3814"/>
      <c r="E3814"/>
      <c r="F3814"/>
      <c r="H3814"/>
      <c r="I3814"/>
      <c r="J3814"/>
      <c r="K3814"/>
      <c r="L3814"/>
    </row>
    <row r="3815" spans="2:12" ht="14.4" x14ac:dyDescent="0.3">
      <c r="B3815"/>
      <c r="C3815"/>
      <c r="D3815"/>
      <c r="E3815"/>
      <c r="F3815"/>
      <c r="H3815"/>
      <c r="I3815"/>
      <c r="J3815"/>
      <c r="K3815"/>
      <c r="L3815"/>
    </row>
    <row r="3816" spans="2:12" ht="14.4" x14ac:dyDescent="0.3">
      <c r="B3816"/>
      <c r="C3816"/>
      <c r="D3816"/>
      <c r="E3816"/>
      <c r="F3816"/>
      <c r="H3816"/>
      <c r="I3816"/>
      <c r="J3816"/>
      <c r="K3816"/>
      <c r="L3816"/>
    </row>
    <row r="3817" spans="2:12" ht="14.4" x14ac:dyDescent="0.3">
      <c r="B3817"/>
      <c r="C3817"/>
      <c r="D3817"/>
      <c r="E3817"/>
      <c r="F3817"/>
      <c r="H3817"/>
      <c r="I3817"/>
      <c r="J3817"/>
      <c r="K3817"/>
      <c r="L3817"/>
    </row>
    <row r="3818" spans="2:12" ht="14.4" x14ac:dyDescent="0.3">
      <c r="B3818"/>
      <c r="C3818"/>
      <c r="D3818"/>
      <c r="E3818"/>
      <c r="F3818"/>
      <c r="H3818"/>
      <c r="I3818"/>
      <c r="J3818"/>
      <c r="K3818"/>
      <c r="L3818"/>
    </row>
    <row r="3819" spans="2:12" ht="14.4" x14ac:dyDescent="0.3">
      <c r="B3819"/>
      <c r="C3819"/>
      <c r="D3819"/>
      <c r="E3819"/>
      <c r="F3819"/>
      <c r="H3819"/>
      <c r="I3819"/>
      <c r="J3819"/>
      <c r="K3819"/>
      <c r="L3819"/>
    </row>
    <row r="3820" spans="2:12" ht="14.4" x14ac:dyDescent="0.3">
      <c r="B3820"/>
      <c r="C3820"/>
      <c r="D3820"/>
      <c r="E3820"/>
      <c r="F3820"/>
      <c r="H3820"/>
      <c r="I3820"/>
      <c r="J3820"/>
      <c r="K3820"/>
      <c r="L3820"/>
    </row>
    <row r="3821" spans="2:12" ht="14.4" x14ac:dyDescent="0.3">
      <c r="B3821"/>
      <c r="C3821"/>
      <c r="D3821"/>
      <c r="E3821"/>
      <c r="F3821"/>
      <c r="H3821"/>
      <c r="I3821"/>
      <c r="J3821"/>
      <c r="K3821"/>
      <c r="L3821"/>
    </row>
    <row r="3822" spans="2:12" ht="14.4" x14ac:dyDescent="0.3">
      <c r="B3822"/>
      <c r="C3822"/>
      <c r="D3822"/>
      <c r="E3822"/>
      <c r="F3822"/>
      <c r="H3822"/>
      <c r="I3822"/>
      <c r="J3822"/>
      <c r="K3822"/>
      <c r="L3822"/>
    </row>
    <row r="3823" spans="2:12" ht="14.4" x14ac:dyDescent="0.3">
      <c r="B3823"/>
      <c r="C3823"/>
      <c r="D3823"/>
      <c r="E3823"/>
      <c r="F3823"/>
      <c r="H3823"/>
      <c r="I3823"/>
      <c r="J3823"/>
      <c r="K3823"/>
      <c r="L3823"/>
    </row>
    <row r="3824" spans="2:12" ht="14.4" x14ac:dyDescent="0.3">
      <c r="B3824"/>
      <c r="C3824"/>
      <c r="D3824"/>
      <c r="E3824"/>
      <c r="F3824"/>
      <c r="H3824"/>
      <c r="I3824"/>
      <c r="J3824"/>
      <c r="K3824"/>
      <c r="L3824"/>
    </row>
    <row r="3825" spans="2:12" ht="14.4" x14ac:dyDescent="0.3">
      <c r="B3825"/>
      <c r="C3825"/>
      <c r="D3825"/>
      <c r="E3825"/>
      <c r="F3825"/>
      <c r="H3825"/>
      <c r="I3825"/>
      <c r="J3825"/>
      <c r="K3825"/>
      <c r="L3825"/>
    </row>
    <row r="3826" spans="2:12" ht="14.4" x14ac:dyDescent="0.3">
      <c r="B3826"/>
      <c r="C3826"/>
      <c r="D3826"/>
      <c r="E3826"/>
      <c r="F3826"/>
      <c r="H3826"/>
      <c r="I3826"/>
      <c r="J3826"/>
      <c r="K3826"/>
      <c r="L3826"/>
    </row>
    <row r="3827" spans="2:12" ht="14.4" x14ac:dyDescent="0.3">
      <c r="B3827"/>
      <c r="C3827"/>
      <c r="D3827"/>
      <c r="E3827"/>
      <c r="F3827"/>
      <c r="H3827"/>
      <c r="I3827"/>
      <c r="J3827"/>
      <c r="K3827"/>
      <c r="L3827"/>
    </row>
    <row r="3828" spans="2:12" ht="14.4" x14ac:dyDescent="0.3">
      <c r="B3828"/>
      <c r="C3828"/>
      <c r="D3828"/>
      <c r="E3828"/>
      <c r="F3828"/>
      <c r="H3828"/>
      <c r="I3828"/>
      <c r="J3828"/>
      <c r="K3828"/>
      <c r="L3828"/>
    </row>
    <row r="3829" spans="2:12" ht="14.4" x14ac:dyDescent="0.3">
      <c r="B3829"/>
      <c r="C3829"/>
      <c r="D3829"/>
      <c r="E3829"/>
      <c r="F3829"/>
      <c r="H3829"/>
      <c r="I3829"/>
      <c r="J3829"/>
      <c r="K3829"/>
      <c r="L3829"/>
    </row>
    <row r="3830" spans="2:12" ht="14.4" x14ac:dyDescent="0.3">
      <c r="B3830"/>
      <c r="C3830"/>
      <c r="D3830"/>
      <c r="E3830"/>
      <c r="F3830"/>
      <c r="H3830"/>
      <c r="I3830"/>
      <c r="J3830"/>
      <c r="K3830"/>
      <c r="L3830"/>
    </row>
    <row r="3831" spans="2:12" ht="14.4" x14ac:dyDescent="0.3">
      <c r="B3831"/>
      <c r="C3831"/>
      <c r="D3831"/>
      <c r="E3831"/>
      <c r="F3831"/>
      <c r="H3831"/>
      <c r="I3831"/>
      <c r="J3831"/>
      <c r="K3831"/>
      <c r="L3831"/>
    </row>
    <row r="3832" spans="2:12" ht="14.4" x14ac:dyDescent="0.3">
      <c r="B3832"/>
      <c r="C3832"/>
      <c r="D3832"/>
      <c r="E3832"/>
      <c r="F3832"/>
      <c r="H3832"/>
      <c r="I3832"/>
      <c r="J3832"/>
      <c r="K3832"/>
      <c r="L3832"/>
    </row>
    <row r="3833" spans="2:12" ht="14.4" x14ac:dyDescent="0.3">
      <c r="B3833"/>
      <c r="C3833"/>
      <c r="D3833"/>
      <c r="E3833"/>
      <c r="F3833"/>
      <c r="H3833"/>
      <c r="I3833"/>
      <c r="J3833"/>
      <c r="K3833"/>
      <c r="L3833"/>
    </row>
    <row r="3834" spans="2:12" ht="14.4" x14ac:dyDescent="0.3">
      <c r="B3834"/>
      <c r="C3834"/>
      <c r="D3834"/>
      <c r="E3834"/>
      <c r="F3834"/>
      <c r="H3834"/>
      <c r="I3834"/>
      <c r="J3834"/>
      <c r="K3834"/>
      <c r="L3834"/>
    </row>
    <row r="3835" spans="2:12" ht="14.4" x14ac:dyDescent="0.3">
      <c r="B3835"/>
      <c r="C3835"/>
      <c r="D3835"/>
      <c r="E3835"/>
      <c r="F3835"/>
      <c r="H3835"/>
      <c r="I3835"/>
      <c r="J3835"/>
      <c r="K3835"/>
      <c r="L3835"/>
    </row>
    <row r="3836" spans="2:12" ht="14.4" x14ac:dyDescent="0.3">
      <c r="B3836"/>
      <c r="C3836"/>
      <c r="D3836"/>
      <c r="E3836"/>
      <c r="F3836"/>
      <c r="H3836"/>
      <c r="I3836"/>
      <c r="J3836"/>
      <c r="K3836"/>
      <c r="L3836"/>
    </row>
    <row r="3837" spans="2:12" ht="14.4" x14ac:dyDescent="0.3">
      <c r="B3837"/>
      <c r="C3837"/>
      <c r="D3837"/>
      <c r="E3837"/>
      <c r="F3837"/>
      <c r="H3837"/>
      <c r="I3837"/>
      <c r="J3837"/>
      <c r="K3837"/>
      <c r="L3837"/>
    </row>
    <row r="3838" spans="2:12" ht="14.4" x14ac:dyDescent="0.3">
      <c r="B3838"/>
      <c r="C3838"/>
      <c r="D3838"/>
      <c r="E3838"/>
      <c r="F3838"/>
      <c r="H3838"/>
      <c r="I3838"/>
      <c r="J3838"/>
      <c r="K3838"/>
      <c r="L3838"/>
    </row>
    <row r="3839" spans="2:12" ht="14.4" x14ac:dyDescent="0.3">
      <c r="B3839"/>
      <c r="C3839"/>
      <c r="D3839"/>
      <c r="E3839"/>
      <c r="F3839"/>
      <c r="H3839"/>
      <c r="I3839"/>
      <c r="J3839"/>
      <c r="K3839"/>
      <c r="L3839"/>
    </row>
    <row r="3840" spans="2:12" ht="14.4" x14ac:dyDescent="0.3">
      <c r="B3840"/>
      <c r="C3840"/>
      <c r="D3840"/>
      <c r="E3840"/>
      <c r="F3840"/>
      <c r="H3840"/>
      <c r="I3840"/>
      <c r="J3840"/>
      <c r="K3840"/>
      <c r="L3840"/>
    </row>
    <row r="3841" spans="2:12" ht="14.4" x14ac:dyDescent="0.3">
      <c r="B3841"/>
      <c r="C3841"/>
      <c r="D3841"/>
      <c r="E3841"/>
      <c r="F3841"/>
      <c r="H3841"/>
      <c r="I3841"/>
      <c r="J3841"/>
      <c r="K3841"/>
      <c r="L3841"/>
    </row>
    <row r="3842" spans="2:12" ht="14.4" x14ac:dyDescent="0.3">
      <c r="B3842"/>
      <c r="C3842"/>
      <c r="D3842"/>
      <c r="E3842"/>
      <c r="F3842"/>
      <c r="H3842"/>
      <c r="I3842"/>
      <c r="J3842"/>
      <c r="K3842"/>
      <c r="L3842"/>
    </row>
    <row r="3843" spans="2:12" ht="14.4" x14ac:dyDescent="0.3">
      <c r="B3843"/>
      <c r="C3843"/>
      <c r="D3843"/>
      <c r="E3843"/>
      <c r="F3843"/>
      <c r="H3843"/>
      <c r="I3843"/>
      <c r="J3843"/>
      <c r="K3843"/>
      <c r="L3843"/>
    </row>
    <row r="3844" spans="2:12" ht="14.4" x14ac:dyDescent="0.3">
      <c r="B3844"/>
      <c r="C3844"/>
      <c r="D3844"/>
      <c r="E3844"/>
      <c r="F3844"/>
      <c r="H3844"/>
      <c r="I3844"/>
      <c r="J3844"/>
      <c r="K3844"/>
      <c r="L3844"/>
    </row>
    <row r="3845" spans="2:12" ht="14.4" x14ac:dyDescent="0.3">
      <c r="B3845"/>
      <c r="C3845"/>
      <c r="D3845"/>
      <c r="E3845"/>
      <c r="F3845"/>
      <c r="H3845"/>
      <c r="I3845"/>
      <c r="J3845"/>
      <c r="K3845"/>
      <c r="L3845"/>
    </row>
    <row r="3846" spans="2:12" ht="14.4" x14ac:dyDescent="0.3">
      <c r="B3846"/>
      <c r="C3846"/>
      <c r="D3846"/>
      <c r="E3846"/>
      <c r="F3846"/>
      <c r="H3846"/>
      <c r="I3846"/>
      <c r="J3846"/>
      <c r="K3846"/>
      <c r="L3846"/>
    </row>
    <row r="3847" spans="2:12" ht="14.4" x14ac:dyDescent="0.3">
      <c r="B3847"/>
      <c r="C3847"/>
      <c r="D3847"/>
      <c r="E3847"/>
      <c r="F3847"/>
      <c r="H3847"/>
      <c r="I3847"/>
      <c r="J3847"/>
      <c r="K3847"/>
      <c r="L3847"/>
    </row>
    <row r="3848" spans="2:12" ht="14.4" x14ac:dyDescent="0.3">
      <c r="B3848"/>
      <c r="C3848"/>
      <c r="D3848"/>
      <c r="E3848"/>
      <c r="F3848"/>
      <c r="H3848"/>
      <c r="I3848"/>
      <c r="J3848"/>
      <c r="K3848"/>
      <c r="L3848"/>
    </row>
    <row r="3849" spans="2:12" ht="14.4" x14ac:dyDescent="0.3">
      <c r="B3849"/>
      <c r="C3849"/>
      <c r="D3849"/>
      <c r="E3849"/>
      <c r="F3849"/>
      <c r="H3849"/>
      <c r="I3849"/>
      <c r="J3849"/>
      <c r="K3849"/>
      <c r="L3849"/>
    </row>
    <row r="3850" spans="2:12" ht="14.4" x14ac:dyDescent="0.3">
      <c r="B3850"/>
      <c r="C3850"/>
      <c r="D3850"/>
      <c r="E3850"/>
      <c r="F3850"/>
      <c r="H3850"/>
      <c r="I3850"/>
      <c r="J3850"/>
      <c r="K3850"/>
      <c r="L3850"/>
    </row>
    <row r="3851" spans="2:12" ht="14.4" x14ac:dyDescent="0.3">
      <c r="B3851"/>
      <c r="C3851"/>
      <c r="D3851"/>
      <c r="E3851"/>
      <c r="F3851"/>
      <c r="H3851"/>
      <c r="I3851"/>
      <c r="J3851"/>
      <c r="K3851"/>
      <c r="L3851"/>
    </row>
    <row r="3852" spans="2:12" ht="14.4" x14ac:dyDescent="0.3">
      <c r="B3852"/>
      <c r="C3852"/>
      <c r="D3852"/>
      <c r="E3852"/>
      <c r="F3852"/>
      <c r="H3852"/>
      <c r="I3852"/>
      <c r="J3852"/>
      <c r="K3852"/>
      <c r="L3852"/>
    </row>
    <row r="3853" spans="2:12" ht="14.4" x14ac:dyDescent="0.3">
      <c r="B3853"/>
      <c r="C3853"/>
      <c r="D3853"/>
      <c r="E3853"/>
      <c r="F3853"/>
      <c r="H3853"/>
      <c r="I3853"/>
      <c r="J3853"/>
      <c r="K3853"/>
      <c r="L3853"/>
    </row>
    <row r="3854" spans="2:12" ht="14.4" x14ac:dyDescent="0.3">
      <c r="B3854"/>
      <c r="C3854"/>
      <c r="D3854"/>
      <c r="E3854"/>
      <c r="F3854"/>
      <c r="H3854"/>
      <c r="I3854"/>
      <c r="J3854"/>
      <c r="K3854"/>
      <c r="L3854"/>
    </row>
    <row r="3855" spans="2:12" ht="14.4" x14ac:dyDescent="0.3">
      <c r="B3855"/>
      <c r="C3855"/>
      <c r="D3855"/>
      <c r="E3855"/>
      <c r="F3855"/>
      <c r="H3855"/>
      <c r="I3855"/>
      <c r="J3855"/>
      <c r="K3855"/>
      <c r="L3855"/>
    </row>
    <row r="3856" spans="2:12" ht="14.4" x14ac:dyDescent="0.3">
      <c r="B3856"/>
      <c r="C3856"/>
      <c r="D3856"/>
      <c r="E3856"/>
      <c r="F3856"/>
      <c r="H3856"/>
      <c r="I3856"/>
      <c r="J3856"/>
      <c r="K3856"/>
      <c r="L3856"/>
    </row>
    <row r="3857" spans="2:12" ht="14.4" x14ac:dyDescent="0.3">
      <c r="B3857"/>
      <c r="C3857"/>
      <c r="D3857"/>
      <c r="E3857"/>
      <c r="F3857"/>
      <c r="H3857"/>
      <c r="I3857"/>
      <c r="J3857"/>
      <c r="K3857"/>
      <c r="L3857"/>
    </row>
    <row r="3858" spans="2:12" ht="14.4" x14ac:dyDescent="0.3">
      <c r="B3858"/>
      <c r="C3858"/>
      <c r="D3858"/>
      <c r="E3858"/>
      <c r="F3858"/>
      <c r="H3858"/>
      <c r="I3858"/>
      <c r="J3858"/>
      <c r="K3858"/>
      <c r="L3858"/>
    </row>
    <row r="3859" spans="2:12" ht="14.4" x14ac:dyDescent="0.3">
      <c r="B3859"/>
      <c r="C3859"/>
      <c r="D3859"/>
      <c r="E3859"/>
      <c r="F3859"/>
      <c r="H3859"/>
      <c r="I3859"/>
      <c r="J3859"/>
      <c r="K3859"/>
      <c r="L3859"/>
    </row>
    <row r="3860" spans="2:12" ht="14.4" x14ac:dyDescent="0.3">
      <c r="B3860"/>
      <c r="C3860"/>
      <c r="D3860"/>
      <c r="E3860"/>
      <c r="F3860"/>
      <c r="H3860"/>
      <c r="I3860"/>
      <c r="J3860"/>
      <c r="K3860"/>
      <c r="L3860"/>
    </row>
    <row r="3861" spans="2:12" ht="14.4" x14ac:dyDescent="0.3">
      <c r="B3861"/>
      <c r="C3861"/>
      <c r="D3861"/>
      <c r="E3861"/>
      <c r="F3861"/>
      <c r="H3861"/>
      <c r="I3861"/>
      <c r="J3861"/>
      <c r="K3861"/>
      <c r="L3861"/>
    </row>
    <row r="3862" spans="2:12" ht="14.4" x14ac:dyDescent="0.3">
      <c r="B3862"/>
      <c r="C3862"/>
      <c r="D3862"/>
      <c r="E3862"/>
      <c r="F3862"/>
      <c r="H3862"/>
      <c r="I3862"/>
      <c r="J3862"/>
      <c r="K3862"/>
      <c r="L3862"/>
    </row>
    <row r="3863" spans="2:12" ht="14.4" x14ac:dyDescent="0.3">
      <c r="B3863"/>
      <c r="C3863"/>
      <c r="D3863"/>
      <c r="E3863"/>
      <c r="F3863"/>
      <c r="H3863"/>
      <c r="I3863"/>
      <c r="J3863"/>
      <c r="K3863"/>
      <c r="L3863"/>
    </row>
    <row r="3864" spans="2:12" ht="14.4" x14ac:dyDescent="0.3">
      <c r="B3864"/>
      <c r="C3864"/>
      <c r="D3864"/>
      <c r="E3864"/>
      <c r="F3864"/>
      <c r="H3864"/>
      <c r="I3864"/>
      <c r="J3864"/>
      <c r="K3864"/>
      <c r="L3864"/>
    </row>
    <row r="3865" spans="2:12" ht="14.4" x14ac:dyDescent="0.3">
      <c r="B3865"/>
      <c r="C3865"/>
      <c r="D3865"/>
      <c r="E3865"/>
      <c r="F3865"/>
      <c r="H3865"/>
      <c r="I3865"/>
      <c r="J3865"/>
      <c r="K3865"/>
      <c r="L3865"/>
    </row>
    <row r="3866" spans="2:12" ht="14.4" x14ac:dyDescent="0.3">
      <c r="B3866"/>
      <c r="C3866"/>
      <c r="D3866"/>
      <c r="E3866"/>
      <c r="F3866"/>
      <c r="H3866"/>
      <c r="I3866"/>
      <c r="J3866"/>
      <c r="K3866"/>
      <c r="L3866"/>
    </row>
    <row r="3867" spans="2:12" ht="14.4" x14ac:dyDescent="0.3">
      <c r="B3867"/>
      <c r="C3867"/>
      <c r="D3867"/>
      <c r="E3867"/>
      <c r="F3867"/>
      <c r="H3867"/>
      <c r="I3867"/>
      <c r="J3867"/>
      <c r="K3867"/>
      <c r="L3867"/>
    </row>
    <row r="3868" spans="2:12" ht="14.4" x14ac:dyDescent="0.3">
      <c r="B3868"/>
      <c r="C3868"/>
      <c r="D3868"/>
      <c r="E3868"/>
      <c r="F3868"/>
      <c r="H3868"/>
      <c r="I3868"/>
      <c r="J3868"/>
      <c r="K3868"/>
      <c r="L3868"/>
    </row>
    <row r="3869" spans="2:12" ht="14.4" x14ac:dyDescent="0.3">
      <c r="B3869"/>
      <c r="C3869"/>
      <c r="D3869"/>
      <c r="E3869"/>
      <c r="F3869"/>
      <c r="H3869"/>
      <c r="I3869"/>
      <c r="J3869"/>
      <c r="K3869"/>
      <c r="L3869"/>
    </row>
    <row r="3870" spans="2:12" ht="14.4" x14ac:dyDescent="0.3">
      <c r="B3870"/>
      <c r="C3870"/>
      <c r="D3870"/>
      <c r="E3870"/>
      <c r="F3870"/>
      <c r="H3870"/>
      <c r="I3870"/>
      <c r="J3870"/>
      <c r="K3870"/>
      <c r="L3870"/>
    </row>
    <row r="3871" spans="2:12" ht="14.4" x14ac:dyDescent="0.3">
      <c r="B3871"/>
      <c r="C3871"/>
      <c r="D3871"/>
      <c r="E3871"/>
      <c r="F3871"/>
      <c r="H3871"/>
      <c r="I3871"/>
      <c r="J3871"/>
      <c r="K3871"/>
      <c r="L3871"/>
    </row>
    <row r="3872" spans="2:12" ht="14.4" x14ac:dyDescent="0.3">
      <c r="B3872"/>
      <c r="C3872"/>
      <c r="D3872"/>
      <c r="E3872"/>
      <c r="F3872"/>
      <c r="H3872"/>
      <c r="I3872"/>
      <c r="J3872"/>
      <c r="K3872"/>
      <c r="L3872"/>
    </row>
    <row r="3873" spans="2:12" ht="14.4" x14ac:dyDescent="0.3">
      <c r="B3873"/>
      <c r="C3873"/>
      <c r="D3873"/>
      <c r="E3873"/>
      <c r="F3873"/>
      <c r="H3873"/>
      <c r="I3873"/>
      <c r="J3873"/>
      <c r="K3873"/>
      <c r="L3873"/>
    </row>
    <row r="3874" spans="2:12" ht="14.4" x14ac:dyDescent="0.3">
      <c r="B3874"/>
      <c r="C3874"/>
      <c r="D3874"/>
      <c r="E3874"/>
      <c r="F3874"/>
      <c r="H3874"/>
      <c r="I3874"/>
      <c r="J3874"/>
      <c r="K3874"/>
      <c r="L3874"/>
    </row>
    <row r="3875" spans="2:12" ht="14.4" x14ac:dyDescent="0.3">
      <c r="B3875"/>
      <c r="C3875"/>
      <c r="D3875"/>
      <c r="E3875"/>
      <c r="F3875"/>
      <c r="H3875"/>
      <c r="I3875"/>
      <c r="J3875"/>
      <c r="K3875"/>
      <c r="L3875"/>
    </row>
    <row r="3876" spans="2:12" ht="14.4" x14ac:dyDescent="0.3">
      <c r="B3876"/>
      <c r="C3876"/>
      <c r="D3876"/>
      <c r="E3876"/>
      <c r="F3876"/>
      <c r="H3876"/>
      <c r="I3876"/>
      <c r="J3876"/>
      <c r="K3876"/>
      <c r="L3876"/>
    </row>
    <row r="3877" spans="2:12" ht="14.4" x14ac:dyDescent="0.3">
      <c r="B3877"/>
      <c r="C3877"/>
      <c r="D3877"/>
      <c r="E3877"/>
      <c r="F3877"/>
      <c r="H3877"/>
      <c r="I3877"/>
      <c r="J3877"/>
      <c r="K3877"/>
      <c r="L3877"/>
    </row>
    <row r="3878" spans="2:12" ht="14.4" x14ac:dyDescent="0.3">
      <c r="B3878"/>
      <c r="C3878"/>
      <c r="D3878"/>
      <c r="E3878"/>
      <c r="F3878"/>
      <c r="H3878"/>
      <c r="I3878"/>
      <c r="J3878"/>
      <c r="K3878"/>
      <c r="L3878"/>
    </row>
    <row r="3879" spans="2:12" ht="14.4" x14ac:dyDescent="0.3">
      <c r="B3879"/>
      <c r="C3879"/>
      <c r="D3879"/>
      <c r="E3879"/>
      <c r="F3879"/>
      <c r="H3879"/>
      <c r="I3879"/>
      <c r="J3879"/>
      <c r="K3879"/>
      <c r="L3879"/>
    </row>
    <row r="3880" spans="2:12" ht="14.4" x14ac:dyDescent="0.3">
      <c r="B3880"/>
      <c r="C3880"/>
      <c r="D3880"/>
      <c r="E3880"/>
      <c r="F3880"/>
      <c r="H3880"/>
      <c r="I3880"/>
      <c r="J3880"/>
      <c r="K3880"/>
      <c r="L3880"/>
    </row>
    <row r="3881" spans="2:12" ht="14.4" x14ac:dyDescent="0.3">
      <c r="B3881"/>
      <c r="C3881"/>
      <c r="D3881"/>
      <c r="E3881"/>
      <c r="F3881"/>
      <c r="H3881"/>
      <c r="I3881"/>
      <c r="J3881"/>
      <c r="K3881"/>
      <c r="L3881"/>
    </row>
    <row r="3882" spans="2:12" ht="14.4" x14ac:dyDescent="0.3">
      <c r="B3882"/>
      <c r="C3882"/>
      <c r="D3882"/>
      <c r="E3882"/>
      <c r="F3882"/>
      <c r="H3882"/>
      <c r="I3882"/>
      <c r="J3882"/>
      <c r="K3882"/>
      <c r="L3882"/>
    </row>
    <row r="3883" spans="2:12" ht="14.4" x14ac:dyDescent="0.3">
      <c r="B3883"/>
      <c r="C3883"/>
      <c r="D3883"/>
      <c r="E3883"/>
      <c r="F3883"/>
      <c r="H3883"/>
      <c r="I3883"/>
      <c r="J3883"/>
      <c r="K3883"/>
      <c r="L3883"/>
    </row>
    <row r="3884" spans="2:12" ht="14.4" x14ac:dyDescent="0.3">
      <c r="B3884"/>
      <c r="C3884"/>
      <c r="D3884"/>
      <c r="E3884"/>
      <c r="F3884"/>
      <c r="H3884"/>
      <c r="I3884"/>
      <c r="J3884"/>
      <c r="K3884"/>
      <c r="L3884"/>
    </row>
    <row r="3885" spans="2:12" ht="14.4" x14ac:dyDescent="0.3">
      <c r="B3885"/>
      <c r="C3885"/>
      <c r="D3885"/>
      <c r="E3885"/>
      <c r="F3885"/>
      <c r="H3885"/>
      <c r="I3885"/>
      <c r="J3885"/>
      <c r="K3885"/>
      <c r="L3885"/>
    </row>
    <row r="3886" spans="2:12" ht="14.4" x14ac:dyDescent="0.3">
      <c r="B3886"/>
      <c r="C3886"/>
      <c r="D3886"/>
      <c r="E3886"/>
      <c r="F3886"/>
      <c r="H3886"/>
      <c r="I3886"/>
      <c r="J3886"/>
      <c r="K3886"/>
      <c r="L3886"/>
    </row>
    <row r="3887" spans="2:12" ht="14.4" x14ac:dyDescent="0.3">
      <c r="B3887"/>
      <c r="C3887"/>
      <c r="D3887"/>
      <c r="E3887"/>
      <c r="F3887"/>
      <c r="H3887"/>
      <c r="I3887"/>
      <c r="J3887"/>
      <c r="K3887"/>
      <c r="L3887"/>
    </row>
    <row r="3888" spans="2:12" ht="14.4" x14ac:dyDescent="0.3">
      <c r="B3888"/>
      <c r="C3888"/>
      <c r="D3888"/>
      <c r="E3888"/>
      <c r="F3888"/>
      <c r="H3888"/>
      <c r="I3888"/>
      <c r="J3888"/>
      <c r="K3888"/>
      <c r="L3888"/>
    </row>
    <row r="3889" spans="2:12" ht="14.4" x14ac:dyDescent="0.3">
      <c r="B3889"/>
      <c r="C3889"/>
      <c r="D3889"/>
      <c r="E3889"/>
      <c r="F3889"/>
      <c r="H3889"/>
      <c r="I3889"/>
      <c r="J3889"/>
      <c r="K3889"/>
      <c r="L3889"/>
    </row>
    <row r="3890" spans="2:12" ht="14.4" x14ac:dyDescent="0.3">
      <c r="B3890"/>
      <c r="C3890"/>
      <c r="D3890"/>
      <c r="E3890"/>
      <c r="F3890"/>
      <c r="H3890"/>
      <c r="I3890"/>
      <c r="J3890"/>
      <c r="K3890"/>
      <c r="L3890"/>
    </row>
    <row r="3891" spans="2:12" ht="14.4" x14ac:dyDescent="0.3">
      <c r="B3891"/>
      <c r="C3891"/>
      <c r="D3891"/>
      <c r="E3891"/>
      <c r="F3891"/>
      <c r="H3891"/>
      <c r="I3891"/>
      <c r="J3891"/>
      <c r="K3891"/>
      <c r="L3891"/>
    </row>
    <row r="3892" spans="2:12" ht="14.4" x14ac:dyDescent="0.3">
      <c r="B3892"/>
      <c r="C3892"/>
      <c r="D3892"/>
      <c r="E3892"/>
      <c r="F3892"/>
      <c r="H3892"/>
      <c r="I3892"/>
      <c r="J3892"/>
      <c r="K3892"/>
      <c r="L3892"/>
    </row>
    <row r="3893" spans="2:12" ht="14.4" x14ac:dyDescent="0.3">
      <c r="B3893"/>
      <c r="C3893"/>
      <c r="D3893"/>
      <c r="E3893"/>
      <c r="F3893"/>
      <c r="H3893"/>
      <c r="I3893"/>
      <c r="J3893"/>
      <c r="K3893"/>
      <c r="L3893"/>
    </row>
    <row r="3894" spans="2:12" ht="14.4" x14ac:dyDescent="0.3">
      <c r="B3894"/>
      <c r="C3894"/>
      <c r="D3894"/>
      <c r="E3894"/>
      <c r="F3894"/>
      <c r="H3894"/>
      <c r="I3894"/>
      <c r="J3894"/>
      <c r="K3894"/>
      <c r="L3894"/>
    </row>
    <row r="3895" spans="2:12" ht="14.4" x14ac:dyDescent="0.3">
      <c r="B3895"/>
      <c r="C3895"/>
      <c r="D3895"/>
      <c r="E3895"/>
      <c r="F3895"/>
      <c r="H3895"/>
      <c r="I3895"/>
      <c r="J3895"/>
      <c r="K3895"/>
      <c r="L3895"/>
    </row>
    <row r="3896" spans="2:12" ht="14.4" x14ac:dyDescent="0.3">
      <c r="B3896"/>
      <c r="C3896"/>
      <c r="D3896"/>
      <c r="E3896"/>
      <c r="F3896"/>
      <c r="H3896"/>
      <c r="I3896"/>
      <c r="J3896"/>
      <c r="K3896"/>
      <c r="L3896"/>
    </row>
    <row r="3897" spans="2:12" ht="14.4" x14ac:dyDescent="0.3">
      <c r="B3897"/>
      <c r="C3897"/>
      <c r="D3897"/>
      <c r="E3897"/>
      <c r="F3897"/>
      <c r="H3897"/>
      <c r="I3897"/>
      <c r="J3897"/>
      <c r="K3897"/>
      <c r="L3897"/>
    </row>
    <row r="3898" spans="2:12" ht="14.4" x14ac:dyDescent="0.3">
      <c r="B3898"/>
      <c r="C3898"/>
      <c r="D3898"/>
      <c r="E3898"/>
      <c r="F3898"/>
      <c r="H3898"/>
      <c r="I3898"/>
      <c r="J3898"/>
      <c r="K3898"/>
      <c r="L3898"/>
    </row>
    <row r="3899" spans="2:12" ht="14.4" x14ac:dyDescent="0.3">
      <c r="B3899"/>
      <c r="C3899"/>
      <c r="D3899"/>
      <c r="E3899"/>
      <c r="F3899"/>
      <c r="H3899"/>
      <c r="I3899"/>
      <c r="J3899"/>
      <c r="K3899"/>
      <c r="L3899"/>
    </row>
    <row r="3900" spans="2:12" ht="14.4" x14ac:dyDescent="0.3">
      <c r="B3900"/>
      <c r="C3900"/>
      <c r="D3900"/>
      <c r="E3900"/>
      <c r="F3900"/>
      <c r="H3900"/>
      <c r="I3900"/>
      <c r="J3900"/>
      <c r="K3900"/>
      <c r="L3900"/>
    </row>
    <row r="3901" spans="2:12" ht="14.4" x14ac:dyDescent="0.3">
      <c r="B3901"/>
      <c r="C3901"/>
      <c r="D3901"/>
      <c r="E3901"/>
      <c r="F3901"/>
      <c r="H3901"/>
      <c r="I3901"/>
      <c r="J3901"/>
      <c r="K3901"/>
      <c r="L3901"/>
    </row>
    <row r="3902" spans="2:12" ht="14.4" x14ac:dyDescent="0.3">
      <c r="B3902"/>
      <c r="C3902"/>
      <c r="D3902"/>
      <c r="E3902"/>
      <c r="F3902"/>
      <c r="H3902"/>
      <c r="I3902"/>
      <c r="J3902"/>
      <c r="K3902"/>
      <c r="L3902"/>
    </row>
    <row r="3903" spans="2:12" ht="14.4" x14ac:dyDescent="0.3">
      <c r="B3903"/>
      <c r="C3903"/>
      <c r="D3903"/>
      <c r="E3903"/>
      <c r="F3903"/>
      <c r="H3903"/>
      <c r="I3903"/>
      <c r="J3903"/>
      <c r="K3903"/>
      <c r="L3903"/>
    </row>
    <row r="3904" spans="2:12" ht="14.4" x14ac:dyDescent="0.3">
      <c r="B3904"/>
      <c r="C3904"/>
      <c r="D3904"/>
      <c r="E3904"/>
      <c r="F3904"/>
      <c r="H3904"/>
      <c r="I3904"/>
      <c r="J3904"/>
      <c r="K3904"/>
      <c r="L3904"/>
    </row>
    <row r="3905" spans="2:12" ht="14.4" x14ac:dyDescent="0.3">
      <c r="B3905"/>
      <c r="C3905"/>
      <c r="D3905"/>
      <c r="E3905"/>
      <c r="F3905"/>
      <c r="H3905"/>
      <c r="I3905"/>
      <c r="J3905"/>
      <c r="K3905"/>
      <c r="L3905"/>
    </row>
    <row r="3906" spans="2:12" ht="14.4" x14ac:dyDescent="0.3">
      <c r="B3906"/>
      <c r="C3906"/>
      <c r="D3906"/>
      <c r="E3906"/>
      <c r="F3906"/>
      <c r="H3906"/>
      <c r="I3906"/>
      <c r="J3906"/>
      <c r="K3906"/>
      <c r="L3906"/>
    </row>
    <row r="3907" spans="2:12" ht="14.4" x14ac:dyDescent="0.3">
      <c r="B3907"/>
      <c r="C3907"/>
      <c r="D3907"/>
      <c r="E3907"/>
      <c r="F3907"/>
      <c r="H3907"/>
      <c r="I3907"/>
      <c r="J3907"/>
      <c r="K3907"/>
      <c r="L3907"/>
    </row>
    <row r="3908" spans="2:12" ht="14.4" x14ac:dyDescent="0.3">
      <c r="B3908"/>
      <c r="C3908"/>
      <c r="D3908"/>
      <c r="E3908"/>
      <c r="F3908"/>
      <c r="H3908"/>
      <c r="I3908"/>
      <c r="J3908"/>
      <c r="K3908"/>
      <c r="L3908"/>
    </row>
    <row r="3909" spans="2:12" ht="14.4" x14ac:dyDescent="0.3">
      <c r="B3909"/>
      <c r="C3909"/>
      <c r="D3909"/>
      <c r="E3909"/>
      <c r="F3909"/>
      <c r="H3909"/>
      <c r="I3909"/>
      <c r="J3909"/>
      <c r="K3909"/>
      <c r="L3909"/>
    </row>
    <row r="3910" spans="2:12" ht="14.4" x14ac:dyDescent="0.3">
      <c r="B3910"/>
      <c r="C3910"/>
      <c r="D3910"/>
      <c r="E3910"/>
      <c r="F3910"/>
      <c r="H3910"/>
      <c r="I3910"/>
      <c r="J3910"/>
      <c r="K3910"/>
      <c r="L3910"/>
    </row>
    <row r="3911" spans="2:12" ht="14.4" x14ac:dyDescent="0.3">
      <c r="B3911"/>
      <c r="C3911"/>
      <c r="D3911"/>
      <c r="E3911"/>
      <c r="F3911"/>
      <c r="H3911"/>
      <c r="I3911"/>
      <c r="J3911"/>
      <c r="K3911"/>
      <c r="L3911"/>
    </row>
    <row r="3912" spans="2:12" ht="14.4" x14ac:dyDescent="0.3">
      <c r="B3912"/>
      <c r="C3912"/>
      <c r="D3912"/>
      <c r="E3912"/>
      <c r="F3912"/>
      <c r="H3912"/>
      <c r="I3912"/>
      <c r="J3912"/>
      <c r="K3912"/>
      <c r="L3912"/>
    </row>
    <row r="3913" spans="2:12" ht="14.4" x14ac:dyDescent="0.3">
      <c r="B3913"/>
      <c r="C3913"/>
      <c r="D3913"/>
      <c r="E3913"/>
      <c r="F3913"/>
      <c r="H3913"/>
      <c r="I3913"/>
      <c r="J3913"/>
      <c r="K3913"/>
      <c r="L3913"/>
    </row>
    <row r="3914" spans="2:12" ht="14.4" x14ac:dyDescent="0.3">
      <c r="B3914"/>
      <c r="C3914"/>
      <c r="D3914"/>
      <c r="E3914"/>
      <c r="F3914"/>
      <c r="H3914"/>
      <c r="I3914"/>
      <c r="J3914"/>
      <c r="K3914"/>
      <c r="L3914"/>
    </row>
    <row r="3915" spans="2:12" ht="14.4" x14ac:dyDescent="0.3">
      <c r="B3915"/>
      <c r="C3915"/>
      <c r="D3915"/>
      <c r="E3915"/>
      <c r="F3915"/>
      <c r="H3915"/>
      <c r="I3915"/>
      <c r="J3915"/>
      <c r="K3915"/>
      <c r="L3915"/>
    </row>
    <row r="3916" spans="2:12" ht="14.4" x14ac:dyDescent="0.3">
      <c r="B3916"/>
      <c r="C3916"/>
      <c r="D3916"/>
      <c r="E3916"/>
      <c r="F3916"/>
      <c r="H3916"/>
      <c r="I3916"/>
      <c r="J3916"/>
      <c r="K3916"/>
      <c r="L3916"/>
    </row>
    <row r="3917" spans="2:12" ht="14.4" x14ac:dyDescent="0.3">
      <c r="B3917"/>
      <c r="C3917"/>
      <c r="D3917"/>
      <c r="E3917"/>
      <c r="F3917"/>
      <c r="H3917"/>
      <c r="I3917"/>
      <c r="J3917"/>
      <c r="K3917"/>
      <c r="L3917"/>
    </row>
    <row r="3918" spans="2:12" ht="14.4" x14ac:dyDescent="0.3">
      <c r="B3918"/>
      <c r="C3918"/>
      <c r="D3918"/>
      <c r="E3918"/>
      <c r="F3918"/>
      <c r="H3918"/>
      <c r="I3918"/>
      <c r="J3918"/>
      <c r="K3918"/>
      <c r="L3918"/>
    </row>
    <row r="3919" spans="2:12" ht="14.4" x14ac:dyDescent="0.3">
      <c r="B3919"/>
      <c r="C3919"/>
      <c r="D3919"/>
      <c r="E3919"/>
      <c r="F3919"/>
      <c r="H3919"/>
      <c r="I3919"/>
      <c r="J3919"/>
      <c r="K3919"/>
      <c r="L3919"/>
    </row>
    <row r="3920" spans="2:12" ht="14.4" x14ac:dyDescent="0.3">
      <c r="B3920"/>
      <c r="C3920"/>
      <c r="D3920"/>
      <c r="E3920"/>
      <c r="F3920"/>
      <c r="H3920"/>
      <c r="I3920"/>
      <c r="J3920"/>
      <c r="K3920"/>
      <c r="L3920"/>
    </row>
    <row r="3921" spans="2:12" ht="14.4" x14ac:dyDescent="0.3">
      <c r="B3921"/>
      <c r="C3921"/>
      <c r="D3921"/>
      <c r="E3921"/>
      <c r="F3921"/>
      <c r="H3921"/>
      <c r="I3921"/>
      <c r="J3921"/>
      <c r="K3921"/>
      <c r="L3921"/>
    </row>
    <row r="3922" spans="2:12" ht="14.4" x14ac:dyDescent="0.3">
      <c r="B3922"/>
      <c r="C3922"/>
      <c r="D3922"/>
      <c r="E3922"/>
      <c r="F3922"/>
      <c r="H3922"/>
      <c r="I3922"/>
      <c r="J3922"/>
      <c r="K3922"/>
      <c r="L3922"/>
    </row>
    <row r="3923" spans="2:12" ht="14.4" x14ac:dyDescent="0.3">
      <c r="B3923"/>
      <c r="C3923"/>
      <c r="D3923"/>
      <c r="E3923"/>
      <c r="F3923"/>
      <c r="H3923"/>
      <c r="I3923"/>
      <c r="J3923"/>
      <c r="K3923"/>
      <c r="L3923"/>
    </row>
    <row r="3924" spans="2:12" ht="14.4" x14ac:dyDescent="0.3">
      <c r="B3924"/>
      <c r="C3924"/>
      <c r="D3924"/>
      <c r="E3924"/>
      <c r="F3924"/>
      <c r="H3924"/>
      <c r="I3924"/>
      <c r="J3924"/>
      <c r="K3924"/>
      <c r="L3924"/>
    </row>
    <row r="3925" spans="2:12" ht="14.4" x14ac:dyDescent="0.3">
      <c r="B3925"/>
      <c r="C3925"/>
      <c r="D3925"/>
      <c r="E3925"/>
      <c r="F3925"/>
      <c r="H3925"/>
      <c r="I3925"/>
      <c r="J3925"/>
      <c r="K3925"/>
      <c r="L3925"/>
    </row>
    <row r="3926" spans="2:12" ht="14.4" x14ac:dyDescent="0.3">
      <c r="B3926"/>
      <c r="C3926"/>
      <c r="D3926"/>
      <c r="E3926"/>
      <c r="F3926"/>
      <c r="H3926"/>
      <c r="I3926"/>
      <c r="J3926"/>
      <c r="K3926"/>
      <c r="L3926"/>
    </row>
    <row r="3927" spans="2:12" ht="14.4" x14ac:dyDescent="0.3">
      <c r="B3927"/>
      <c r="C3927"/>
      <c r="D3927"/>
      <c r="E3927"/>
      <c r="F3927"/>
      <c r="H3927"/>
      <c r="I3927"/>
      <c r="J3927"/>
      <c r="K3927"/>
      <c r="L3927"/>
    </row>
    <row r="3928" spans="2:12" ht="14.4" x14ac:dyDescent="0.3">
      <c r="B3928"/>
      <c r="C3928"/>
      <c r="D3928"/>
      <c r="E3928"/>
      <c r="F3928"/>
      <c r="H3928"/>
      <c r="I3928"/>
      <c r="J3928"/>
      <c r="K3928"/>
      <c r="L3928"/>
    </row>
    <row r="3929" spans="2:12" ht="14.4" x14ac:dyDescent="0.3">
      <c r="B3929"/>
      <c r="C3929"/>
      <c r="D3929"/>
      <c r="E3929"/>
      <c r="F3929"/>
      <c r="H3929"/>
      <c r="I3929"/>
      <c r="J3929"/>
      <c r="K3929"/>
      <c r="L3929"/>
    </row>
    <row r="3930" spans="2:12" ht="14.4" x14ac:dyDescent="0.3">
      <c r="B3930"/>
      <c r="C3930"/>
      <c r="D3930"/>
      <c r="E3930"/>
      <c r="F3930"/>
      <c r="H3930"/>
      <c r="I3930"/>
      <c r="J3930"/>
      <c r="K3930"/>
      <c r="L3930"/>
    </row>
    <row r="3931" spans="2:12" ht="14.4" x14ac:dyDescent="0.3">
      <c r="B3931"/>
      <c r="C3931"/>
      <c r="D3931"/>
      <c r="E3931"/>
      <c r="F3931"/>
      <c r="H3931"/>
      <c r="I3931"/>
      <c r="J3931"/>
      <c r="K3931"/>
      <c r="L3931"/>
    </row>
    <row r="3932" spans="2:12" ht="14.4" x14ac:dyDescent="0.3">
      <c r="B3932"/>
      <c r="C3932"/>
      <c r="D3932"/>
      <c r="E3932"/>
      <c r="F3932"/>
      <c r="H3932"/>
      <c r="I3932"/>
      <c r="J3932"/>
      <c r="K3932"/>
      <c r="L3932"/>
    </row>
    <row r="3933" spans="2:12" ht="14.4" x14ac:dyDescent="0.3">
      <c r="B3933"/>
      <c r="C3933"/>
      <c r="D3933"/>
      <c r="E3933"/>
      <c r="F3933"/>
      <c r="H3933"/>
      <c r="I3933"/>
      <c r="J3933"/>
      <c r="K3933"/>
      <c r="L3933"/>
    </row>
    <row r="3934" spans="2:12" ht="14.4" x14ac:dyDescent="0.3">
      <c r="B3934"/>
      <c r="C3934"/>
      <c r="D3934"/>
      <c r="E3934"/>
      <c r="F3934"/>
      <c r="H3934"/>
      <c r="I3934"/>
      <c r="J3934"/>
      <c r="K3934"/>
      <c r="L3934"/>
    </row>
    <row r="3935" spans="2:12" ht="14.4" x14ac:dyDescent="0.3">
      <c r="B3935"/>
      <c r="C3935"/>
      <c r="D3935"/>
      <c r="E3935"/>
      <c r="F3935"/>
      <c r="H3935"/>
      <c r="I3935"/>
      <c r="J3935"/>
      <c r="K3935"/>
      <c r="L3935"/>
    </row>
    <row r="3936" spans="2:12" ht="14.4" x14ac:dyDescent="0.3">
      <c r="B3936"/>
      <c r="C3936"/>
      <c r="D3936"/>
      <c r="E3936"/>
      <c r="F3936"/>
      <c r="H3936"/>
      <c r="I3936"/>
      <c r="J3936"/>
      <c r="K3936"/>
      <c r="L3936"/>
    </row>
    <row r="3937" spans="2:12" ht="14.4" x14ac:dyDescent="0.3">
      <c r="B3937"/>
      <c r="C3937"/>
      <c r="D3937"/>
      <c r="E3937"/>
      <c r="F3937"/>
      <c r="H3937"/>
      <c r="I3937"/>
      <c r="J3937"/>
      <c r="K3937"/>
      <c r="L3937"/>
    </row>
    <row r="3938" spans="2:12" ht="14.4" x14ac:dyDescent="0.3">
      <c r="B3938"/>
      <c r="C3938"/>
      <c r="D3938"/>
      <c r="E3938"/>
      <c r="F3938"/>
      <c r="H3938"/>
      <c r="I3938"/>
      <c r="J3938"/>
      <c r="K3938"/>
      <c r="L3938"/>
    </row>
    <row r="3939" spans="2:12" ht="14.4" x14ac:dyDescent="0.3">
      <c r="B3939"/>
      <c r="C3939"/>
      <c r="D3939"/>
      <c r="E3939"/>
      <c r="F3939"/>
      <c r="H3939"/>
      <c r="I3939"/>
      <c r="J3939"/>
      <c r="K3939"/>
      <c r="L3939"/>
    </row>
    <row r="3940" spans="2:12" ht="14.4" x14ac:dyDescent="0.3">
      <c r="B3940"/>
      <c r="C3940"/>
      <c r="D3940"/>
      <c r="E3940"/>
      <c r="F3940"/>
      <c r="H3940"/>
      <c r="I3940"/>
      <c r="J3940"/>
      <c r="K3940"/>
      <c r="L3940"/>
    </row>
    <row r="3941" spans="2:12" ht="14.4" x14ac:dyDescent="0.3">
      <c r="B3941"/>
      <c r="C3941"/>
      <c r="D3941"/>
      <c r="E3941"/>
      <c r="F3941"/>
      <c r="H3941"/>
      <c r="I3941"/>
      <c r="J3941"/>
      <c r="K3941"/>
      <c r="L3941"/>
    </row>
    <row r="3942" spans="2:12" ht="14.4" x14ac:dyDescent="0.3">
      <c r="B3942"/>
      <c r="C3942"/>
      <c r="D3942"/>
      <c r="E3942"/>
      <c r="F3942"/>
      <c r="H3942"/>
      <c r="I3942"/>
      <c r="J3942"/>
      <c r="K3942"/>
      <c r="L3942"/>
    </row>
    <row r="3943" spans="2:12" ht="14.4" x14ac:dyDescent="0.3">
      <c r="B3943"/>
      <c r="C3943"/>
      <c r="D3943"/>
      <c r="E3943"/>
      <c r="F3943"/>
      <c r="H3943"/>
      <c r="I3943"/>
      <c r="J3943"/>
      <c r="K3943"/>
      <c r="L3943"/>
    </row>
    <row r="3944" spans="2:12" ht="14.4" x14ac:dyDescent="0.3">
      <c r="B3944"/>
      <c r="C3944"/>
      <c r="D3944"/>
      <c r="E3944"/>
      <c r="F3944"/>
      <c r="H3944"/>
      <c r="I3944"/>
      <c r="J3944"/>
      <c r="K3944"/>
      <c r="L3944"/>
    </row>
    <row r="3945" spans="2:12" ht="14.4" x14ac:dyDescent="0.3">
      <c r="B3945"/>
      <c r="C3945"/>
      <c r="D3945"/>
      <c r="E3945"/>
      <c r="F3945"/>
      <c r="H3945"/>
      <c r="I3945"/>
      <c r="J3945"/>
      <c r="K3945"/>
      <c r="L3945"/>
    </row>
    <row r="3946" spans="2:12" ht="14.4" x14ac:dyDescent="0.3">
      <c r="B3946"/>
      <c r="C3946"/>
      <c r="D3946"/>
      <c r="E3946"/>
      <c r="F3946"/>
      <c r="H3946"/>
      <c r="I3946"/>
      <c r="J3946"/>
      <c r="K3946"/>
      <c r="L3946"/>
    </row>
    <row r="3947" spans="2:12" ht="14.4" x14ac:dyDescent="0.3">
      <c r="B3947"/>
      <c r="C3947"/>
      <c r="D3947"/>
      <c r="E3947"/>
      <c r="F3947"/>
      <c r="H3947"/>
      <c r="I3947"/>
      <c r="J3947"/>
      <c r="K3947"/>
      <c r="L3947"/>
    </row>
    <row r="3948" spans="2:12" ht="14.4" x14ac:dyDescent="0.3">
      <c r="B3948"/>
      <c r="C3948"/>
      <c r="D3948"/>
      <c r="E3948"/>
      <c r="F3948"/>
      <c r="H3948"/>
      <c r="I3948"/>
      <c r="J3948"/>
      <c r="K3948"/>
      <c r="L3948"/>
    </row>
    <row r="3949" spans="2:12" ht="14.4" x14ac:dyDescent="0.3">
      <c r="B3949"/>
      <c r="C3949"/>
      <c r="D3949"/>
      <c r="E3949"/>
      <c r="F3949"/>
      <c r="H3949"/>
      <c r="I3949"/>
      <c r="J3949"/>
      <c r="K3949"/>
      <c r="L3949"/>
    </row>
    <row r="3950" spans="2:12" ht="14.4" x14ac:dyDescent="0.3">
      <c r="B3950"/>
      <c r="C3950"/>
      <c r="D3950"/>
      <c r="E3950"/>
      <c r="F3950"/>
      <c r="H3950"/>
      <c r="I3950"/>
      <c r="J3950"/>
      <c r="K3950"/>
      <c r="L3950"/>
    </row>
    <row r="3951" spans="2:12" ht="14.4" x14ac:dyDescent="0.3">
      <c r="B3951"/>
      <c r="C3951"/>
      <c r="D3951"/>
      <c r="E3951"/>
      <c r="F3951"/>
      <c r="H3951"/>
      <c r="I3951"/>
      <c r="J3951"/>
      <c r="K3951"/>
      <c r="L3951"/>
    </row>
    <row r="3952" spans="2:12" ht="14.4" x14ac:dyDescent="0.3">
      <c r="B3952"/>
      <c r="C3952"/>
      <c r="D3952"/>
      <c r="E3952"/>
      <c r="F3952"/>
      <c r="H3952"/>
      <c r="I3952"/>
      <c r="J3952"/>
      <c r="K3952"/>
      <c r="L3952"/>
    </row>
    <row r="3953" spans="2:12" ht="14.4" x14ac:dyDescent="0.3">
      <c r="B3953"/>
      <c r="C3953"/>
      <c r="D3953"/>
      <c r="E3953"/>
      <c r="F3953"/>
      <c r="H3953"/>
      <c r="I3953"/>
      <c r="J3953"/>
      <c r="K3953"/>
      <c r="L3953"/>
    </row>
    <row r="3954" spans="2:12" ht="14.4" x14ac:dyDescent="0.3">
      <c r="B3954"/>
      <c r="C3954"/>
      <c r="D3954"/>
      <c r="E3954"/>
      <c r="F3954"/>
      <c r="H3954"/>
      <c r="I3954"/>
      <c r="J3954"/>
      <c r="K3954"/>
      <c r="L3954"/>
    </row>
    <row r="3955" spans="2:12" ht="14.4" x14ac:dyDescent="0.3">
      <c r="B3955"/>
      <c r="C3955"/>
      <c r="D3955"/>
      <c r="E3955"/>
      <c r="F3955"/>
      <c r="H3955"/>
      <c r="I3955"/>
      <c r="J3955"/>
      <c r="K3955"/>
      <c r="L3955"/>
    </row>
    <row r="3956" spans="2:12" ht="14.4" x14ac:dyDescent="0.3">
      <c r="B3956"/>
      <c r="C3956"/>
      <c r="D3956"/>
      <c r="E3956"/>
      <c r="F3956"/>
      <c r="H3956"/>
      <c r="I3956"/>
      <c r="J3956"/>
      <c r="K3956"/>
      <c r="L3956"/>
    </row>
    <row r="3957" spans="2:12" ht="14.4" x14ac:dyDescent="0.3">
      <c r="B3957"/>
      <c r="C3957"/>
      <c r="D3957"/>
      <c r="E3957"/>
      <c r="F3957"/>
      <c r="H3957"/>
      <c r="I3957"/>
      <c r="J3957"/>
      <c r="K3957"/>
      <c r="L3957"/>
    </row>
    <row r="3958" spans="2:12" ht="14.4" x14ac:dyDescent="0.3">
      <c r="B3958"/>
      <c r="C3958"/>
      <c r="D3958"/>
      <c r="E3958"/>
      <c r="F3958"/>
      <c r="H3958"/>
      <c r="I3958"/>
      <c r="J3958"/>
      <c r="K3958"/>
      <c r="L3958"/>
    </row>
    <row r="3959" spans="2:12" ht="14.4" x14ac:dyDescent="0.3">
      <c r="B3959"/>
      <c r="C3959"/>
      <c r="D3959"/>
      <c r="E3959"/>
      <c r="F3959"/>
      <c r="H3959"/>
      <c r="I3959"/>
      <c r="J3959"/>
      <c r="K3959"/>
      <c r="L3959"/>
    </row>
    <row r="3960" spans="2:12" ht="14.4" x14ac:dyDescent="0.3">
      <c r="B3960"/>
      <c r="C3960"/>
      <c r="D3960"/>
      <c r="E3960"/>
      <c r="F3960"/>
      <c r="H3960"/>
      <c r="I3960"/>
      <c r="J3960"/>
      <c r="K3960"/>
      <c r="L3960"/>
    </row>
    <row r="3961" spans="2:12" ht="14.4" x14ac:dyDescent="0.3">
      <c r="B3961"/>
      <c r="C3961"/>
      <c r="D3961"/>
      <c r="E3961"/>
      <c r="F3961"/>
      <c r="H3961"/>
      <c r="I3961"/>
      <c r="J3961"/>
      <c r="K3961"/>
      <c r="L3961"/>
    </row>
    <row r="3962" spans="2:12" ht="14.4" x14ac:dyDescent="0.3">
      <c r="B3962"/>
      <c r="C3962"/>
      <c r="D3962"/>
      <c r="E3962"/>
      <c r="F3962"/>
      <c r="H3962"/>
      <c r="I3962"/>
      <c r="J3962"/>
      <c r="K3962"/>
      <c r="L3962"/>
    </row>
    <row r="3963" spans="2:12" ht="14.4" x14ac:dyDescent="0.3">
      <c r="B3963"/>
      <c r="C3963"/>
      <c r="D3963"/>
      <c r="E3963"/>
      <c r="F3963"/>
      <c r="H3963"/>
      <c r="I3963"/>
      <c r="J3963"/>
      <c r="K3963"/>
      <c r="L3963"/>
    </row>
    <row r="3964" spans="2:12" ht="14.4" x14ac:dyDescent="0.3">
      <c r="B3964"/>
      <c r="C3964"/>
      <c r="D3964"/>
      <c r="E3964"/>
      <c r="F3964"/>
      <c r="H3964"/>
      <c r="I3964"/>
      <c r="J3964"/>
      <c r="K3964"/>
      <c r="L3964"/>
    </row>
    <row r="3965" spans="2:12" ht="14.4" x14ac:dyDescent="0.3">
      <c r="B3965"/>
      <c r="C3965"/>
      <c r="D3965"/>
      <c r="E3965"/>
      <c r="F3965"/>
      <c r="H3965"/>
      <c r="I3965"/>
      <c r="J3965"/>
      <c r="K3965"/>
      <c r="L3965"/>
    </row>
    <row r="3966" spans="2:12" ht="14.4" x14ac:dyDescent="0.3">
      <c r="B3966"/>
      <c r="C3966"/>
      <c r="D3966"/>
      <c r="E3966"/>
      <c r="F3966"/>
      <c r="H3966"/>
      <c r="I3966"/>
      <c r="J3966"/>
      <c r="K3966"/>
      <c r="L3966"/>
    </row>
    <row r="3967" spans="2:12" ht="14.4" x14ac:dyDescent="0.3">
      <c r="B3967"/>
      <c r="C3967"/>
      <c r="D3967"/>
      <c r="E3967"/>
      <c r="F3967"/>
      <c r="H3967"/>
      <c r="I3967"/>
      <c r="J3967"/>
      <c r="K3967"/>
      <c r="L3967"/>
    </row>
    <row r="3968" spans="2:12" ht="14.4" x14ac:dyDescent="0.3">
      <c r="B3968"/>
      <c r="C3968"/>
      <c r="D3968"/>
      <c r="E3968"/>
      <c r="F3968"/>
      <c r="H3968"/>
      <c r="I3968"/>
      <c r="J3968"/>
      <c r="K3968"/>
      <c r="L3968"/>
    </row>
    <row r="3969" spans="2:12" ht="14.4" x14ac:dyDescent="0.3">
      <c r="B3969"/>
      <c r="C3969"/>
      <c r="D3969"/>
      <c r="E3969"/>
      <c r="F3969"/>
      <c r="H3969"/>
      <c r="I3969"/>
      <c r="J3969"/>
      <c r="K3969"/>
      <c r="L3969"/>
    </row>
    <row r="3970" spans="2:12" ht="14.4" x14ac:dyDescent="0.3">
      <c r="B3970"/>
      <c r="C3970"/>
      <c r="D3970"/>
      <c r="E3970"/>
      <c r="F3970"/>
      <c r="H3970"/>
      <c r="I3970"/>
      <c r="J3970"/>
      <c r="K3970"/>
      <c r="L3970"/>
    </row>
    <row r="3971" spans="2:12" ht="14.4" x14ac:dyDescent="0.3">
      <c r="B3971"/>
      <c r="C3971"/>
      <c r="D3971"/>
      <c r="E3971"/>
      <c r="F3971"/>
      <c r="H3971"/>
      <c r="I3971"/>
      <c r="J3971"/>
      <c r="K3971"/>
      <c r="L3971"/>
    </row>
    <row r="3972" spans="2:12" ht="14.4" x14ac:dyDescent="0.3">
      <c r="B3972"/>
      <c r="C3972"/>
      <c r="D3972"/>
      <c r="E3972"/>
      <c r="F3972"/>
      <c r="H3972"/>
      <c r="I3972"/>
      <c r="J3972"/>
      <c r="K3972"/>
      <c r="L3972"/>
    </row>
    <row r="3973" spans="2:12" ht="14.4" x14ac:dyDescent="0.3">
      <c r="B3973"/>
      <c r="C3973"/>
      <c r="D3973"/>
      <c r="E3973"/>
      <c r="F3973"/>
      <c r="H3973"/>
      <c r="I3973"/>
      <c r="J3973"/>
      <c r="K3973"/>
      <c r="L3973"/>
    </row>
    <row r="3974" spans="2:12" ht="14.4" x14ac:dyDescent="0.3">
      <c r="B3974"/>
      <c r="C3974"/>
      <c r="D3974"/>
      <c r="E3974"/>
      <c r="F3974"/>
      <c r="H3974"/>
      <c r="I3974"/>
      <c r="J3974"/>
      <c r="K3974"/>
      <c r="L3974"/>
    </row>
    <row r="3975" spans="2:12" ht="14.4" x14ac:dyDescent="0.3">
      <c r="B3975"/>
      <c r="C3975"/>
      <c r="D3975"/>
      <c r="E3975"/>
      <c r="F3975"/>
      <c r="H3975"/>
      <c r="I3975"/>
      <c r="J3975"/>
      <c r="K3975"/>
      <c r="L3975"/>
    </row>
    <row r="3976" spans="2:12" ht="14.4" x14ac:dyDescent="0.3">
      <c r="B3976"/>
      <c r="C3976"/>
      <c r="D3976"/>
      <c r="E3976"/>
      <c r="F3976"/>
      <c r="H3976"/>
      <c r="I3976"/>
      <c r="J3976"/>
      <c r="K3976"/>
      <c r="L3976"/>
    </row>
    <row r="3977" spans="2:12" ht="14.4" x14ac:dyDescent="0.3">
      <c r="B3977"/>
      <c r="C3977"/>
      <c r="D3977"/>
      <c r="E3977"/>
      <c r="F3977"/>
      <c r="H3977"/>
      <c r="I3977"/>
      <c r="J3977"/>
      <c r="K3977"/>
      <c r="L3977"/>
    </row>
    <row r="3978" spans="2:12" ht="14.4" x14ac:dyDescent="0.3">
      <c r="B3978"/>
      <c r="C3978"/>
      <c r="D3978"/>
      <c r="E3978"/>
      <c r="F3978"/>
      <c r="H3978"/>
      <c r="I3978"/>
      <c r="J3978"/>
      <c r="K3978"/>
      <c r="L3978"/>
    </row>
    <row r="3979" spans="2:12" ht="14.4" x14ac:dyDescent="0.3">
      <c r="B3979"/>
      <c r="C3979"/>
      <c r="D3979"/>
      <c r="E3979"/>
      <c r="F3979"/>
      <c r="H3979"/>
      <c r="I3979"/>
      <c r="J3979"/>
      <c r="K3979"/>
      <c r="L3979"/>
    </row>
    <row r="3980" spans="2:12" ht="14.4" x14ac:dyDescent="0.3">
      <c r="B3980"/>
      <c r="C3980"/>
      <c r="D3980"/>
      <c r="E3980"/>
      <c r="F3980"/>
      <c r="H3980"/>
      <c r="I3980"/>
      <c r="J3980"/>
      <c r="K3980"/>
      <c r="L3980"/>
    </row>
    <row r="3981" spans="2:12" ht="14.4" x14ac:dyDescent="0.3">
      <c r="B3981"/>
      <c r="C3981"/>
      <c r="D3981"/>
      <c r="E3981"/>
      <c r="F3981"/>
      <c r="H3981"/>
      <c r="I3981"/>
      <c r="J3981"/>
      <c r="K3981"/>
      <c r="L3981"/>
    </row>
    <row r="3982" spans="2:12" ht="14.4" x14ac:dyDescent="0.3">
      <c r="B3982"/>
      <c r="C3982"/>
      <c r="D3982"/>
      <c r="E3982"/>
      <c r="F3982"/>
      <c r="H3982"/>
      <c r="I3982"/>
      <c r="J3982"/>
      <c r="K3982"/>
      <c r="L3982"/>
    </row>
    <row r="3983" spans="2:12" ht="14.4" x14ac:dyDescent="0.3">
      <c r="B3983"/>
      <c r="C3983"/>
      <c r="D3983"/>
      <c r="E3983"/>
      <c r="F3983"/>
      <c r="H3983"/>
      <c r="I3983"/>
      <c r="J3983"/>
      <c r="K3983"/>
      <c r="L3983"/>
    </row>
    <row r="3984" spans="2:12" ht="14.4" x14ac:dyDescent="0.3">
      <c r="B3984"/>
      <c r="C3984"/>
      <c r="D3984"/>
      <c r="E3984"/>
      <c r="F3984"/>
      <c r="H3984"/>
      <c r="I3984"/>
      <c r="J3984"/>
      <c r="K3984"/>
      <c r="L3984"/>
    </row>
    <row r="3985" spans="2:12" ht="14.4" x14ac:dyDescent="0.3">
      <c r="B3985"/>
      <c r="C3985"/>
      <c r="D3985"/>
      <c r="E3985"/>
      <c r="F3985"/>
      <c r="H3985"/>
      <c r="I3985"/>
      <c r="J3985"/>
      <c r="K3985"/>
      <c r="L3985"/>
    </row>
    <row r="3986" spans="2:12" ht="14.4" x14ac:dyDescent="0.3">
      <c r="B3986"/>
      <c r="C3986"/>
      <c r="D3986"/>
      <c r="E3986"/>
      <c r="F3986"/>
      <c r="H3986"/>
      <c r="I3986"/>
      <c r="J3986"/>
      <c r="K3986"/>
      <c r="L3986"/>
    </row>
    <row r="3987" spans="2:12" ht="14.4" x14ac:dyDescent="0.3">
      <c r="B3987"/>
      <c r="C3987"/>
      <c r="D3987"/>
      <c r="E3987"/>
      <c r="F3987"/>
      <c r="H3987"/>
      <c r="I3987"/>
      <c r="J3987"/>
      <c r="K3987"/>
      <c r="L3987"/>
    </row>
    <row r="3988" spans="2:12" ht="14.4" x14ac:dyDescent="0.3">
      <c r="B3988"/>
      <c r="C3988"/>
      <c r="D3988"/>
      <c r="E3988"/>
      <c r="F3988"/>
      <c r="H3988"/>
      <c r="I3988"/>
      <c r="J3988"/>
      <c r="K3988"/>
      <c r="L3988"/>
    </row>
    <row r="3989" spans="2:12" ht="14.4" x14ac:dyDescent="0.3">
      <c r="B3989"/>
      <c r="C3989"/>
      <c r="D3989"/>
      <c r="E3989"/>
      <c r="F3989"/>
      <c r="H3989"/>
      <c r="I3989"/>
      <c r="J3989"/>
      <c r="K3989"/>
      <c r="L3989"/>
    </row>
    <row r="3990" spans="2:12" ht="14.4" x14ac:dyDescent="0.3">
      <c r="B3990"/>
      <c r="C3990"/>
      <c r="D3990"/>
      <c r="E3990"/>
      <c r="F3990"/>
      <c r="H3990"/>
      <c r="I3990"/>
      <c r="J3990"/>
      <c r="K3990"/>
      <c r="L3990"/>
    </row>
    <row r="3991" spans="2:12" ht="14.4" x14ac:dyDescent="0.3">
      <c r="B3991"/>
      <c r="C3991"/>
      <c r="D3991"/>
      <c r="E3991"/>
      <c r="F3991"/>
      <c r="H3991"/>
      <c r="I3991"/>
      <c r="J3991"/>
      <c r="K3991"/>
      <c r="L3991"/>
    </row>
    <row r="3992" spans="2:12" ht="14.4" x14ac:dyDescent="0.3">
      <c r="B3992"/>
      <c r="C3992"/>
      <c r="D3992"/>
      <c r="E3992"/>
      <c r="F3992"/>
      <c r="H3992"/>
      <c r="I3992"/>
      <c r="J3992"/>
      <c r="K3992"/>
      <c r="L3992"/>
    </row>
    <row r="3993" spans="2:12" ht="14.4" x14ac:dyDescent="0.3">
      <c r="B3993"/>
      <c r="C3993"/>
      <c r="D3993"/>
      <c r="E3993"/>
      <c r="F3993"/>
      <c r="H3993"/>
      <c r="I3993"/>
      <c r="J3993"/>
      <c r="K3993"/>
      <c r="L3993"/>
    </row>
    <row r="3994" spans="2:12" ht="14.4" x14ac:dyDescent="0.3">
      <c r="B3994"/>
      <c r="C3994"/>
      <c r="D3994"/>
      <c r="E3994"/>
      <c r="F3994"/>
      <c r="H3994"/>
      <c r="I3994"/>
      <c r="J3994"/>
      <c r="K3994"/>
      <c r="L3994"/>
    </row>
    <row r="3995" spans="2:12" ht="14.4" x14ac:dyDescent="0.3">
      <c r="B3995"/>
      <c r="C3995"/>
      <c r="D3995"/>
      <c r="E3995"/>
      <c r="F3995"/>
      <c r="H3995"/>
      <c r="I3995"/>
      <c r="J3995"/>
      <c r="K3995"/>
      <c r="L3995"/>
    </row>
    <row r="3996" spans="2:12" ht="14.4" x14ac:dyDescent="0.3">
      <c r="B3996"/>
      <c r="C3996"/>
      <c r="D3996"/>
      <c r="E3996"/>
      <c r="F3996"/>
      <c r="H3996"/>
      <c r="I3996"/>
      <c r="J3996"/>
      <c r="K3996"/>
      <c r="L3996"/>
    </row>
    <row r="3997" spans="2:12" ht="14.4" x14ac:dyDescent="0.3">
      <c r="B3997"/>
      <c r="C3997"/>
      <c r="D3997"/>
      <c r="E3997"/>
      <c r="F3997"/>
      <c r="H3997"/>
      <c r="I3997"/>
      <c r="J3997"/>
      <c r="K3997"/>
      <c r="L3997"/>
    </row>
    <row r="3998" spans="2:12" ht="14.4" x14ac:dyDescent="0.3">
      <c r="B3998"/>
      <c r="C3998"/>
      <c r="D3998"/>
      <c r="E3998"/>
      <c r="F3998"/>
      <c r="H3998"/>
      <c r="I3998"/>
      <c r="J3998"/>
      <c r="K3998"/>
      <c r="L3998"/>
    </row>
    <row r="3999" spans="2:12" ht="14.4" x14ac:dyDescent="0.3">
      <c r="B3999"/>
      <c r="C3999"/>
      <c r="D3999"/>
      <c r="E3999"/>
      <c r="F3999"/>
      <c r="H3999"/>
      <c r="I3999"/>
      <c r="J3999"/>
      <c r="K3999"/>
      <c r="L3999"/>
    </row>
    <row r="4000" spans="2:12" ht="14.4" x14ac:dyDescent="0.3">
      <c r="B4000"/>
      <c r="C4000"/>
      <c r="D4000"/>
      <c r="E4000"/>
      <c r="F4000"/>
      <c r="H4000"/>
      <c r="I4000"/>
      <c r="J4000"/>
      <c r="K4000"/>
      <c r="L4000"/>
    </row>
    <row r="4001" spans="2:12" ht="14.4" x14ac:dyDescent="0.3">
      <c r="B4001"/>
      <c r="C4001"/>
      <c r="D4001"/>
      <c r="E4001"/>
      <c r="F4001"/>
      <c r="H4001"/>
      <c r="I4001"/>
      <c r="J4001"/>
      <c r="K4001"/>
      <c r="L4001"/>
    </row>
    <row r="4002" spans="2:12" ht="14.4" x14ac:dyDescent="0.3">
      <c r="B4002"/>
      <c r="C4002"/>
      <c r="D4002"/>
      <c r="E4002"/>
      <c r="F4002"/>
      <c r="H4002"/>
      <c r="I4002"/>
      <c r="J4002"/>
      <c r="K4002"/>
      <c r="L4002"/>
    </row>
    <row r="4003" spans="2:12" ht="14.4" x14ac:dyDescent="0.3">
      <c r="B4003"/>
      <c r="C4003"/>
      <c r="D4003"/>
      <c r="E4003"/>
      <c r="F4003"/>
      <c r="H4003"/>
      <c r="I4003"/>
      <c r="J4003"/>
      <c r="K4003"/>
      <c r="L4003"/>
    </row>
    <row r="4004" spans="2:12" ht="14.4" x14ac:dyDescent="0.3">
      <c r="B4004"/>
      <c r="C4004"/>
      <c r="D4004"/>
      <c r="E4004"/>
      <c r="F4004"/>
      <c r="H4004"/>
      <c r="I4004"/>
      <c r="J4004"/>
      <c r="K4004"/>
      <c r="L4004"/>
    </row>
    <row r="4005" spans="2:12" ht="14.4" x14ac:dyDescent="0.3">
      <c r="B4005"/>
      <c r="C4005"/>
      <c r="D4005"/>
      <c r="E4005"/>
      <c r="F4005"/>
      <c r="H4005"/>
      <c r="I4005"/>
      <c r="J4005"/>
      <c r="K4005"/>
      <c r="L4005"/>
    </row>
    <row r="4006" spans="2:12" ht="14.4" x14ac:dyDescent="0.3">
      <c r="B4006"/>
      <c r="C4006"/>
      <c r="D4006"/>
      <c r="E4006"/>
      <c r="F4006"/>
      <c r="H4006"/>
      <c r="I4006"/>
      <c r="J4006"/>
      <c r="K4006"/>
      <c r="L4006"/>
    </row>
    <row r="4007" spans="2:12" ht="14.4" x14ac:dyDescent="0.3">
      <c r="B4007"/>
      <c r="C4007"/>
      <c r="D4007"/>
      <c r="E4007"/>
      <c r="F4007"/>
      <c r="H4007"/>
      <c r="I4007"/>
      <c r="J4007"/>
      <c r="K4007"/>
      <c r="L4007"/>
    </row>
    <row r="4008" spans="2:12" ht="14.4" x14ac:dyDescent="0.3">
      <c r="B4008"/>
      <c r="C4008"/>
      <c r="D4008"/>
      <c r="E4008"/>
      <c r="F4008"/>
      <c r="H4008"/>
      <c r="I4008"/>
      <c r="J4008"/>
      <c r="K4008"/>
      <c r="L4008"/>
    </row>
    <row r="4009" spans="2:12" ht="14.4" x14ac:dyDescent="0.3">
      <c r="B4009"/>
      <c r="C4009"/>
      <c r="D4009"/>
      <c r="E4009"/>
      <c r="F4009"/>
      <c r="H4009"/>
      <c r="I4009"/>
      <c r="J4009"/>
      <c r="K4009"/>
      <c r="L4009"/>
    </row>
    <row r="4010" spans="2:12" ht="14.4" x14ac:dyDescent="0.3">
      <c r="B4010"/>
      <c r="C4010"/>
      <c r="D4010"/>
      <c r="E4010"/>
      <c r="F4010"/>
      <c r="H4010"/>
      <c r="I4010"/>
      <c r="J4010"/>
      <c r="K4010"/>
      <c r="L4010"/>
    </row>
    <row r="4011" spans="2:12" ht="14.4" x14ac:dyDescent="0.3">
      <c r="B4011"/>
      <c r="C4011"/>
      <c r="D4011"/>
      <c r="E4011"/>
      <c r="F4011"/>
      <c r="H4011"/>
      <c r="I4011"/>
      <c r="J4011"/>
      <c r="K4011"/>
      <c r="L4011"/>
    </row>
    <row r="4012" spans="2:12" ht="14.4" x14ac:dyDescent="0.3">
      <c r="B4012"/>
      <c r="C4012"/>
      <c r="D4012"/>
      <c r="E4012"/>
      <c r="F4012"/>
      <c r="H4012"/>
      <c r="I4012"/>
      <c r="J4012"/>
      <c r="K4012"/>
      <c r="L4012"/>
    </row>
    <row r="4013" spans="2:12" ht="14.4" x14ac:dyDescent="0.3">
      <c r="B4013"/>
      <c r="C4013"/>
      <c r="D4013"/>
      <c r="E4013"/>
      <c r="F4013"/>
      <c r="H4013"/>
      <c r="I4013"/>
      <c r="J4013"/>
      <c r="K4013"/>
      <c r="L4013"/>
    </row>
    <row r="4014" spans="2:12" ht="14.4" x14ac:dyDescent="0.3">
      <c r="B4014"/>
      <c r="C4014"/>
      <c r="D4014"/>
      <c r="E4014"/>
      <c r="F4014"/>
      <c r="H4014"/>
      <c r="I4014"/>
      <c r="J4014"/>
      <c r="K4014"/>
      <c r="L4014"/>
    </row>
    <row r="4015" spans="2:12" ht="14.4" x14ac:dyDescent="0.3">
      <c r="B4015"/>
      <c r="C4015"/>
      <c r="D4015"/>
      <c r="E4015"/>
      <c r="F4015"/>
      <c r="H4015"/>
      <c r="I4015"/>
      <c r="J4015"/>
      <c r="K4015"/>
      <c r="L4015"/>
    </row>
    <row r="4016" spans="2:12" ht="14.4" x14ac:dyDescent="0.3">
      <c r="B4016"/>
      <c r="C4016"/>
      <c r="D4016"/>
      <c r="E4016"/>
      <c r="F4016"/>
      <c r="H4016"/>
      <c r="I4016"/>
      <c r="J4016"/>
      <c r="K4016"/>
      <c r="L4016"/>
    </row>
    <row r="4017" spans="2:12" ht="14.4" x14ac:dyDescent="0.3">
      <c r="B4017"/>
      <c r="C4017"/>
      <c r="D4017"/>
      <c r="E4017"/>
      <c r="F4017"/>
      <c r="H4017"/>
      <c r="I4017"/>
      <c r="J4017"/>
      <c r="K4017"/>
      <c r="L4017"/>
    </row>
    <row r="4018" spans="2:12" ht="14.4" x14ac:dyDescent="0.3">
      <c r="B4018"/>
      <c r="C4018"/>
      <c r="D4018"/>
      <c r="E4018"/>
      <c r="F4018"/>
      <c r="H4018"/>
      <c r="I4018"/>
      <c r="J4018"/>
      <c r="K4018"/>
      <c r="L4018"/>
    </row>
    <row r="4019" spans="2:12" ht="14.4" x14ac:dyDescent="0.3">
      <c r="B4019"/>
      <c r="C4019"/>
      <c r="D4019"/>
      <c r="E4019"/>
      <c r="F4019"/>
      <c r="H4019"/>
      <c r="I4019"/>
      <c r="J4019"/>
      <c r="K4019"/>
      <c r="L4019"/>
    </row>
    <row r="4020" spans="2:12" ht="14.4" x14ac:dyDescent="0.3">
      <c r="B4020"/>
      <c r="C4020"/>
      <c r="D4020"/>
      <c r="E4020"/>
      <c r="F4020"/>
      <c r="H4020"/>
      <c r="I4020"/>
      <c r="J4020"/>
      <c r="K4020"/>
      <c r="L4020"/>
    </row>
    <row r="4021" spans="2:12" ht="14.4" x14ac:dyDescent="0.3">
      <c r="B4021"/>
      <c r="C4021"/>
      <c r="D4021"/>
      <c r="E4021"/>
      <c r="F4021"/>
      <c r="H4021"/>
      <c r="I4021"/>
      <c r="J4021"/>
      <c r="K4021"/>
      <c r="L4021"/>
    </row>
    <row r="4022" spans="2:12" ht="14.4" x14ac:dyDescent="0.3">
      <c r="B4022"/>
      <c r="C4022"/>
      <c r="D4022"/>
      <c r="E4022"/>
      <c r="F4022"/>
      <c r="H4022"/>
      <c r="I4022"/>
      <c r="J4022"/>
      <c r="K4022"/>
      <c r="L4022"/>
    </row>
    <row r="4023" spans="2:12" ht="14.4" x14ac:dyDescent="0.3">
      <c r="B4023"/>
      <c r="C4023"/>
      <c r="D4023"/>
      <c r="E4023"/>
      <c r="F4023"/>
      <c r="H4023"/>
      <c r="I4023"/>
      <c r="J4023"/>
      <c r="K4023"/>
      <c r="L4023"/>
    </row>
    <row r="4024" spans="2:12" ht="14.4" x14ac:dyDescent="0.3">
      <c r="B4024"/>
      <c r="C4024"/>
      <c r="D4024"/>
      <c r="E4024"/>
      <c r="F4024"/>
      <c r="H4024"/>
      <c r="I4024"/>
      <c r="J4024"/>
      <c r="K4024"/>
      <c r="L4024"/>
    </row>
    <row r="4025" spans="2:12" ht="14.4" x14ac:dyDescent="0.3">
      <c r="B4025"/>
      <c r="C4025"/>
      <c r="D4025"/>
      <c r="E4025"/>
      <c r="F4025"/>
      <c r="H4025"/>
      <c r="I4025"/>
      <c r="J4025"/>
      <c r="K4025"/>
      <c r="L4025"/>
    </row>
    <row r="4026" spans="2:12" ht="14.4" x14ac:dyDescent="0.3">
      <c r="B4026"/>
      <c r="C4026"/>
      <c r="D4026"/>
      <c r="E4026"/>
      <c r="F4026"/>
      <c r="H4026"/>
      <c r="I4026"/>
      <c r="J4026"/>
      <c r="K4026"/>
      <c r="L4026"/>
    </row>
    <row r="4027" spans="2:12" ht="14.4" x14ac:dyDescent="0.3">
      <c r="B4027"/>
      <c r="C4027"/>
      <c r="D4027"/>
      <c r="E4027"/>
      <c r="F4027"/>
      <c r="H4027"/>
      <c r="I4027"/>
      <c r="J4027"/>
      <c r="K4027"/>
      <c r="L4027"/>
    </row>
    <row r="4028" spans="2:12" ht="14.4" x14ac:dyDescent="0.3">
      <c r="B4028"/>
      <c r="C4028"/>
      <c r="D4028"/>
      <c r="E4028"/>
      <c r="F4028"/>
      <c r="H4028"/>
      <c r="I4028"/>
      <c r="J4028"/>
      <c r="K4028"/>
      <c r="L4028"/>
    </row>
    <row r="4029" spans="2:12" ht="14.4" x14ac:dyDescent="0.3">
      <c r="B4029"/>
      <c r="C4029"/>
      <c r="D4029"/>
      <c r="E4029"/>
      <c r="F4029"/>
      <c r="H4029"/>
      <c r="I4029"/>
      <c r="J4029"/>
      <c r="K4029"/>
      <c r="L4029"/>
    </row>
    <row r="4030" spans="2:12" ht="14.4" x14ac:dyDescent="0.3">
      <c r="B4030"/>
      <c r="C4030"/>
      <c r="D4030"/>
      <c r="E4030"/>
      <c r="F4030"/>
      <c r="H4030"/>
      <c r="I4030"/>
      <c r="J4030"/>
      <c r="K4030"/>
      <c r="L4030"/>
    </row>
    <row r="4031" spans="2:12" ht="14.4" x14ac:dyDescent="0.3">
      <c r="B4031"/>
      <c r="C4031"/>
      <c r="D4031"/>
      <c r="E4031"/>
      <c r="F4031"/>
      <c r="H4031"/>
      <c r="I4031"/>
      <c r="J4031"/>
      <c r="K4031"/>
      <c r="L4031"/>
    </row>
    <row r="4032" spans="2:12" ht="14.4" x14ac:dyDescent="0.3">
      <c r="B4032"/>
      <c r="C4032"/>
      <c r="D4032"/>
      <c r="E4032"/>
      <c r="F4032"/>
      <c r="H4032"/>
      <c r="I4032"/>
      <c r="J4032"/>
      <c r="K4032"/>
      <c r="L4032"/>
    </row>
    <row r="4033" spans="2:12" ht="14.4" x14ac:dyDescent="0.3">
      <c r="B4033"/>
      <c r="C4033"/>
      <c r="D4033"/>
      <c r="E4033"/>
      <c r="F4033"/>
      <c r="H4033"/>
      <c r="I4033"/>
      <c r="J4033"/>
      <c r="K4033"/>
      <c r="L4033"/>
    </row>
    <row r="4034" spans="2:12" ht="14.4" x14ac:dyDescent="0.3">
      <c r="B4034"/>
      <c r="C4034"/>
      <c r="D4034"/>
      <c r="E4034"/>
      <c r="F4034"/>
      <c r="H4034"/>
      <c r="I4034"/>
      <c r="J4034"/>
      <c r="K4034"/>
      <c r="L4034"/>
    </row>
    <row r="4035" spans="2:12" ht="14.4" x14ac:dyDescent="0.3">
      <c r="B4035"/>
      <c r="C4035"/>
      <c r="D4035"/>
      <c r="E4035"/>
      <c r="F4035"/>
      <c r="H4035"/>
      <c r="I4035"/>
      <c r="J4035"/>
      <c r="K4035"/>
      <c r="L4035"/>
    </row>
    <row r="4036" spans="2:12" ht="14.4" x14ac:dyDescent="0.3">
      <c r="B4036"/>
      <c r="C4036"/>
      <c r="D4036"/>
      <c r="E4036"/>
      <c r="F4036"/>
      <c r="H4036"/>
      <c r="I4036"/>
      <c r="J4036"/>
      <c r="K4036"/>
      <c r="L4036"/>
    </row>
    <row r="4037" spans="2:12" ht="14.4" x14ac:dyDescent="0.3">
      <c r="B4037"/>
      <c r="C4037"/>
      <c r="D4037"/>
      <c r="E4037"/>
      <c r="F4037"/>
      <c r="H4037"/>
      <c r="I4037"/>
      <c r="J4037"/>
      <c r="K4037"/>
      <c r="L4037"/>
    </row>
    <row r="4038" spans="2:12" ht="14.4" x14ac:dyDescent="0.3">
      <c r="B4038"/>
      <c r="C4038"/>
      <c r="D4038"/>
      <c r="E4038"/>
      <c r="F4038"/>
      <c r="H4038"/>
      <c r="I4038"/>
      <c r="J4038"/>
      <c r="K4038"/>
      <c r="L4038"/>
    </row>
    <row r="4039" spans="2:12" ht="14.4" x14ac:dyDescent="0.3">
      <c r="B4039"/>
      <c r="C4039"/>
      <c r="D4039"/>
      <c r="E4039"/>
      <c r="F4039"/>
      <c r="H4039"/>
      <c r="I4039"/>
      <c r="J4039"/>
      <c r="K4039"/>
      <c r="L4039"/>
    </row>
    <row r="4040" spans="2:12" ht="14.4" x14ac:dyDescent="0.3">
      <c r="B4040"/>
      <c r="C4040"/>
      <c r="D4040"/>
      <c r="E4040"/>
      <c r="F4040"/>
      <c r="H4040"/>
      <c r="I4040"/>
      <c r="J4040"/>
      <c r="K4040"/>
      <c r="L4040"/>
    </row>
    <row r="4041" spans="2:12" ht="14.4" x14ac:dyDescent="0.3">
      <c r="B4041"/>
      <c r="C4041"/>
      <c r="D4041"/>
      <c r="E4041"/>
      <c r="F4041"/>
      <c r="H4041"/>
      <c r="I4041"/>
      <c r="J4041"/>
      <c r="K4041"/>
      <c r="L4041"/>
    </row>
    <row r="4042" spans="2:12" ht="14.4" x14ac:dyDescent="0.3">
      <c r="B4042"/>
      <c r="C4042"/>
      <c r="D4042"/>
      <c r="E4042"/>
      <c r="F4042"/>
      <c r="H4042"/>
      <c r="I4042"/>
      <c r="J4042"/>
      <c r="K4042"/>
      <c r="L4042"/>
    </row>
    <row r="4043" spans="2:12" ht="14.4" x14ac:dyDescent="0.3">
      <c r="B4043"/>
      <c r="C4043"/>
      <c r="D4043"/>
      <c r="E4043"/>
      <c r="F4043"/>
      <c r="H4043"/>
      <c r="I4043"/>
      <c r="J4043"/>
      <c r="K4043"/>
      <c r="L4043"/>
    </row>
    <row r="4044" spans="2:12" ht="14.4" x14ac:dyDescent="0.3">
      <c r="B4044"/>
      <c r="C4044"/>
      <c r="D4044"/>
      <c r="E4044"/>
      <c r="F4044"/>
      <c r="H4044"/>
      <c r="I4044"/>
      <c r="J4044"/>
      <c r="K4044"/>
      <c r="L4044"/>
    </row>
    <row r="4045" spans="2:12" ht="14.4" x14ac:dyDescent="0.3">
      <c r="B4045"/>
      <c r="C4045"/>
      <c r="D4045"/>
      <c r="E4045"/>
      <c r="F4045"/>
      <c r="H4045"/>
      <c r="I4045"/>
      <c r="J4045"/>
      <c r="K4045"/>
      <c r="L4045"/>
    </row>
    <row r="4046" spans="2:12" ht="14.4" x14ac:dyDescent="0.3">
      <c r="B4046"/>
      <c r="C4046"/>
      <c r="D4046"/>
      <c r="E4046"/>
      <c r="F4046"/>
      <c r="H4046"/>
      <c r="I4046"/>
      <c r="J4046"/>
      <c r="K4046"/>
      <c r="L4046"/>
    </row>
    <row r="4047" spans="2:12" ht="14.4" x14ac:dyDescent="0.3">
      <c r="B4047"/>
      <c r="C4047"/>
      <c r="D4047"/>
      <c r="E4047"/>
      <c r="F4047"/>
      <c r="H4047"/>
      <c r="I4047"/>
      <c r="J4047"/>
      <c r="K4047"/>
      <c r="L4047"/>
    </row>
    <row r="4048" spans="2:12" ht="14.4" x14ac:dyDescent="0.3">
      <c r="B4048"/>
      <c r="C4048"/>
      <c r="D4048"/>
      <c r="E4048"/>
      <c r="F4048"/>
      <c r="H4048"/>
      <c r="I4048"/>
      <c r="J4048"/>
      <c r="K4048"/>
      <c r="L4048"/>
    </row>
    <row r="4049" spans="2:12" ht="14.4" x14ac:dyDescent="0.3">
      <c r="B4049"/>
      <c r="C4049"/>
      <c r="D4049"/>
      <c r="E4049"/>
      <c r="F4049"/>
      <c r="H4049"/>
      <c r="I4049"/>
      <c r="J4049"/>
      <c r="K4049"/>
      <c r="L4049"/>
    </row>
    <row r="4050" spans="2:12" ht="14.4" x14ac:dyDescent="0.3">
      <c r="B4050"/>
      <c r="C4050"/>
      <c r="D4050"/>
      <c r="E4050"/>
      <c r="F4050"/>
      <c r="H4050"/>
      <c r="I4050"/>
      <c r="J4050"/>
      <c r="K4050"/>
      <c r="L4050"/>
    </row>
    <row r="4051" spans="2:12" ht="14.4" x14ac:dyDescent="0.3">
      <c r="B4051"/>
      <c r="C4051"/>
      <c r="D4051"/>
      <c r="E4051"/>
      <c r="F4051"/>
      <c r="H4051"/>
      <c r="I4051"/>
      <c r="J4051"/>
      <c r="K4051"/>
      <c r="L4051"/>
    </row>
    <row r="4052" spans="2:12" ht="14.4" x14ac:dyDescent="0.3">
      <c r="B4052"/>
      <c r="C4052"/>
      <c r="D4052"/>
      <c r="E4052"/>
      <c r="F4052"/>
      <c r="H4052"/>
      <c r="I4052"/>
      <c r="J4052"/>
      <c r="K4052"/>
      <c r="L4052"/>
    </row>
    <row r="4053" spans="2:12" ht="14.4" x14ac:dyDescent="0.3">
      <c r="B4053"/>
      <c r="C4053"/>
      <c r="D4053"/>
      <c r="E4053"/>
      <c r="F4053"/>
      <c r="H4053"/>
      <c r="I4053"/>
      <c r="J4053"/>
      <c r="K4053"/>
      <c r="L4053"/>
    </row>
    <row r="4054" spans="2:12" ht="14.4" x14ac:dyDescent="0.3">
      <c r="B4054"/>
      <c r="C4054"/>
      <c r="D4054"/>
      <c r="E4054"/>
      <c r="F4054"/>
      <c r="H4054"/>
      <c r="I4054"/>
      <c r="J4054"/>
      <c r="K4054"/>
      <c r="L4054"/>
    </row>
    <row r="4055" spans="2:12" ht="14.4" x14ac:dyDescent="0.3">
      <c r="B4055"/>
      <c r="C4055"/>
      <c r="D4055"/>
      <c r="E4055"/>
      <c r="F4055"/>
      <c r="H4055"/>
      <c r="I4055"/>
      <c r="J4055"/>
      <c r="K4055"/>
      <c r="L4055"/>
    </row>
    <row r="4056" spans="2:12" ht="14.4" x14ac:dyDescent="0.3">
      <c r="B4056"/>
      <c r="C4056"/>
      <c r="D4056"/>
      <c r="E4056"/>
      <c r="F4056"/>
      <c r="H4056"/>
      <c r="I4056"/>
      <c r="J4056"/>
      <c r="K4056"/>
      <c r="L4056"/>
    </row>
    <row r="4057" spans="2:12" ht="14.4" x14ac:dyDescent="0.3">
      <c r="B4057"/>
      <c r="C4057"/>
      <c r="D4057"/>
      <c r="E4057"/>
      <c r="F4057"/>
      <c r="H4057"/>
      <c r="I4057"/>
      <c r="J4057"/>
      <c r="K4057"/>
      <c r="L4057"/>
    </row>
    <row r="4058" spans="2:12" ht="14.4" x14ac:dyDescent="0.3">
      <c r="B4058"/>
      <c r="C4058"/>
      <c r="D4058"/>
      <c r="E4058"/>
      <c r="F4058"/>
      <c r="H4058"/>
      <c r="I4058"/>
      <c r="J4058"/>
      <c r="K4058"/>
      <c r="L4058"/>
    </row>
    <row r="4059" spans="2:12" ht="14.4" x14ac:dyDescent="0.3">
      <c r="B4059"/>
      <c r="C4059"/>
      <c r="D4059"/>
      <c r="E4059"/>
      <c r="F4059"/>
      <c r="H4059"/>
      <c r="I4059"/>
      <c r="J4059"/>
      <c r="K4059"/>
      <c r="L4059"/>
    </row>
    <row r="4060" spans="2:12" ht="14.4" x14ac:dyDescent="0.3">
      <c r="B4060"/>
      <c r="C4060"/>
      <c r="D4060"/>
      <c r="E4060"/>
      <c r="F4060"/>
      <c r="H4060"/>
      <c r="I4060"/>
      <c r="J4060"/>
      <c r="K4060"/>
      <c r="L4060"/>
    </row>
    <row r="4061" spans="2:12" ht="14.4" x14ac:dyDescent="0.3">
      <c r="B4061"/>
      <c r="C4061"/>
      <c r="D4061"/>
      <c r="E4061"/>
      <c r="F4061"/>
      <c r="H4061"/>
      <c r="I4061"/>
      <c r="J4061"/>
      <c r="K4061"/>
      <c r="L4061"/>
    </row>
    <row r="4062" spans="2:12" ht="14.4" x14ac:dyDescent="0.3">
      <c r="B4062"/>
      <c r="C4062"/>
      <c r="D4062"/>
      <c r="E4062"/>
      <c r="F4062"/>
      <c r="H4062"/>
      <c r="I4062"/>
      <c r="J4062"/>
      <c r="K4062"/>
      <c r="L4062"/>
    </row>
    <row r="4063" spans="2:12" ht="14.4" x14ac:dyDescent="0.3">
      <c r="B4063"/>
      <c r="C4063"/>
      <c r="D4063"/>
      <c r="E4063"/>
      <c r="F4063"/>
      <c r="H4063"/>
      <c r="I4063"/>
      <c r="J4063"/>
      <c r="K4063"/>
      <c r="L4063"/>
    </row>
    <row r="4064" spans="2:12" ht="14.4" x14ac:dyDescent="0.3">
      <c r="B4064"/>
      <c r="C4064"/>
      <c r="D4064"/>
      <c r="E4064"/>
      <c r="F4064"/>
      <c r="H4064"/>
      <c r="I4064"/>
      <c r="J4064"/>
      <c r="K4064"/>
      <c r="L4064"/>
    </row>
    <row r="4065" spans="2:12" ht="14.4" x14ac:dyDescent="0.3">
      <c r="B4065"/>
      <c r="C4065"/>
      <c r="D4065"/>
      <c r="E4065"/>
      <c r="F4065"/>
      <c r="H4065"/>
      <c r="I4065"/>
      <c r="J4065"/>
      <c r="K4065"/>
      <c r="L4065"/>
    </row>
    <row r="4066" spans="2:12" ht="14.4" x14ac:dyDescent="0.3">
      <c r="B4066"/>
      <c r="C4066"/>
      <c r="D4066"/>
      <c r="E4066"/>
      <c r="F4066"/>
      <c r="H4066"/>
      <c r="I4066"/>
      <c r="J4066"/>
      <c r="K4066"/>
      <c r="L4066"/>
    </row>
    <row r="4067" spans="2:12" ht="14.4" x14ac:dyDescent="0.3">
      <c r="B4067"/>
      <c r="C4067"/>
      <c r="D4067"/>
      <c r="E4067"/>
      <c r="F4067"/>
      <c r="H4067"/>
      <c r="I4067"/>
      <c r="J4067"/>
      <c r="K4067"/>
      <c r="L4067"/>
    </row>
    <row r="4068" spans="2:12" ht="14.4" x14ac:dyDescent="0.3">
      <c r="B4068"/>
      <c r="C4068"/>
      <c r="D4068"/>
      <c r="E4068"/>
      <c r="F4068"/>
      <c r="H4068"/>
      <c r="I4068"/>
      <c r="J4068"/>
      <c r="K4068"/>
      <c r="L4068"/>
    </row>
    <row r="4069" spans="2:12" ht="14.4" x14ac:dyDescent="0.3">
      <c r="B4069"/>
      <c r="C4069"/>
      <c r="D4069"/>
      <c r="E4069"/>
      <c r="F4069"/>
      <c r="H4069"/>
      <c r="I4069"/>
      <c r="J4069"/>
      <c r="K4069"/>
      <c r="L4069"/>
    </row>
    <row r="4070" spans="2:12" ht="14.4" x14ac:dyDescent="0.3">
      <c r="B4070"/>
      <c r="C4070"/>
      <c r="D4070"/>
      <c r="E4070"/>
      <c r="F4070"/>
      <c r="H4070"/>
      <c r="I4070"/>
      <c r="J4070"/>
      <c r="K4070"/>
      <c r="L4070"/>
    </row>
    <row r="4071" spans="2:12" ht="14.4" x14ac:dyDescent="0.3">
      <c r="B4071"/>
      <c r="C4071"/>
      <c r="D4071"/>
      <c r="E4071"/>
      <c r="F4071"/>
      <c r="H4071"/>
      <c r="I4071"/>
      <c r="J4071"/>
      <c r="K4071"/>
      <c r="L4071"/>
    </row>
    <row r="4072" spans="2:12" ht="14.4" x14ac:dyDescent="0.3">
      <c r="B4072"/>
      <c r="C4072"/>
      <c r="D4072"/>
      <c r="E4072"/>
      <c r="F4072"/>
      <c r="H4072"/>
      <c r="I4072"/>
      <c r="J4072"/>
      <c r="K4072"/>
      <c r="L4072"/>
    </row>
    <row r="4073" spans="2:12" ht="14.4" x14ac:dyDescent="0.3">
      <c r="B4073"/>
      <c r="C4073"/>
      <c r="D4073"/>
      <c r="E4073"/>
      <c r="F4073"/>
      <c r="H4073"/>
      <c r="I4073"/>
      <c r="J4073"/>
      <c r="K4073"/>
      <c r="L4073"/>
    </row>
    <row r="4074" spans="2:12" ht="14.4" x14ac:dyDescent="0.3">
      <c r="B4074"/>
      <c r="C4074"/>
      <c r="D4074"/>
      <c r="E4074"/>
      <c r="F4074"/>
      <c r="H4074"/>
      <c r="I4074"/>
      <c r="J4074"/>
      <c r="K4074"/>
      <c r="L4074"/>
    </row>
    <row r="4075" spans="2:12" ht="14.4" x14ac:dyDescent="0.3">
      <c r="B4075"/>
      <c r="C4075"/>
      <c r="D4075"/>
      <c r="E4075"/>
      <c r="F4075"/>
      <c r="H4075"/>
      <c r="I4075"/>
      <c r="J4075"/>
      <c r="K4075"/>
      <c r="L4075"/>
    </row>
    <row r="4076" spans="2:12" ht="14.4" x14ac:dyDescent="0.3">
      <c r="B4076"/>
      <c r="C4076"/>
      <c r="D4076"/>
      <c r="E4076"/>
      <c r="F4076"/>
      <c r="H4076"/>
      <c r="I4076"/>
      <c r="J4076"/>
      <c r="K4076"/>
      <c r="L4076"/>
    </row>
    <row r="4077" spans="2:12" ht="14.4" x14ac:dyDescent="0.3">
      <c r="B4077"/>
      <c r="C4077"/>
      <c r="D4077"/>
      <c r="E4077"/>
      <c r="F4077"/>
      <c r="H4077"/>
      <c r="I4077"/>
      <c r="J4077"/>
      <c r="K4077"/>
      <c r="L4077"/>
    </row>
    <row r="4078" spans="2:12" ht="14.4" x14ac:dyDescent="0.3">
      <c r="B4078"/>
      <c r="C4078"/>
      <c r="D4078"/>
      <c r="E4078"/>
      <c r="F4078"/>
      <c r="H4078"/>
      <c r="I4078"/>
      <c r="J4078"/>
      <c r="K4078"/>
      <c r="L4078"/>
    </row>
    <row r="4079" spans="2:12" ht="14.4" x14ac:dyDescent="0.3">
      <c r="B4079"/>
      <c r="C4079"/>
      <c r="D4079"/>
      <c r="E4079"/>
      <c r="F4079"/>
      <c r="H4079"/>
      <c r="I4079"/>
      <c r="J4079"/>
      <c r="K4079"/>
      <c r="L4079"/>
    </row>
    <row r="4080" spans="2:12" ht="14.4" x14ac:dyDescent="0.3">
      <c r="B4080"/>
      <c r="C4080"/>
      <c r="D4080"/>
      <c r="E4080"/>
      <c r="F4080"/>
      <c r="H4080"/>
      <c r="I4080"/>
      <c r="J4080"/>
      <c r="K4080"/>
      <c r="L4080"/>
    </row>
    <row r="4081" spans="2:12" ht="14.4" x14ac:dyDescent="0.3">
      <c r="B4081"/>
      <c r="C4081"/>
      <c r="D4081"/>
      <c r="E4081"/>
      <c r="F4081"/>
      <c r="H4081"/>
      <c r="I4081"/>
      <c r="J4081"/>
      <c r="K4081"/>
      <c r="L4081"/>
    </row>
    <row r="4082" spans="2:12" ht="14.4" x14ac:dyDescent="0.3">
      <c r="B4082"/>
      <c r="C4082"/>
      <c r="D4082"/>
      <c r="E4082"/>
      <c r="F4082"/>
      <c r="H4082"/>
      <c r="I4082"/>
      <c r="J4082"/>
      <c r="K4082"/>
      <c r="L4082"/>
    </row>
    <row r="4083" spans="2:12" ht="14.4" x14ac:dyDescent="0.3">
      <c r="B4083"/>
      <c r="C4083"/>
      <c r="D4083"/>
      <c r="E4083"/>
      <c r="F4083"/>
      <c r="H4083"/>
      <c r="I4083"/>
      <c r="J4083"/>
      <c r="K4083"/>
      <c r="L4083"/>
    </row>
    <row r="4084" spans="2:12" ht="14.4" x14ac:dyDescent="0.3">
      <c r="B4084"/>
      <c r="C4084"/>
      <c r="D4084"/>
      <c r="E4084"/>
      <c r="F4084"/>
      <c r="H4084"/>
      <c r="I4084"/>
      <c r="J4084"/>
      <c r="K4084"/>
      <c r="L4084"/>
    </row>
    <row r="4085" spans="2:12" ht="14.4" x14ac:dyDescent="0.3">
      <c r="B4085"/>
      <c r="C4085"/>
      <c r="D4085"/>
      <c r="E4085"/>
      <c r="F4085"/>
      <c r="H4085"/>
      <c r="I4085"/>
      <c r="J4085"/>
      <c r="K4085"/>
      <c r="L4085"/>
    </row>
    <row r="4086" spans="2:12" ht="14.4" x14ac:dyDescent="0.3">
      <c r="B4086"/>
      <c r="C4086"/>
      <c r="D4086"/>
      <c r="E4086"/>
      <c r="F4086"/>
      <c r="H4086"/>
      <c r="I4086"/>
      <c r="J4086"/>
      <c r="K4086"/>
      <c r="L4086"/>
    </row>
    <row r="4087" spans="2:12" ht="14.4" x14ac:dyDescent="0.3">
      <c r="B4087"/>
      <c r="C4087"/>
      <c r="D4087"/>
      <c r="E4087"/>
      <c r="F4087"/>
      <c r="H4087"/>
      <c r="I4087"/>
      <c r="J4087"/>
      <c r="K4087"/>
      <c r="L4087"/>
    </row>
    <row r="4088" spans="2:12" ht="14.4" x14ac:dyDescent="0.3">
      <c r="B4088"/>
      <c r="C4088"/>
      <c r="D4088"/>
      <c r="E4088"/>
      <c r="F4088"/>
      <c r="H4088"/>
      <c r="I4088"/>
      <c r="J4088"/>
      <c r="K4088"/>
      <c r="L4088"/>
    </row>
    <row r="4089" spans="2:12" ht="14.4" x14ac:dyDescent="0.3">
      <c r="B4089"/>
      <c r="C4089"/>
      <c r="D4089"/>
      <c r="E4089"/>
      <c r="F4089"/>
      <c r="H4089"/>
      <c r="I4089"/>
      <c r="J4089"/>
      <c r="K4089"/>
      <c r="L4089"/>
    </row>
    <row r="4090" spans="2:12" ht="14.4" x14ac:dyDescent="0.3">
      <c r="B4090"/>
      <c r="C4090"/>
      <c r="D4090"/>
      <c r="E4090"/>
      <c r="F4090"/>
      <c r="H4090"/>
      <c r="I4090"/>
      <c r="J4090"/>
      <c r="K4090"/>
      <c r="L4090"/>
    </row>
    <row r="4091" spans="2:12" ht="14.4" x14ac:dyDescent="0.3">
      <c r="B4091"/>
      <c r="C4091"/>
      <c r="D4091"/>
      <c r="E4091"/>
      <c r="F4091"/>
      <c r="H4091"/>
      <c r="I4091"/>
      <c r="J4091"/>
      <c r="K4091"/>
      <c r="L4091"/>
    </row>
    <row r="4092" spans="2:12" ht="14.4" x14ac:dyDescent="0.3">
      <c r="B4092"/>
      <c r="C4092"/>
      <c r="D4092"/>
      <c r="E4092"/>
      <c r="F4092"/>
      <c r="H4092"/>
      <c r="I4092"/>
      <c r="J4092"/>
      <c r="K4092"/>
      <c r="L4092"/>
    </row>
    <row r="4093" spans="2:12" ht="14.4" x14ac:dyDescent="0.3">
      <c r="B4093"/>
      <c r="C4093"/>
      <c r="D4093"/>
      <c r="E4093"/>
      <c r="F4093"/>
      <c r="H4093"/>
      <c r="I4093"/>
      <c r="J4093"/>
      <c r="K4093"/>
      <c r="L4093"/>
    </row>
    <row r="4094" spans="2:12" ht="14.4" x14ac:dyDescent="0.3">
      <c r="B4094"/>
      <c r="C4094"/>
      <c r="D4094"/>
      <c r="E4094"/>
      <c r="F4094"/>
      <c r="H4094"/>
      <c r="I4094"/>
      <c r="J4094"/>
      <c r="K4094"/>
      <c r="L4094"/>
    </row>
    <row r="4095" spans="2:12" ht="14.4" x14ac:dyDescent="0.3">
      <c r="B4095"/>
      <c r="C4095"/>
      <c r="D4095"/>
      <c r="E4095"/>
      <c r="F4095"/>
      <c r="H4095"/>
      <c r="I4095"/>
      <c r="J4095"/>
      <c r="K4095"/>
      <c r="L4095"/>
    </row>
    <row r="4096" spans="2:12" ht="14.4" x14ac:dyDescent="0.3">
      <c r="B4096"/>
      <c r="C4096"/>
      <c r="D4096"/>
      <c r="E4096"/>
      <c r="F4096"/>
      <c r="H4096"/>
      <c r="I4096"/>
      <c r="J4096"/>
      <c r="K4096"/>
      <c r="L4096"/>
    </row>
    <row r="4097" spans="2:12" ht="14.4" x14ac:dyDescent="0.3">
      <c r="B4097"/>
      <c r="C4097"/>
      <c r="D4097"/>
      <c r="E4097"/>
      <c r="F4097"/>
      <c r="H4097"/>
      <c r="I4097"/>
      <c r="J4097"/>
      <c r="K4097"/>
      <c r="L4097"/>
    </row>
    <row r="4098" spans="2:12" ht="14.4" x14ac:dyDescent="0.3">
      <c r="B4098"/>
      <c r="C4098"/>
      <c r="D4098"/>
      <c r="E4098"/>
      <c r="F4098"/>
      <c r="H4098"/>
      <c r="I4098"/>
      <c r="J4098"/>
      <c r="K4098"/>
      <c r="L4098"/>
    </row>
    <row r="4099" spans="2:12" ht="14.4" x14ac:dyDescent="0.3">
      <c r="B4099"/>
      <c r="C4099"/>
      <c r="D4099"/>
      <c r="E4099"/>
      <c r="F4099"/>
      <c r="H4099"/>
      <c r="I4099"/>
      <c r="J4099"/>
      <c r="K4099"/>
      <c r="L4099"/>
    </row>
    <row r="4100" spans="2:12" ht="14.4" x14ac:dyDescent="0.3">
      <c r="B4100"/>
      <c r="C4100"/>
      <c r="D4100"/>
      <c r="E4100"/>
      <c r="F4100"/>
      <c r="H4100"/>
      <c r="I4100"/>
      <c r="J4100"/>
      <c r="K4100"/>
      <c r="L4100"/>
    </row>
    <row r="4101" spans="2:12" ht="14.4" x14ac:dyDescent="0.3">
      <c r="B4101"/>
      <c r="C4101"/>
      <c r="D4101"/>
      <c r="E4101"/>
      <c r="F4101"/>
      <c r="H4101"/>
      <c r="I4101"/>
      <c r="J4101"/>
      <c r="K4101"/>
      <c r="L4101"/>
    </row>
    <row r="4102" spans="2:12" ht="14.4" x14ac:dyDescent="0.3">
      <c r="B4102"/>
      <c r="C4102"/>
      <c r="D4102"/>
      <c r="E4102"/>
      <c r="F4102"/>
      <c r="H4102"/>
      <c r="I4102"/>
      <c r="J4102"/>
      <c r="K4102"/>
      <c r="L4102"/>
    </row>
    <row r="4103" spans="2:12" ht="14.4" x14ac:dyDescent="0.3">
      <c r="B4103"/>
      <c r="C4103"/>
      <c r="D4103"/>
      <c r="E4103"/>
      <c r="F4103"/>
      <c r="H4103"/>
      <c r="I4103"/>
      <c r="J4103"/>
      <c r="K4103"/>
      <c r="L4103"/>
    </row>
    <row r="4104" spans="2:12" ht="14.4" x14ac:dyDescent="0.3">
      <c r="B4104"/>
      <c r="C4104"/>
      <c r="D4104"/>
      <c r="E4104"/>
      <c r="F4104"/>
      <c r="H4104"/>
      <c r="I4104"/>
      <c r="J4104"/>
      <c r="K4104"/>
      <c r="L4104"/>
    </row>
    <row r="4105" spans="2:12" ht="14.4" x14ac:dyDescent="0.3">
      <c r="B4105"/>
      <c r="C4105"/>
      <c r="D4105"/>
      <c r="E4105"/>
      <c r="F4105"/>
      <c r="H4105"/>
      <c r="I4105"/>
      <c r="J4105"/>
      <c r="K4105"/>
      <c r="L4105"/>
    </row>
    <row r="4106" spans="2:12" ht="14.4" x14ac:dyDescent="0.3">
      <c r="B4106"/>
      <c r="C4106"/>
      <c r="D4106"/>
      <c r="E4106"/>
      <c r="F4106"/>
      <c r="H4106"/>
      <c r="I4106"/>
      <c r="J4106"/>
      <c r="K4106"/>
      <c r="L4106"/>
    </row>
    <row r="4107" spans="2:12" ht="14.4" x14ac:dyDescent="0.3">
      <c r="B4107"/>
      <c r="C4107"/>
      <c r="D4107"/>
      <c r="E4107"/>
      <c r="F4107"/>
      <c r="H4107"/>
      <c r="I4107"/>
      <c r="J4107"/>
      <c r="K4107"/>
      <c r="L4107"/>
    </row>
    <row r="4108" spans="2:12" ht="14.4" x14ac:dyDescent="0.3">
      <c r="B4108"/>
      <c r="C4108"/>
      <c r="D4108"/>
      <c r="E4108"/>
      <c r="F4108"/>
      <c r="H4108"/>
      <c r="I4108"/>
      <c r="J4108"/>
      <c r="K4108"/>
      <c r="L4108"/>
    </row>
    <row r="4109" spans="2:12" ht="14.4" x14ac:dyDescent="0.3">
      <c r="B4109"/>
      <c r="C4109"/>
      <c r="D4109"/>
      <c r="E4109"/>
      <c r="F4109"/>
      <c r="H4109"/>
      <c r="I4109"/>
      <c r="J4109"/>
      <c r="K4109"/>
      <c r="L4109"/>
    </row>
    <row r="4110" spans="2:12" ht="14.4" x14ac:dyDescent="0.3">
      <c r="B4110"/>
      <c r="C4110"/>
      <c r="D4110"/>
      <c r="E4110"/>
      <c r="F4110"/>
      <c r="H4110"/>
      <c r="I4110"/>
      <c r="J4110"/>
      <c r="K4110"/>
      <c r="L4110"/>
    </row>
    <row r="4111" spans="2:12" ht="14.4" x14ac:dyDescent="0.3">
      <c r="B4111"/>
      <c r="C4111"/>
      <c r="D4111"/>
      <c r="E4111"/>
      <c r="F4111"/>
      <c r="H4111"/>
      <c r="I4111"/>
      <c r="J4111"/>
      <c r="K4111"/>
      <c r="L4111"/>
    </row>
    <row r="4112" spans="2:12" ht="14.4" x14ac:dyDescent="0.3">
      <c r="B4112"/>
      <c r="C4112"/>
      <c r="D4112"/>
      <c r="E4112"/>
      <c r="F4112"/>
      <c r="H4112"/>
      <c r="I4112"/>
      <c r="J4112"/>
      <c r="K4112"/>
      <c r="L4112"/>
    </row>
    <row r="4113" spans="2:12" ht="14.4" x14ac:dyDescent="0.3">
      <c r="B4113"/>
      <c r="C4113"/>
      <c r="D4113"/>
      <c r="E4113"/>
      <c r="F4113"/>
      <c r="H4113"/>
      <c r="I4113"/>
      <c r="J4113"/>
      <c r="K4113"/>
      <c r="L4113"/>
    </row>
    <row r="4114" spans="2:12" ht="14.4" x14ac:dyDescent="0.3">
      <c r="B4114"/>
      <c r="C4114"/>
      <c r="D4114"/>
      <c r="E4114"/>
      <c r="F4114"/>
      <c r="H4114"/>
      <c r="I4114"/>
      <c r="J4114"/>
      <c r="K4114"/>
      <c r="L4114"/>
    </row>
    <row r="4115" spans="2:12" ht="14.4" x14ac:dyDescent="0.3">
      <c r="B4115"/>
      <c r="C4115"/>
      <c r="D4115"/>
      <c r="E4115"/>
      <c r="F4115"/>
      <c r="H4115"/>
      <c r="I4115"/>
      <c r="J4115"/>
      <c r="K4115"/>
      <c r="L4115"/>
    </row>
    <row r="4116" spans="2:12" ht="14.4" x14ac:dyDescent="0.3">
      <c r="B4116"/>
      <c r="C4116"/>
      <c r="D4116"/>
      <c r="E4116"/>
      <c r="F4116"/>
      <c r="H4116"/>
      <c r="I4116"/>
      <c r="J4116"/>
      <c r="K4116"/>
      <c r="L4116"/>
    </row>
    <row r="4117" spans="2:12" ht="14.4" x14ac:dyDescent="0.3">
      <c r="B4117"/>
      <c r="C4117"/>
      <c r="D4117"/>
      <c r="E4117"/>
      <c r="F4117"/>
      <c r="H4117"/>
      <c r="I4117"/>
      <c r="J4117"/>
      <c r="K4117"/>
      <c r="L4117"/>
    </row>
    <row r="4118" spans="2:12" ht="14.4" x14ac:dyDescent="0.3">
      <c r="B4118"/>
      <c r="C4118"/>
      <c r="D4118"/>
      <c r="E4118"/>
      <c r="F4118"/>
      <c r="H4118"/>
      <c r="I4118"/>
      <c r="J4118"/>
      <c r="K4118"/>
      <c r="L4118"/>
    </row>
    <row r="4119" spans="2:12" ht="14.4" x14ac:dyDescent="0.3">
      <c r="B4119"/>
      <c r="C4119"/>
      <c r="D4119"/>
      <c r="E4119"/>
      <c r="F4119"/>
      <c r="H4119"/>
      <c r="I4119"/>
      <c r="J4119"/>
      <c r="K4119"/>
      <c r="L4119"/>
    </row>
    <row r="4120" spans="2:12" ht="14.4" x14ac:dyDescent="0.3">
      <c r="B4120"/>
      <c r="C4120"/>
      <c r="D4120"/>
      <c r="E4120"/>
      <c r="F4120"/>
      <c r="H4120"/>
      <c r="I4120"/>
      <c r="J4120"/>
      <c r="K4120"/>
      <c r="L4120"/>
    </row>
    <row r="4121" spans="2:12" ht="14.4" x14ac:dyDescent="0.3">
      <c r="B4121"/>
      <c r="C4121"/>
      <c r="D4121"/>
      <c r="E4121"/>
      <c r="F4121"/>
      <c r="H4121"/>
      <c r="I4121"/>
      <c r="J4121"/>
      <c r="K4121"/>
      <c r="L4121"/>
    </row>
    <row r="4122" spans="2:12" ht="14.4" x14ac:dyDescent="0.3">
      <c r="B4122"/>
      <c r="C4122"/>
      <c r="D4122"/>
      <c r="E4122"/>
      <c r="F4122"/>
      <c r="H4122"/>
      <c r="I4122"/>
      <c r="J4122"/>
      <c r="K4122"/>
      <c r="L4122"/>
    </row>
    <row r="4123" spans="2:12" ht="14.4" x14ac:dyDescent="0.3">
      <c r="B4123"/>
      <c r="C4123"/>
      <c r="D4123"/>
      <c r="E4123"/>
      <c r="F4123"/>
      <c r="H4123"/>
      <c r="I4123"/>
      <c r="J4123"/>
      <c r="K4123"/>
      <c r="L4123"/>
    </row>
    <row r="4124" spans="2:12" ht="14.4" x14ac:dyDescent="0.3">
      <c r="B4124"/>
      <c r="C4124"/>
      <c r="D4124"/>
      <c r="E4124"/>
      <c r="F4124"/>
      <c r="H4124"/>
      <c r="I4124"/>
      <c r="J4124"/>
      <c r="K4124"/>
      <c r="L4124"/>
    </row>
    <row r="4125" spans="2:12" ht="14.4" x14ac:dyDescent="0.3">
      <c r="B4125"/>
      <c r="C4125"/>
      <c r="D4125"/>
      <c r="E4125"/>
      <c r="F4125"/>
      <c r="H4125"/>
      <c r="I4125"/>
      <c r="J4125"/>
      <c r="K4125"/>
      <c r="L4125"/>
    </row>
    <row r="4126" spans="2:12" ht="14.4" x14ac:dyDescent="0.3">
      <c r="B4126"/>
      <c r="C4126"/>
      <c r="D4126"/>
      <c r="E4126"/>
      <c r="F4126"/>
      <c r="H4126"/>
      <c r="I4126"/>
      <c r="J4126"/>
      <c r="K4126"/>
      <c r="L4126"/>
    </row>
    <row r="4127" spans="2:12" ht="14.4" x14ac:dyDescent="0.3">
      <c r="B4127"/>
      <c r="C4127"/>
      <c r="D4127"/>
      <c r="E4127"/>
      <c r="F4127"/>
      <c r="H4127"/>
      <c r="I4127"/>
      <c r="J4127"/>
      <c r="K4127"/>
      <c r="L4127"/>
    </row>
    <row r="4128" spans="2:12" ht="14.4" x14ac:dyDescent="0.3">
      <c r="B4128"/>
      <c r="C4128"/>
      <c r="D4128"/>
      <c r="E4128"/>
      <c r="F4128"/>
      <c r="H4128"/>
      <c r="I4128"/>
      <c r="J4128"/>
      <c r="K4128"/>
      <c r="L4128"/>
    </row>
    <row r="4129" spans="2:12" ht="14.4" x14ac:dyDescent="0.3">
      <c r="B4129"/>
      <c r="C4129"/>
      <c r="D4129"/>
      <c r="E4129"/>
      <c r="F4129"/>
      <c r="H4129"/>
      <c r="I4129"/>
      <c r="J4129"/>
      <c r="K4129"/>
      <c r="L4129"/>
    </row>
    <row r="4130" spans="2:12" ht="14.4" x14ac:dyDescent="0.3">
      <c r="B4130"/>
      <c r="C4130"/>
      <c r="D4130"/>
      <c r="E4130"/>
      <c r="F4130"/>
      <c r="H4130"/>
      <c r="I4130"/>
      <c r="J4130"/>
      <c r="K4130"/>
      <c r="L4130"/>
    </row>
    <row r="4131" spans="2:12" ht="14.4" x14ac:dyDescent="0.3">
      <c r="B4131"/>
      <c r="C4131"/>
      <c r="D4131"/>
      <c r="E4131"/>
      <c r="F4131"/>
      <c r="H4131"/>
      <c r="I4131"/>
      <c r="J4131"/>
      <c r="K4131"/>
      <c r="L4131"/>
    </row>
    <row r="4132" spans="2:12" ht="14.4" x14ac:dyDescent="0.3">
      <c r="B4132"/>
      <c r="C4132"/>
      <c r="D4132"/>
      <c r="E4132"/>
      <c r="F4132"/>
      <c r="H4132"/>
      <c r="I4132"/>
      <c r="J4132"/>
      <c r="K4132"/>
      <c r="L4132"/>
    </row>
    <row r="4133" spans="2:12" ht="14.4" x14ac:dyDescent="0.3">
      <c r="B4133"/>
      <c r="C4133"/>
      <c r="D4133"/>
      <c r="E4133"/>
      <c r="F4133"/>
      <c r="H4133"/>
      <c r="I4133"/>
      <c r="J4133"/>
      <c r="K4133"/>
      <c r="L4133"/>
    </row>
    <row r="4134" spans="2:12" ht="14.4" x14ac:dyDescent="0.3">
      <c r="B4134"/>
      <c r="C4134"/>
      <c r="D4134"/>
      <c r="E4134"/>
      <c r="F4134"/>
      <c r="H4134"/>
      <c r="I4134"/>
      <c r="J4134"/>
      <c r="K4134"/>
      <c r="L4134"/>
    </row>
    <row r="4135" spans="2:12" ht="14.4" x14ac:dyDescent="0.3">
      <c r="B4135"/>
      <c r="C4135"/>
      <c r="D4135"/>
      <c r="E4135"/>
      <c r="F4135"/>
      <c r="H4135"/>
      <c r="I4135"/>
      <c r="J4135"/>
      <c r="K4135"/>
      <c r="L4135"/>
    </row>
    <row r="4136" spans="2:12" ht="14.4" x14ac:dyDescent="0.3">
      <c r="B4136"/>
      <c r="C4136"/>
      <c r="D4136"/>
      <c r="E4136"/>
      <c r="F4136"/>
      <c r="H4136"/>
      <c r="I4136"/>
      <c r="J4136"/>
      <c r="K4136"/>
      <c r="L4136"/>
    </row>
    <row r="4137" spans="2:12" ht="14.4" x14ac:dyDescent="0.3">
      <c r="B4137"/>
      <c r="C4137"/>
      <c r="D4137"/>
      <c r="E4137"/>
      <c r="F4137"/>
      <c r="H4137"/>
      <c r="I4137"/>
      <c r="J4137"/>
      <c r="K4137"/>
      <c r="L4137"/>
    </row>
    <row r="4138" spans="2:12" ht="14.4" x14ac:dyDescent="0.3">
      <c r="B4138"/>
      <c r="C4138"/>
      <c r="D4138"/>
      <c r="E4138"/>
      <c r="F4138"/>
      <c r="H4138"/>
      <c r="I4138"/>
      <c r="J4138"/>
      <c r="K4138"/>
      <c r="L4138"/>
    </row>
    <row r="4139" spans="2:12" ht="14.4" x14ac:dyDescent="0.3">
      <c r="B4139"/>
      <c r="C4139"/>
      <c r="D4139"/>
      <c r="E4139"/>
      <c r="F4139"/>
      <c r="H4139"/>
      <c r="I4139"/>
      <c r="J4139"/>
      <c r="K4139"/>
      <c r="L4139"/>
    </row>
    <row r="4140" spans="2:12" ht="14.4" x14ac:dyDescent="0.3">
      <c r="B4140"/>
      <c r="C4140"/>
      <c r="D4140"/>
      <c r="E4140"/>
      <c r="F4140"/>
      <c r="H4140"/>
      <c r="I4140"/>
      <c r="J4140"/>
      <c r="K4140"/>
      <c r="L4140"/>
    </row>
    <row r="4141" spans="2:12" ht="14.4" x14ac:dyDescent="0.3">
      <c r="B4141"/>
      <c r="C4141"/>
      <c r="D4141"/>
      <c r="E4141"/>
      <c r="F4141"/>
      <c r="H4141"/>
      <c r="I4141"/>
      <c r="J4141"/>
      <c r="K4141"/>
      <c r="L4141"/>
    </row>
    <row r="4142" spans="2:12" ht="14.4" x14ac:dyDescent="0.3">
      <c r="B4142"/>
      <c r="C4142"/>
      <c r="D4142"/>
      <c r="E4142"/>
      <c r="F4142"/>
      <c r="H4142"/>
      <c r="I4142"/>
      <c r="J4142"/>
      <c r="K4142"/>
      <c r="L4142"/>
    </row>
    <row r="4143" spans="2:12" ht="14.4" x14ac:dyDescent="0.3">
      <c r="B4143"/>
      <c r="C4143"/>
      <c r="D4143"/>
      <c r="E4143"/>
      <c r="F4143"/>
      <c r="H4143"/>
      <c r="I4143"/>
      <c r="J4143"/>
      <c r="K4143"/>
      <c r="L4143"/>
    </row>
    <row r="4144" spans="2:12" ht="14.4" x14ac:dyDescent="0.3">
      <c r="B4144"/>
      <c r="C4144"/>
      <c r="D4144"/>
      <c r="E4144"/>
      <c r="F4144"/>
      <c r="H4144"/>
      <c r="I4144"/>
      <c r="J4144"/>
      <c r="K4144"/>
      <c r="L4144"/>
    </row>
    <row r="4145" spans="2:12" ht="14.4" x14ac:dyDescent="0.3">
      <c r="B4145"/>
      <c r="C4145"/>
      <c r="D4145"/>
      <c r="E4145"/>
      <c r="F4145"/>
      <c r="H4145"/>
      <c r="I4145"/>
      <c r="J4145"/>
      <c r="K4145"/>
      <c r="L4145"/>
    </row>
    <row r="4146" spans="2:12" ht="14.4" x14ac:dyDescent="0.3">
      <c r="B4146"/>
      <c r="C4146"/>
      <c r="D4146"/>
      <c r="E4146"/>
      <c r="F4146"/>
      <c r="H4146"/>
      <c r="I4146"/>
      <c r="J4146"/>
      <c r="K4146"/>
      <c r="L4146"/>
    </row>
    <row r="4147" spans="2:12" ht="14.4" x14ac:dyDescent="0.3">
      <c r="B4147"/>
      <c r="C4147"/>
      <c r="D4147"/>
      <c r="E4147"/>
      <c r="F4147"/>
      <c r="H4147"/>
      <c r="I4147"/>
      <c r="J4147"/>
      <c r="K4147"/>
      <c r="L4147"/>
    </row>
    <row r="4148" spans="2:12" ht="14.4" x14ac:dyDescent="0.3">
      <c r="B4148"/>
      <c r="C4148"/>
      <c r="D4148"/>
      <c r="E4148"/>
      <c r="F4148"/>
      <c r="H4148"/>
      <c r="I4148"/>
      <c r="J4148"/>
      <c r="K4148"/>
      <c r="L4148"/>
    </row>
    <row r="4149" spans="2:12" ht="14.4" x14ac:dyDescent="0.3">
      <c r="B4149"/>
      <c r="C4149"/>
      <c r="D4149"/>
      <c r="E4149"/>
      <c r="F4149"/>
      <c r="H4149"/>
      <c r="I4149"/>
      <c r="J4149"/>
      <c r="K4149"/>
      <c r="L4149"/>
    </row>
    <row r="4150" spans="2:12" ht="14.4" x14ac:dyDescent="0.3">
      <c r="B4150"/>
      <c r="C4150"/>
      <c r="D4150"/>
      <c r="E4150"/>
      <c r="F4150"/>
      <c r="H4150"/>
      <c r="I4150"/>
      <c r="J4150"/>
      <c r="K4150"/>
      <c r="L4150"/>
    </row>
    <row r="4151" spans="2:12" ht="14.4" x14ac:dyDescent="0.3">
      <c r="B4151"/>
      <c r="C4151"/>
      <c r="D4151"/>
      <c r="E4151"/>
      <c r="F4151"/>
      <c r="H4151"/>
      <c r="I4151"/>
      <c r="J4151"/>
      <c r="K4151"/>
      <c r="L4151"/>
    </row>
    <row r="4152" spans="2:12" ht="14.4" x14ac:dyDescent="0.3">
      <c r="B4152"/>
      <c r="C4152"/>
      <c r="D4152"/>
      <c r="E4152"/>
      <c r="F4152"/>
      <c r="H4152"/>
      <c r="I4152"/>
      <c r="J4152"/>
      <c r="K4152"/>
      <c r="L4152"/>
    </row>
    <row r="4153" spans="2:12" ht="14.4" x14ac:dyDescent="0.3">
      <c r="B4153"/>
      <c r="C4153"/>
      <c r="D4153"/>
      <c r="E4153"/>
      <c r="F4153"/>
      <c r="H4153"/>
      <c r="I4153"/>
      <c r="J4153"/>
      <c r="K4153"/>
      <c r="L4153"/>
    </row>
    <row r="4154" spans="2:12" ht="14.4" x14ac:dyDescent="0.3">
      <c r="B4154"/>
      <c r="C4154"/>
      <c r="D4154"/>
      <c r="E4154"/>
      <c r="F4154"/>
      <c r="H4154"/>
      <c r="I4154"/>
      <c r="J4154"/>
      <c r="K4154"/>
      <c r="L4154"/>
    </row>
    <row r="4155" spans="2:12" ht="14.4" x14ac:dyDescent="0.3">
      <c r="B4155"/>
      <c r="C4155"/>
      <c r="D4155"/>
      <c r="E4155"/>
      <c r="F4155"/>
      <c r="H4155"/>
      <c r="I4155"/>
      <c r="J4155"/>
      <c r="K4155"/>
      <c r="L4155"/>
    </row>
    <row r="4156" spans="2:12" ht="14.4" x14ac:dyDescent="0.3">
      <c r="B4156"/>
      <c r="C4156"/>
      <c r="D4156"/>
      <c r="E4156"/>
      <c r="F4156"/>
      <c r="H4156"/>
      <c r="I4156"/>
      <c r="J4156"/>
      <c r="K4156"/>
      <c r="L4156"/>
    </row>
    <row r="4157" spans="2:12" ht="14.4" x14ac:dyDescent="0.3">
      <c r="B4157"/>
      <c r="C4157"/>
      <c r="D4157"/>
      <c r="E4157"/>
      <c r="F4157"/>
      <c r="H4157"/>
      <c r="I4157"/>
      <c r="J4157"/>
      <c r="K4157"/>
      <c r="L4157"/>
    </row>
    <row r="4158" spans="2:12" ht="14.4" x14ac:dyDescent="0.3">
      <c r="B4158"/>
      <c r="C4158"/>
      <c r="D4158"/>
      <c r="E4158"/>
      <c r="F4158"/>
      <c r="H4158"/>
      <c r="I4158"/>
      <c r="J4158"/>
      <c r="K4158"/>
      <c r="L4158"/>
    </row>
    <row r="4159" spans="2:12" ht="14.4" x14ac:dyDescent="0.3">
      <c r="B4159"/>
      <c r="C4159"/>
      <c r="D4159"/>
      <c r="E4159"/>
      <c r="F4159"/>
      <c r="H4159"/>
      <c r="I4159"/>
      <c r="J4159"/>
      <c r="K4159"/>
      <c r="L4159"/>
    </row>
    <row r="4160" spans="2:12" ht="14.4" x14ac:dyDescent="0.3">
      <c r="B4160"/>
      <c r="C4160"/>
      <c r="D4160"/>
      <c r="E4160"/>
      <c r="F4160"/>
      <c r="H4160"/>
      <c r="I4160"/>
      <c r="J4160"/>
      <c r="K4160"/>
      <c r="L4160"/>
    </row>
    <row r="4161" spans="2:12" ht="14.4" x14ac:dyDescent="0.3">
      <c r="B4161"/>
      <c r="C4161"/>
      <c r="D4161"/>
      <c r="E4161"/>
      <c r="F4161"/>
      <c r="H4161"/>
      <c r="I4161"/>
      <c r="J4161"/>
      <c r="K4161"/>
      <c r="L4161"/>
    </row>
    <row r="4162" spans="2:12" ht="14.4" x14ac:dyDescent="0.3">
      <c r="B4162"/>
      <c r="C4162"/>
      <c r="D4162"/>
      <c r="E4162"/>
      <c r="F4162"/>
      <c r="H4162"/>
      <c r="I4162"/>
      <c r="J4162"/>
      <c r="K4162"/>
      <c r="L4162"/>
    </row>
    <row r="4163" spans="2:12" ht="14.4" x14ac:dyDescent="0.3">
      <c r="B4163"/>
      <c r="C4163"/>
      <c r="D4163"/>
      <c r="E4163"/>
      <c r="F4163"/>
      <c r="H4163"/>
      <c r="I4163"/>
      <c r="J4163"/>
      <c r="K4163"/>
      <c r="L4163"/>
    </row>
    <row r="4164" spans="2:12" ht="14.4" x14ac:dyDescent="0.3">
      <c r="B4164"/>
      <c r="C4164"/>
      <c r="D4164"/>
      <c r="E4164"/>
      <c r="F4164"/>
      <c r="H4164"/>
      <c r="I4164"/>
      <c r="J4164"/>
      <c r="K4164"/>
      <c r="L4164"/>
    </row>
    <row r="4165" spans="2:12" ht="14.4" x14ac:dyDescent="0.3">
      <c r="B4165"/>
      <c r="C4165"/>
      <c r="D4165"/>
      <c r="E4165"/>
      <c r="F4165"/>
      <c r="H4165"/>
      <c r="I4165"/>
      <c r="J4165"/>
      <c r="K4165"/>
      <c r="L4165"/>
    </row>
    <row r="4166" spans="2:12" ht="14.4" x14ac:dyDescent="0.3">
      <c r="B4166"/>
      <c r="C4166"/>
      <c r="D4166"/>
      <c r="E4166"/>
      <c r="F4166"/>
      <c r="H4166"/>
      <c r="I4166"/>
      <c r="J4166"/>
      <c r="K4166"/>
      <c r="L4166"/>
    </row>
    <row r="4167" spans="2:12" ht="14.4" x14ac:dyDescent="0.3">
      <c r="B4167"/>
      <c r="C4167"/>
      <c r="D4167"/>
      <c r="E4167"/>
      <c r="F4167"/>
      <c r="H4167"/>
      <c r="I4167"/>
      <c r="J4167"/>
      <c r="K4167"/>
      <c r="L4167"/>
    </row>
    <row r="4168" spans="2:12" ht="14.4" x14ac:dyDescent="0.3">
      <c r="B4168"/>
      <c r="C4168"/>
      <c r="D4168"/>
      <c r="E4168"/>
      <c r="F4168"/>
      <c r="H4168"/>
      <c r="I4168"/>
      <c r="J4168"/>
      <c r="K4168"/>
      <c r="L4168"/>
    </row>
    <row r="4169" spans="2:12" ht="14.4" x14ac:dyDescent="0.3">
      <c r="B4169"/>
      <c r="C4169"/>
      <c r="D4169"/>
      <c r="E4169"/>
      <c r="F4169"/>
      <c r="H4169"/>
      <c r="I4169"/>
      <c r="J4169"/>
      <c r="K4169"/>
      <c r="L4169"/>
    </row>
    <row r="4170" spans="2:12" ht="14.4" x14ac:dyDescent="0.3">
      <c r="B4170"/>
      <c r="C4170"/>
      <c r="D4170"/>
      <c r="E4170"/>
      <c r="F4170"/>
      <c r="H4170"/>
      <c r="I4170"/>
      <c r="J4170"/>
      <c r="K4170"/>
      <c r="L4170"/>
    </row>
    <row r="4171" spans="2:12" ht="14.4" x14ac:dyDescent="0.3">
      <c r="B4171"/>
      <c r="C4171"/>
      <c r="D4171"/>
      <c r="E4171"/>
      <c r="F4171"/>
      <c r="H4171"/>
      <c r="I4171"/>
      <c r="J4171"/>
      <c r="K4171"/>
      <c r="L4171"/>
    </row>
    <row r="4172" spans="2:12" ht="14.4" x14ac:dyDescent="0.3">
      <c r="B4172"/>
      <c r="C4172"/>
      <c r="D4172"/>
      <c r="E4172"/>
      <c r="F4172"/>
      <c r="H4172"/>
      <c r="I4172"/>
      <c r="J4172"/>
      <c r="K4172"/>
      <c r="L4172"/>
    </row>
    <row r="4173" spans="2:12" ht="14.4" x14ac:dyDescent="0.3">
      <c r="B4173"/>
      <c r="C4173"/>
      <c r="D4173"/>
      <c r="E4173"/>
      <c r="F4173"/>
      <c r="H4173"/>
      <c r="I4173"/>
      <c r="J4173"/>
      <c r="K4173"/>
      <c r="L4173"/>
    </row>
    <row r="4174" spans="2:12" ht="14.4" x14ac:dyDescent="0.3">
      <c r="B4174"/>
      <c r="C4174"/>
      <c r="D4174"/>
      <c r="E4174"/>
      <c r="F4174"/>
      <c r="H4174"/>
      <c r="I4174"/>
      <c r="J4174"/>
      <c r="K4174"/>
      <c r="L4174"/>
    </row>
    <row r="4175" spans="2:12" ht="14.4" x14ac:dyDescent="0.3">
      <c r="B4175"/>
      <c r="C4175"/>
      <c r="D4175"/>
      <c r="E4175"/>
      <c r="F4175"/>
      <c r="H4175"/>
      <c r="I4175"/>
      <c r="J4175"/>
      <c r="K4175"/>
      <c r="L4175"/>
    </row>
    <row r="4176" spans="2:12" ht="14.4" x14ac:dyDescent="0.3">
      <c r="B4176"/>
      <c r="C4176"/>
      <c r="D4176"/>
      <c r="E4176"/>
      <c r="F4176"/>
      <c r="H4176"/>
      <c r="I4176"/>
      <c r="J4176"/>
      <c r="K4176"/>
      <c r="L4176"/>
    </row>
    <row r="4177" spans="2:12" ht="14.4" x14ac:dyDescent="0.3">
      <c r="B4177"/>
      <c r="C4177"/>
      <c r="D4177"/>
      <c r="E4177"/>
      <c r="F4177"/>
      <c r="H4177"/>
      <c r="I4177"/>
      <c r="J4177"/>
      <c r="K4177"/>
      <c r="L4177"/>
    </row>
    <row r="4178" spans="2:12" ht="14.4" x14ac:dyDescent="0.3">
      <c r="B4178"/>
      <c r="C4178"/>
      <c r="D4178"/>
      <c r="E4178"/>
      <c r="F4178"/>
      <c r="H4178"/>
      <c r="I4178"/>
      <c r="J4178"/>
      <c r="K4178"/>
      <c r="L4178"/>
    </row>
    <row r="4179" spans="2:12" ht="14.4" x14ac:dyDescent="0.3">
      <c r="B4179"/>
      <c r="C4179"/>
      <c r="D4179"/>
      <c r="E4179"/>
      <c r="F4179"/>
      <c r="H4179"/>
      <c r="I4179"/>
      <c r="J4179"/>
      <c r="K4179"/>
      <c r="L4179"/>
    </row>
    <row r="4180" spans="2:12" ht="14.4" x14ac:dyDescent="0.3">
      <c r="B4180"/>
      <c r="C4180"/>
      <c r="D4180"/>
      <c r="E4180"/>
      <c r="F4180"/>
      <c r="H4180"/>
      <c r="I4180"/>
      <c r="J4180"/>
      <c r="K4180"/>
      <c r="L4180"/>
    </row>
    <row r="4181" spans="2:12" ht="14.4" x14ac:dyDescent="0.3">
      <c r="B4181"/>
      <c r="C4181"/>
      <c r="D4181"/>
      <c r="E4181"/>
      <c r="F4181"/>
      <c r="H4181"/>
      <c r="I4181"/>
      <c r="J4181"/>
      <c r="K4181"/>
      <c r="L4181"/>
    </row>
    <row r="4182" spans="2:12" ht="14.4" x14ac:dyDescent="0.3">
      <c r="B4182"/>
      <c r="C4182"/>
      <c r="D4182"/>
      <c r="E4182"/>
      <c r="F4182"/>
      <c r="H4182"/>
      <c r="I4182"/>
      <c r="J4182"/>
      <c r="K4182"/>
      <c r="L4182"/>
    </row>
    <row r="4183" spans="2:12" ht="14.4" x14ac:dyDescent="0.3">
      <c r="B4183"/>
      <c r="C4183"/>
      <c r="D4183"/>
      <c r="E4183"/>
      <c r="F4183"/>
      <c r="H4183"/>
      <c r="I4183"/>
      <c r="J4183"/>
      <c r="K4183"/>
      <c r="L4183"/>
    </row>
    <row r="4184" spans="2:12" ht="14.4" x14ac:dyDescent="0.3">
      <c r="B4184"/>
      <c r="C4184"/>
      <c r="D4184"/>
      <c r="E4184"/>
      <c r="F4184"/>
      <c r="H4184"/>
      <c r="I4184"/>
      <c r="J4184"/>
      <c r="K4184"/>
      <c r="L4184"/>
    </row>
    <row r="4185" spans="2:12" ht="14.4" x14ac:dyDescent="0.3">
      <c r="B4185"/>
      <c r="C4185"/>
      <c r="D4185"/>
      <c r="E4185"/>
      <c r="F4185"/>
      <c r="H4185"/>
      <c r="I4185"/>
      <c r="J4185"/>
      <c r="K4185"/>
      <c r="L4185"/>
    </row>
    <row r="4186" spans="2:12" ht="14.4" x14ac:dyDescent="0.3">
      <c r="B4186"/>
      <c r="C4186"/>
      <c r="D4186"/>
      <c r="E4186"/>
      <c r="F4186"/>
      <c r="H4186"/>
      <c r="I4186"/>
      <c r="J4186"/>
      <c r="K4186"/>
      <c r="L4186"/>
    </row>
    <row r="4187" spans="2:12" ht="14.4" x14ac:dyDescent="0.3">
      <c r="B4187"/>
      <c r="C4187"/>
      <c r="D4187"/>
      <c r="E4187"/>
      <c r="F4187"/>
      <c r="H4187"/>
      <c r="I4187"/>
      <c r="J4187"/>
      <c r="K4187"/>
      <c r="L4187"/>
    </row>
    <row r="4188" spans="2:12" ht="14.4" x14ac:dyDescent="0.3">
      <c r="B4188"/>
      <c r="C4188"/>
      <c r="D4188"/>
      <c r="E4188"/>
      <c r="F4188"/>
      <c r="H4188"/>
      <c r="I4188"/>
      <c r="J4188"/>
      <c r="K4188"/>
      <c r="L4188"/>
    </row>
    <row r="4189" spans="2:12" ht="14.4" x14ac:dyDescent="0.3">
      <c r="B4189"/>
      <c r="C4189"/>
      <c r="D4189"/>
      <c r="E4189"/>
      <c r="F4189"/>
      <c r="H4189"/>
      <c r="I4189"/>
      <c r="J4189"/>
      <c r="K4189"/>
      <c r="L4189"/>
    </row>
    <row r="4190" spans="2:12" ht="14.4" x14ac:dyDescent="0.3">
      <c r="B4190"/>
      <c r="C4190"/>
      <c r="D4190"/>
      <c r="E4190"/>
      <c r="F4190"/>
      <c r="H4190"/>
      <c r="I4190"/>
      <c r="J4190"/>
      <c r="K4190"/>
      <c r="L4190"/>
    </row>
    <row r="4191" spans="2:12" ht="14.4" x14ac:dyDescent="0.3">
      <c r="B4191"/>
      <c r="C4191"/>
      <c r="D4191"/>
      <c r="E4191"/>
      <c r="F4191"/>
      <c r="H4191"/>
      <c r="I4191"/>
      <c r="J4191"/>
      <c r="K4191"/>
      <c r="L4191"/>
    </row>
    <row r="4192" spans="2:12" ht="14.4" x14ac:dyDescent="0.3">
      <c r="B4192"/>
      <c r="C4192"/>
      <c r="D4192"/>
      <c r="E4192"/>
      <c r="F4192"/>
      <c r="H4192"/>
      <c r="I4192"/>
      <c r="J4192"/>
      <c r="K4192"/>
      <c r="L4192"/>
    </row>
    <row r="4193" spans="2:12" ht="14.4" x14ac:dyDescent="0.3">
      <c r="B4193"/>
      <c r="C4193"/>
      <c r="D4193"/>
      <c r="E4193"/>
      <c r="F4193"/>
      <c r="H4193"/>
      <c r="I4193"/>
      <c r="J4193"/>
      <c r="K4193"/>
      <c r="L4193"/>
    </row>
    <row r="4194" spans="2:12" ht="14.4" x14ac:dyDescent="0.3">
      <c r="B4194"/>
      <c r="C4194"/>
      <c r="D4194"/>
      <c r="E4194"/>
      <c r="F4194"/>
      <c r="H4194"/>
      <c r="I4194"/>
      <c r="J4194"/>
      <c r="K4194"/>
      <c r="L4194"/>
    </row>
    <row r="4195" spans="2:12" ht="14.4" x14ac:dyDescent="0.3">
      <c r="B4195"/>
      <c r="C4195"/>
      <c r="D4195"/>
      <c r="E4195"/>
      <c r="F4195"/>
      <c r="H4195"/>
      <c r="I4195"/>
      <c r="J4195"/>
      <c r="K4195"/>
      <c r="L4195"/>
    </row>
    <row r="4196" spans="2:12" ht="14.4" x14ac:dyDescent="0.3">
      <c r="B4196"/>
      <c r="C4196"/>
      <c r="D4196"/>
      <c r="E4196"/>
      <c r="F4196"/>
      <c r="H4196"/>
      <c r="I4196"/>
      <c r="J4196"/>
      <c r="K4196"/>
      <c r="L4196"/>
    </row>
    <row r="4197" spans="2:12" ht="14.4" x14ac:dyDescent="0.3">
      <c r="B4197"/>
      <c r="C4197"/>
      <c r="D4197"/>
      <c r="E4197"/>
      <c r="F4197"/>
      <c r="H4197"/>
      <c r="I4197"/>
      <c r="J4197"/>
      <c r="K4197"/>
      <c r="L4197"/>
    </row>
    <row r="4198" spans="2:12" ht="14.4" x14ac:dyDescent="0.3">
      <c r="B4198"/>
      <c r="C4198"/>
      <c r="D4198"/>
      <c r="E4198"/>
      <c r="F4198"/>
      <c r="H4198"/>
      <c r="I4198"/>
      <c r="J4198"/>
      <c r="K4198"/>
      <c r="L4198"/>
    </row>
    <row r="4199" spans="2:12" ht="14.4" x14ac:dyDescent="0.3">
      <c r="B4199"/>
      <c r="C4199"/>
      <c r="D4199"/>
      <c r="E4199"/>
      <c r="F4199"/>
      <c r="H4199"/>
      <c r="I4199"/>
      <c r="J4199"/>
      <c r="K4199"/>
      <c r="L4199"/>
    </row>
    <row r="4200" spans="2:12" ht="14.4" x14ac:dyDescent="0.3">
      <c r="B4200"/>
      <c r="C4200"/>
      <c r="D4200"/>
      <c r="E4200"/>
      <c r="F4200"/>
      <c r="H4200"/>
      <c r="I4200"/>
      <c r="J4200"/>
      <c r="K4200"/>
      <c r="L4200"/>
    </row>
    <row r="4201" spans="2:12" ht="14.4" x14ac:dyDescent="0.3">
      <c r="B4201"/>
      <c r="C4201"/>
      <c r="D4201"/>
      <c r="E4201"/>
      <c r="F4201"/>
      <c r="H4201"/>
      <c r="I4201"/>
      <c r="J4201"/>
      <c r="K4201"/>
      <c r="L4201"/>
    </row>
    <row r="4202" spans="2:12" ht="14.4" x14ac:dyDescent="0.3">
      <c r="B4202"/>
      <c r="C4202"/>
      <c r="D4202"/>
      <c r="E4202"/>
      <c r="F4202"/>
      <c r="H4202"/>
      <c r="I4202"/>
      <c r="J4202"/>
      <c r="K4202"/>
      <c r="L4202"/>
    </row>
    <row r="4203" spans="2:12" ht="14.4" x14ac:dyDescent="0.3">
      <c r="B4203"/>
      <c r="C4203"/>
      <c r="D4203"/>
      <c r="E4203"/>
      <c r="F4203"/>
      <c r="H4203"/>
      <c r="I4203"/>
      <c r="J4203"/>
      <c r="K4203"/>
      <c r="L4203"/>
    </row>
    <row r="4204" spans="2:12" ht="14.4" x14ac:dyDescent="0.3">
      <c r="B4204"/>
      <c r="C4204"/>
      <c r="D4204"/>
      <c r="E4204"/>
      <c r="F4204"/>
      <c r="H4204"/>
      <c r="I4204"/>
      <c r="J4204"/>
      <c r="K4204"/>
      <c r="L4204"/>
    </row>
    <row r="4205" spans="2:12" ht="14.4" x14ac:dyDescent="0.3">
      <c r="B4205"/>
      <c r="C4205"/>
      <c r="D4205"/>
      <c r="E4205"/>
      <c r="F4205"/>
      <c r="H4205"/>
      <c r="I4205"/>
      <c r="J4205"/>
      <c r="K4205"/>
      <c r="L4205"/>
    </row>
    <row r="4206" spans="2:12" ht="14.4" x14ac:dyDescent="0.3">
      <c r="B4206"/>
      <c r="C4206"/>
      <c r="D4206"/>
      <c r="E4206"/>
      <c r="F4206"/>
      <c r="H4206"/>
      <c r="I4206"/>
      <c r="J4206"/>
      <c r="K4206"/>
      <c r="L4206"/>
    </row>
    <row r="4207" spans="2:12" ht="14.4" x14ac:dyDescent="0.3">
      <c r="B4207"/>
      <c r="C4207"/>
      <c r="D4207"/>
      <c r="E4207"/>
      <c r="F4207"/>
      <c r="H4207"/>
      <c r="I4207"/>
      <c r="J4207"/>
      <c r="K4207"/>
      <c r="L4207"/>
    </row>
    <row r="4208" spans="2:12" ht="14.4" x14ac:dyDescent="0.3">
      <c r="B4208"/>
      <c r="C4208"/>
      <c r="D4208"/>
      <c r="E4208"/>
      <c r="F4208"/>
      <c r="H4208"/>
      <c r="I4208"/>
      <c r="J4208"/>
      <c r="K4208"/>
      <c r="L4208"/>
    </row>
    <row r="4209" spans="2:12" ht="14.4" x14ac:dyDescent="0.3">
      <c r="B4209"/>
      <c r="C4209"/>
      <c r="D4209"/>
      <c r="E4209"/>
      <c r="F4209"/>
      <c r="H4209"/>
      <c r="I4209"/>
      <c r="J4209"/>
      <c r="K4209"/>
      <c r="L4209"/>
    </row>
    <row r="4210" spans="2:12" ht="14.4" x14ac:dyDescent="0.3">
      <c r="B4210"/>
      <c r="C4210"/>
      <c r="D4210"/>
      <c r="E4210"/>
      <c r="F4210"/>
      <c r="H4210"/>
      <c r="I4210"/>
      <c r="J4210"/>
      <c r="K4210"/>
      <c r="L4210"/>
    </row>
    <row r="4211" spans="2:12" ht="14.4" x14ac:dyDescent="0.3">
      <c r="B4211"/>
      <c r="C4211"/>
      <c r="D4211"/>
      <c r="E4211"/>
      <c r="F4211"/>
      <c r="H4211"/>
      <c r="I4211"/>
      <c r="J4211"/>
      <c r="K4211"/>
      <c r="L4211"/>
    </row>
    <row r="4212" spans="2:12" ht="14.4" x14ac:dyDescent="0.3">
      <c r="B4212"/>
      <c r="C4212"/>
      <c r="D4212"/>
      <c r="E4212"/>
      <c r="F4212"/>
      <c r="H4212"/>
      <c r="I4212"/>
      <c r="J4212"/>
      <c r="K4212"/>
      <c r="L4212"/>
    </row>
    <row r="4213" spans="2:12" ht="14.4" x14ac:dyDescent="0.3">
      <c r="B4213"/>
      <c r="C4213"/>
      <c r="D4213"/>
      <c r="E4213"/>
      <c r="F4213"/>
      <c r="H4213"/>
      <c r="I4213"/>
      <c r="J4213"/>
      <c r="K4213"/>
      <c r="L4213"/>
    </row>
    <row r="4214" spans="2:12" ht="14.4" x14ac:dyDescent="0.3">
      <c r="B4214"/>
      <c r="C4214"/>
      <c r="D4214"/>
      <c r="E4214"/>
      <c r="F4214"/>
      <c r="H4214"/>
      <c r="I4214"/>
      <c r="J4214"/>
      <c r="K4214"/>
      <c r="L4214"/>
    </row>
    <row r="4215" spans="2:12" ht="14.4" x14ac:dyDescent="0.3">
      <c r="B4215"/>
      <c r="C4215"/>
      <c r="D4215"/>
      <c r="E4215"/>
      <c r="F4215"/>
      <c r="H4215"/>
      <c r="I4215"/>
      <c r="J4215"/>
      <c r="K4215"/>
      <c r="L4215"/>
    </row>
    <row r="4216" spans="2:12" ht="14.4" x14ac:dyDescent="0.3">
      <c r="B4216"/>
      <c r="C4216"/>
      <c r="D4216"/>
      <c r="E4216"/>
      <c r="F4216"/>
      <c r="H4216"/>
      <c r="I4216"/>
      <c r="J4216"/>
      <c r="K4216"/>
      <c r="L4216"/>
    </row>
    <row r="4217" spans="2:12" ht="14.4" x14ac:dyDescent="0.3">
      <c r="B4217"/>
      <c r="C4217"/>
      <c r="D4217"/>
      <c r="E4217"/>
      <c r="F4217"/>
      <c r="H4217"/>
      <c r="I4217"/>
      <c r="J4217"/>
      <c r="K4217"/>
      <c r="L4217"/>
    </row>
    <row r="4218" spans="2:12" ht="14.4" x14ac:dyDescent="0.3">
      <c r="B4218"/>
      <c r="C4218"/>
      <c r="D4218"/>
      <c r="E4218"/>
      <c r="F4218"/>
      <c r="H4218"/>
      <c r="I4218"/>
      <c r="J4218"/>
      <c r="K4218"/>
      <c r="L4218"/>
    </row>
    <row r="4219" spans="2:12" ht="14.4" x14ac:dyDescent="0.3">
      <c r="B4219"/>
      <c r="C4219"/>
      <c r="D4219"/>
      <c r="E4219"/>
      <c r="F4219"/>
      <c r="H4219"/>
      <c r="I4219"/>
      <c r="J4219"/>
      <c r="K4219"/>
      <c r="L4219"/>
    </row>
    <row r="4220" spans="2:12" ht="14.4" x14ac:dyDescent="0.3">
      <c r="B4220"/>
      <c r="C4220"/>
      <c r="D4220"/>
      <c r="E4220"/>
      <c r="F4220"/>
      <c r="H4220"/>
      <c r="I4220"/>
      <c r="J4220"/>
      <c r="K4220"/>
      <c r="L4220"/>
    </row>
    <row r="4221" spans="2:12" ht="14.4" x14ac:dyDescent="0.3">
      <c r="B4221"/>
      <c r="C4221"/>
      <c r="D4221"/>
      <c r="E4221"/>
      <c r="F4221"/>
      <c r="H4221"/>
      <c r="I4221"/>
      <c r="J4221"/>
      <c r="K4221"/>
      <c r="L4221"/>
    </row>
    <row r="4222" spans="2:12" ht="14.4" x14ac:dyDescent="0.3">
      <c r="B4222"/>
      <c r="C4222"/>
      <c r="D4222"/>
      <c r="E4222"/>
      <c r="F4222"/>
      <c r="H4222"/>
      <c r="I4222"/>
      <c r="J4222"/>
      <c r="K4222"/>
      <c r="L4222"/>
    </row>
    <row r="4223" spans="2:12" ht="14.4" x14ac:dyDescent="0.3">
      <c r="B4223"/>
      <c r="C4223"/>
      <c r="D4223"/>
      <c r="E4223"/>
      <c r="F4223"/>
      <c r="H4223"/>
      <c r="I4223"/>
      <c r="J4223"/>
      <c r="K4223"/>
      <c r="L4223"/>
    </row>
    <row r="4224" spans="2:12" ht="14.4" x14ac:dyDescent="0.3">
      <c r="B4224"/>
      <c r="C4224"/>
      <c r="D4224"/>
      <c r="E4224"/>
      <c r="F4224"/>
      <c r="H4224"/>
      <c r="I4224"/>
      <c r="J4224"/>
      <c r="K4224"/>
      <c r="L4224"/>
    </row>
    <row r="4225" spans="2:12" ht="14.4" x14ac:dyDescent="0.3">
      <c r="B4225"/>
      <c r="C4225"/>
      <c r="D4225"/>
      <c r="E4225"/>
      <c r="F4225"/>
      <c r="H4225"/>
      <c r="I4225"/>
      <c r="J4225"/>
      <c r="K4225"/>
      <c r="L4225"/>
    </row>
    <row r="4226" spans="2:12" ht="14.4" x14ac:dyDescent="0.3">
      <c r="B4226"/>
      <c r="C4226"/>
      <c r="D4226"/>
      <c r="E4226"/>
      <c r="F4226"/>
      <c r="H4226"/>
      <c r="I4226"/>
      <c r="J4226"/>
      <c r="K4226"/>
      <c r="L4226"/>
    </row>
    <row r="4227" spans="2:12" ht="14.4" x14ac:dyDescent="0.3">
      <c r="B4227"/>
      <c r="C4227"/>
      <c r="D4227"/>
      <c r="E4227"/>
      <c r="F4227"/>
      <c r="H4227"/>
      <c r="I4227"/>
      <c r="J4227"/>
      <c r="K4227"/>
      <c r="L4227"/>
    </row>
    <row r="4228" spans="2:12" ht="14.4" x14ac:dyDescent="0.3">
      <c r="B4228"/>
      <c r="C4228"/>
      <c r="D4228"/>
      <c r="E4228"/>
      <c r="F4228"/>
      <c r="H4228"/>
      <c r="I4228"/>
      <c r="J4228"/>
      <c r="K4228"/>
      <c r="L4228"/>
    </row>
    <row r="4229" spans="2:12" ht="14.4" x14ac:dyDescent="0.3">
      <c r="B4229"/>
      <c r="C4229"/>
      <c r="D4229"/>
      <c r="E4229"/>
      <c r="F4229"/>
      <c r="H4229"/>
      <c r="I4229"/>
      <c r="J4229"/>
      <c r="K4229"/>
      <c r="L4229"/>
    </row>
    <row r="4230" spans="2:12" ht="14.4" x14ac:dyDescent="0.3">
      <c r="B4230"/>
      <c r="C4230"/>
      <c r="D4230"/>
      <c r="E4230"/>
      <c r="F4230"/>
      <c r="H4230"/>
      <c r="I4230"/>
      <c r="J4230"/>
      <c r="K4230"/>
      <c r="L4230"/>
    </row>
    <row r="4231" spans="2:12" ht="14.4" x14ac:dyDescent="0.3">
      <c r="B4231"/>
      <c r="C4231"/>
      <c r="D4231"/>
      <c r="E4231"/>
      <c r="F4231"/>
      <c r="H4231"/>
      <c r="I4231"/>
      <c r="J4231"/>
      <c r="K4231"/>
      <c r="L4231"/>
    </row>
    <row r="4232" spans="2:12" ht="14.4" x14ac:dyDescent="0.3">
      <c r="B4232"/>
      <c r="C4232"/>
      <c r="D4232"/>
      <c r="E4232"/>
      <c r="F4232"/>
      <c r="H4232"/>
      <c r="I4232"/>
      <c r="J4232"/>
      <c r="K4232"/>
      <c r="L4232"/>
    </row>
    <row r="4233" spans="2:12" ht="14.4" x14ac:dyDescent="0.3">
      <c r="B4233"/>
      <c r="C4233"/>
      <c r="D4233"/>
      <c r="E4233"/>
      <c r="F4233"/>
      <c r="H4233"/>
      <c r="I4233"/>
      <c r="J4233"/>
      <c r="K4233"/>
      <c r="L4233"/>
    </row>
    <row r="4234" spans="2:12" ht="14.4" x14ac:dyDescent="0.3">
      <c r="B4234"/>
      <c r="C4234"/>
      <c r="D4234"/>
      <c r="E4234"/>
      <c r="F4234"/>
      <c r="H4234"/>
      <c r="I4234"/>
      <c r="J4234"/>
      <c r="K4234"/>
      <c r="L4234"/>
    </row>
    <row r="4235" spans="2:12" ht="14.4" x14ac:dyDescent="0.3">
      <c r="B4235"/>
      <c r="C4235"/>
      <c r="D4235"/>
      <c r="E4235"/>
      <c r="F4235"/>
      <c r="H4235"/>
      <c r="I4235"/>
      <c r="J4235"/>
      <c r="K4235"/>
      <c r="L4235"/>
    </row>
    <row r="4236" spans="2:12" ht="14.4" x14ac:dyDescent="0.3">
      <c r="B4236"/>
      <c r="C4236"/>
      <c r="D4236"/>
      <c r="E4236"/>
      <c r="F4236"/>
      <c r="H4236"/>
      <c r="I4236"/>
      <c r="J4236"/>
      <c r="K4236"/>
      <c r="L4236"/>
    </row>
    <row r="4237" spans="2:12" ht="14.4" x14ac:dyDescent="0.3">
      <c r="B4237"/>
      <c r="C4237"/>
      <c r="D4237"/>
      <c r="E4237"/>
      <c r="F4237"/>
      <c r="H4237"/>
      <c r="I4237"/>
      <c r="J4237"/>
      <c r="K4237"/>
      <c r="L4237"/>
    </row>
    <row r="4238" spans="2:12" ht="14.4" x14ac:dyDescent="0.3">
      <c r="B4238"/>
      <c r="C4238"/>
      <c r="D4238"/>
      <c r="E4238"/>
      <c r="F4238"/>
      <c r="H4238"/>
      <c r="I4238"/>
      <c r="J4238"/>
      <c r="K4238"/>
      <c r="L4238"/>
    </row>
    <row r="4239" spans="2:12" ht="14.4" x14ac:dyDescent="0.3">
      <c r="B4239"/>
      <c r="C4239"/>
      <c r="D4239"/>
      <c r="E4239"/>
      <c r="F4239"/>
      <c r="H4239"/>
      <c r="I4239"/>
      <c r="J4239"/>
      <c r="K4239"/>
      <c r="L4239"/>
    </row>
    <row r="4240" spans="2:12" ht="14.4" x14ac:dyDescent="0.3">
      <c r="B4240"/>
      <c r="C4240"/>
      <c r="D4240"/>
      <c r="E4240"/>
      <c r="F4240"/>
      <c r="H4240"/>
      <c r="I4240"/>
      <c r="J4240"/>
      <c r="K4240"/>
      <c r="L4240"/>
    </row>
    <row r="4241" spans="2:12" ht="14.4" x14ac:dyDescent="0.3">
      <c r="B4241"/>
      <c r="C4241"/>
      <c r="D4241"/>
      <c r="E4241"/>
      <c r="F4241"/>
      <c r="H4241"/>
      <c r="I4241"/>
      <c r="J4241"/>
      <c r="K4241"/>
      <c r="L4241"/>
    </row>
    <row r="4242" spans="2:12" ht="14.4" x14ac:dyDescent="0.3">
      <c r="B4242"/>
      <c r="C4242"/>
      <c r="D4242"/>
      <c r="E4242"/>
      <c r="F4242"/>
      <c r="H4242"/>
      <c r="I4242"/>
      <c r="J4242"/>
      <c r="K4242"/>
      <c r="L4242"/>
    </row>
    <row r="4243" spans="2:12" ht="14.4" x14ac:dyDescent="0.3">
      <c r="B4243"/>
      <c r="C4243"/>
      <c r="D4243"/>
      <c r="E4243"/>
      <c r="F4243"/>
      <c r="H4243"/>
      <c r="I4243"/>
      <c r="J4243"/>
      <c r="K4243"/>
      <c r="L4243"/>
    </row>
    <row r="4244" spans="2:12" ht="14.4" x14ac:dyDescent="0.3">
      <c r="B4244"/>
      <c r="C4244"/>
      <c r="D4244"/>
      <c r="E4244"/>
      <c r="F4244"/>
      <c r="H4244"/>
      <c r="I4244"/>
      <c r="J4244"/>
      <c r="K4244"/>
      <c r="L4244"/>
    </row>
    <row r="4245" spans="2:12" ht="14.4" x14ac:dyDescent="0.3">
      <c r="B4245"/>
      <c r="C4245"/>
      <c r="D4245"/>
      <c r="E4245"/>
      <c r="F4245"/>
      <c r="H4245"/>
      <c r="I4245"/>
      <c r="J4245"/>
      <c r="K4245"/>
      <c r="L4245"/>
    </row>
    <row r="4246" spans="2:12" ht="14.4" x14ac:dyDescent="0.3">
      <c r="B4246"/>
      <c r="C4246"/>
      <c r="D4246"/>
      <c r="E4246"/>
      <c r="F4246"/>
      <c r="H4246"/>
      <c r="I4246"/>
      <c r="J4246"/>
      <c r="K4246"/>
      <c r="L4246"/>
    </row>
    <row r="4247" spans="2:12" ht="14.4" x14ac:dyDescent="0.3">
      <c r="B4247"/>
      <c r="C4247"/>
      <c r="D4247"/>
      <c r="E4247"/>
      <c r="F4247"/>
      <c r="H4247"/>
      <c r="I4247"/>
      <c r="J4247"/>
      <c r="K4247"/>
      <c r="L4247"/>
    </row>
    <row r="4248" spans="2:12" ht="14.4" x14ac:dyDescent="0.3">
      <c r="B4248"/>
      <c r="C4248"/>
      <c r="D4248"/>
      <c r="E4248"/>
      <c r="F4248"/>
      <c r="H4248"/>
      <c r="I4248"/>
      <c r="J4248"/>
      <c r="K4248"/>
      <c r="L4248"/>
    </row>
    <row r="4249" spans="2:12" ht="14.4" x14ac:dyDescent="0.3">
      <c r="B4249"/>
      <c r="C4249"/>
      <c r="D4249"/>
      <c r="E4249"/>
      <c r="F4249"/>
      <c r="H4249"/>
      <c r="I4249"/>
      <c r="J4249"/>
      <c r="K4249"/>
      <c r="L4249"/>
    </row>
    <row r="4250" spans="2:12" ht="14.4" x14ac:dyDescent="0.3">
      <c r="B4250"/>
      <c r="C4250"/>
      <c r="D4250"/>
      <c r="E4250"/>
      <c r="F4250"/>
      <c r="H4250"/>
      <c r="I4250"/>
      <c r="J4250"/>
      <c r="K4250"/>
      <c r="L4250"/>
    </row>
    <row r="4251" spans="2:12" ht="14.4" x14ac:dyDescent="0.3">
      <c r="B4251"/>
      <c r="C4251"/>
      <c r="D4251"/>
      <c r="E4251"/>
      <c r="F4251"/>
      <c r="H4251"/>
      <c r="I4251"/>
      <c r="J4251"/>
      <c r="K4251"/>
      <c r="L4251"/>
    </row>
    <row r="4252" spans="2:12" ht="14.4" x14ac:dyDescent="0.3">
      <c r="B4252"/>
      <c r="C4252"/>
      <c r="D4252"/>
      <c r="E4252"/>
      <c r="F4252"/>
      <c r="H4252"/>
      <c r="I4252"/>
      <c r="J4252"/>
      <c r="K4252"/>
      <c r="L4252"/>
    </row>
    <row r="4253" spans="2:12" ht="14.4" x14ac:dyDescent="0.3">
      <c r="B4253"/>
      <c r="C4253"/>
      <c r="D4253"/>
      <c r="E4253"/>
      <c r="F4253"/>
      <c r="H4253"/>
      <c r="I4253"/>
      <c r="J4253"/>
      <c r="K4253"/>
      <c r="L4253"/>
    </row>
    <row r="4254" spans="2:12" ht="14.4" x14ac:dyDescent="0.3">
      <c r="B4254"/>
      <c r="C4254"/>
      <c r="D4254"/>
      <c r="E4254"/>
      <c r="F4254"/>
      <c r="H4254"/>
      <c r="I4254"/>
      <c r="J4254"/>
      <c r="K4254"/>
      <c r="L4254"/>
    </row>
    <row r="4255" spans="2:12" ht="14.4" x14ac:dyDescent="0.3">
      <c r="B4255"/>
      <c r="C4255"/>
      <c r="D4255"/>
      <c r="E4255"/>
      <c r="F4255"/>
      <c r="H4255"/>
      <c r="I4255"/>
      <c r="J4255"/>
      <c r="K4255"/>
      <c r="L4255"/>
    </row>
    <row r="4256" spans="2:12" ht="14.4" x14ac:dyDescent="0.3">
      <c r="B4256"/>
      <c r="C4256"/>
      <c r="D4256"/>
      <c r="E4256"/>
      <c r="F4256"/>
      <c r="H4256"/>
      <c r="I4256"/>
      <c r="J4256"/>
      <c r="K4256"/>
      <c r="L4256"/>
    </row>
    <row r="4257" spans="2:12" ht="14.4" x14ac:dyDescent="0.3">
      <c r="B4257"/>
      <c r="C4257"/>
      <c r="D4257"/>
      <c r="E4257"/>
      <c r="F4257"/>
      <c r="H4257"/>
      <c r="I4257"/>
      <c r="J4257"/>
      <c r="K4257"/>
      <c r="L4257"/>
    </row>
    <row r="4258" spans="2:12" ht="14.4" x14ac:dyDescent="0.3">
      <c r="B4258"/>
      <c r="C4258"/>
      <c r="D4258"/>
      <c r="E4258"/>
      <c r="F4258"/>
      <c r="H4258"/>
      <c r="I4258"/>
      <c r="J4258"/>
      <c r="K4258"/>
      <c r="L4258"/>
    </row>
    <row r="4259" spans="2:12" ht="14.4" x14ac:dyDescent="0.3">
      <c r="B4259"/>
      <c r="C4259"/>
      <c r="D4259"/>
      <c r="E4259"/>
      <c r="F4259"/>
      <c r="H4259"/>
      <c r="I4259"/>
      <c r="J4259"/>
      <c r="K4259"/>
      <c r="L4259"/>
    </row>
    <row r="4260" spans="2:12" ht="14.4" x14ac:dyDescent="0.3">
      <c r="B4260"/>
      <c r="C4260"/>
      <c r="D4260"/>
      <c r="E4260"/>
      <c r="F4260"/>
      <c r="H4260"/>
      <c r="I4260"/>
      <c r="J4260"/>
      <c r="K4260"/>
      <c r="L4260"/>
    </row>
    <row r="4261" spans="2:12" ht="14.4" x14ac:dyDescent="0.3">
      <c r="B4261"/>
      <c r="C4261"/>
      <c r="D4261"/>
      <c r="E4261"/>
      <c r="F4261"/>
      <c r="H4261"/>
      <c r="I4261"/>
      <c r="J4261"/>
      <c r="K4261"/>
      <c r="L4261"/>
    </row>
    <row r="4262" spans="2:12" ht="14.4" x14ac:dyDescent="0.3">
      <c r="B4262"/>
      <c r="C4262"/>
      <c r="D4262"/>
      <c r="E4262"/>
      <c r="F4262"/>
      <c r="H4262"/>
      <c r="I4262"/>
      <c r="J4262"/>
      <c r="K4262"/>
      <c r="L4262"/>
    </row>
    <row r="4263" spans="2:12" ht="14.4" x14ac:dyDescent="0.3">
      <c r="B4263"/>
      <c r="C4263"/>
      <c r="D4263"/>
      <c r="E4263"/>
      <c r="F4263"/>
      <c r="H4263"/>
      <c r="I4263"/>
      <c r="J4263"/>
      <c r="K4263"/>
      <c r="L4263"/>
    </row>
    <row r="4264" spans="2:12" ht="14.4" x14ac:dyDescent="0.3">
      <c r="B4264"/>
      <c r="C4264"/>
      <c r="D4264"/>
      <c r="E4264"/>
      <c r="F4264"/>
      <c r="H4264"/>
      <c r="I4264"/>
      <c r="J4264"/>
      <c r="K4264"/>
      <c r="L4264"/>
    </row>
    <row r="4265" spans="2:12" ht="14.4" x14ac:dyDescent="0.3">
      <c r="B4265"/>
      <c r="C4265"/>
      <c r="D4265"/>
      <c r="E4265"/>
      <c r="F4265"/>
      <c r="H4265"/>
      <c r="I4265"/>
      <c r="J4265"/>
      <c r="K4265"/>
      <c r="L4265"/>
    </row>
    <row r="4266" spans="2:12" ht="14.4" x14ac:dyDescent="0.3">
      <c r="B4266"/>
      <c r="C4266"/>
      <c r="D4266"/>
      <c r="E4266"/>
      <c r="F4266"/>
      <c r="H4266"/>
      <c r="I4266"/>
      <c r="J4266"/>
      <c r="K4266"/>
      <c r="L4266"/>
    </row>
    <row r="4267" spans="2:12" ht="14.4" x14ac:dyDescent="0.3">
      <c r="B4267"/>
      <c r="C4267"/>
      <c r="D4267"/>
      <c r="E4267"/>
      <c r="F4267"/>
      <c r="H4267"/>
      <c r="I4267"/>
      <c r="J4267"/>
      <c r="K4267"/>
      <c r="L4267"/>
    </row>
    <row r="4268" spans="2:12" ht="14.4" x14ac:dyDescent="0.3">
      <c r="B4268"/>
      <c r="C4268"/>
      <c r="D4268"/>
      <c r="E4268"/>
      <c r="F4268"/>
      <c r="H4268"/>
      <c r="I4268"/>
      <c r="J4268"/>
      <c r="K4268"/>
      <c r="L4268"/>
    </row>
    <row r="4269" spans="2:12" ht="14.4" x14ac:dyDescent="0.3">
      <c r="B4269"/>
      <c r="C4269"/>
      <c r="D4269"/>
      <c r="E4269"/>
      <c r="F4269"/>
      <c r="H4269"/>
      <c r="I4269"/>
      <c r="J4269"/>
      <c r="K4269"/>
      <c r="L4269"/>
    </row>
    <row r="4270" spans="2:12" ht="14.4" x14ac:dyDescent="0.3">
      <c r="B4270"/>
      <c r="C4270"/>
      <c r="D4270"/>
      <c r="E4270"/>
      <c r="F4270"/>
      <c r="H4270"/>
      <c r="I4270"/>
      <c r="J4270"/>
      <c r="K4270"/>
      <c r="L4270"/>
    </row>
    <row r="4271" spans="2:12" ht="14.4" x14ac:dyDescent="0.3">
      <c r="B4271"/>
      <c r="C4271"/>
      <c r="D4271"/>
      <c r="E4271"/>
      <c r="F4271"/>
      <c r="H4271"/>
      <c r="I4271"/>
      <c r="J4271"/>
      <c r="K4271"/>
      <c r="L4271"/>
    </row>
    <row r="4272" spans="2:12" ht="14.4" x14ac:dyDescent="0.3">
      <c r="B4272"/>
      <c r="C4272"/>
      <c r="D4272"/>
      <c r="E4272"/>
      <c r="F4272"/>
      <c r="H4272"/>
      <c r="I4272"/>
      <c r="J4272"/>
      <c r="K4272"/>
      <c r="L4272"/>
    </row>
    <row r="4273" spans="2:12" ht="14.4" x14ac:dyDescent="0.3">
      <c r="B4273"/>
      <c r="C4273"/>
      <c r="D4273"/>
      <c r="E4273"/>
      <c r="F4273"/>
      <c r="H4273"/>
      <c r="I4273"/>
      <c r="J4273"/>
      <c r="K4273"/>
      <c r="L4273"/>
    </row>
    <row r="4274" spans="2:12" ht="14.4" x14ac:dyDescent="0.3">
      <c r="B4274"/>
      <c r="C4274"/>
      <c r="D4274"/>
      <c r="E4274"/>
      <c r="F4274"/>
      <c r="H4274"/>
      <c r="I4274"/>
      <c r="J4274"/>
      <c r="K4274"/>
      <c r="L4274"/>
    </row>
    <row r="4275" spans="2:12" ht="14.4" x14ac:dyDescent="0.3">
      <c r="B4275"/>
      <c r="C4275"/>
      <c r="D4275"/>
      <c r="E4275"/>
      <c r="F4275"/>
      <c r="H4275"/>
      <c r="I4275"/>
      <c r="J4275"/>
      <c r="K4275"/>
      <c r="L4275"/>
    </row>
    <row r="4276" spans="2:12" ht="14.4" x14ac:dyDescent="0.3">
      <c r="B4276"/>
      <c r="C4276"/>
      <c r="D4276"/>
      <c r="E4276"/>
      <c r="F4276"/>
      <c r="H4276"/>
      <c r="I4276"/>
      <c r="J4276"/>
      <c r="K4276"/>
      <c r="L4276"/>
    </row>
    <row r="4277" spans="2:12" ht="14.4" x14ac:dyDescent="0.3">
      <c r="B4277"/>
      <c r="C4277"/>
      <c r="D4277"/>
      <c r="E4277"/>
      <c r="F4277"/>
      <c r="H4277"/>
      <c r="I4277"/>
      <c r="J4277"/>
      <c r="K4277"/>
      <c r="L4277"/>
    </row>
    <row r="4278" spans="2:12" ht="14.4" x14ac:dyDescent="0.3">
      <c r="B4278"/>
      <c r="C4278"/>
      <c r="D4278"/>
      <c r="E4278"/>
      <c r="F4278"/>
      <c r="H4278"/>
      <c r="I4278"/>
      <c r="J4278"/>
      <c r="K4278"/>
      <c r="L4278"/>
    </row>
    <row r="4279" spans="2:12" ht="14.4" x14ac:dyDescent="0.3">
      <c r="B4279"/>
      <c r="C4279"/>
      <c r="D4279"/>
      <c r="E4279"/>
      <c r="F4279"/>
      <c r="H4279"/>
      <c r="I4279"/>
      <c r="J4279"/>
      <c r="K4279"/>
      <c r="L4279"/>
    </row>
    <row r="4280" spans="2:12" ht="14.4" x14ac:dyDescent="0.3">
      <c r="B4280"/>
      <c r="C4280"/>
      <c r="D4280"/>
      <c r="E4280"/>
      <c r="F4280"/>
      <c r="H4280"/>
      <c r="I4280"/>
      <c r="J4280"/>
      <c r="K4280"/>
      <c r="L4280"/>
    </row>
    <row r="4281" spans="2:12" ht="14.4" x14ac:dyDescent="0.3">
      <c r="B4281"/>
      <c r="C4281"/>
      <c r="D4281"/>
      <c r="E4281"/>
      <c r="F4281"/>
      <c r="H4281"/>
      <c r="I4281"/>
      <c r="J4281"/>
      <c r="K4281"/>
      <c r="L4281"/>
    </row>
    <row r="4282" spans="2:12" ht="14.4" x14ac:dyDescent="0.3">
      <c r="B4282"/>
      <c r="C4282"/>
      <c r="D4282"/>
      <c r="E4282"/>
      <c r="F4282"/>
      <c r="H4282"/>
      <c r="I4282"/>
      <c r="J4282"/>
      <c r="K4282"/>
      <c r="L4282"/>
    </row>
    <row r="4283" spans="2:12" ht="14.4" x14ac:dyDescent="0.3">
      <c r="B4283"/>
      <c r="C4283"/>
      <c r="D4283"/>
      <c r="E4283"/>
      <c r="F4283"/>
      <c r="H4283"/>
      <c r="I4283"/>
      <c r="J4283"/>
      <c r="K4283"/>
      <c r="L4283"/>
    </row>
    <row r="4284" spans="2:12" ht="14.4" x14ac:dyDescent="0.3">
      <c r="B4284"/>
      <c r="C4284"/>
      <c r="D4284"/>
      <c r="E4284"/>
      <c r="F4284"/>
      <c r="H4284"/>
      <c r="I4284"/>
      <c r="J4284"/>
      <c r="K4284"/>
      <c r="L4284"/>
    </row>
    <row r="4285" spans="2:12" ht="14.4" x14ac:dyDescent="0.3">
      <c r="B4285"/>
      <c r="C4285"/>
      <c r="D4285"/>
      <c r="E4285"/>
      <c r="F4285"/>
      <c r="H4285"/>
      <c r="I4285"/>
      <c r="J4285"/>
      <c r="K4285"/>
      <c r="L4285"/>
    </row>
    <row r="4286" spans="2:12" ht="14.4" x14ac:dyDescent="0.3">
      <c r="B4286"/>
      <c r="C4286"/>
      <c r="D4286"/>
      <c r="E4286"/>
      <c r="F4286"/>
      <c r="H4286"/>
      <c r="I4286"/>
      <c r="J4286"/>
      <c r="K4286"/>
      <c r="L4286"/>
    </row>
    <row r="4287" spans="2:12" ht="14.4" x14ac:dyDescent="0.3">
      <c r="B4287"/>
      <c r="C4287"/>
      <c r="D4287"/>
      <c r="E4287"/>
      <c r="F4287"/>
      <c r="H4287"/>
      <c r="I4287"/>
      <c r="J4287"/>
      <c r="K4287"/>
      <c r="L4287"/>
    </row>
    <row r="4288" spans="2:12" ht="14.4" x14ac:dyDescent="0.3">
      <c r="B4288"/>
      <c r="C4288"/>
      <c r="D4288"/>
      <c r="E4288"/>
      <c r="F4288"/>
      <c r="H4288"/>
      <c r="I4288"/>
      <c r="J4288"/>
      <c r="K4288"/>
      <c r="L4288"/>
    </row>
    <row r="4289" spans="2:12" ht="14.4" x14ac:dyDescent="0.3">
      <c r="B4289"/>
      <c r="C4289"/>
      <c r="D4289"/>
      <c r="E4289"/>
      <c r="F4289"/>
      <c r="H4289"/>
      <c r="I4289"/>
      <c r="J4289"/>
      <c r="K4289"/>
      <c r="L4289"/>
    </row>
    <row r="4290" spans="2:12" ht="14.4" x14ac:dyDescent="0.3">
      <c r="B4290"/>
      <c r="C4290"/>
      <c r="D4290"/>
      <c r="E4290"/>
      <c r="F4290"/>
      <c r="H4290"/>
      <c r="I4290"/>
      <c r="J4290"/>
      <c r="K4290"/>
      <c r="L4290"/>
    </row>
    <row r="4291" spans="2:12" ht="14.4" x14ac:dyDescent="0.3">
      <c r="B4291"/>
      <c r="C4291"/>
      <c r="D4291"/>
      <c r="E4291"/>
      <c r="F4291"/>
      <c r="H4291"/>
      <c r="I4291"/>
      <c r="J4291"/>
      <c r="K4291"/>
      <c r="L4291"/>
    </row>
    <row r="4292" spans="2:12" ht="14.4" x14ac:dyDescent="0.3">
      <c r="B4292"/>
      <c r="C4292"/>
      <c r="D4292"/>
      <c r="E4292"/>
      <c r="F4292"/>
      <c r="H4292"/>
      <c r="I4292"/>
      <c r="J4292"/>
      <c r="K4292"/>
      <c r="L4292"/>
    </row>
    <row r="4293" spans="2:12" ht="14.4" x14ac:dyDescent="0.3">
      <c r="B4293"/>
      <c r="C4293"/>
      <c r="D4293"/>
      <c r="E4293"/>
      <c r="F4293"/>
      <c r="H4293"/>
      <c r="I4293"/>
      <c r="J4293"/>
      <c r="K4293"/>
      <c r="L4293"/>
    </row>
    <row r="4294" spans="2:12" ht="14.4" x14ac:dyDescent="0.3">
      <c r="B4294"/>
      <c r="C4294"/>
      <c r="D4294"/>
      <c r="E4294"/>
      <c r="F4294"/>
      <c r="H4294"/>
      <c r="I4294"/>
      <c r="J4294"/>
      <c r="K4294"/>
      <c r="L4294"/>
    </row>
    <row r="4295" spans="2:12" ht="14.4" x14ac:dyDescent="0.3">
      <c r="B4295"/>
      <c r="C4295"/>
      <c r="D4295"/>
      <c r="E4295"/>
      <c r="F4295"/>
      <c r="H4295"/>
      <c r="I4295"/>
      <c r="J4295"/>
      <c r="K4295"/>
      <c r="L4295"/>
    </row>
    <row r="4296" spans="2:12" ht="14.4" x14ac:dyDescent="0.3">
      <c r="B4296"/>
      <c r="C4296"/>
      <c r="D4296"/>
      <c r="E4296"/>
      <c r="F4296"/>
      <c r="H4296"/>
      <c r="I4296"/>
      <c r="J4296"/>
      <c r="K4296"/>
      <c r="L4296"/>
    </row>
    <row r="4297" spans="2:12" ht="14.4" x14ac:dyDescent="0.3">
      <c r="B4297"/>
      <c r="C4297"/>
      <c r="D4297"/>
      <c r="E4297"/>
      <c r="F4297"/>
      <c r="H4297"/>
      <c r="I4297"/>
      <c r="J4297"/>
      <c r="K4297"/>
      <c r="L4297"/>
    </row>
    <row r="4298" spans="2:12" ht="14.4" x14ac:dyDescent="0.3">
      <c r="B4298"/>
      <c r="C4298"/>
      <c r="D4298"/>
      <c r="E4298"/>
      <c r="F4298"/>
      <c r="H4298"/>
      <c r="I4298"/>
      <c r="J4298"/>
      <c r="K4298"/>
      <c r="L4298"/>
    </row>
    <row r="4299" spans="2:12" ht="14.4" x14ac:dyDescent="0.3">
      <c r="B4299"/>
      <c r="C4299"/>
      <c r="D4299"/>
      <c r="E4299"/>
      <c r="F4299"/>
      <c r="H4299"/>
      <c r="I4299"/>
      <c r="J4299"/>
      <c r="K4299"/>
      <c r="L4299"/>
    </row>
    <row r="4300" spans="2:12" ht="14.4" x14ac:dyDescent="0.3">
      <c r="B4300"/>
      <c r="C4300"/>
      <c r="D4300"/>
      <c r="E4300"/>
      <c r="F4300"/>
      <c r="H4300"/>
      <c r="I4300"/>
      <c r="J4300"/>
      <c r="K4300"/>
      <c r="L4300"/>
    </row>
    <row r="4301" spans="2:12" ht="14.4" x14ac:dyDescent="0.3">
      <c r="B4301"/>
      <c r="C4301"/>
      <c r="D4301"/>
      <c r="E4301"/>
      <c r="F4301"/>
      <c r="H4301"/>
      <c r="I4301"/>
      <c r="J4301"/>
      <c r="K4301"/>
      <c r="L4301"/>
    </row>
    <row r="4302" spans="2:12" ht="14.4" x14ac:dyDescent="0.3">
      <c r="B4302"/>
      <c r="C4302"/>
      <c r="D4302"/>
      <c r="E4302"/>
      <c r="F4302"/>
      <c r="H4302"/>
      <c r="I4302"/>
      <c r="J4302"/>
      <c r="K4302"/>
      <c r="L4302"/>
    </row>
    <row r="4303" spans="2:12" ht="14.4" x14ac:dyDescent="0.3">
      <c r="B4303"/>
      <c r="C4303"/>
      <c r="D4303"/>
      <c r="E4303"/>
      <c r="F4303"/>
      <c r="H4303"/>
      <c r="I4303"/>
      <c r="J4303"/>
      <c r="K4303"/>
      <c r="L4303"/>
    </row>
    <row r="4304" spans="2:12" ht="14.4" x14ac:dyDescent="0.3">
      <c r="B4304"/>
      <c r="C4304"/>
      <c r="D4304"/>
      <c r="E4304"/>
      <c r="F4304"/>
      <c r="H4304"/>
      <c r="I4304"/>
      <c r="J4304"/>
      <c r="K4304"/>
      <c r="L4304"/>
    </row>
    <row r="4305" spans="2:12" ht="14.4" x14ac:dyDescent="0.3">
      <c r="B4305"/>
      <c r="C4305"/>
      <c r="D4305"/>
      <c r="E4305"/>
      <c r="F4305"/>
      <c r="H4305"/>
      <c r="I4305"/>
      <c r="J4305"/>
      <c r="K4305"/>
      <c r="L4305"/>
    </row>
    <row r="4306" spans="2:12" ht="14.4" x14ac:dyDescent="0.3">
      <c r="B4306"/>
      <c r="C4306"/>
      <c r="D4306"/>
      <c r="E4306"/>
      <c r="F4306"/>
      <c r="H4306"/>
      <c r="I4306"/>
      <c r="J4306"/>
      <c r="K4306"/>
      <c r="L4306"/>
    </row>
    <row r="4307" spans="2:12" ht="14.4" x14ac:dyDescent="0.3">
      <c r="B4307"/>
      <c r="C4307"/>
      <c r="D4307"/>
      <c r="E4307"/>
      <c r="F4307"/>
      <c r="H4307"/>
      <c r="I4307"/>
      <c r="J4307"/>
      <c r="K4307"/>
      <c r="L4307"/>
    </row>
    <row r="4308" spans="2:12" ht="14.4" x14ac:dyDescent="0.3">
      <c r="B4308"/>
      <c r="C4308"/>
      <c r="D4308"/>
      <c r="E4308"/>
      <c r="F4308"/>
      <c r="H4308"/>
      <c r="I4308"/>
      <c r="J4308"/>
      <c r="K4308"/>
      <c r="L4308"/>
    </row>
    <row r="4309" spans="2:12" ht="14.4" x14ac:dyDescent="0.3">
      <c r="B4309"/>
      <c r="C4309"/>
      <c r="D4309"/>
      <c r="E4309"/>
      <c r="F4309"/>
      <c r="H4309"/>
      <c r="I4309"/>
      <c r="J4309"/>
      <c r="K4309"/>
      <c r="L4309"/>
    </row>
    <row r="4310" spans="2:12" ht="14.4" x14ac:dyDescent="0.3">
      <c r="B4310"/>
      <c r="C4310"/>
      <c r="D4310"/>
      <c r="E4310"/>
      <c r="F4310"/>
      <c r="H4310"/>
      <c r="I4310"/>
      <c r="J4310"/>
      <c r="K4310"/>
      <c r="L4310"/>
    </row>
    <row r="4311" spans="2:12" ht="14.4" x14ac:dyDescent="0.3">
      <c r="B4311"/>
      <c r="C4311"/>
      <c r="D4311"/>
      <c r="E4311"/>
      <c r="F4311"/>
      <c r="H4311"/>
      <c r="I4311"/>
      <c r="J4311"/>
      <c r="K4311"/>
      <c r="L4311"/>
    </row>
    <row r="4312" spans="2:12" ht="14.4" x14ac:dyDescent="0.3">
      <c r="B4312"/>
      <c r="C4312"/>
      <c r="D4312"/>
      <c r="E4312"/>
      <c r="F4312"/>
      <c r="H4312"/>
      <c r="I4312"/>
      <c r="J4312"/>
      <c r="K4312"/>
      <c r="L4312"/>
    </row>
    <row r="4313" spans="2:12" ht="14.4" x14ac:dyDescent="0.3">
      <c r="B4313"/>
      <c r="C4313"/>
      <c r="D4313"/>
      <c r="E4313"/>
      <c r="F4313"/>
      <c r="H4313"/>
      <c r="I4313"/>
      <c r="J4313"/>
      <c r="K4313"/>
      <c r="L4313"/>
    </row>
    <row r="4314" spans="2:12" ht="14.4" x14ac:dyDescent="0.3">
      <c r="B4314"/>
      <c r="C4314"/>
      <c r="D4314"/>
      <c r="E4314"/>
      <c r="F4314"/>
      <c r="H4314"/>
      <c r="I4314"/>
      <c r="J4314"/>
      <c r="K4314"/>
      <c r="L4314"/>
    </row>
    <row r="4315" spans="2:12" ht="14.4" x14ac:dyDescent="0.3">
      <c r="B4315"/>
      <c r="C4315"/>
      <c r="D4315"/>
      <c r="E4315"/>
      <c r="F4315"/>
      <c r="H4315"/>
      <c r="I4315"/>
      <c r="J4315"/>
      <c r="K4315"/>
      <c r="L4315"/>
    </row>
    <row r="4316" spans="2:12" ht="14.4" x14ac:dyDescent="0.3">
      <c r="B4316"/>
      <c r="C4316"/>
      <c r="D4316"/>
      <c r="E4316"/>
      <c r="F4316"/>
      <c r="H4316"/>
      <c r="I4316"/>
      <c r="J4316"/>
      <c r="K4316"/>
      <c r="L4316"/>
    </row>
    <row r="4317" spans="2:12" ht="14.4" x14ac:dyDescent="0.3">
      <c r="B4317"/>
      <c r="C4317"/>
      <c r="D4317"/>
      <c r="E4317"/>
      <c r="F4317"/>
      <c r="H4317"/>
      <c r="I4317"/>
      <c r="J4317"/>
      <c r="K4317"/>
      <c r="L4317"/>
    </row>
    <row r="4318" spans="2:12" ht="14.4" x14ac:dyDescent="0.3">
      <c r="B4318"/>
      <c r="C4318"/>
      <c r="D4318"/>
      <c r="E4318"/>
      <c r="F4318"/>
      <c r="H4318"/>
      <c r="I4318"/>
      <c r="J4318"/>
      <c r="K4318"/>
      <c r="L4318"/>
    </row>
    <row r="4319" spans="2:12" ht="14.4" x14ac:dyDescent="0.3">
      <c r="B4319"/>
      <c r="C4319"/>
      <c r="D4319"/>
      <c r="E4319"/>
      <c r="F4319"/>
      <c r="H4319"/>
      <c r="I4319"/>
      <c r="J4319"/>
      <c r="K4319"/>
      <c r="L4319"/>
    </row>
    <row r="4320" spans="2:12" ht="14.4" x14ac:dyDescent="0.3">
      <c r="B4320"/>
      <c r="C4320"/>
      <c r="D4320"/>
      <c r="E4320"/>
      <c r="F4320"/>
      <c r="H4320"/>
      <c r="I4320"/>
      <c r="J4320"/>
      <c r="K4320"/>
      <c r="L4320"/>
    </row>
    <row r="4321" spans="2:12" ht="14.4" x14ac:dyDescent="0.3">
      <c r="B4321"/>
      <c r="C4321"/>
      <c r="D4321"/>
      <c r="E4321"/>
      <c r="F4321"/>
      <c r="H4321"/>
      <c r="I4321"/>
      <c r="J4321"/>
      <c r="K4321"/>
      <c r="L4321"/>
    </row>
    <row r="4322" spans="2:12" ht="14.4" x14ac:dyDescent="0.3">
      <c r="B4322"/>
      <c r="C4322"/>
      <c r="D4322"/>
      <c r="E4322"/>
      <c r="F4322"/>
      <c r="H4322"/>
      <c r="I4322"/>
      <c r="J4322"/>
      <c r="K4322"/>
      <c r="L4322"/>
    </row>
    <row r="4323" spans="2:12" ht="14.4" x14ac:dyDescent="0.3">
      <c r="B4323"/>
      <c r="C4323"/>
      <c r="D4323"/>
      <c r="E4323"/>
      <c r="F4323"/>
      <c r="H4323"/>
      <c r="I4323"/>
      <c r="J4323"/>
      <c r="K4323"/>
      <c r="L4323"/>
    </row>
    <row r="4324" spans="2:12" ht="14.4" x14ac:dyDescent="0.3">
      <c r="B4324"/>
      <c r="C4324"/>
      <c r="D4324"/>
      <c r="E4324"/>
      <c r="F4324"/>
      <c r="H4324"/>
      <c r="I4324"/>
      <c r="J4324"/>
      <c r="K4324"/>
      <c r="L4324"/>
    </row>
    <row r="4325" spans="2:12" ht="14.4" x14ac:dyDescent="0.3">
      <c r="B4325"/>
      <c r="C4325"/>
      <c r="D4325"/>
      <c r="E4325"/>
      <c r="F4325"/>
      <c r="H4325"/>
      <c r="I4325"/>
      <c r="J4325"/>
      <c r="K4325"/>
      <c r="L4325"/>
    </row>
    <row r="4326" spans="2:12" ht="14.4" x14ac:dyDescent="0.3">
      <c r="B4326"/>
      <c r="C4326"/>
      <c r="D4326"/>
      <c r="E4326"/>
      <c r="F4326"/>
      <c r="H4326"/>
      <c r="I4326"/>
      <c r="J4326"/>
      <c r="K4326"/>
      <c r="L4326"/>
    </row>
    <row r="4327" spans="2:12" ht="14.4" x14ac:dyDescent="0.3">
      <c r="B4327"/>
      <c r="C4327"/>
      <c r="D4327"/>
      <c r="E4327"/>
      <c r="F4327"/>
      <c r="H4327"/>
      <c r="I4327"/>
      <c r="J4327"/>
      <c r="K4327"/>
      <c r="L4327"/>
    </row>
    <row r="4328" spans="2:12" ht="14.4" x14ac:dyDescent="0.3">
      <c r="B4328"/>
      <c r="C4328"/>
      <c r="D4328"/>
      <c r="E4328"/>
      <c r="F4328"/>
      <c r="H4328"/>
      <c r="I4328"/>
      <c r="J4328"/>
      <c r="K4328"/>
      <c r="L4328"/>
    </row>
    <row r="4329" spans="2:12" ht="14.4" x14ac:dyDescent="0.3">
      <c r="B4329"/>
      <c r="C4329"/>
      <c r="D4329"/>
      <c r="E4329"/>
      <c r="F4329"/>
      <c r="H4329"/>
      <c r="I4329"/>
      <c r="J4329"/>
      <c r="K4329"/>
      <c r="L4329"/>
    </row>
    <row r="4330" spans="2:12" ht="14.4" x14ac:dyDescent="0.3">
      <c r="B4330"/>
      <c r="C4330"/>
      <c r="D4330"/>
      <c r="E4330"/>
      <c r="F4330"/>
      <c r="H4330"/>
      <c r="I4330"/>
      <c r="J4330"/>
      <c r="K4330"/>
      <c r="L4330"/>
    </row>
    <row r="4331" spans="2:12" ht="14.4" x14ac:dyDescent="0.3">
      <c r="B4331"/>
      <c r="C4331"/>
      <c r="D4331"/>
      <c r="E4331"/>
      <c r="F4331"/>
      <c r="H4331"/>
      <c r="I4331"/>
      <c r="J4331"/>
      <c r="K4331"/>
      <c r="L4331"/>
    </row>
    <row r="4332" spans="2:12" ht="14.4" x14ac:dyDescent="0.3">
      <c r="B4332"/>
      <c r="C4332"/>
      <c r="D4332"/>
      <c r="E4332"/>
      <c r="F4332"/>
      <c r="H4332"/>
      <c r="I4332"/>
      <c r="J4332"/>
      <c r="K4332"/>
      <c r="L4332"/>
    </row>
    <row r="4333" spans="2:12" ht="14.4" x14ac:dyDescent="0.3">
      <c r="B4333"/>
      <c r="C4333"/>
      <c r="D4333"/>
      <c r="E4333"/>
      <c r="F4333"/>
      <c r="H4333"/>
      <c r="I4333"/>
      <c r="J4333"/>
      <c r="K4333"/>
      <c r="L4333"/>
    </row>
    <row r="4334" spans="2:12" ht="14.4" x14ac:dyDescent="0.3">
      <c r="B4334"/>
      <c r="C4334"/>
      <c r="D4334"/>
      <c r="E4334"/>
      <c r="F4334"/>
      <c r="H4334"/>
      <c r="I4334"/>
      <c r="J4334"/>
      <c r="K4334"/>
      <c r="L4334"/>
    </row>
    <row r="4335" spans="2:12" ht="14.4" x14ac:dyDescent="0.3">
      <c r="B4335"/>
      <c r="C4335"/>
      <c r="D4335"/>
      <c r="E4335"/>
      <c r="F4335"/>
      <c r="H4335"/>
      <c r="I4335"/>
      <c r="J4335"/>
      <c r="K4335"/>
      <c r="L4335"/>
    </row>
    <row r="4336" spans="2:12" ht="14.4" x14ac:dyDescent="0.3">
      <c r="B4336"/>
      <c r="C4336"/>
      <c r="D4336"/>
      <c r="E4336"/>
      <c r="F4336"/>
      <c r="H4336"/>
      <c r="I4336"/>
      <c r="J4336"/>
      <c r="K4336"/>
      <c r="L4336"/>
    </row>
    <row r="4337" spans="2:12" ht="14.4" x14ac:dyDescent="0.3">
      <c r="B4337"/>
      <c r="C4337"/>
      <c r="D4337"/>
      <c r="E4337"/>
      <c r="F4337"/>
      <c r="H4337"/>
      <c r="I4337"/>
      <c r="J4337"/>
      <c r="K4337"/>
      <c r="L4337"/>
    </row>
    <row r="4338" spans="2:12" ht="14.4" x14ac:dyDescent="0.3">
      <c r="B4338"/>
      <c r="C4338"/>
      <c r="D4338"/>
      <c r="E4338"/>
      <c r="F4338"/>
      <c r="H4338"/>
      <c r="I4338"/>
      <c r="J4338"/>
      <c r="K4338"/>
      <c r="L4338"/>
    </row>
    <row r="4339" spans="2:12" ht="14.4" x14ac:dyDescent="0.3">
      <c r="B4339"/>
      <c r="C4339"/>
      <c r="D4339"/>
      <c r="E4339"/>
      <c r="F4339"/>
      <c r="H4339"/>
      <c r="I4339"/>
      <c r="J4339"/>
      <c r="K4339"/>
      <c r="L4339"/>
    </row>
    <row r="4340" spans="2:12" ht="14.4" x14ac:dyDescent="0.3">
      <c r="B4340"/>
      <c r="C4340"/>
      <c r="D4340"/>
      <c r="E4340"/>
      <c r="F4340"/>
      <c r="H4340"/>
      <c r="I4340"/>
      <c r="J4340"/>
      <c r="K4340"/>
      <c r="L4340"/>
    </row>
    <row r="4341" spans="2:12" ht="14.4" x14ac:dyDescent="0.3">
      <c r="B4341"/>
      <c r="C4341"/>
      <c r="D4341"/>
      <c r="E4341"/>
      <c r="F4341"/>
      <c r="H4341"/>
      <c r="I4341"/>
      <c r="J4341"/>
      <c r="K4341"/>
      <c r="L4341"/>
    </row>
    <row r="4342" spans="2:12" ht="14.4" x14ac:dyDescent="0.3">
      <c r="B4342"/>
      <c r="C4342"/>
      <c r="D4342"/>
      <c r="E4342"/>
      <c r="F4342"/>
      <c r="H4342"/>
      <c r="I4342"/>
      <c r="J4342"/>
      <c r="K4342"/>
      <c r="L4342"/>
    </row>
    <row r="4343" spans="2:12" ht="14.4" x14ac:dyDescent="0.3">
      <c r="B4343"/>
      <c r="C4343"/>
      <c r="D4343"/>
      <c r="E4343"/>
      <c r="F4343"/>
      <c r="H4343"/>
      <c r="I4343"/>
      <c r="J4343"/>
      <c r="K4343"/>
      <c r="L4343"/>
    </row>
    <row r="4344" spans="2:12" ht="14.4" x14ac:dyDescent="0.3">
      <c r="B4344"/>
      <c r="C4344"/>
      <c r="D4344"/>
      <c r="E4344"/>
      <c r="F4344"/>
      <c r="H4344"/>
      <c r="I4344"/>
      <c r="J4344"/>
      <c r="K4344"/>
      <c r="L4344"/>
    </row>
    <row r="4345" spans="2:12" ht="14.4" x14ac:dyDescent="0.3">
      <c r="B4345"/>
      <c r="C4345"/>
      <c r="D4345"/>
      <c r="E4345"/>
      <c r="F4345"/>
      <c r="H4345"/>
      <c r="I4345"/>
      <c r="J4345"/>
      <c r="K4345"/>
      <c r="L4345"/>
    </row>
    <row r="4346" spans="2:12" ht="14.4" x14ac:dyDescent="0.3">
      <c r="B4346"/>
      <c r="C4346"/>
      <c r="D4346"/>
      <c r="E4346"/>
      <c r="F4346"/>
      <c r="H4346"/>
      <c r="I4346"/>
      <c r="J4346"/>
      <c r="K4346"/>
      <c r="L4346"/>
    </row>
    <row r="4347" spans="2:12" ht="14.4" x14ac:dyDescent="0.3">
      <c r="B4347"/>
      <c r="C4347"/>
      <c r="D4347"/>
      <c r="E4347"/>
      <c r="F4347"/>
      <c r="H4347"/>
      <c r="I4347"/>
      <c r="J4347"/>
      <c r="K4347"/>
      <c r="L4347"/>
    </row>
    <row r="4348" spans="2:12" ht="14.4" x14ac:dyDescent="0.3">
      <c r="B4348"/>
      <c r="C4348"/>
      <c r="D4348"/>
      <c r="E4348"/>
      <c r="F4348"/>
      <c r="H4348"/>
      <c r="I4348"/>
      <c r="J4348"/>
      <c r="K4348"/>
      <c r="L4348"/>
    </row>
    <row r="4349" spans="2:12" ht="14.4" x14ac:dyDescent="0.3">
      <c r="B4349"/>
      <c r="C4349"/>
      <c r="D4349"/>
      <c r="E4349"/>
      <c r="F4349"/>
      <c r="H4349"/>
      <c r="I4349"/>
      <c r="J4349"/>
      <c r="K4349"/>
      <c r="L4349"/>
    </row>
    <row r="4350" spans="2:12" ht="14.4" x14ac:dyDescent="0.3">
      <c r="B4350"/>
      <c r="C4350"/>
      <c r="D4350"/>
      <c r="E4350"/>
      <c r="F4350"/>
      <c r="H4350"/>
      <c r="I4350"/>
      <c r="J4350"/>
      <c r="K4350"/>
      <c r="L4350"/>
    </row>
    <row r="4351" spans="2:12" ht="14.4" x14ac:dyDescent="0.3">
      <c r="B4351"/>
      <c r="C4351"/>
      <c r="D4351"/>
      <c r="E4351"/>
      <c r="F4351"/>
      <c r="H4351"/>
      <c r="I4351"/>
      <c r="J4351"/>
      <c r="K4351"/>
      <c r="L4351"/>
    </row>
    <row r="4352" spans="2:12" ht="14.4" x14ac:dyDescent="0.3">
      <c r="B4352"/>
      <c r="C4352"/>
      <c r="D4352"/>
      <c r="E4352"/>
      <c r="F4352"/>
      <c r="H4352"/>
      <c r="I4352"/>
      <c r="J4352"/>
      <c r="K4352"/>
      <c r="L4352"/>
    </row>
    <row r="4353" spans="2:12" ht="14.4" x14ac:dyDescent="0.3">
      <c r="B4353"/>
      <c r="C4353"/>
      <c r="D4353"/>
      <c r="E4353"/>
      <c r="F4353"/>
      <c r="H4353"/>
      <c r="I4353"/>
      <c r="J4353"/>
      <c r="K4353"/>
      <c r="L4353"/>
    </row>
    <row r="4354" spans="2:12" ht="14.4" x14ac:dyDescent="0.3">
      <c r="B4354"/>
      <c r="C4354"/>
      <c r="D4354"/>
      <c r="E4354"/>
      <c r="F4354"/>
      <c r="H4354"/>
      <c r="I4354"/>
      <c r="J4354"/>
      <c r="K4354"/>
      <c r="L4354"/>
    </row>
    <row r="4355" spans="2:12" ht="14.4" x14ac:dyDescent="0.3">
      <c r="B4355"/>
      <c r="C4355"/>
      <c r="D4355"/>
      <c r="E4355"/>
      <c r="F4355"/>
      <c r="H4355"/>
      <c r="I4355"/>
      <c r="J4355"/>
      <c r="K4355"/>
      <c r="L4355"/>
    </row>
    <row r="4356" spans="2:12" ht="14.4" x14ac:dyDescent="0.3">
      <c r="B4356"/>
      <c r="C4356"/>
      <c r="D4356"/>
      <c r="E4356"/>
      <c r="F4356"/>
      <c r="H4356"/>
      <c r="I4356"/>
      <c r="J4356"/>
      <c r="K4356"/>
      <c r="L4356"/>
    </row>
    <row r="4357" spans="2:12" ht="14.4" x14ac:dyDescent="0.3">
      <c r="B4357"/>
      <c r="C4357"/>
      <c r="D4357"/>
      <c r="E4357"/>
      <c r="F4357"/>
      <c r="H4357"/>
      <c r="I4357"/>
      <c r="J4357"/>
      <c r="K4357"/>
      <c r="L4357"/>
    </row>
    <row r="4358" spans="2:12" ht="14.4" x14ac:dyDescent="0.3">
      <c r="B4358"/>
      <c r="C4358"/>
      <c r="D4358"/>
      <c r="E4358"/>
      <c r="F4358"/>
      <c r="H4358"/>
      <c r="I4358"/>
      <c r="J4358"/>
      <c r="K4358"/>
      <c r="L4358"/>
    </row>
    <row r="4359" spans="2:12" ht="14.4" x14ac:dyDescent="0.3">
      <c r="B4359"/>
      <c r="C4359"/>
      <c r="D4359"/>
      <c r="E4359"/>
      <c r="F4359"/>
      <c r="H4359"/>
      <c r="I4359"/>
      <c r="J4359"/>
      <c r="K4359"/>
      <c r="L4359"/>
    </row>
    <row r="4360" spans="2:12" ht="14.4" x14ac:dyDescent="0.3">
      <c r="B4360"/>
      <c r="C4360"/>
      <c r="D4360"/>
      <c r="E4360"/>
      <c r="F4360"/>
      <c r="H4360"/>
      <c r="I4360"/>
      <c r="J4360"/>
      <c r="K4360"/>
      <c r="L4360"/>
    </row>
    <row r="4361" spans="2:12" ht="14.4" x14ac:dyDescent="0.3">
      <c r="B4361"/>
      <c r="C4361"/>
      <c r="D4361"/>
      <c r="E4361"/>
      <c r="F4361"/>
      <c r="H4361"/>
      <c r="I4361"/>
      <c r="J4361"/>
      <c r="K4361"/>
      <c r="L4361"/>
    </row>
    <row r="4362" spans="2:12" ht="14.4" x14ac:dyDescent="0.3">
      <c r="B4362"/>
      <c r="C4362"/>
      <c r="D4362"/>
      <c r="E4362"/>
      <c r="F4362"/>
      <c r="H4362"/>
      <c r="I4362"/>
      <c r="J4362"/>
      <c r="K4362"/>
      <c r="L4362"/>
    </row>
    <row r="4363" spans="2:12" ht="14.4" x14ac:dyDescent="0.3">
      <c r="B4363"/>
      <c r="C4363"/>
      <c r="D4363"/>
      <c r="E4363"/>
      <c r="F4363"/>
      <c r="H4363"/>
      <c r="I4363"/>
      <c r="J4363"/>
      <c r="K4363"/>
      <c r="L4363"/>
    </row>
    <row r="4364" spans="2:12" ht="14.4" x14ac:dyDescent="0.3">
      <c r="B4364"/>
      <c r="C4364"/>
      <c r="D4364"/>
      <c r="E4364"/>
      <c r="F4364"/>
      <c r="H4364"/>
      <c r="I4364"/>
      <c r="J4364"/>
      <c r="K4364"/>
      <c r="L4364"/>
    </row>
    <row r="4365" spans="2:12" ht="14.4" x14ac:dyDescent="0.3">
      <c r="B4365"/>
      <c r="C4365"/>
      <c r="D4365"/>
      <c r="E4365"/>
      <c r="F4365"/>
      <c r="H4365"/>
      <c r="I4365"/>
      <c r="J4365"/>
      <c r="K4365"/>
      <c r="L4365"/>
    </row>
    <row r="4366" spans="2:12" ht="14.4" x14ac:dyDescent="0.3">
      <c r="B4366"/>
      <c r="C4366"/>
      <c r="D4366"/>
      <c r="E4366"/>
      <c r="F4366"/>
      <c r="H4366"/>
      <c r="I4366"/>
      <c r="J4366"/>
      <c r="K4366"/>
      <c r="L4366"/>
    </row>
    <row r="4367" spans="2:12" ht="14.4" x14ac:dyDescent="0.3">
      <c r="B4367"/>
      <c r="C4367"/>
      <c r="D4367"/>
      <c r="E4367"/>
      <c r="F4367"/>
      <c r="H4367"/>
      <c r="I4367"/>
      <c r="J4367"/>
      <c r="K4367"/>
      <c r="L4367"/>
    </row>
    <row r="4368" spans="2:12" ht="14.4" x14ac:dyDescent="0.3">
      <c r="B4368"/>
      <c r="C4368"/>
      <c r="D4368"/>
      <c r="E4368"/>
      <c r="F4368"/>
      <c r="H4368"/>
      <c r="I4368"/>
      <c r="J4368"/>
      <c r="K4368"/>
      <c r="L4368"/>
    </row>
    <row r="4369" spans="2:12" ht="14.4" x14ac:dyDescent="0.3">
      <c r="B4369"/>
      <c r="C4369"/>
      <c r="D4369"/>
      <c r="E4369"/>
      <c r="F4369"/>
      <c r="H4369"/>
      <c r="I4369"/>
      <c r="J4369"/>
      <c r="K4369"/>
      <c r="L4369"/>
    </row>
    <row r="4370" spans="2:12" ht="14.4" x14ac:dyDescent="0.3">
      <c r="B4370"/>
      <c r="C4370"/>
      <c r="D4370"/>
      <c r="E4370"/>
      <c r="F4370"/>
      <c r="H4370"/>
      <c r="I4370"/>
      <c r="J4370"/>
      <c r="K4370"/>
      <c r="L4370"/>
    </row>
    <row r="4371" spans="2:12" ht="14.4" x14ac:dyDescent="0.3">
      <c r="B4371"/>
      <c r="C4371"/>
      <c r="D4371"/>
      <c r="E4371"/>
      <c r="F4371"/>
      <c r="H4371"/>
      <c r="I4371"/>
      <c r="J4371"/>
      <c r="K4371"/>
      <c r="L4371"/>
    </row>
    <row r="4372" spans="2:12" ht="14.4" x14ac:dyDescent="0.3">
      <c r="B4372"/>
      <c r="C4372"/>
      <c r="D4372"/>
      <c r="E4372"/>
      <c r="F4372"/>
      <c r="H4372"/>
      <c r="I4372"/>
      <c r="J4372"/>
      <c r="K4372"/>
      <c r="L4372"/>
    </row>
    <row r="4373" spans="2:12" ht="14.4" x14ac:dyDescent="0.3">
      <c r="B4373"/>
      <c r="C4373"/>
      <c r="D4373"/>
      <c r="E4373"/>
      <c r="F4373"/>
      <c r="H4373"/>
      <c r="I4373"/>
      <c r="J4373"/>
      <c r="K4373"/>
      <c r="L4373"/>
    </row>
    <row r="4374" spans="2:12" ht="14.4" x14ac:dyDescent="0.3">
      <c r="B4374"/>
      <c r="C4374"/>
      <c r="D4374"/>
      <c r="E4374"/>
      <c r="F4374"/>
      <c r="H4374"/>
      <c r="I4374"/>
      <c r="J4374"/>
      <c r="K4374"/>
      <c r="L4374"/>
    </row>
    <row r="4375" spans="2:12" ht="14.4" x14ac:dyDescent="0.3">
      <c r="B4375"/>
      <c r="C4375"/>
      <c r="D4375"/>
      <c r="E4375"/>
      <c r="F4375"/>
      <c r="H4375"/>
      <c r="I4375"/>
      <c r="J4375"/>
      <c r="K4375"/>
      <c r="L4375"/>
    </row>
    <row r="4376" spans="2:12" ht="14.4" x14ac:dyDescent="0.3">
      <c r="B4376"/>
      <c r="C4376"/>
      <c r="D4376"/>
      <c r="E4376"/>
      <c r="F4376"/>
      <c r="H4376"/>
      <c r="I4376"/>
      <c r="J4376"/>
      <c r="K4376"/>
      <c r="L4376"/>
    </row>
    <row r="4377" spans="2:12" ht="14.4" x14ac:dyDescent="0.3">
      <c r="B4377"/>
      <c r="C4377"/>
      <c r="D4377"/>
      <c r="E4377"/>
      <c r="F4377"/>
      <c r="H4377"/>
      <c r="I4377"/>
      <c r="J4377"/>
      <c r="K4377"/>
      <c r="L4377"/>
    </row>
    <row r="4378" spans="2:12" ht="14.4" x14ac:dyDescent="0.3">
      <c r="B4378"/>
      <c r="C4378"/>
      <c r="D4378"/>
      <c r="E4378"/>
      <c r="F4378"/>
      <c r="H4378"/>
      <c r="I4378"/>
      <c r="J4378"/>
      <c r="K4378"/>
      <c r="L4378"/>
    </row>
    <row r="4379" spans="2:12" ht="14.4" x14ac:dyDescent="0.3">
      <c r="B4379"/>
      <c r="C4379"/>
      <c r="D4379"/>
      <c r="E4379"/>
      <c r="F4379"/>
      <c r="H4379"/>
      <c r="I4379"/>
      <c r="J4379"/>
      <c r="K4379"/>
      <c r="L4379"/>
    </row>
    <row r="4380" spans="2:12" ht="14.4" x14ac:dyDescent="0.3">
      <c r="B4380"/>
      <c r="C4380"/>
      <c r="D4380"/>
      <c r="E4380"/>
      <c r="F4380"/>
      <c r="H4380"/>
      <c r="I4380"/>
      <c r="J4380"/>
      <c r="K4380"/>
      <c r="L4380"/>
    </row>
    <row r="4381" spans="2:12" ht="14.4" x14ac:dyDescent="0.3">
      <c r="B4381"/>
      <c r="C4381"/>
      <c r="D4381"/>
      <c r="E4381"/>
      <c r="F4381"/>
      <c r="H4381"/>
      <c r="I4381"/>
      <c r="J4381"/>
      <c r="K4381"/>
      <c r="L4381"/>
    </row>
    <row r="4382" spans="2:12" ht="14.4" x14ac:dyDescent="0.3">
      <c r="B4382"/>
      <c r="C4382"/>
      <c r="D4382"/>
      <c r="E4382"/>
      <c r="F4382"/>
      <c r="H4382"/>
      <c r="I4382"/>
      <c r="J4382"/>
      <c r="K4382"/>
      <c r="L4382"/>
    </row>
    <row r="4383" spans="2:12" ht="14.4" x14ac:dyDescent="0.3">
      <c r="B4383"/>
      <c r="C4383"/>
      <c r="D4383"/>
      <c r="E4383"/>
      <c r="F4383"/>
      <c r="H4383"/>
      <c r="I4383"/>
      <c r="J4383"/>
      <c r="K4383"/>
      <c r="L4383"/>
    </row>
    <row r="4384" spans="2:12" ht="14.4" x14ac:dyDescent="0.3">
      <c r="B4384"/>
      <c r="C4384"/>
      <c r="D4384"/>
      <c r="E4384"/>
      <c r="F4384"/>
      <c r="H4384"/>
      <c r="I4384"/>
      <c r="J4384"/>
      <c r="K4384"/>
      <c r="L4384"/>
    </row>
    <row r="4385" spans="2:12" ht="14.4" x14ac:dyDescent="0.3">
      <c r="B4385"/>
      <c r="C4385"/>
      <c r="D4385"/>
      <c r="E4385"/>
      <c r="F4385"/>
      <c r="H4385"/>
      <c r="I4385"/>
      <c r="J4385"/>
      <c r="K4385"/>
      <c r="L4385"/>
    </row>
    <row r="4386" spans="2:12" ht="14.4" x14ac:dyDescent="0.3">
      <c r="B4386"/>
      <c r="C4386"/>
      <c r="D4386"/>
      <c r="E4386"/>
      <c r="F4386"/>
      <c r="H4386"/>
      <c r="I4386"/>
      <c r="J4386"/>
      <c r="K4386"/>
      <c r="L4386"/>
    </row>
    <row r="4387" spans="2:12" ht="14.4" x14ac:dyDescent="0.3">
      <c r="B4387"/>
      <c r="C4387"/>
      <c r="D4387"/>
      <c r="E4387"/>
      <c r="F4387"/>
      <c r="H4387"/>
      <c r="I4387"/>
      <c r="J4387"/>
      <c r="K4387"/>
      <c r="L4387"/>
    </row>
    <row r="4388" spans="2:12" ht="14.4" x14ac:dyDescent="0.3">
      <c r="B4388"/>
      <c r="C4388"/>
      <c r="D4388"/>
      <c r="E4388"/>
      <c r="F4388"/>
      <c r="H4388"/>
      <c r="I4388"/>
      <c r="J4388"/>
      <c r="K4388"/>
      <c r="L4388"/>
    </row>
    <row r="4389" spans="2:12" ht="14.4" x14ac:dyDescent="0.3">
      <c r="B4389"/>
      <c r="C4389"/>
      <c r="D4389"/>
      <c r="E4389"/>
      <c r="F4389"/>
      <c r="H4389"/>
      <c r="I4389"/>
      <c r="J4389"/>
      <c r="K4389"/>
      <c r="L4389"/>
    </row>
    <row r="4390" spans="2:12" ht="14.4" x14ac:dyDescent="0.3">
      <c r="B4390"/>
      <c r="C4390"/>
      <c r="D4390"/>
      <c r="E4390"/>
      <c r="F4390"/>
      <c r="H4390"/>
      <c r="I4390"/>
      <c r="J4390"/>
      <c r="K4390"/>
      <c r="L4390"/>
    </row>
    <row r="4391" spans="2:12" ht="14.4" x14ac:dyDescent="0.3">
      <c r="B4391"/>
      <c r="C4391"/>
      <c r="D4391"/>
      <c r="E4391"/>
      <c r="F4391"/>
      <c r="H4391"/>
      <c r="I4391"/>
      <c r="J4391"/>
      <c r="K4391"/>
      <c r="L4391"/>
    </row>
    <row r="4392" spans="2:12" ht="14.4" x14ac:dyDescent="0.3">
      <c r="B4392"/>
      <c r="C4392"/>
      <c r="D4392"/>
      <c r="E4392"/>
      <c r="F4392"/>
      <c r="H4392"/>
      <c r="I4392"/>
      <c r="J4392"/>
      <c r="K4392"/>
      <c r="L4392"/>
    </row>
    <row r="4393" spans="2:12" ht="14.4" x14ac:dyDescent="0.3">
      <c r="B4393"/>
      <c r="C4393"/>
      <c r="D4393"/>
      <c r="E4393"/>
      <c r="F4393"/>
      <c r="H4393"/>
      <c r="I4393"/>
      <c r="J4393"/>
      <c r="K4393"/>
      <c r="L4393"/>
    </row>
    <row r="4394" spans="2:12" ht="14.4" x14ac:dyDescent="0.3">
      <c r="B4394"/>
      <c r="C4394"/>
      <c r="D4394"/>
      <c r="E4394"/>
      <c r="F4394"/>
      <c r="H4394"/>
      <c r="I4394"/>
      <c r="J4394"/>
      <c r="K4394"/>
      <c r="L4394"/>
    </row>
    <row r="4395" spans="2:12" ht="14.4" x14ac:dyDescent="0.3">
      <c r="B4395"/>
      <c r="C4395"/>
      <c r="D4395"/>
      <c r="E4395"/>
      <c r="F4395"/>
      <c r="H4395"/>
      <c r="I4395"/>
      <c r="J4395"/>
      <c r="K4395"/>
      <c r="L4395"/>
    </row>
    <row r="4396" spans="2:12" ht="14.4" x14ac:dyDescent="0.3">
      <c r="B4396"/>
      <c r="C4396"/>
      <c r="D4396"/>
      <c r="E4396"/>
      <c r="F4396"/>
      <c r="H4396"/>
      <c r="I4396"/>
      <c r="J4396"/>
      <c r="K4396"/>
      <c r="L4396"/>
    </row>
    <row r="4397" spans="2:12" ht="14.4" x14ac:dyDescent="0.3">
      <c r="B4397"/>
      <c r="C4397"/>
      <c r="D4397"/>
      <c r="E4397"/>
      <c r="F4397"/>
      <c r="H4397"/>
      <c r="I4397"/>
      <c r="J4397"/>
      <c r="K4397"/>
      <c r="L4397"/>
    </row>
    <row r="4398" spans="2:12" ht="14.4" x14ac:dyDescent="0.3">
      <c r="B4398"/>
      <c r="C4398"/>
      <c r="D4398"/>
      <c r="E4398"/>
      <c r="F4398"/>
      <c r="H4398"/>
      <c r="I4398"/>
      <c r="J4398"/>
      <c r="K4398"/>
      <c r="L4398"/>
    </row>
    <row r="4399" spans="2:12" ht="14.4" x14ac:dyDescent="0.3">
      <c r="B4399"/>
      <c r="C4399"/>
      <c r="D4399"/>
      <c r="E4399"/>
      <c r="F4399"/>
      <c r="H4399"/>
      <c r="I4399"/>
      <c r="J4399"/>
      <c r="K4399"/>
      <c r="L4399"/>
    </row>
    <row r="4400" spans="2:12" ht="14.4" x14ac:dyDescent="0.3">
      <c r="B4400"/>
      <c r="C4400"/>
      <c r="D4400"/>
      <c r="E4400"/>
      <c r="F4400"/>
      <c r="H4400"/>
      <c r="I4400"/>
      <c r="J4400"/>
      <c r="K4400"/>
      <c r="L4400"/>
    </row>
    <row r="4401" spans="2:12" ht="14.4" x14ac:dyDescent="0.3">
      <c r="B4401"/>
      <c r="C4401"/>
      <c r="D4401"/>
      <c r="E4401"/>
      <c r="F4401"/>
      <c r="H4401"/>
      <c r="I4401"/>
      <c r="J4401"/>
      <c r="K4401"/>
      <c r="L4401"/>
    </row>
    <row r="4402" spans="2:12" ht="14.4" x14ac:dyDescent="0.3">
      <c r="B4402"/>
      <c r="C4402"/>
      <c r="D4402"/>
      <c r="E4402"/>
      <c r="F4402"/>
      <c r="H4402"/>
      <c r="I4402"/>
      <c r="J4402"/>
      <c r="K4402"/>
      <c r="L4402"/>
    </row>
    <row r="4403" spans="2:12" ht="14.4" x14ac:dyDescent="0.3">
      <c r="B4403"/>
      <c r="C4403"/>
      <c r="D4403"/>
      <c r="E4403"/>
      <c r="F4403"/>
      <c r="H4403"/>
      <c r="I4403"/>
      <c r="J4403"/>
      <c r="K4403"/>
      <c r="L4403"/>
    </row>
    <row r="4404" spans="2:12" ht="14.4" x14ac:dyDescent="0.3">
      <c r="B4404"/>
      <c r="C4404"/>
      <c r="D4404"/>
      <c r="E4404"/>
      <c r="F4404"/>
      <c r="H4404"/>
      <c r="I4404"/>
      <c r="J4404"/>
      <c r="K4404"/>
      <c r="L4404"/>
    </row>
    <row r="4405" spans="2:12" ht="14.4" x14ac:dyDescent="0.3">
      <c r="B4405"/>
      <c r="C4405"/>
      <c r="D4405"/>
      <c r="E4405"/>
      <c r="F4405"/>
      <c r="H4405"/>
      <c r="I4405"/>
      <c r="J4405"/>
      <c r="K4405"/>
      <c r="L4405"/>
    </row>
    <row r="4406" spans="2:12" ht="14.4" x14ac:dyDescent="0.3">
      <c r="B4406"/>
      <c r="C4406"/>
      <c r="D4406"/>
      <c r="E4406"/>
      <c r="F4406"/>
      <c r="H4406"/>
      <c r="I4406"/>
      <c r="J4406"/>
      <c r="K4406"/>
      <c r="L4406"/>
    </row>
    <row r="4407" spans="2:12" ht="14.4" x14ac:dyDescent="0.3">
      <c r="B4407"/>
      <c r="C4407"/>
      <c r="D4407"/>
      <c r="E4407"/>
      <c r="F4407"/>
      <c r="H4407"/>
      <c r="I4407"/>
      <c r="J4407"/>
      <c r="K4407"/>
      <c r="L4407"/>
    </row>
    <row r="4408" spans="2:12" ht="14.4" x14ac:dyDescent="0.3">
      <c r="B4408"/>
      <c r="C4408"/>
      <c r="D4408"/>
      <c r="E4408"/>
      <c r="F4408"/>
      <c r="H4408"/>
      <c r="I4408"/>
      <c r="J4408"/>
      <c r="K4408"/>
      <c r="L4408"/>
    </row>
    <row r="4409" spans="2:12" ht="14.4" x14ac:dyDescent="0.3">
      <c r="B4409"/>
      <c r="C4409"/>
      <c r="D4409"/>
      <c r="E4409"/>
      <c r="F4409"/>
      <c r="H4409"/>
      <c r="I4409"/>
      <c r="J4409"/>
      <c r="K4409"/>
      <c r="L4409"/>
    </row>
    <row r="4410" spans="2:12" ht="14.4" x14ac:dyDescent="0.3">
      <c r="B4410"/>
      <c r="C4410"/>
      <c r="D4410"/>
      <c r="E4410"/>
      <c r="F4410"/>
      <c r="H4410"/>
      <c r="I4410"/>
      <c r="J4410"/>
      <c r="K4410"/>
      <c r="L4410"/>
    </row>
    <row r="4411" spans="2:12" ht="14.4" x14ac:dyDescent="0.3">
      <c r="B4411"/>
      <c r="C4411"/>
      <c r="D4411"/>
      <c r="E4411"/>
      <c r="F4411"/>
      <c r="H4411"/>
      <c r="I4411"/>
      <c r="J4411"/>
      <c r="K4411"/>
      <c r="L4411"/>
    </row>
    <row r="4412" spans="2:12" ht="14.4" x14ac:dyDescent="0.3">
      <c r="B4412"/>
      <c r="C4412"/>
      <c r="D4412"/>
      <c r="E4412"/>
      <c r="F4412"/>
      <c r="H4412"/>
      <c r="I4412"/>
      <c r="J4412"/>
      <c r="K4412"/>
      <c r="L4412"/>
    </row>
    <row r="4413" spans="2:12" ht="14.4" x14ac:dyDescent="0.3">
      <c r="B4413"/>
      <c r="C4413"/>
      <c r="D4413"/>
      <c r="E4413"/>
      <c r="F4413"/>
      <c r="H4413"/>
      <c r="I4413"/>
      <c r="J4413"/>
      <c r="K4413"/>
      <c r="L4413"/>
    </row>
    <row r="4414" spans="2:12" ht="14.4" x14ac:dyDescent="0.3">
      <c r="B4414"/>
      <c r="C4414"/>
      <c r="D4414"/>
      <c r="E4414"/>
      <c r="F4414"/>
      <c r="H4414"/>
      <c r="I4414"/>
      <c r="J4414"/>
      <c r="K4414"/>
      <c r="L4414"/>
    </row>
    <row r="4415" spans="2:12" ht="14.4" x14ac:dyDescent="0.3">
      <c r="B4415"/>
      <c r="C4415"/>
      <c r="D4415"/>
      <c r="E4415"/>
      <c r="F4415"/>
      <c r="H4415"/>
      <c r="I4415"/>
      <c r="J4415"/>
      <c r="K4415"/>
      <c r="L4415"/>
    </row>
    <row r="4416" spans="2:12" ht="14.4" x14ac:dyDescent="0.3">
      <c r="B4416"/>
      <c r="C4416"/>
      <c r="D4416"/>
      <c r="E4416"/>
      <c r="F4416"/>
      <c r="H4416"/>
      <c r="I4416"/>
      <c r="J4416"/>
      <c r="K4416"/>
      <c r="L4416"/>
    </row>
    <row r="4417" spans="2:12" ht="14.4" x14ac:dyDescent="0.3">
      <c r="B4417"/>
      <c r="C4417"/>
      <c r="D4417"/>
      <c r="E4417"/>
      <c r="F4417"/>
      <c r="H4417"/>
      <c r="I4417"/>
      <c r="J4417"/>
      <c r="K4417"/>
      <c r="L4417"/>
    </row>
    <row r="4418" spans="2:12" ht="14.4" x14ac:dyDescent="0.3">
      <c r="B4418"/>
      <c r="C4418"/>
      <c r="D4418"/>
      <c r="E4418"/>
      <c r="F4418"/>
      <c r="H4418"/>
      <c r="I4418"/>
      <c r="J4418"/>
      <c r="K4418"/>
      <c r="L4418"/>
    </row>
    <row r="4419" spans="2:12" ht="14.4" x14ac:dyDescent="0.3">
      <c r="B4419"/>
      <c r="C4419"/>
      <c r="D4419"/>
      <c r="E4419"/>
      <c r="F4419"/>
      <c r="H4419"/>
      <c r="I4419"/>
      <c r="J4419"/>
      <c r="K4419"/>
      <c r="L4419"/>
    </row>
    <row r="4420" spans="2:12" ht="14.4" x14ac:dyDescent="0.3">
      <c r="B4420"/>
      <c r="C4420"/>
      <c r="D4420"/>
      <c r="E4420"/>
      <c r="F4420"/>
      <c r="H4420"/>
      <c r="I4420"/>
      <c r="J4420"/>
      <c r="K4420"/>
      <c r="L4420"/>
    </row>
    <row r="4421" spans="2:12" ht="14.4" x14ac:dyDescent="0.3">
      <c r="B4421"/>
      <c r="C4421"/>
      <c r="D4421"/>
      <c r="E4421"/>
      <c r="F4421"/>
      <c r="H4421"/>
      <c r="I4421"/>
      <c r="J4421"/>
      <c r="K4421"/>
      <c r="L4421"/>
    </row>
    <row r="4422" spans="2:12" ht="14.4" x14ac:dyDescent="0.3">
      <c r="B4422"/>
      <c r="C4422"/>
      <c r="D4422"/>
      <c r="E4422"/>
      <c r="F4422"/>
      <c r="H4422"/>
      <c r="I4422"/>
      <c r="J4422"/>
      <c r="K4422"/>
      <c r="L4422"/>
    </row>
    <row r="4423" spans="2:12" ht="14.4" x14ac:dyDescent="0.3">
      <c r="B4423"/>
      <c r="C4423"/>
      <c r="D4423"/>
      <c r="E4423"/>
      <c r="F4423"/>
      <c r="H4423"/>
      <c r="I4423"/>
      <c r="J4423"/>
      <c r="K4423"/>
      <c r="L4423"/>
    </row>
    <row r="4424" spans="2:12" ht="14.4" x14ac:dyDescent="0.3">
      <c r="B4424"/>
      <c r="C4424"/>
      <c r="D4424"/>
      <c r="E4424"/>
      <c r="F4424"/>
      <c r="H4424"/>
      <c r="I4424"/>
      <c r="J4424"/>
      <c r="K4424"/>
      <c r="L4424"/>
    </row>
    <row r="4425" spans="2:12" ht="14.4" x14ac:dyDescent="0.3">
      <c r="B4425"/>
      <c r="C4425"/>
      <c r="D4425"/>
      <c r="E4425"/>
      <c r="F4425"/>
      <c r="H4425"/>
      <c r="I4425"/>
      <c r="J4425"/>
      <c r="K4425"/>
      <c r="L4425"/>
    </row>
    <row r="4426" spans="2:12" ht="14.4" x14ac:dyDescent="0.3">
      <c r="B4426"/>
      <c r="C4426"/>
      <c r="D4426"/>
      <c r="E4426"/>
      <c r="F4426"/>
      <c r="H4426"/>
      <c r="I4426"/>
      <c r="J4426"/>
      <c r="K4426"/>
      <c r="L4426"/>
    </row>
    <row r="4427" spans="2:12" ht="14.4" x14ac:dyDescent="0.3">
      <c r="B4427"/>
      <c r="C4427"/>
      <c r="D4427"/>
      <c r="E4427"/>
      <c r="F4427"/>
      <c r="H4427"/>
      <c r="I4427"/>
      <c r="J4427"/>
      <c r="K4427"/>
      <c r="L4427"/>
    </row>
    <row r="4428" spans="2:12" ht="14.4" x14ac:dyDescent="0.3">
      <c r="B4428"/>
      <c r="C4428"/>
      <c r="D4428"/>
      <c r="E4428"/>
      <c r="F4428"/>
      <c r="H4428"/>
      <c r="I4428"/>
      <c r="J4428"/>
      <c r="K4428"/>
      <c r="L4428"/>
    </row>
    <row r="4429" spans="2:12" ht="14.4" x14ac:dyDescent="0.3">
      <c r="B4429"/>
      <c r="C4429"/>
      <c r="D4429"/>
      <c r="E4429"/>
      <c r="F4429"/>
      <c r="H4429"/>
      <c r="I4429"/>
      <c r="J4429"/>
      <c r="K4429"/>
      <c r="L4429"/>
    </row>
    <row r="4430" spans="2:12" ht="14.4" x14ac:dyDescent="0.3">
      <c r="B4430"/>
      <c r="C4430"/>
      <c r="D4430"/>
      <c r="E4430"/>
      <c r="F4430"/>
      <c r="H4430"/>
      <c r="I4430"/>
      <c r="J4430"/>
      <c r="K4430"/>
      <c r="L4430"/>
    </row>
    <row r="4431" spans="2:12" ht="14.4" x14ac:dyDescent="0.3">
      <c r="B4431"/>
      <c r="C4431"/>
      <c r="D4431"/>
      <c r="E4431"/>
      <c r="F4431"/>
      <c r="H4431"/>
      <c r="I4431"/>
      <c r="J4431"/>
      <c r="K4431"/>
      <c r="L4431"/>
    </row>
    <row r="4432" spans="2:12" ht="14.4" x14ac:dyDescent="0.3">
      <c r="B4432"/>
      <c r="C4432"/>
      <c r="D4432"/>
      <c r="E4432"/>
      <c r="F4432"/>
      <c r="H4432"/>
      <c r="I4432"/>
      <c r="J4432"/>
      <c r="K4432"/>
      <c r="L4432"/>
    </row>
    <row r="4433" spans="2:12" ht="14.4" x14ac:dyDescent="0.3">
      <c r="B4433"/>
      <c r="C4433"/>
      <c r="D4433"/>
      <c r="E4433"/>
      <c r="F4433"/>
      <c r="H4433"/>
      <c r="I4433"/>
      <c r="J4433"/>
      <c r="K4433"/>
      <c r="L4433"/>
    </row>
    <row r="4434" spans="2:12" ht="14.4" x14ac:dyDescent="0.3">
      <c r="B4434"/>
      <c r="C4434"/>
      <c r="D4434"/>
      <c r="E4434"/>
      <c r="F4434"/>
      <c r="H4434"/>
      <c r="I4434"/>
      <c r="J4434"/>
      <c r="K4434"/>
      <c r="L4434"/>
    </row>
    <row r="4435" spans="2:12" ht="14.4" x14ac:dyDescent="0.3">
      <c r="B4435"/>
      <c r="C4435"/>
      <c r="D4435"/>
      <c r="E4435"/>
      <c r="F4435"/>
      <c r="H4435"/>
      <c r="I4435"/>
      <c r="J4435"/>
      <c r="K4435"/>
      <c r="L4435"/>
    </row>
    <row r="4436" spans="2:12" ht="14.4" x14ac:dyDescent="0.3">
      <c r="B4436"/>
      <c r="C4436"/>
      <c r="D4436"/>
      <c r="E4436"/>
      <c r="F4436"/>
      <c r="H4436"/>
      <c r="I4436"/>
      <c r="J4436"/>
      <c r="K4436"/>
      <c r="L4436"/>
    </row>
    <row r="4437" spans="2:12" ht="14.4" x14ac:dyDescent="0.3">
      <c r="B4437"/>
      <c r="C4437"/>
      <c r="D4437"/>
      <c r="E4437"/>
      <c r="F4437"/>
      <c r="H4437"/>
      <c r="I4437"/>
      <c r="J4437"/>
      <c r="K4437"/>
      <c r="L4437"/>
    </row>
    <row r="4438" spans="2:12" ht="14.4" x14ac:dyDescent="0.3">
      <c r="B4438"/>
      <c r="C4438"/>
      <c r="D4438"/>
      <c r="E4438"/>
      <c r="F4438"/>
      <c r="H4438"/>
      <c r="I4438"/>
      <c r="J4438"/>
      <c r="K4438"/>
      <c r="L4438"/>
    </row>
    <row r="4439" spans="2:12" ht="14.4" x14ac:dyDescent="0.3">
      <c r="B4439"/>
      <c r="C4439"/>
      <c r="D4439"/>
      <c r="E4439"/>
      <c r="F4439"/>
      <c r="H4439"/>
      <c r="I4439"/>
      <c r="J4439"/>
      <c r="K4439"/>
      <c r="L4439"/>
    </row>
    <row r="4440" spans="2:12" ht="14.4" x14ac:dyDescent="0.3">
      <c r="B4440"/>
      <c r="C4440"/>
      <c r="D4440"/>
      <c r="E4440"/>
      <c r="F4440"/>
      <c r="H4440"/>
      <c r="I4440"/>
      <c r="J4440"/>
      <c r="K4440"/>
      <c r="L4440"/>
    </row>
    <row r="4441" spans="2:12" ht="14.4" x14ac:dyDescent="0.3">
      <c r="B4441"/>
      <c r="C4441"/>
      <c r="D4441"/>
      <c r="E4441"/>
      <c r="F4441"/>
      <c r="H4441"/>
      <c r="I4441"/>
      <c r="J4441"/>
      <c r="K4441"/>
      <c r="L4441"/>
    </row>
    <row r="4442" spans="2:12" ht="14.4" x14ac:dyDescent="0.3">
      <c r="B4442"/>
      <c r="C4442"/>
      <c r="D4442"/>
      <c r="E4442"/>
      <c r="F4442"/>
      <c r="H4442"/>
      <c r="I4442"/>
      <c r="J4442"/>
      <c r="K4442"/>
      <c r="L4442"/>
    </row>
    <row r="4443" spans="2:12" ht="14.4" x14ac:dyDescent="0.3">
      <c r="B4443"/>
      <c r="C4443"/>
      <c r="D4443"/>
      <c r="E4443"/>
      <c r="F4443"/>
      <c r="H4443"/>
      <c r="I4443"/>
      <c r="J4443"/>
      <c r="K4443"/>
      <c r="L4443"/>
    </row>
    <row r="4444" spans="2:12" ht="14.4" x14ac:dyDescent="0.3">
      <c r="B4444"/>
      <c r="C4444"/>
      <c r="D4444"/>
      <c r="E4444"/>
      <c r="F4444"/>
      <c r="H4444"/>
      <c r="I4444"/>
      <c r="J4444"/>
      <c r="K4444"/>
      <c r="L4444"/>
    </row>
    <row r="4445" spans="2:12" ht="14.4" x14ac:dyDescent="0.3">
      <c r="B4445"/>
      <c r="C4445"/>
      <c r="D4445"/>
      <c r="E4445"/>
      <c r="F4445"/>
      <c r="H4445"/>
      <c r="I4445"/>
      <c r="J4445"/>
      <c r="K4445"/>
      <c r="L4445"/>
    </row>
    <row r="4446" spans="2:12" ht="14.4" x14ac:dyDescent="0.3">
      <c r="B4446"/>
      <c r="C4446"/>
      <c r="D4446"/>
      <c r="E4446"/>
      <c r="F4446"/>
      <c r="H4446"/>
      <c r="I4446"/>
      <c r="J4446"/>
      <c r="K4446"/>
      <c r="L4446"/>
    </row>
    <row r="4447" spans="2:12" ht="14.4" x14ac:dyDescent="0.3">
      <c r="B4447"/>
      <c r="C4447"/>
      <c r="D4447"/>
      <c r="E4447"/>
      <c r="F4447"/>
      <c r="H4447"/>
      <c r="I4447"/>
      <c r="J4447"/>
      <c r="K4447"/>
      <c r="L4447"/>
    </row>
    <row r="4448" spans="2:12" ht="14.4" x14ac:dyDescent="0.3">
      <c r="B4448"/>
      <c r="C4448"/>
      <c r="D4448"/>
      <c r="E4448"/>
      <c r="F4448"/>
      <c r="H4448"/>
      <c r="I4448"/>
      <c r="J4448"/>
      <c r="K4448"/>
      <c r="L4448"/>
    </row>
    <row r="4449" spans="2:12" ht="14.4" x14ac:dyDescent="0.3">
      <c r="B4449"/>
      <c r="C4449"/>
      <c r="D4449"/>
      <c r="E4449"/>
      <c r="F4449"/>
      <c r="H4449"/>
      <c r="I4449"/>
      <c r="J4449"/>
      <c r="K4449"/>
      <c r="L4449"/>
    </row>
    <row r="4450" spans="2:12" ht="14.4" x14ac:dyDescent="0.3">
      <c r="B4450"/>
      <c r="C4450"/>
      <c r="D4450"/>
      <c r="E4450"/>
      <c r="F4450"/>
      <c r="H4450"/>
      <c r="I4450"/>
      <c r="J4450"/>
      <c r="K4450"/>
      <c r="L4450"/>
    </row>
    <row r="4451" spans="2:12" ht="14.4" x14ac:dyDescent="0.3">
      <c r="B4451"/>
      <c r="C4451"/>
      <c r="D4451"/>
      <c r="E4451"/>
      <c r="F4451"/>
      <c r="H4451"/>
      <c r="I4451"/>
      <c r="J4451"/>
      <c r="K4451"/>
      <c r="L4451"/>
    </row>
    <row r="4452" spans="2:12" ht="14.4" x14ac:dyDescent="0.3">
      <c r="B4452"/>
      <c r="C4452"/>
      <c r="D4452"/>
      <c r="E4452"/>
      <c r="F4452"/>
      <c r="H4452"/>
      <c r="I4452"/>
      <c r="J4452"/>
      <c r="K4452"/>
      <c r="L4452"/>
    </row>
    <row r="4453" spans="2:12" ht="14.4" x14ac:dyDescent="0.3">
      <c r="B4453"/>
      <c r="C4453"/>
      <c r="D4453"/>
      <c r="E4453"/>
      <c r="F4453"/>
      <c r="H4453"/>
      <c r="I4453"/>
      <c r="J4453"/>
      <c r="K4453"/>
      <c r="L4453"/>
    </row>
    <row r="4454" spans="2:12" ht="14.4" x14ac:dyDescent="0.3">
      <c r="B4454"/>
      <c r="C4454"/>
      <c r="D4454"/>
      <c r="E4454"/>
      <c r="F4454"/>
      <c r="H4454"/>
      <c r="I4454"/>
      <c r="J4454"/>
      <c r="K4454"/>
      <c r="L4454"/>
    </row>
    <row r="4455" spans="2:12" ht="14.4" x14ac:dyDescent="0.3">
      <c r="B4455"/>
      <c r="C4455"/>
      <c r="D4455"/>
      <c r="E4455"/>
      <c r="F4455"/>
      <c r="H4455"/>
      <c r="I4455"/>
      <c r="J4455"/>
      <c r="K4455"/>
      <c r="L4455"/>
    </row>
    <row r="4456" spans="2:12" ht="14.4" x14ac:dyDescent="0.3">
      <c r="B4456"/>
      <c r="C4456"/>
      <c r="D4456"/>
      <c r="E4456"/>
      <c r="F4456"/>
      <c r="H4456"/>
      <c r="I4456"/>
      <c r="J4456"/>
      <c r="K4456"/>
      <c r="L4456"/>
    </row>
    <row r="4457" spans="2:12" ht="14.4" x14ac:dyDescent="0.3">
      <c r="B4457"/>
      <c r="C4457"/>
      <c r="D4457"/>
      <c r="E4457"/>
      <c r="F4457"/>
      <c r="H4457"/>
      <c r="I4457"/>
      <c r="J4457"/>
      <c r="K4457"/>
      <c r="L4457"/>
    </row>
    <row r="4458" spans="2:12" ht="14.4" x14ac:dyDescent="0.3">
      <c r="B4458"/>
      <c r="C4458"/>
      <c r="D4458"/>
      <c r="E4458"/>
      <c r="F4458"/>
      <c r="H4458"/>
      <c r="I4458"/>
      <c r="J4458"/>
      <c r="K4458"/>
      <c r="L4458"/>
    </row>
    <row r="4459" spans="2:12" ht="14.4" x14ac:dyDescent="0.3">
      <c r="B4459"/>
      <c r="C4459"/>
      <c r="D4459"/>
      <c r="E4459"/>
      <c r="F4459"/>
      <c r="H4459"/>
      <c r="I4459"/>
      <c r="J4459"/>
      <c r="K4459"/>
      <c r="L4459"/>
    </row>
    <row r="4460" spans="2:12" ht="14.4" x14ac:dyDescent="0.3">
      <c r="B4460"/>
      <c r="C4460"/>
      <c r="D4460"/>
      <c r="E4460"/>
      <c r="F4460"/>
      <c r="H4460"/>
      <c r="I4460"/>
      <c r="J4460"/>
      <c r="K4460"/>
      <c r="L4460"/>
    </row>
    <row r="4461" spans="2:12" ht="14.4" x14ac:dyDescent="0.3">
      <c r="B4461"/>
      <c r="C4461"/>
      <c r="D4461"/>
      <c r="E4461"/>
      <c r="F4461"/>
      <c r="H4461"/>
      <c r="I4461"/>
      <c r="J4461"/>
      <c r="K4461"/>
      <c r="L4461"/>
    </row>
    <row r="4462" spans="2:12" ht="14.4" x14ac:dyDescent="0.3">
      <c r="B4462"/>
      <c r="C4462"/>
      <c r="D4462"/>
      <c r="E4462"/>
      <c r="F4462"/>
      <c r="H4462"/>
      <c r="I4462"/>
      <c r="J4462"/>
      <c r="K4462"/>
      <c r="L4462"/>
    </row>
    <row r="4463" spans="2:12" ht="14.4" x14ac:dyDescent="0.3">
      <c r="B4463"/>
      <c r="C4463"/>
      <c r="D4463"/>
      <c r="E4463"/>
      <c r="F4463"/>
      <c r="H4463"/>
      <c r="I4463"/>
      <c r="J4463"/>
      <c r="K4463"/>
      <c r="L4463"/>
    </row>
    <row r="4464" spans="2:12" ht="14.4" x14ac:dyDescent="0.3">
      <c r="B4464"/>
      <c r="C4464"/>
      <c r="D4464"/>
      <c r="E4464"/>
      <c r="F4464"/>
      <c r="H4464"/>
      <c r="I4464"/>
      <c r="J4464"/>
      <c r="K4464"/>
      <c r="L4464"/>
    </row>
    <row r="4465" spans="2:12" ht="14.4" x14ac:dyDescent="0.3">
      <c r="B4465"/>
      <c r="C4465"/>
      <c r="D4465"/>
      <c r="E4465"/>
      <c r="F4465"/>
      <c r="H4465"/>
      <c r="I4465"/>
      <c r="J4465"/>
      <c r="K4465"/>
      <c r="L4465"/>
    </row>
    <row r="4466" spans="2:12" ht="14.4" x14ac:dyDescent="0.3">
      <c r="B4466"/>
      <c r="C4466"/>
      <c r="D4466"/>
      <c r="E4466"/>
      <c r="F4466"/>
      <c r="H4466"/>
      <c r="I4466"/>
      <c r="J4466"/>
      <c r="K4466"/>
      <c r="L4466"/>
    </row>
    <row r="4467" spans="2:12" ht="14.4" x14ac:dyDescent="0.3">
      <c r="B4467"/>
      <c r="C4467"/>
      <c r="D4467"/>
      <c r="E4467"/>
      <c r="F4467"/>
      <c r="H4467"/>
      <c r="I4467"/>
      <c r="J4467"/>
      <c r="K4467"/>
      <c r="L4467"/>
    </row>
    <row r="4468" spans="2:12" ht="14.4" x14ac:dyDescent="0.3">
      <c r="B4468"/>
      <c r="C4468"/>
      <c r="D4468"/>
      <c r="E4468"/>
      <c r="F4468"/>
      <c r="H4468"/>
      <c r="I4468"/>
      <c r="J4468"/>
      <c r="K4468"/>
      <c r="L4468"/>
    </row>
    <row r="4469" spans="2:12" ht="14.4" x14ac:dyDescent="0.3">
      <c r="B4469"/>
      <c r="C4469"/>
      <c r="D4469"/>
      <c r="E4469"/>
      <c r="F4469"/>
      <c r="H4469"/>
      <c r="I4469"/>
      <c r="J4469"/>
      <c r="K4469"/>
      <c r="L4469"/>
    </row>
    <row r="4470" spans="2:12" ht="14.4" x14ac:dyDescent="0.3">
      <c r="B4470"/>
      <c r="C4470"/>
      <c r="D4470"/>
      <c r="E4470"/>
      <c r="F4470"/>
      <c r="H4470"/>
      <c r="I4470"/>
      <c r="J4470"/>
      <c r="K4470"/>
      <c r="L4470"/>
    </row>
    <row r="4471" spans="2:12" ht="14.4" x14ac:dyDescent="0.3">
      <c r="B4471"/>
      <c r="C4471"/>
      <c r="D4471"/>
      <c r="E4471"/>
      <c r="F4471"/>
      <c r="H4471"/>
      <c r="I4471"/>
      <c r="J4471"/>
      <c r="K4471"/>
      <c r="L4471"/>
    </row>
    <row r="4472" spans="2:12" ht="14.4" x14ac:dyDescent="0.3">
      <c r="B4472"/>
      <c r="C4472"/>
      <c r="D4472"/>
      <c r="E4472"/>
      <c r="F4472"/>
      <c r="H4472"/>
      <c r="I4472"/>
      <c r="J4472"/>
      <c r="K4472"/>
      <c r="L4472"/>
    </row>
    <row r="4473" spans="2:12" ht="14.4" x14ac:dyDescent="0.3">
      <c r="B4473"/>
      <c r="C4473"/>
      <c r="D4473"/>
      <c r="E4473"/>
      <c r="F4473"/>
      <c r="H4473"/>
      <c r="I4473"/>
      <c r="J4473"/>
      <c r="K4473"/>
      <c r="L4473"/>
    </row>
    <row r="4474" spans="2:12" ht="14.4" x14ac:dyDescent="0.3">
      <c r="B4474"/>
      <c r="C4474"/>
      <c r="D4474"/>
      <c r="E4474"/>
      <c r="F4474"/>
      <c r="H4474"/>
      <c r="I4474"/>
      <c r="J4474"/>
      <c r="K4474"/>
      <c r="L4474"/>
    </row>
    <row r="4475" spans="2:12" ht="14.4" x14ac:dyDescent="0.3">
      <c r="B4475"/>
      <c r="C4475"/>
      <c r="D4475"/>
      <c r="E4475"/>
      <c r="F4475"/>
      <c r="H4475"/>
      <c r="I4475"/>
      <c r="J4475"/>
      <c r="K4475"/>
      <c r="L4475"/>
    </row>
    <row r="4476" spans="2:12" ht="14.4" x14ac:dyDescent="0.3">
      <c r="B4476"/>
      <c r="C4476"/>
      <c r="D4476"/>
      <c r="E4476"/>
      <c r="F4476"/>
      <c r="H4476"/>
      <c r="I4476"/>
      <c r="J4476"/>
      <c r="K4476"/>
      <c r="L4476"/>
    </row>
    <row r="4477" spans="2:12" ht="14.4" x14ac:dyDescent="0.3">
      <c r="B4477"/>
      <c r="C4477"/>
      <c r="D4477"/>
      <c r="E4477"/>
      <c r="F4477"/>
      <c r="H4477"/>
      <c r="I4477"/>
      <c r="J4477"/>
      <c r="K4477"/>
      <c r="L4477"/>
    </row>
    <row r="4478" spans="2:12" ht="14.4" x14ac:dyDescent="0.3">
      <c r="B4478"/>
      <c r="C4478"/>
      <c r="D4478"/>
      <c r="E4478"/>
      <c r="F4478"/>
      <c r="H4478"/>
      <c r="I4478"/>
      <c r="J4478"/>
      <c r="K4478"/>
      <c r="L4478"/>
    </row>
    <row r="4479" spans="2:12" ht="14.4" x14ac:dyDescent="0.3">
      <c r="B4479"/>
      <c r="C4479"/>
      <c r="D4479"/>
      <c r="E4479"/>
      <c r="F4479"/>
      <c r="H4479"/>
      <c r="I4479"/>
      <c r="J4479"/>
      <c r="K4479"/>
      <c r="L4479"/>
    </row>
    <row r="4480" spans="2:12" ht="14.4" x14ac:dyDescent="0.3">
      <c r="B4480"/>
      <c r="C4480"/>
      <c r="D4480"/>
      <c r="E4480"/>
      <c r="F4480"/>
      <c r="H4480"/>
      <c r="I4480"/>
      <c r="J4480"/>
      <c r="K4480"/>
      <c r="L4480"/>
    </row>
    <row r="4481" spans="2:12" ht="14.4" x14ac:dyDescent="0.3">
      <c r="B4481"/>
      <c r="C4481"/>
      <c r="D4481"/>
      <c r="E4481"/>
      <c r="F4481"/>
      <c r="H4481"/>
      <c r="I4481"/>
      <c r="J4481"/>
      <c r="K4481"/>
      <c r="L4481"/>
    </row>
    <row r="4482" spans="2:12" ht="14.4" x14ac:dyDescent="0.3">
      <c r="B4482"/>
      <c r="C4482"/>
      <c r="D4482"/>
      <c r="E4482"/>
      <c r="F4482"/>
      <c r="H4482"/>
      <c r="I4482"/>
      <c r="J4482"/>
      <c r="K4482"/>
      <c r="L4482"/>
    </row>
    <row r="4483" spans="2:12" ht="14.4" x14ac:dyDescent="0.3">
      <c r="B4483"/>
      <c r="C4483"/>
      <c r="D4483"/>
      <c r="E4483"/>
      <c r="F4483"/>
      <c r="H4483"/>
      <c r="I4483"/>
      <c r="J4483"/>
      <c r="K4483"/>
      <c r="L4483"/>
    </row>
    <row r="4484" spans="2:12" ht="14.4" x14ac:dyDescent="0.3">
      <c r="B4484"/>
      <c r="C4484"/>
      <c r="D4484"/>
      <c r="E4484"/>
      <c r="F4484"/>
      <c r="H4484"/>
      <c r="I4484"/>
      <c r="J4484"/>
      <c r="K4484"/>
      <c r="L4484"/>
    </row>
    <row r="4485" spans="2:12" ht="14.4" x14ac:dyDescent="0.3">
      <c r="B4485"/>
      <c r="C4485"/>
      <c r="D4485"/>
      <c r="E4485"/>
      <c r="F4485"/>
      <c r="H4485"/>
      <c r="I4485"/>
      <c r="J4485"/>
      <c r="K4485"/>
      <c r="L4485"/>
    </row>
    <row r="4486" spans="2:12" ht="14.4" x14ac:dyDescent="0.3">
      <c r="B4486"/>
      <c r="C4486"/>
      <c r="D4486"/>
      <c r="E4486"/>
      <c r="F4486"/>
      <c r="H4486"/>
      <c r="I4486"/>
      <c r="J4486"/>
      <c r="K4486"/>
      <c r="L4486"/>
    </row>
    <row r="4487" spans="2:12" ht="14.4" x14ac:dyDescent="0.3">
      <c r="B4487"/>
      <c r="C4487"/>
      <c r="D4487"/>
      <c r="E4487"/>
      <c r="F4487"/>
      <c r="H4487"/>
      <c r="I4487"/>
      <c r="J4487"/>
      <c r="K4487"/>
      <c r="L4487"/>
    </row>
    <row r="4488" spans="2:12" ht="14.4" x14ac:dyDescent="0.3">
      <c r="B4488"/>
      <c r="C4488"/>
      <c r="D4488"/>
      <c r="E4488"/>
      <c r="F4488"/>
      <c r="H4488"/>
      <c r="I4488"/>
      <c r="J4488"/>
      <c r="K4488"/>
      <c r="L4488"/>
    </row>
    <row r="4489" spans="2:12" ht="14.4" x14ac:dyDescent="0.3">
      <c r="B4489"/>
      <c r="C4489"/>
      <c r="D4489"/>
      <c r="E4489"/>
      <c r="F4489"/>
      <c r="H4489"/>
      <c r="I4489"/>
      <c r="J4489"/>
      <c r="K4489"/>
      <c r="L4489"/>
    </row>
    <row r="4490" spans="2:12" ht="14.4" x14ac:dyDescent="0.3">
      <c r="B4490"/>
      <c r="C4490"/>
      <c r="D4490"/>
      <c r="E4490"/>
      <c r="F4490"/>
      <c r="H4490"/>
      <c r="I4490"/>
      <c r="J4490"/>
      <c r="K4490"/>
      <c r="L4490"/>
    </row>
    <row r="4491" spans="2:12" ht="14.4" x14ac:dyDescent="0.3">
      <c r="B4491"/>
      <c r="C4491"/>
      <c r="D4491"/>
      <c r="E4491"/>
      <c r="F4491"/>
      <c r="H4491"/>
      <c r="I4491"/>
      <c r="J4491"/>
      <c r="K4491"/>
      <c r="L4491"/>
    </row>
    <row r="4492" spans="2:12" ht="14.4" x14ac:dyDescent="0.3">
      <c r="B4492"/>
      <c r="C4492"/>
      <c r="D4492"/>
      <c r="E4492"/>
      <c r="F4492"/>
      <c r="H4492"/>
      <c r="I4492"/>
      <c r="J4492"/>
      <c r="K4492"/>
      <c r="L4492"/>
    </row>
    <row r="4493" spans="2:12" ht="14.4" x14ac:dyDescent="0.3">
      <c r="B4493"/>
      <c r="C4493"/>
      <c r="D4493"/>
      <c r="E4493"/>
      <c r="F4493"/>
      <c r="H4493"/>
      <c r="I4493"/>
      <c r="J4493"/>
      <c r="K4493"/>
      <c r="L4493"/>
    </row>
    <row r="4494" spans="2:12" ht="14.4" x14ac:dyDescent="0.3">
      <c r="B4494"/>
      <c r="C4494"/>
      <c r="D4494"/>
      <c r="E4494"/>
      <c r="F4494"/>
      <c r="H4494"/>
      <c r="I4494"/>
      <c r="J4494"/>
      <c r="K4494"/>
      <c r="L4494"/>
    </row>
    <row r="4495" spans="2:12" ht="14.4" x14ac:dyDescent="0.3">
      <c r="B4495"/>
      <c r="C4495"/>
      <c r="D4495"/>
      <c r="E4495"/>
      <c r="F4495"/>
      <c r="H4495"/>
      <c r="I4495"/>
      <c r="J4495"/>
      <c r="K4495"/>
      <c r="L4495"/>
    </row>
    <row r="4496" spans="2:12" ht="14.4" x14ac:dyDescent="0.3">
      <c r="B4496"/>
      <c r="C4496"/>
      <c r="D4496"/>
      <c r="E4496"/>
      <c r="F4496"/>
      <c r="H4496"/>
      <c r="I4496"/>
      <c r="J4496"/>
      <c r="K4496"/>
      <c r="L4496"/>
    </row>
    <row r="4497" spans="2:12" ht="14.4" x14ac:dyDescent="0.3">
      <c r="B4497"/>
      <c r="C4497"/>
      <c r="D4497"/>
      <c r="E4497"/>
      <c r="F4497"/>
      <c r="H4497"/>
      <c r="I4497"/>
      <c r="J4497"/>
      <c r="K4497"/>
      <c r="L4497"/>
    </row>
    <row r="4498" spans="2:12" ht="14.4" x14ac:dyDescent="0.3">
      <c r="B4498"/>
      <c r="C4498"/>
      <c r="D4498"/>
      <c r="E4498"/>
      <c r="F4498"/>
      <c r="H4498"/>
      <c r="I4498"/>
      <c r="J4498"/>
      <c r="K4498"/>
      <c r="L4498"/>
    </row>
    <row r="4499" spans="2:12" ht="14.4" x14ac:dyDescent="0.3">
      <c r="B4499"/>
      <c r="C4499"/>
      <c r="D4499"/>
      <c r="E4499"/>
      <c r="F4499"/>
      <c r="H4499"/>
      <c r="I4499"/>
      <c r="J4499"/>
      <c r="K4499"/>
      <c r="L4499"/>
    </row>
    <row r="4500" spans="2:12" ht="14.4" x14ac:dyDescent="0.3">
      <c r="B4500"/>
      <c r="C4500"/>
      <c r="D4500"/>
      <c r="E4500"/>
      <c r="F4500"/>
      <c r="H4500"/>
      <c r="I4500"/>
      <c r="J4500"/>
      <c r="K4500"/>
      <c r="L4500"/>
    </row>
    <row r="4501" spans="2:12" ht="14.4" x14ac:dyDescent="0.3">
      <c r="B4501"/>
      <c r="C4501"/>
      <c r="D4501"/>
      <c r="E4501"/>
      <c r="F4501"/>
      <c r="H4501"/>
      <c r="I4501"/>
      <c r="J4501"/>
      <c r="K4501"/>
      <c r="L4501"/>
    </row>
    <row r="4502" spans="2:12" ht="14.4" x14ac:dyDescent="0.3">
      <c r="B4502"/>
      <c r="C4502"/>
      <c r="D4502"/>
      <c r="E4502"/>
      <c r="F4502"/>
      <c r="H4502"/>
      <c r="I4502"/>
      <c r="J4502"/>
      <c r="K4502"/>
      <c r="L4502"/>
    </row>
    <row r="4503" spans="2:12" ht="14.4" x14ac:dyDescent="0.3">
      <c r="B4503"/>
      <c r="C4503"/>
      <c r="D4503"/>
      <c r="E4503"/>
      <c r="F4503"/>
      <c r="H4503"/>
      <c r="I4503"/>
      <c r="J4503"/>
      <c r="K4503"/>
      <c r="L4503"/>
    </row>
    <row r="4504" spans="2:12" ht="14.4" x14ac:dyDescent="0.3">
      <c r="B4504"/>
      <c r="C4504"/>
      <c r="D4504"/>
      <c r="E4504"/>
      <c r="F4504"/>
      <c r="H4504"/>
      <c r="I4504"/>
      <c r="J4504"/>
      <c r="K4504"/>
      <c r="L4504"/>
    </row>
    <row r="4505" spans="2:12" ht="14.4" x14ac:dyDescent="0.3">
      <c r="B4505"/>
      <c r="C4505"/>
      <c r="D4505"/>
      <c r="E4505"/>
      <c r="F4505"/>
      <c r="H4505"/>
      <c r="I4505"/>
      <c r="J4505"/>
      <c r="K4505"/>
      <c r="L4505"/>
    </row>
    <row r="4506" spans="2:12" ht="14.4" x14ac:dyDescent="0.3">
      <c r="B4506"/>
      <c r="C4506"/>
      <c r="D4506"/>
      <c r="E4506"/>
      <c r="F4506"/>
      <c r="H4506"/>
      <c r="I4506"/>
      <c r="J4506"/>
      <c r="K4506"/>
      <c r="L4506"/>
    </row>
    <row r="4507" spans="2:12" ht="14.4" x14ac:dyDescent="0.3">
      <c r="B4507"/>
      <c r="C4507"/>
      <c r="D4507"/>
      <c r="E4507"/>
      <c r="F4507"/>
      <c r="H4507"/>
      <c r="I4507"/>
      <c r="J4507"/>
      <c r="K4507"/>
      <c r="L4507"/>
    </row>
    <row r="4508" spans="2:12" ht="14.4" x14ac:dyDescent="0.3">
      <c r="B4508"/>
      <c r="C4508"/>
      <c r="D4508"/>
      <c r="E4508"/>
      <c r="F4508"/>
      <c r="H4508"/>
      <c r="I4508"/>
      <c r="J4508"/>
      <c r="K4508"/>
      <c r="L4508"/>
    </row>
    <row r="4509" spans="2:12" ht="14.4" x14ac:dyDescent="0.3">
      <c r="B4509"/>
      <c r="C4509"/>
      <c r="D4509"/>
      <c r="E4509"/>
      <c r="F4509"/>
      <c r="H4509"/>
      <c r="I4509"/>
      <c r="J4509"/>
      <c r="K4509"/>
      <c r="L4509"/>
    </row>
    <row r="4510" spans="2:12" ht="14.4" x14ac:dyDescent="0.3">
      <c r="B4510"/>
      <c r="C4510"/>
      <c r="D4510"/>
      <c r="E4510"/>
      <c r="F4510"/>
      <c r="H4510"/>
      <c r="I4510"/>
      <c r="J4510"/>
      <c r="K4510"/>
      <c r="L4510"/>
    </row>
    <row r="4511" spans="2:12" ht="14.4" x14ac:dyDescent="0.3">
      <c r="B4511"/>
      <c r="C4511"/>
      <c r="D4511"/>
      <c r="E4511"/>
      <c r="F4511"/>
      <c r="H4511"/>
      <c r="I4511"/>
      <c r="J4511"/>
      <c r="K4511"/>
      <c r="L4511"/>
    </row>
    <row r="4512" spans="2:12" ht="14.4" x14ac:dyDescent="0.3">
      <c r="B4512"/>
      <c r="C4512"/>
      <c r="D4512"/>
      <c r="E4512"/>
      <c r="F4512"/>
      <c r="H4512"/>
      <c r="I4512"/>
      <c r="J4512"/>
      <c r="K4512"/>
      <c r="L4512"/>
    </row>
    <row r="4513" spans="2:12" ht="14.4" x14ac:dyDescent="0.3">
      <c r="B4513"/>
      <c r="C4513"/>
      <c r="D4513"/>
      <c r="E4513"/>
      <c r="F4513"/>
      <c r="H4513"/>
      <c r="I4513"/>
      <c r="J4513"/>
      <c r="K4513"/>
      <c r="L4513"/>
    </row>
    <row r="4514" spans="2:12" ht="14.4" x14ac:dyDescent="0.3">
      <c r="B4514"/>
      <c r="C4514"/>
      <c r="D4514"/>
      <c r="E4514"/>
      <c r="F4514"/>
      <c r="H4514"/>
      <c r="I4514"/>
      <c r="J4514"/>
      <c r="K4514"/>
      <c r="L4514"/>
    </row>
    <row r="4515" spans="2:12" ht="14.4" x14ac:dyDescent="0.3">
      <c r="B4515"/>
      <c r="C4515"/>
      <c r="D4515"/>
      <c r="E4515"/>
      <c r="F4515"/>
      <c r="H4515"/>
      <c r="I4515"/>
      <c r="J4515"/>
      <c r="K4515"/>
      <c r="L4515"/>
    </row>
    <row r="4516" spans="2:12" ht="14.4" x14ac:dyDescent="0.3">
      <c r="B4516"/>
      <c r="C4516"/>
      <c r="D4516"/>
      <c r="E4516"/>
      <c r="F4516"/>
      <c r="H4516"/>
      <c r="I4516"/>
      <c r="J4516"/>
      <c r="K4516"/>
      <c r="L4516"/>
    </row>
    <row r="4517" spans="2:12" ht="14.4" x14ac:dyDescent="0.3">
      <c r="B4517"/>
      <c r="C4517"/>
      <c r="D4517"/>
      <c r="E4517"/>
      <c r="F4517"/>
      <c r="H4517"/>
      <c r="I4517"/>
      <c r="J4517"/>
      <c r="K4517"/>
      <c r="L4517"/>
    </row>
    <row r="4518" spans="2:12" ht="14.4" x14ac:dyDescent="0.3">
      <c r="B4518"/>
      <c r="C4518"/>
      <c r="D4518"/>
      <c r="E4518"/>
      <c r="F4518"/>
      <c r="H4518"/>
      <c r="I4518"/>
      <c r="J4518"/>
      <c r="K4518"/>
      <c r="L4518"/>
    </row>
    <row r="4519" spans="2:12" ht="14.4" x14ac:dyDescent="0.3">
      <c r="B4519"/>
      <c r="C4519"/>
      <c r="D4519"/>
      <c r="E4519"/>
      <c r="F4519"/>
      <c r="H4519"/>
      <c r="I4519"/>
      <c r="J4519"/>
      <c r="K4519"/>
      <c r="L4519"/>
    </row>
    <row r="4520" spans="2:12" ht="14.4" x14ac:dyDescent="0.3">
      <c r="B4520"/>
      <c r="C4520"/>
      <c r="D4520"/>
      <c r="E4520"/>
      <c r="F4520"/>
      <c r="H4520"/>
      <c r="I4520"/>
      <c r="J4520"/>
      <c r="K4520"/>
      <c r="L4520"/>
    </row>
    <row r="4521" spans="2:12" ht="14.4" x14ac:dyDescent="0.3">
      <c r="B4521"/>
      <c r="C4521"/>
      <c r="D4521"/>
      <c r="E4521"/>
      <c r="F4521"/>
      <c r="H4521"/>
      <c r="I4521"/>
      <c r="J4521"/>
      <c r="K4521"/>
      <c r="L4521"/>
    </row>
    <row r="4522" spans="2:12" ht="14.4" x14ac:dyDescent="0.3">
      <c r="B4522"/>
      <c r="C4522"/>
      <c r="D4522"/>
      <c r="E4522"/>
      <c r="F4522"/>
      <c r="H4522"/>
      <c r="I4522"/>
      <c r="J4522"/>
      <c r="K4522"/>
      <c r="L4522"/>
    </row>
    <row r="4523" spans="2:12" ht="14.4" x14ac:dyDescent="0.3">
      <c r="B4523"/>
      <c r="C4523"/>
      <c r="D4523"/>
      <c r="E4523"/>
      <c r="F4523"/>
      <c r="H4523"/>
      <c r="I4523"/>
      <c r="J4523"/>
      <c r="K4523"/>
      <c r="L4523"/>
    </row>
    <row r="4524" spans="2:12" ht="14.4" x14ac:dyDescent="0.3">
      <c r="B4524"/>
      <c r="C4524"/>
      <c r="D4524"/>
      <c r="E4524"/>
      <c r="F4524"/>
      <c r="H4524"/>
      <c r="I4524"/>
      <c r="J4524"/>
      <c r="K4524"/>
      <c r="L4524"/>
    </row>
    <row r="4525" spans="2:12" ht="14.4" x14ac:dyDescent="0.3">
      <c r="B4525"/>
      <c r="C4525"/>
      <c r="D4525"/>
      <c r="E4525"/>
      <c r="F4525"/>
      <c r="H4525"/>
      <c r="I4525"/>
      <c r="J4525"/>
      <c r="K4525"/>
      <c r="L4525"/>
    </row>
    <row r="4526" spans="2:12" ht="14.4" x14ac:dyDescent="0.3">
      <c r="B4526"/>
      <c r="C4526"/>
      <c r="D4526"/>
      <c r="E4526"/>
      <c r="F4526"/>
      <c r="H4526"/>
      <c r="I4526"/>
      <c r="J4526"/>
      <c r="K4526"/>
      <c r="L4526"/>
    </row>
    <row r="4527" spans="2:12" ht="14.4" x14ac:dyDescent="0.3">
      <c r="B4527"/>
      <c r="C4527"/>
      <c r="D4527"/>
      <c r="E4527"/>
      <c r="F4527"/>
      <c r="H4527"/>
      <c r="I4527"/>
      <c r="J4527"/>
      <c r="K4527"/>
      <c r="L4527"/>
    </row>
    <row r="4528" spans="2:12" ht="14.4" x14ac:dyDescent="0.3">
      <c r="B4528"/>
      <c r="C4528"/>
      <c r="D4528"/>
      <c r="E4528"/>
      <c r="F4528"/>
      <c r="H4528"/>
      <c r="I4528"/>
      <c r="J4528"/>
      <c r="K4528"/>
      <c r="L4528"/>
    </row>
    <row r="4529" spans="2:12" ht="14.4" x14ac:dyDescent="0.3">
      <c r="B4529"/>
      <c r="C4529"/>
      <c r="D4529"/>
      <c r="E4529"/>
      <c r="F4529"/>
      <c r="H4529"/>
      <c r="I4529"/>
      <c r="J4529"/>
      <c r="K4529"/>
      <c r="L4529"/>
    </row>
    <row r="4530" spans="2:12" ht="14.4" x14ac:dyDescent="0.3">
      <c r="B4530"/>
      <c r="C4530"/>
      <c r="D4530"/>
      <c r="E4530"/>
      <c r="F4530"/>
      <c r="H4530"/>
      <c r="I4530"/>
      <c r="J4530"/>
      <c r="K4530"/>
      <c r="L4530"/>
    </row>
    <row r="4531" spans="2:12" ht="14.4" x14ac:dyDescent="0.3">
      <c r="B4531"/>
      <c r="C4531"/>
      <c r="D4531"/>
      <c r="E4531"/>
      <c r="F4531"/>
      <c r="H4531"/>
      <c r="I4531"/>
      <c r="J4531"/>
      <c r="K4531"/>
      <c r="L4531"/>
    </row>
    <row r="4532" spans="2:12" ht="14.4" x14ac:dyDescent="0.3">
      <c r="B4532"/>
      <c r="C4532"/>
      <c r="D4532"/>
      <c r="E4532"/>
      <c r="F4532"/>
      <c r="H4532"/>
      <c r="I4532"/>
      <c r="J4532"/>
      <c r="K4532"/>
      <c r="L4532"/>
    </row>
    <row r="4533" spans="2:12" ht="14.4" x14ac:dyDescent="0.3">
      <c r="B4533"/>
      <c r="C4533"/>
      <c r="D4533"/>
      <c r="E4533"/>
      <c r="F4533"/>
      <c r="H4533"/>
      <c r="I4533"/>
      <c r="J4533"/>
      <c r="K4533"/>
      <c r="L4533"/>
    </row>
    <row r="4534" spans="2:12" ht="14.4" x14ac:dyDescent="0.3">
      <c r="B4534"/>
      <c r="C4534"/>
      <c r="D4534"/>
      <c r="E4534"/>
      <c r="F4534"/>
      <c r="H4534"/>
      <c r="I4534"/>
      <c r="J4534"/>
      <c r="K4534"/>
      <c r="L4534"/>
    </row>
    <row r="4535" spans="2:12" ht="14.4" x14ac:dyDescent="0.3">
      <c r="B4535"/>
      <c r="C4535"/>
      <c r="D4535"/>
      <c r="E4535"/>
      <c r="F4535"/>
      <c r="H4535"/>
      <c r="I4535"/>
      <c r="J4535"/>
      <c r="K4535"/>
      <c r="L4535"/>
    </row>
    <row r="4536" spans="2:12" ht="14.4" x14ac:dyDescent="0.3">
      <c r="B4536"/>
      <c r="C4536"/>
      <c r="D4536"/>
      <c r="E4536"/>
      <c r="F4536"/>
      <c r="H4536"/>
      <c r="I4536"/>
      <c r="J4536"/>
      <c r="K4536"/>
      <c r="L4536"/>
    </row>
    <row r="4537" spans="2:12" ht="14.4" x14ac:dyDescent="0.3">
      <c r="B4537"/>
      <c r="C4537"/>
      <c r="D4537"/>
      <c r="E4537"/>
      <c r="F4537"/>
      <c r="H4537"/>
      <c r="I4537"/>
      <c r="J4537"/>
      <c r="K4537"/>
      <c r="L4537"/>
    </row>
    <row r="4538" spans="2:12" ht="14.4" x14ac:dyDescent="0.3">
      <c r="B4538"/>
      <c r="C4538"/>
      <c r="D4538"/>
      <c r="E4538"/>
      <c r="F4538"/>
      <c r="H4538"/>
      <c r="I4538"/>
      <c r="J4538"/>
      <c r="K4538"/>
      <c r="L4538"/>
    </row>
    <row r="4539" spans="2:12" ht="14.4" x14ac:dyDescent="0.3">
      <c r="B4539"/>
      <c r="C4539"/>
      <c r="D4539"/>
      <c r="E4539"/>
      <c r="F4539"/>
      <c r="H4539"/>
      <c r="I4539"/>
      <c r="J4539"/>
      <c r="K4539"/>
      <c r="L4539"/>
    </row>
    <row r="4540" spans="2:12" ht="14.4" x14ac:dyDescent="0.3">
      <c r="B4540"/>
      <c r="C4540"/>
      <c r="D4540"/>
      <c r="E4540"/>
      <c r="F4540"/>
      <c r="H4540"/>
      <c r="I4540"/>
      <c r="J4540"/>
      <c r="K4540"/>
      <c r="L4540"/>
    </row>
    <row r="4541" spans="2:12" ht="14.4" x14ac:dyDescent="0.3">
      <c r="B4541"/>
      <c r="C4541"/>
      <c r="D4541"/>
      <c r="E4541"/>
      <c r="F4541"/>
      <c r="H4541"/>
      <c r="I4541"/>
      <c r="J4541"/>
      <c r="K4541"/>
      <c r="L4541"/>
    </row>
    <row r="4542" spans="2:12" ht="14.4" x14ac:dyDescent="0.3">
      <c r="B4542"/>
      <c r="C4542"/>
      <c r="D4542"/>
      <c r="E4542"/>
      <c r="F4542"/>
      <c r="H4542"/>
      <c r="I4542"/>
      <c r="J4542"/>
      <c r="K4542"/>
      <c r="L4542"/>
    </row>
    <row r="4543" spans="2:12" ht="14.4" x14ac:dyDescent="0.3">
      <c r="B4543"/>
      <c r="C4543"/>
      <c r="D4543"/>
      <c r="E4543"/>
      <c r="F4543"/>
      <c r="H4543"/>
      <c r="I4543"/>
      <c r="J4543"/>
      <c r="K4543"/>
      <c r="L4543"/>
    </row>
    <row r="4544" spans="2:12" ht="14.4" x14ac:dyDescent="0.3">
      <c r="B4544"/>
      <c r="C4544"/>
      <c r="D4544"/>
      <c r="E4544"/>
      <c r="F4544"/>
      <c r="H4544"/>
      <c r="I4544"/>
      <c r="J4544"/>
      <c r="K4544"/>
      <c r="L4544"/>
    </row>
    <row r="4545" spans="2:12" ht="14.4" x14ac:dyDescent="0.3">
      <c r="B4545"/>
      <c r="C4545"/>
      <c r="D4545"/>
      <c r="E4545"/>
      <c r="F4545"/>
      <c r="H4545"/>
      <c r="I4545"/>
      <c r="J4545"/>
      <c r="K4545"/>
      <c r="L4545"/>
    </row>
    <row r="4546" spans="2:12" ht="14.4" x14ac:dyDescent="0.3">
      <c r="B4546"/>
      <c r="C4546"/>
      <c r="D4546"/>
      <c r="E4546"/>
      <c r="F4546"/>
      <c r="H4546"/>
      <c r="I4546"/>
      <c r="J4546"/>
      <c r="K4546"/>
      <c r="L4546"/>
    </row>
    <row r="4547" spans="2:12" ht="14.4" x14ac:dyDescent="0.3">
      <c r="B4547"/>
      <c r="C4547"/>
      <c r="D4547"/>
      <c r="E4547"/>
      <c r="F4547"/>
      <c r="H4547"/>
      <c r="I4547"/>
      <c r="J4547"/>
      <c r="K4547"/>
      <c r="L4547"/>
    </row>
    <row r="4548" spans="2:12" ht="14.4" x14ac:dyDescent="0.3">
      <c r="B4548"/>
      <c r="C4548"/>
      <c r="D4548"/>
      <c r="E4548"/>
      <c r="F4548"/>
      <c r="H4548"/>
      <c r="I4548"/>
      <c r="J4548"/>
      <c r="K4548"/>
      <c r="L4548"/>
    </row>
    <row r="4549" spans="2:12" ht="14.4" x14ac:dyDescent="0.3">
      <c r="B4549"/>
      <c r="C4549"/>
      <c r="D4549"/>
      <c r="E4549"/>
      <c r="F4549"/>
      <c r="H4549"/>
      <c r="I4549"/>
      <c r="J4549"/>
      <c r="K4549"/>
      <c r="L4549"/>
    </row>
    <row r="4550" spans="2:12" ht="14.4" x14ac:dyDescent="0.3">
      <c r="B4550"/>
      <c r="C4550"/>
      <c r="D4550"/>
      <c r="E4550"/>
      <c r="F4550"/>
      <c r="H4550"/>
      <c r="I4550"/>
      <c r="J4550"/>
      <c r="K4550"/>
      <c r="L4550"/>
    </row>
    <row r="4551" spans="2:12" ht="14.4" x14ac:dyDescent="0.3">
      <c r="B4551"/>
      <c r="C4551"/>
      <c r="D4551"/>
      <c r="E4551"/>
      <c r="F4551"/>
      <c r="H4551"/>
      <c r="I4551"/>
      <c r="J4551"/>
      <c r="K4551"/>
      <c r="L4551"/>
    </row>
    <row r="4552" spans="2:12" ht="14.4" x14ac:dyDescent="0.3">
      <c r="B4552"/>
      <c r="C4552"/>
      <c r="D4552"/>
      <c r="E4552"/>
      <c r="F4552"/>
      <c r="H4552"/>
      <c r="I4552"/>
      <c r="J4552"/>
      <c r="K4552"/>
      <c r="L4552"/>
    </row>
    <row r="4553" spans="2:12" ht="14.4" x14ac:dyDescent="0.3">
      <c r="B4553"/>
      <c r="C4553"/>
      <c r="D4553"/>
      <c r="E4553"/>
      <c r="F4553"/>
      <c r="H4553"/>
      <c r="I4553"/>
      <c r="J4553"/>
      <c r="K4553"/>
      <c r="L4553"/>
    </row>
    <row r="4554" spans="2:12" ht="14.4" x14ac:dyDescent="0.3">
      <c r="B4554"/>
      <c r="C4554"/>
      <c r="D4554"/>
      <c r="E4554"/>
      <c r="F4554"/>
      <c r="H4554"/>
      <c r="I4554"/>
      <c r="J4554"/>
      <c r="K4554"/>
      <c r="L4554"/>
    </row>
    <row r="4555" spans="2:12" ht="14.4" x14ac:dyDescent="0.3">
      <c r="B4555"/>
      <c r="C4555"/>
      <c r="D4555"/>
      <c r="E4555"/>
      <c r="F4555"/>
      <c r="H4555"/>
      <c r="I4555"/>
      <c r="J4555"/>
      <c r="K4555"/>
      <c r="L4555"/>
    </row>
    <row r="4556" spans="2:12" ht="14.4" x14ac:dyDescent="0.3">
      <c r="B4556"/>
      <c r="C4556"/>
      <c r="D4556"/>
      <c r="E4556"/>
      <c r="F4556"/>
      <c r="H4556"/>
      <c r="I4556"/>
      <c r="J4556"/>
      <c r="K4556"/>
      <c r="L4556"/>
    </row>
    <row r="4557" spans="2:12" ht="14.4" x14ac:dyDescent="0.3">
      <c r="B4557"/>
      <c r="C4557"/>
      <c r="D4557"/>
      <c r="E4557"/>
      <c r="F4557"/>
      <c r="H4557"/>
      <c r="I4557"/>
      <c r="J4557"/>
      <c r="K4557"/>
      <c r="L4557"/>
    </row>
    <row r="4558" spans="2:12" ht="14.4" x14ac:dyDescent="0.3">
      <c r="B4558"/>
      <c r="C4558"/>
      <c r="D4558"/>
      <c r="E4558"/>
      <c r="F4558"/>
      <c r="H4558"/>
      <c r="I4558"/>
      <c r="J4558"/>
      <c r="K4558"/>
      <c r="L4558"/>
    </row>
    <row r="4559" spans="2:12" ht="14.4" x14ac:dyDescent="0.3">
      <c r="B4559"/>
      <c r="C4559"/>
      <c r="D4559"/>
      <c r="E4559"/>
      <c r="F4559"/>
      <c r="H4559"/>
      <c r="I4559"/>
      <c r="J4559"/>
      <c r="K4559"/>
      <c r="L4559"/>
    </row>
    <row r="4560" spans="2:12" ht="14.4" x14ac:dyDescent="0.3">
      <c r="B4560"/>
      <c r="C4560"/>
      <c r="D4560"/>
      <c r="E4560"/>
      <c r="F4560"/>
      <c r="H4560"/>
      <c r="I4560"/>
      <c r="J4560"/>
      <c r="K4560"/>
      <c r="L4560"/>
    </row>
    <row r="4561" spans="2:12" ht="14.4" x14ac:dyDescent="0.3">
      <c r="B4561"/>
      <c r="C4561"/>
      <c r="D4561"/>
      <c r="E4561"/>
      <c r="F4561"/>
      <c r="H4561"/>
      <c r="I4561"/>
      <c r="J4561"/>
      <c r="K4561"/>
      <c r="L4561"/>
    </row>
    <row r="4562" spans="2:12" ht="14.4" x14ac:dyDescent="0.3">
      <c r="B4562"/>
      <c r="C4562"/>
      <c r="D4562"/>
      <c r="E4562"/>
      <c r="F4562"/>
      <c r="H4562"/>
      <c r="I4562"/>
      <c r="J4562"/>
      <c r="K4562"/>
      <c r="L4562"/>
    </row>
    <row r="4563" spans="2:12" ht="14.4" x14ac:dyDescent="0.3">
      <c r="B4563"/>
      <c r="C4563"/>
      <c r="D4563"/>
      <c r="E4563"/>
      <c r="F4563"/>
      <c r="H4563"/>
      <c r="I4563"/>
      <c r="J4563"/>
      <c r="K4563"/>
      <c r="L4563"/>
    </row>
    <row r="4564" spans="2:12" ht="14.4" x14ac:dyDescent="0.3">
      <c r="B4564"/>
      <c r="C4564"/>
      <c r="D4564"/>
      <c r="E4564"/>
      <c r="F4564"/>
      <c r="H4564"/>
      <c r="I4564"/>
      <c r="J4564"/>
      <c r="K4564"/>
      <c r="L4564"/>
    </row>
    <row r="4565" spans="2:12" ht="14.4" x14ac:dyDescent="0.3">
      <c r="B4565"/>
      <c r="C4565"/>
      <c r="D4565"/>
      <c r="E4565"/>
      <c r="F4565"/>
      <c r="H4565"/>
      <c r="I4565"/>
      <c r="J4565"/>
      <c r="K4565"/>
      <c r="L4565"/>
    </row>
    <row r="4566" spans="2:12" ht="14.4" x14ac:dyDescent="0.3">
      <c r="B4566"/>
      <c r="C4566"/>
      <c r="D4566"/>
      <c r="E4566"/>
      <c r="F4566"/>
      <c r="H4566"/>
      <c r="I4566"/>
      <c r="J4566"/>
      <c r="K4566"/>
      <c r="L4566"/>
    </row>
    <row r="4567" spans="2:12" ht="14.4" x14ac:dyDescent="0.3">
      <c r="B4567"/>
      <c r="C4567"/>
      <c r="D4567"/>
      <c r="E4567"/>
      <c r="F4567"/>
      <c r="H4567"/>
      <c r="I4567"/>
      <c r="J4567"/>
      <c r="K4567"/>
      <c r="L4567"/>
    </row>
    <row r="4568" spans="2:12" ht="14.4" x14ac:dyDescent="0.3">
      <c r="B4568"/>
      <c r="C4568"/>
      <c r="D4568"/>
      <c r="E4568"/>
      <c r="F4568"/>
      <c r="H4568"/>
      <c r="I4568"/>
      <c r="J4568"/>
      <c r="K4568"/>
      <c r="L4568"/>
    </row>
    <row r="4569" spans="2:12" ht="14.4" x14ac:dyDescent="0.3">
      <c r="B4569"/>
      <c r="C4569"/>
      <c r="D4569"/>
      <c r="E4569"/>
      <c r="F4569"/>
      <c r="H4569"/>
      <c r="I4569"/>
      <c r="J4569"/>
      <c r="K4569"/>
      <c r="L4569"/>
    </row>
    <row r="4570" spans="2:12" ht="14.4" x14ac:dyDescent="0.3">
      <c r="B4570"/>
      <c r="C4570"/>
      <c r="D4570"/>
      <c r="E4570"/>
      <c r="F4570"/>
      <c r="H4570"/>
      <c r="I4570"/>
      <c r="J4570"/>
      <c r="K4570"/>
      <c r="L4570"/>
    </row>
    <row r="4571" spans="2:12" ht="14.4" x14ac:dyDescent="0.3">
      <c r="B4571"/>
      <c r="C4571"/>
      <c r="D4571"/>
      <c r="E4571"/>
      <c r="F4571"/>
      <c r="H4571"/>
      <c r="I4571"/>
      <c r="J4571"/>
      <c r="K4571"/>
      <c r="L4571"/>
    </row>
    <row r="4572" spans="2:12" ht="14.4" x14ac:dyDescent="0.3">
      <c r="B4572"/>
      <c r="C4572"/>
      <c r="D4572"/>
      <c r="E4572"/>
      <c r="F4572"/>
      <c r="H4572"/>
      <c r="I4572"/>
      <c r="J4572"/>
      <c r="K4572"/>
      <c r="L4572"/>
    </row>
    <row r="4573" spans="2:12" ht="14.4" x14ac:dyDescent="0.3">
      <c r="B4573"/>
      <c r="C4573"/>
      <c r="D4573"/>
      <c r="E4573"/>
      <c r="F4573"/>
      <c r="H4573"/>
      <c r="I4573"/>
      <c r="J4573"/>
      <c r="K4573"/>
      <c r="L4573"/>
    </row>
    <row r="4574" spans="2:12" ht="14.4" x14ac:dyDescent="0.3">
      <c r="B4574"/>
      <c r="C4574"/>
      <c r="D4574"/>
      <c r="E4574"/>
      <c r="F4574"/>
      <c r="H4574"/>
      <c r="I4574"/>
      <c r="J4574"/>
      <c r="K4574"/>
      <c r="L4574"/>
    </row>
    <row r="4575" spans="2:12" ht="14.4" x14ac:dyDescent="0.3">
      <c r="B4575"/>
      <c r="C4575"/>
      <c r="D4575"/>
      <c r="E4575"/>
      <c r="F4575"/>
      <c r="H4575"/>
      <c r="I4575"/>
      <c r="J4575"/>
      <c r="K4575"/>
      <c r="L4575"/>
    </row>
    <row r="4576" spans="2:12" ht="14.4" x14ac:dyDescent="0.3">
      <c r="B4576"/>
      <c r="C4576"/>
      <c r="D4576"/>
      <c r="E4576"/>
      <c r="F4576"/>
      <c r="H4576"/>
      <c r="I4576"/>
      <c r="J4576"/>
      <c r="K4576"/>
      <c r="L4576"/>
    </row>
    <row r="4577" spans="2:12" ht="14.4" x14ac:dyDescent="0.3">
      <c r="B4577"/>
      <c r="C4577"/>
      <c r="D4577"/>
      <c r="E4577"/>
      <c r="F4577"/>
      <c r="H4577"/>
      <c r="I4577"/>
      <c r="J4577"/>
      <c r="K4577"/>
      <c r="L4577"/>
    </row>
    <row r="4578" spans="2:12" ht="14.4" x14ac:dyDescent="0.3">
      <c r="B4578"/>
      <c r="C4578"/>
      <c r="D4578"/>
      <c r="E4578"/>
      <c r="F4578"/>
      <c r="H4578"/>
      <c r="I4578"/>
      <c r="J4578"/>
      <c r="K4578"/>
      <c r="L4578"/>
    </row>
    <row r="4579" spans="2:12" ht="14.4" x14ac:dyDescent="0.3">
      <c r="B4579"/>
      <c r="C4579"/>
      <c r="D4579"/>
      <c r="E4579"/>
      <c r="F4579"/>
      <c r="H4579"/>
      <c r="I4579"/>
      <c r="J4579"/>
      <c r="K4579"/>
      <c r="L4579"/>
    </row>
    <row r="4580" spans="2:12" ht="14.4" x14ac:dyDescent="0.3">
      <c r="B4580"/>
      <c r="C4580"/>
      <c r="D4580"/>
      <c r="E4580"/>
      <c r="F4580"/>
      <c r="H4580"/>
      <c r="I4580"/>
      <c r="J4580"/>
      <c r="K4580"/>
      <c r="L4580"/>
    </row>
    <row r="4581" spans="2:12" ht="14.4" x14ac:dyDescent="0.3">
      <c r="B4581"/>
      <c r="C4581"/>
      <c r="D4581"/>
      <c r="E4581"/>
      <c r="F4581"/>
      <c r="H4581"/>
      <c r="I4581"/>
      <c r="J4581"/>
      <c r="K4581"/>
      <c r="L4581"/>
    </row>
    <row r="4582" spans="2:12" ht="14.4" x14ac:dyDescent="0.3">
      <c r="B4582"/>
      <c r="C4582"/>
      <c r="D4582"/>
      <c r="E4582"/>
      <c r="F4582"/>
      <c r="H4582"/>
      <c r="I4582"/>
      <c r="J4582"/>
      <c r="K4582"/>
      <c r="L4582"/>
    </row>
    <row r="4583" spans="2:12" ht="14.4" x14ac:dyDescent="0.3">
      <c r="B4583"/>
      <c r="C4583"/>
      <c r="D4583"/>
      <c r="E4583"/>
      <c r="F4583"/>
      <c r="H4583"/>
      <c r="I4583"/>
      <c r="J4583"/>
      <c r="K4583"/>
      <c r="L4583"/>
    </row>
    <row r="4584" spans="2:12" ht="14.4" x14ac:dyDescent="0.3">
      <c r="B4584"/>
      <c r="C4584"/>
      <c r="D4584"/>
      <c r="E4584"/>
      <c r="F4584"/>
      <c r="H4584"/>
      <c r="I4584"/>
      <c r="J4584"/>
      <c r="K4584"/>
      <c r="L4584"/>
    </row>
    <row r="4585" spans="2:12" ht="14.4" x14ac:dyDescent="0.3">
      <c r="B4585"/>
      <c r="C4585"/>
      <c r="D4585"/>
      <c r="E4585"/>
      <c r="F4585"/>
      <c r="H4585"/>
      <c r="I4585"/>
      <c r="J4585"/>
      <c r="K4585"/>
      <c r="L4585"/>
    </row>
    <row r="4586" spans="2:12" ht="14.4" x14ac:dyDescent="0.3">
      <c r="B4586"/>
      <c r="C4586"/>
      <c r="D4586"/>
      <c r="E4586"/>
      <c r="F4586"/>
      <c r="H4586"/>
      <c r="I4586"/>
      <c r="J4586"/>
      <c r="K4586"/>
      <c r="L4586"/>
    </row>
    <row r="4587" spans="2:12" ht="14.4" x14ac:dyDescent="0.3">
      <c r="B4587"/>
      <c r="C4587"/>
      <c r="D4587"/>
      <c r="E4587"/>
      <c r="F4587"/>
      <c r="H4587"/>
      <c r="I4587"/>
      <c r="J4587"/>
      <c r="K4587"/>
      <c r="L4587"/>
    </row>
    <row r="4588" spans="2:12" ht="14.4" x14ac:dyDescent="0.3">
      <c r="B4588"/>
      <c r="C4588"/>
      <c r="D4588"/>
      <c r="E4588"/>
      <c r="F4588"/>
      <c r="H4588"/>
      <c r="I4588"/>
      <c r="J4588"/>
      <c r="K4588"/>
      <c r="L4588"/>
    </row>
    <row r="4589" spans="2:12" ht="14.4" x14ac:dyDescent="0.3">
      <c r="B4589"/>
      <c r="C4589"/>
      <c r="D4589"/>
      <c r="E4589"/>
      <c r="F4589"/>
      <c r="H4589"/>
      <c r="I4589"/>
      <c r="J4589"/>
      <c r="K4589"/>
      <c r="L4589"/>
    </row>
    <row r="4590" spans="2:12" ht="14.4" x14ac:dyDescent="0.3">
      <c r="B4590"/>
      <c r="C4590"/>
      <c r="D4590"/>
      <c r="E4590"/>
      <c r="F4590"/>
      <c r="H4590"/>
      <c r="I4590"/>
      <c r="J4590"/>
      <c r="K4590"/>
      <c r="L4590"/>
    </row>
    <row r="4591" spans="2:12" ht="14.4" x14ac:dyDescent="0.3">
      <c r="B4591"/>
      <c r="C4591"/>
      <c r="D4591"/>
      <c r="E4591"/>
      <c r="F4591"/>
      <c r="H4591"/>
      <c r="I4591"/>
      <c r="J4591"/>
      <c r="K4591"/>
      <c r="L4591"/>
    </row>
    <row r="4592" spans="2:12" ht="14.4" x14ac:dyDescent="0.3">
      <c r="B4592"/>
      <c r="C4592"/>
      <c r="D4592"/>
      <c r="E4592"/>
      <c r="F4592"/>
      <c r="H4592"/>
      <c r="I4592"/>
      <c r="J4592"/>
      <c r="K4592"/>
      <c r="L4592"/>
    </row>
    <row r="4593" spans="2:12" ht="14.4" x14ac:dyDescent="0.3">
      <c r="B4593"/>
      <c r="C4593"/>
      <c r="D4593"/>
      <c r="E4593"/>
      <c r="F4593"/>
      <c r="H4593"/>
      <c r="I4593"/>
      <c r="J4593"/>
      <c r="K4593"/>
      <c r="L4593"/>
    </row>
    <row r="4594" spans="2:12" ht="14.4" x14ac:dyDescent="0.3">
      <c r="B4594"/>
      <c r="C4594"/>
      <c r="D4594"/>
      <c r="E4594"/>
      <c r="F4594"/>
      <c r="H4594"/>
      <c r="I4594"/>
      <c r="J4594"/>
      <c r="K4594"/>
      <c r="L4594"/>
    </row>
    <row r="4595" spans="2:12" ht="14.4" x14ac:dyDescent="0.3">
      <c r="B4595"/>
      <c r="C4595"/>
      <c r="D4595"/>
      <c r="E4595"/>
      <c r="F4595"/>
      <c r="H4595"/>
      <c r="I4595"/>
      <c r="J4595"/>
      <c r="K4595"/>
      <c r="L4595"/>
    </row>
    <row r="4596" spans="2:12" ht="14.4" x14ac:dyDescent="0.3">
      <c r="B4596"/>
      <c r="C4596"/>
      <c r="D4596"/>
      <c r="E4596"/>
      <c r="F4596"/>
      <c r="H4596"/>
      <c r="I4596"/>
      <c r="J4596"/>
      <c r="K4596"/>
      <c r="L4596"/>
    </row>
    <row r="4597" spans="2:12" ht="14.4" x14ac:dyDescent="0.3">
      <c r="B4597"/>
      <c r="C4597"/>
      <c r="D4597"/>
      <c r="E4597"/>
      <c r="F4597"/>
      <c r="H4597"/>
      <c r="I4597"/>
      <c r="J4597"/>
      <c r="K4597"/>
      <c r="L4597"/>
    </row>
    <row r="4598" spans="2:12" ht="14.4" x14ac:dyDescent="0.3">
      <c r="B4598"/>
      <c r="C4598"/>
      <c r="D4598"/>
      <c r="E4598"/>
      <c r="F4598"/>
      <c r="H4598"/>
      <c r="I4598"/>
      <c r="J4598"/>
      <c r="K4598"/>
      <c r="L4598"/>
    </row>
    <row r="4599" spans="2:12" ht="14.4" x14ac:dyDescent="0.3">
      <c r="B4599"/>
      <c r="C4599"/>
      <c r="D4599"/>
      <c r="E4599"/>
      <c r="F4599"/>
      <c r="H4599"/>
      <c r="I4599"/>
      <c r="J4599"/>
      <c r="K4599"/>
      <c r="L4599"/>
    </row>
    <row r="4600" spans="2:12" ht="14.4" x14ac:dyDescent="0.3">
      <c r="B4600"/>
      <c r="C4600"/>
      <c r="D4600"/>
      <c r="E4600"/>
      <c r="F4600"/>
      <c r="H4600"/>
      <c r="I4600"/>
      <c r="J4600"/>
      <c r="K4600"/>
      <c r="L4600"/>
    </row>
    <row r="4601" spans="2:12" ht="14.4" x14ac:dyDescent="0.3">
      <c r="B4601"/>
      <c r="C4601"/>
      <c r="D4601"/>
      <c r="E4601"/>
      <c r="F4601"/>
      <c r="H4601"/>
      <c r="I4601"/>
      <c r="J4601"/>
      <c r="K4601"/>
      <c r="L4601"/>
    </row>
    <row r="4602" spans="2:12" ht="14.4" x14ac:dyDescent="0.3">
      <c r="B4602"/>
      <c r="C4602"/>
      <c r="D4602"/>
      <c r="E4602"/>
      <c r="F4602"/>
      <c r="H4602"/>
      <c r="I4602"/>
      <c r="J4602"/>
      <c r="K4602"/>
      <c r="L4602"/>
    </row>
    <row r="4603" spans="2:12" ht="14.4" x14ac:dyDescent="0.3">
      <c r="B4603"/>
      <c r="C4603"/>
      <c r="D4603"/>
      <c r="E4603"/>
      <c r="F4603"/>
      <c r="H4603"/>
      <c r="I4603"/>
      <c r="J4603"/>
      <c r="K4603"/>
      <c r="L4603"/>
    </row>
    <row r="4604" spans="2:12" ht="14.4" x14ac:dyDescent="0.3">
      <c r="B4604"/>
      <c r="C4604"/>
      <c r="D4604"/>
      <c r="E4604"/>
      <c r="F4604"/>
      <c r="H4604"/>
      <c r="I4604"/>
      <c r="J4604"/>
      <c r="K4604"/>
      <c r="L4604"/>
    </row>
    <row r="4605" spans="2:12" ht="14.4" x14ac:dyDescent="0.3">
      <c r="B4605"/>
      <c r="C4605"/>
      <c r="D4605"/>
      <c r="E4605"/>
      <c r="F4605"/>
      <c r="H4605"/>
      <c r="I4605"/>
      <c r="J4605"/>
      <c r="K4605"/>
      <c r="L4605"/>
    </row>
    <row r="4606" spans="2:12" ht="14.4" x14ac:dyDescent="0.3">
      <c r="B4606"/>
      <c r="C4606"/>
      <c r="D4606"/>
      <c r="E4606"/>
      <c r="F4606"/>
      <c r="H4606"/>
      <c r="I4606"/>
      <c r="J4606"/>
      <c r="K4606"/>
      <c r="L4606"/>
    </row>
    <row r="4607" spans="2:12" ht="14.4" x14ac:dyDescent="0.3">
      <c r="B4607"/>
      <c r="C4607"/>
      <c r="D4607"/>
      <c r="E4607"/>
      <c r="F4607"/>
      <c r="H4607"/>
      <c r="I4607"/>
      <c r="J4607"/>
      <c r="K4607"/>
      <c r="L4607"/>
    </row>
    <row r="4608" spans="2:12" ht="14.4" x14ac:dyDescent="0.3">
      <c r="B4608"/>
      <c r="C4608"/>
      <c r="D4608"/>
      <c r="E4608"/>
      <c r="F4608"/>
      <c r="H4608"/>
      <c r="I4608"/>
      <c r="J4608"/>
      <c r="K4608"/>
      <c r="L4608"/>
    </row>
    <row r="4609" spans="2:12" ht="14.4" x14ac:dyDescent="0.3">
      <c r="B4609"/>
      <c r="C4609"/>
      <c r="D4609"/>
      <c r="E4609"/>
      <c r="F4609"/>
      <c r="H4609"/>
      <c r="I4609"/>
      <c r="J4609"/>
      <c r="K4609"/>
      <c r="L4609"/>
    </row>
    <row r="4610" spans="2:12" ht="14.4" x14ac:dyDescent="0.3">
      <c r="B4610"/>
      <c r="C4610"/>
      <c r="D4610"/>
      <c r="E4610"/>
      <c r="F4610"/>
      <c r="H4610"/>
      <c r="I4610"/>
      <c r="J4610"/>
      <c r="K4610"/>
      <c r="L4610"/>
    </row>
    <row r="4611" spans="2:12" ht="14.4" x14ac:dyDescent="0.3">
      <c r="B4611"/>
      <c r="C4611"/>
      <c r="D4611"/>
      <c r="E4611"/>
      <c r="F4611"/>
      <c r="H4611"/>
      <c r="I4611"/>
      <c r="J4611"/>
      <c r="K4611"/>
      <c r="L4611"/>
    </row>
    <row r="4612" spans="2:12" ht="14.4" x14ac:dyDescent="0.3">
      <c r="B4612"/>
      <c r="C4612"/>
      <c r="D4612"/>
      <c r="E4612"/>
      <c r="F4612"/>
      <c r="H4612"/>
      <c r="I4612"/>
      <c r="J4612"/>
      <c r="K4612"/>
      <c r="L4612"/>
    </row>
    <row r="4613" spans="2:12" ht="14.4" x14ac:dyDescent="0.3">
      <c r="B4613"/>
      <c r="C4613"/>
      <c r="D4613"/>
      <c r="E4613"/>
      <c r="F4613"/>
      <c r="H4613"/>
      <c r="I4613"/>
      <c r="J4613"/>
      <c r="K4613"/>
      <c r="L4613"/>
    </row>
    <row r="4614" spans="2:12" ht="14.4" x14ac:dyDescent="0.3">
      <c r="B4614"/>
      <c r="C4614"/>
      <c r="D4614"/>
      <c r="E4614"/>
      <c r="F4614"/>
      <c r="H4614"/>
      <c r="I4614"/>
      <c r="J4614"/>
      <c r="K4614"/>
      <c r="L4614"/>
    </row>
    <row r="4615" spans="2:12" ht="14.4" x14ac:dyDescent="0.3">
      <c r="B4615"/>
      <c r="C4615"/>
      <c r="D4615"/>
      <c r="E4615"/>
      <c r="F4615"/>
      <c r="H4615"/>
      <c r="I4615"/>
      <c r="J4615"/>
      <c r="K4615"/>
      <c r="L4615"/>
    </row>
    <row r="4616" spans="2:12" ht="14.4" x14ac:dyDescent="0.3">
      <c r="B4616"/>
      <c r="C4616"/>
      <c r="D4616"/>
      <c r="E4616"/>
      <c r="F4616"/>
      <c r="H4616"/>
      <c r="I4616"/>
      <c r="J4616"/>
      <c r="K4616"/>
      <c r="L4616"/>
    </row>
    <row r="4617" spans="2:12" ht="14.4" x14ac:dyDescent="0.3">
      <c r="B4617"/>
      <c r="C4617"/>
      <c r="D4617"/>
      <c r="E4617"/>
      <c r="F4617"/>
      <c r="H4617"/>
      <c r="I4617"/>
      <c r="J4617"/>
      <c r="K4617"/>
      <c r="L4617"/>
    </row>
    <row r="4618" spans="2:12" ht="14.4" x14ac:dyDescent="0.3">
      <c r="B4618"/>
      <c r="C4618"/>
      <c r="D4618"/>
      <c r="E4618"/>
      <c r="F4618"/>
      <c r="H4618"/>
      <c r="I4618"/>
      <c r="J4618"/>
      <c r="K4618"/>
      <c r="L4618"/>
    </row>
    <row r="4619" spans="2:12" ht="14.4" x14ac:dyDescent="0.3">
      <c r="B4619"/>
      <c r="C4619"/>
      <c r="D4619"/>
      <c r="E4619"/>
      <c r="F4619"/>
      <c r="H4619"/>
      <c r="I4619"/>
      <c r="J4619"/>
      <c r="K4619"/>
      <c r="L4619"/>
    </row>
    <row r="4620" spans="2:12" ht="14.4" x14ac:dyDescent="0.3">
      <c r="B4620"/>
      <c r="C4620"/>
      <c r="D4620"/>
      <c r="E4620"/>
      <c r="F4620"/>
      <c r="H4620"/>
      <c r="I4620"/>
      <c r="J4620"/>
      <c r="K4620"/>
      <c r="L4620"/>
    </row>
    <row r="4621" spans="2:12" ht="14.4" x14ac:dyDescent="0.3">
      <c r="B4621"/>
      <c r="C4621"/>
      <c r="D4621"/>
      <c r="E4621"/>
      <c r="F4621"/>
      <c r="H4621"/>
      <c r="I4621"/>
      <c r="J4621"/>
      <c r="K4621"/>
      <c r="L4621"/>
    </row>
    <row r="4622" spans="2:12" ht="14.4" x14ac:dyDescent="0.3">
      <c r="B4622"/>
      <c r="C4622"/>
      <c r="D4622"/>
      <c r="E4622"/>
      <c r="F4622"/>
      <c r="H4622"/>
      <c r="I4622"/>
      <c r="J4622"/>
      <c r="K4622"/>
      <c r="L4622"/>
    </row>
    <row r="4623" spans="2:12" ht="14.4" x14ac:dyDescent="0.3">
      <c r="B4623"/>
      <c r="C4623"/>
      <c r="D4623"/>
      <c r="E4623"/>
      <c r="F4623"/>
      <c r="H4623"/>
      <c r="I4623"/>
      <c r="J4623"/>
      <c r="K4623"/>
      <c r="L4623"/>
    </row>
    <row r="4624" spans="2:12" ht="14.4" x14ac:dyDescent="0.3">
      <c r="B4624"/>
      <c r="C4624"/>
      <c r="D4624"/>
      <c r="E4624"/>
      <c r="F4624"/>
      <c r="H4624"/>
      <c r="I4624"/>
      <c r="J4624"/>
      <c r="K4624"/>
      <c r="L4624"/>
    </row>
    <row r="4625" spans="2:12" ht="14.4" x14ac:dyDescent="0.3">
      <c r="B4625"/>
      <c r="C4625"/>
      <c r="D4625"/>
      <c r="E4625"/>
      <c r="F4625"/>
      <c r="H4625"/>
      <c r="I4625"/>
      <c r="J4625"/>
      <c r="K4625"/>
      <c r="L4625"/>
    </row>
    <row r="4626" spans="2:12" ht="14.4" x14ac:dyDescent="0.3">
      <c r="B4626"/>
      <c r="C4626"/>
      <c r="D4626"/>
      <c r="E4626"/>
      <c r="F4626"/>
      <c r="H4626"/>
      <c r="I4626"/>
      <c r="J4626"/>
      <c r="K4626"/>
      <c r="L4626"/>
    </row>
    <row r="4627" spans="2:12" ht="14.4" x14ac:dyDescent="0.3">
      <c r="B4627"/>
      <c r="C4627"/>
      <c r="D4627"/>
      <c r="E4627"/>
      <c r="F4627"/>
      <c r="H4627"/>
      <c r="I4627"/>
      <c r="J4627"/>
      <c r="K4627"/>
      <c r="L4627"/>
    </row>
    <row r="4628" spans="2:12" ht="14.4" x14ac:dyDescent="0.3">
      <c r="B4628"/>
      <c r="C4628"/>
      <c r="D4628"/>
      <c r="E4628"/>
      <c r="F4628"/>
      <c r="H4628"/>
      <c r="I4628"/>
      <c r="J4628"/>
      <c r="K4628"/>
      <c r="L4628"/>
    </row>
    <row r="4629" spans="2:12" ht="14.4" x14ac:dyDescent="0.3">
      <c r="B4629"/>
      <c r="C4629"/>
      <c r="D4629"/>
      <c r="E4629"/>
      <c r="F4629"/>
      <c r="H4629"/>
      <c r="I4629"/>
      <c r="J4629"/>
      <c r="K4629"/>
      <c r="L4629"/>
    </row>
    <row r="4630" spans="2:12" ht="14.4" x14ac:dyDescent="0.3">
      <c r="B4630"/>
      <c r="C4630"/>
      <c r="D4630"/>
      <c r="E4630"/>
      <c r="F4630"/>
      <c r="H4630"/>
      <c r="I4630"/>
      <c r="J4630"/>
      <c r="K4630"/>
      <c r="L4630"/>
    </row>
    <row r="4631" spans="2:12" ht="14.4" x14ac:dyDescent="0.3">
      <c r="B4631"/>
      <c r="C4631"/>
      <c r="D4631"/>
      <c r="E4631"/>
      <c r="F4631"/>
      <c r="H4631"/>
      <c r="I4631"/>
      <c r="J4631"/>
      <c r="K4631"/>
      <c r="L4631"/>
    </row>
    <row r="4632" spans="2:12" ht="14.4" x14ac:dyDescent="0.3">
      <c r="B4632"/>
      <c r="C4632"/>
      <c r="D4632"/>
      <c r="E4632"/>
      <c r="F4632"/>
      <c r="H4632"/>
      <c r="I4632"/>
      <c r="J4632"/>
      <c r="K4632"/>
      <c r="L4632"/>
    </row>
    <row r="4633" spans="2:12" ht="14.4" x14ac:dyDescent="0.3">
      <c r="B4633"/>
      <c r="C4633"/>
      <c r="D4633"/>
      <c r="E4633"/>
      <c r="F4633"/>
      <c r="H4633"/>
      <c r="I4633"/>
      <c r="J4633"/>
      <c r="K4633"/>
      <c r="L4633"/>
    </row>
    <row r="4634" spans="2:12" ht="14.4" x14ac:dyDescent="0.3">
      <c r="B4634"/>
      <c r="C4634"/>
      <c r="D4634"/>
      <c r="E4634"/>
      <c r="F4634"/>
      <c r="H4634"/>
      <c r="I4634"/>
      <c r="J4634"/>
      <c r="K4634"/>
      <c r="L4634"/>
    </row>
    <row r="4635" spans="2:12" ht="14.4" x14ac:dyDescent="0.3">
      <c r="B4635"/>
      <c r="C4635"/>
      <c r="D4635"/>
      <c r="E4635"/>
      <c r="F4635"/>
      <c r="H4635"/>
      <c r="I4635"/>
      <c r="J4635"/>
      <c r="K4635"/>
      <c r="L4635"/>
    </row>
    <row r="4636" spans="2:12" ht="14.4" x14ac:dyDescent="0.3">
      <c r="B4636"/>
      <c r="C4636"/>
      <c r="D4636"/>
      <c r="E4636"/>
      <c r="F4636"/>
      <c r="H4636"/>
      <c r="I4636"/>
      <c r="J4636"/>
      <c r="K4636"/>
      <c r="L4636"/>
    </row>
    <row r="4637" spans="2:12" ht="14.4" x14ac:dyDescent="0.3">
      <c r="B4637"/>
      <c r="C4637"/>
      <c r="D4637"/>
      <c r="E4637"/>
      <c r="F4637"/>
      <c r="H4637"/>
      <c r="I4637"/>
      <c r="J4637"/>
      <c r="K4637"/>
      <c r="L4637"/>
    </row>
    <row r="4638" spans="2:12" ht="14.4" x14ac:dyDescent="0.3">
      <c r="B4638"/>
      <c r="C4638"/>
      <c r="D4638"/>
      <c r="E4638"/>
      <c r="F4638"/>
      <c r="H4638"/>
      <c r="I4638"/>
      <c r="J4638"/>
      <c r="K4638"/>
      <c r="L4638"/>
    </row>
    <row r="4639" spans="2:12" ht="14.4" x14ac:dyDescent="0.3">
      <c r="B4639"/>
      <c r="C4639"/>
      <c r="D4639"/>
      <c r="E4639"/>
      <c r="F4639"/>
      <c r="H4639"/>
      <c r="I4639"/>
      <c r="J4639"/>
      <c r="K4639"/>
      <c r="L4639"/>
    </row>
    <row r="4640" spans="2:12" ht="14.4" x14ac:dyDescent="0.3">
      <c r="B4640"/>
      <c r="C4640"/>
      <c r="D4640"/>
      <c r="E4640"/>
      <c r="F4640"/>
      <c r="H4640"/>
      <c r="I4640"/>
      <c r="J4640"/>
      <c r="K4640"/>
      <c r="L4640"/>
    </row>
    <row r="4641" spans="2:12" ht="14.4" x14ac:dyDescent="0.3">
      <c r="B4641"/>
      <c r="C4641"/>
      <c r="D4641"/>
      <c r="E4641"/>
      <c r="F4641"/>
      <c r="H4641"/>
      <c r="I4641"/>
      <c r="J4641"/>
      <c r="K4641"/>
      <c r="L4641"/>
    </row>
    <row r="4642" spans="2:12" ht="14.4" x14ac:dyDescent="0.3">
      <c r="B4642"/>
      <c r="C4642"/>
      <c r="D4642"/>
      <c r="E4642"/>
      <c r="F4642"/>
      <c r="H4642"/>
      <c r="I4642"/>
      <c r="J4642"/>
      <c r="K4642"/>
      <c r="L4642"/>
    </row>
    <row r="4643" spans="2:12" ht="14.4" x14ac:dyDescent="0.3">
      <c r="B4643"/>
      <c r="C4643"/>
      <c r="D4643"/>
      <c r="E4643"/>
      <c r="F4643"/>
      <c r="H4643"/>
      <c r="I4643"/>
      <c r="J4643"/>
      <c r="K4643"/>
      <c r="L4643"/>
    </row>
    <row r="4644" spans="2:12" ht="14.4" x14ac:dyDescent="0.3">
      <c r="B4644"/>
      <c r="C4644"/>
      <c r="D4644"/>
      <c r="E4644"/>
      <c r="F4644"/>
      <c r="H4644"/>
      <c r="I4644"/>
      <c r="J4644"/>
      <c r="K4644"/>
      <c r="L4644"/>
    </row>
    <row r="4645" spans="2:12" ht="14.4" x14ac:dyDescent="0.3">
      <c r="B4645"/>
      <c r="C4645"/>
      <c r="D4645"/>
      <c r="E4645"/>
      <c r="F4645"/>
      <c r="H4645"/>
      <c r="I4645"/>
      <c r="J4645"/>
      <c r="K4645"/>
      <c r="L4645"/>
    </row>
    <row r="4646" spans="2:12" ht="14.4" x14ac:dyDescent="0.3">
      <c r="B4646"/>
      <c r="C4646"/>
      <c r="D4646"/>
      <c r="E4646"/>
      <c r="F4646"/>
      <c r="H4646"/>
      <c r="I4646"/>
      <c r="J4646"/>
      <c r="K4646"/>
      <c r="L4646"/>
    </row>
    <row r="4647" spans="2:12" ht="14.4" x14ac:dyDescent="0.3">
      <c r="B4647"/>
      <c r="C4647"/>
      <c r="D4647"/>
      <c r="E4647"/>
      <c r="F4647"/>
      <c r="H4647"/>
      <c r="I4647"/>
      <c r="J4647"/>
      <c r="K4647"/>
      <c r="L4647"/>
    </row>
    <row r="4648" spans="2:12" ht="14.4" x14ac:dyDescent="0.3">
      <c r="B4648"/>
      <c r="C4648"/>
      <c r="D4648"/>
      <c r="E4648"/>
      <c r="F4648"/>
      <c r="H4648"/>
      <c r="I4648"/>
      <c r="J4648"/>
      <c r="K4648"/>
      <c r="L4648"/>
    </row>
    <row r="4649" spans="2:12" ht="14.4" x14ac:dyDescent="0.3">
      <c r="B4649"/>
      <c r="C4649"/>
      <c r="D4649"/>
      <c r="E4649"/>
      <c r="F4649"/>
      <c r="H4649"/>
      <c r="I4649"/>
      <c r="J4649"/>
      <c r="K4649"/>
      <c r="L4649"/>
    </row>
    <row r="4650" spans="2:12" ht="14.4" x14ac:dyDescent="0.3">
      <c r="B4650"/>
      <c r="C4650"/>
      <c r="D4650"/>
      <c r="E4650"/>
      <c r="F4650"/>
      <c r="H4650"/>
      <c r="I4650"/>
      <c r="J4650"/>
      <c r="K4650"/>
      <c r="L4650"/>
    </row>
    <row r="4651" spans="2:12" ht="14.4" x14ac:dyDescent="0.3">
      <c r="B4651"/>
      <c r="C4651"/>
      <c r="D4651"/>
      <c r="E4651"/>
      <c r="F4651"/>
      <c r="H4651"/>
      <c r="I4651"/>
      <c r="J4651"/>
      <c r="K4651"/>
      <c r="L4651"/>
    </row>
    <row r="4652" spans="2:12" ht="14.4" x14ac:dyDescent="0.3">
      <c r="B4652"/>
      <c r="C4652"/>
      <c r="D4652"/>
      <c r="E4652"/>
      <c r="F4652"/>
      <c r="H4652"/>
      <c r="I4652"/>
      <c r="J4652"/>
      <c r="K4652"/>
      <c r="L4652"/>
    </row>
    <row r="4653" spans="2:12" ht="14.4" x14ac:dyDescent="0.3">
      <c r="B4653"/>
      <c r="C4653"/>
      <c r="D4653"/>
      <c r="E4653"/>
      <c r="F4653"/>
      <c r="H4653"/>
      <c r="I4653"/>
      <c r="J4653"/>
      <c r="K4653"/>
      <c r="L4653"/>
    </row>
    <row r="4654" spans="2:12" ht="14.4" x14ac:dyDescent="0.3">
      <c r="B4654"/>
      <c r="C4654"/>
      <c r="D4654"/>
      <c r="E4654"/>
      <c r="F4654"/>
      <c r="H4654"/>
      <c r="I4654"/>
      <c r="J4654"/>
      <c r="K4654"/>
      <c r="L4654"/>
    </row>
    <row r="4655" spans="2:12" ht="14.4" x14ac:dyDescent="0.3">
      <c r="B4655"/>
      <c r="C4655"/>
      <c r="D4655"/>
      <c r="E4655"/>
      <c r="F4655"/>
      <c r="H4655"/>
      <c r="I4655"/>
      <c r="J4655"/>
      <c r="K4655"/>
      <c r="L4655"/>
    </row>
    <row r="4656" spans="2:12" ht="14.4" x14ac:dyDescent="0.3">
      <c r="B4656"/>
      <c r="C4656"/>
      <c r="D4656"/>
      <c r="E4656"/>
      <c r="F4656"/>
      <c r="H4656"/>
      <c r="I4656"/>
      <c r="J4656"/>
      <c r="K4656"/>
      <c r="L4656"/>
    </row>
    <row r="4657" spans="2:12" ht="14.4" x14ac:dyDescent="0.3">
      <c r="B4657"/>
      <c r="C4657"/>
      <c r="D4657"/>
      <c r="E4657"/>
      <c r="F4657"/>
      <c r="H4657"/>
      <c r="I4657"/>
      <c r="J4657"/>
      <c r="K4657"/>
      <c r="L4657"/>
    </row>
    <row r="4658" spans="2:12" ht="14.4" x14ac:dyDescent="0.3">
      <c r="B4658"/>
      <c r="C4658"/>
      <c r="D4658"/>
      <c r="E4658"/>
      <c r="F4658"/>
      <c r="H4658"/>
      <c r="I4658"/>
      <c r="J4658"/>
      <c r="K4658"/>
      <c r="L4658"/>
    </row>
    <row r="4659" spans="2:12" ht="14.4" x14ac:dyDescent="0.3">
      <c r="B4659"/>
      <c r="C4659"/>
      <c r="D4659"/>
      <c r="E4659"/>
      <c r="F4659"/>
      <c r="H4659"/>
      <c r="I4659"/>
      <c r="J4659"/>
      <c r="K4659"/>
      <c r="L4659"/>
    </row>
    <row r="4660" spans="2:12" ht="14.4" x14ac:dyDescent="0.3">
      <c r="B4660"/>
      <c r="C4660"/>
      <c r="D4660"/>
      <c r="E4660"/>
      <c r="F4660"/>
      <c r="H4660"/>
      <c r="I4660"/>
      <c r="J4660"/>
      <c r="K4660"/>
      <c r="L4660"/>
    </row>
    <row r="4661" spans="2:12" ht="14.4" x14ac:dyDescent="0.3">
      <c r="B4661"/>
      <c r="C4661"/>
      <c r="D4661"/>
      <c r="E4661"/>
      <c r="F4661"/>
      <c r="H4661"/>
      <c r="I4661"/>
      <c r="J4661"/>
      <c r="K4661"/>
      <c r="L4661"/>
    </row>
    <row r="4662" spans="2:12" ht="14.4" x14ac:dyDescent="0.3">
      <c r="B4662"/>
      <c r="C4662"/>
      <c r="D4662"/>
      <c r="E4662"/>
      <c r="F4662"/>
      <c r="H4662"/>
      <c r="I4662"/>
      <c r="J4662"/>
      <c r="K4662"/>
      <c r="L4662"/>
    </row>
    <row r="4663" spans="2:12" ht="14.4" x14ac:dyDescent="0.3">
      <c r="B4663"/>
      <c r="C4663"/>
      <c r="D4663"/>
      <c r="E4663"/>
      <c r="F4663"/>
      <c r="H4663"/>
      <c r="I4663"/>
      <c r="J4663"/>
      <c r="K4663"/>
      <c r="L4663"/>
    </row>
    <row r="4664" spans="2:12" ht="14.4" x14ac:dyDescent="0.3">
      <c r="B4664"/>
      <c r="C4664"/>
      <c r="D4664"/>
      <c r="E4664"/>
      <c r="F4664"/>
      <c r="H4664"/>
      <c r="I4664"/>
      <c r="J4664"/>
      <c r="K4664"/>
      <c r="L4664"/>
    </row>
    <row r="4665" spans="2:12" ht="14.4" x14ac:dyDescent="0.3">
      <c r="B4665"/>
      <c r="C4665"/>
      <c r="D4665"/>
      <c r="E4665"/>
      <c r="F4665"/>
      <c r="H4665"/>
      <c r="I4665"/>
      <c r="J4665"/>
      <c r="K4665"/>
      <c r="L4665"/>
    </row>
    <row r="4666" spans="2:12" ht="14.4" x14ac:dyDescent="0.3">
      <c r="B4666"/>
      <c r="C4666"/>
      <c r="D4666"/>
      <c r="E4666"/>
      <c r="F4666"/>
      <c r="H4666"/>
      <c r="I4666"/>
      <c r="J4666"/>
      <c r="K4666"/>
      <c r="L4666"/>
    </row>
    <row r="4667" spans="2:12" ht="14.4" x14ac:dyDescent="0.3">
      <c r="B4667"/>
      <c r="C4667"/>
      <c r="D4667"/>
      <c r="E4667"/>
      <c r="F4667"/>
      <c r="H4667"/>
      <c r="I4667"/>
      <c r="J4667"/>
      <c r="K4667"/>
      <c r="L4667"/>
    </row>
    <row r="4668" spans="2:12" ht="14.4" x14ac:dyDescent="0.3">
      <c r="B4668"/>
      <c r="C4668"/>
      <c r="D4668"/>
      <c r="E4668"/>
      <c r="F4668"/>
      <c r="H4668"/>
      <c r="I4668"/>
      <c r="J4668"/>
      <c r="K4668"/>
      <c r="L4668"/>
    </row>
    <row r="4669" spans="2:12" ht="14.4" x14ac:dyDescent="0.3">
      <c r="B4669"/>
      <c r="C4669"/>
      <c r="D4669"/>
      <c r="E4669"/>
      <c r="F4669"/>
      <c r="H4669"/>
      <c r="I4669"/>
      <c r="J4669"/>
      <c r="K4669"/>
      <c r="L4669"/>
    </row>
    <row r="4670" spans="2:12" ht="14.4" x14ac:dyDescent="0.3">
      <c r="B4670"/>
      <c r="C4670"/>
      <c r="D4670"/>
      <c r="E4670"/>
      <c r="F4670"/>
      <c r="H4670"/>
      <c r="I4670"/>
      <c r="J4670"/>
      <c r="K4670"/>
      <c r="L4670"/>
    </row>
    <row r="4671" spans="2:12" ht="14.4" x14ac:dyDescent="0.3">
      <c r="B4671"/>
      <c r="C4671"/>
      <c r="D4671"/>
      <c r="E4671"/>
      <c r="F4671"/>
      <c r="H4671"/>
      <c r="I4671"/>
      <c r="J4671"/>
      <c r="K4671"/>
      <c r="L4671"/>
    </row>
    <row r="4672" spans="2:12" ht="14.4" x14ac:dyDescent="0.3">
      <c r="B4672"/>
      <c r="C4672"/>
      <c r="D4672"/>
      <c r="E4672"/>
      <c r="F4672"/>
      <c r="H4672"/>
      <c r="I4672"/>
      <c r="J4672"/>
      <c r="K4672"/>
      <c r="L4672"/>
    </row>
    <row r="4673" spans="2:12" ht="14.4" x14ac:dyDescent="0.3">
      <c r="B4673"/>
      <c r="C4673"/>
      <c r="D4673"/>
      <c r="E4673"/>
      <c r="F4673"/>
      <c r="H4673"/>
      <c r="I4673"/>
      <c r="J4673"/>
      <c r="K4673"/>
      <c r="L4673"/>
    </row>
    <row r="4674" spans="2:12" ht="14.4" x14ac:dyDescent="0.3">
      <c r="B4674"/>
      <c r="C4674"/>
      <c r="D4674"/>
      <c r="E4674"/>
      <c r="F4674"/>
      <c r="H4674"/>
      <c r="I4674"/>
      <c r="J4674"/>
      <c r="K4674"/>
      <c r="L4674"/>
    </row>
    <row r="4675" spans="2:12" ht="14.4" x14ac:dyDescent="0.3">
      <c r="B4675"/>
      <c r="C4675"/>
      <c r="D4675"/>
      <c r="E4675"/>
      <c r="F4675"/>
      <c r="H4675"/>
      <c r="I4675"/>
      <c r="J4675"/>
      <c r="K4675"/>
      <c r="L4675"/>
    </row>
    <row r="4676" spans="2:12" ht="14.4" x14ac:dyDescent="0.3">
      <c r="B4676"/>
      <c r="C4676"/>
      <c r="D4676"/>
      <c r="E4676"/>
      <c r="F4676"/>
      <c r="H4676"/>
      <c r="I4676"/>
      <c r="J4676"/>
      <c r="K4676"/>
      <c r="L4676"/>
    </row>
    <row r="4677" spans="2:12" ht="14.4" x14ac:dyDescent="0.3">
      <c r="B4677"/>
      <c r="C4677"/>
      <c r="D4677"/>
      <c r="E4677"/>
      <c r="F4677"/>
      <c r="H4677"/>
      <c r="I4677"/>
      <c r="J4677"/>
      <c r="K4677"/>
      <c r="L4677"/>
    </row>
    <row r="4678" spans="2:12" ht="14.4" x14ac:dyDescent="0.3">
      <c r="B4678"/>
      <c r="C4678"/>
      <c r="D4678"/>
      <c r="E4678"/>
      <c r="F4678"/>
      <c r="H4678"/>
      <c r="I4678"/>
      <c r="J4678"/>
      <c r="K4678"/>
      <c r="L4678"/>
    </row>
    <row r="4679" spans="2:12" ht="14.4" x14ac:dyDescent="0.3">
      <c r="B4679"/>
      <c r="C4679"/>
      <c r="D4679"/>
      <c r="E4679"/>
      <c r="F4679"/>
      <c r="H4679"/>
      <c r="I4679"/>
      <c r="J4679"/>
      <c r="K4679"/>
      <c r="L4679"/>
    </row>
    <row r="4680" spans="2:12" ht="14.4" x14ac:dyDescent="0.3">
      <c r="B4680"/>
      <c r="C4680"/>
      <c r="D4680"/>
      <c r="E4680"/>
      <c r="F4680"/>
      <c r="H4680"/>
      <c r="I4680"/>
      <c r="J4680"/>
      <c r="K4680"/>
      <c r="L4680"/>
    </row>
    <row r="4681" spans="2:12" ht="14.4" x14ac:dyDescent="0.3">
      <c r="B4681"/>
      <c r="C4681"/>
      <c r="D4681"/>
      <c r="E4681"/>
      <c r="F4681"/>
      <c r="H4681"/>
      <c r="I4681"/>
      <c r="J4681"/>
      <c r="K4681"/>
      <c r="L4681"/>
    </row>
    <row r="4682" spans="2:12" ht="14.4" x14ac:dyDescent="0.3">
      <c r="B4682"/>
      <c r="C4682"/>
      <c r="D4682"/>
      <c r="E4682"/>
      <c r="F4682"/>
      <c r="H4682"/>
      <c r="I4682"/>
      <c r="J4682"/>
      <c r="K4682"/>
      <c r="L4682"/>
    </row>
    <row r="4683" spans="2:12" ht="14.4" x14ac:dyDescent="0.3">
      <c r="B4683"/>
      <c r="C4683"/>
      <c r="D4683"/>
      <c r="E4683"/>
      <c r="F4683"/>
      <c r="H4683"/>
      <c r="I4683"/>
      <c r="J4683"/>
      <c r="K4683"/>
      <c r="L4683"/>
    </row>
    <row r="4684" spans="2:12" ht="14.4" x14ac:dyDescent="0.3">
      <c r="B4684"/>
      <c r="C4684"/>
      <c r="D4684"/>
      <c r="E4684"/>
      <c r="F4684"/>
      <c r="H4684"/>
      <c r="I4684"/>
      <c r="J4684"/>
      <c r="K4684"/>
      <c r="L4684"/>
    </row>
    <row r="4685" spans="2:12" ht="14.4" x14ac:dyDescent="0.3">
      <c r="B4685"/>
      <c r="C4685"/>
      <c r="D4685"/>
      <c r="E4685"/>
      <c r="F4685"/>
      <c r="H4685"/>
      <c r="I4685"/>
      <c r="J4685"/>
      <c r="K4685"/>
      <c r="L4685"/>
    </row>
    <row r="4686" spans="2:12" ht="14.4" x14ac:dyDescent="0.3">
      <c r="B4686"/>
      <c r="C4686"/>
      <c r="D4686"/>
      <c r="E4686"/>
      <c r="F4686"/>
      <c r="H4686"/>
      <c r="I4686"/>
      <c r="J4686"/>
      <c r="K4686"/>
      <c r="L4686"/>
    </row>
    <row r="4687" spans="2:12" ht="14.4" x14ac:dyDescent="0.3">
      <c r="B4687"/>
      <c r="C4687"/>
      <c r="D4687"/>
      <c r="E4687"/>
      <c r="F4687"/>
      <c r="H4687"/>
      <c r="I4687"/>
      <c r="J4687"/>
      <c r="K4687"/>
      <c r="L4687"/>
    </row>
    <row r="4688" spans="2:12" ht="14.4" x14ac:dyDescent="0.3">
      <c r="B4688"/>
      <c r="C4688"/>
      <c r="D4688"/>
      <c r="E4688"/>
      <c r="F4688"/>
      <c r="H4688"/>
      <c r="I4688"/>
      <c r="J4688"/>
      <c r="K4688"/>
      <c r="L4688"/>
    </row>
    <row r="4689" spans="2:12" ht="14.4" x14ac:dyDescent="0.3">
      <c r="B4689"/>
      <c r="C4689"/>
      <c r="D4689"/>
      <c r="E4689"/>
      <c r="F4689"/>
      <c r="H4689"/>
      <c r="I4689"/>
      <c r="J4689"/>
      <c r="K4689"/>
      <c r="L4689"/>
    </row>
    <row r="4690" spans="2:12" ht="14.4" x14ac:dyDescent="0.3">
      <c r="B4690"/>
      <c r="C4690"/>
      <c r="D4690"/>
      <c r="E4690"/>
      <c r="F4690"/>
      <c r="H4690"/>
      <c r="I4690"/>
      <c r="J4690"/>
      <c r="K4690"/>
      <c r="L4690"/>
    </row>
    <row r="4691" spans="2:12" ht="14.4" x14ac:dyDescent="0.3">
      <c r="B4691"/>
      <c r="C4691"/>
      <c r="D4691"/>
      <c r="E4691"/>
      <c r="F4691"/>
      <c r="H4691"/>
      <c r="I4691"/>
      <c r="J4691"/>
      <c r="K4691"/>
      <c r="L4691"/>
    </row>
    <row r="4692" spans="2:12" ht="14.4" x14ac:dyDescent="0.3">
      <c r="B4692"/>
      <c r="C4692"/>
      <c r="D4692"/>
      <c r="E4692"/>
      <c r="F4692"/>
      <c r="H4692"/>
      <c r="I4692"/>
      <c r="J4692"/>
      <c r="K4692"/>
      <c r="L4692"/>
    </row>
    <row r="4693" spans="2:12" ht="14.4" x14ac:dyDescent="0.3">
      <c r="B4693"/>
      <c r="C4693"/>
      <c r="D4693"/>
      <c r="E4693"/>
      <c r="F4693"/>
      <c r="H4693"/>
      <c r="I4693"/>
      <c r="J4693"/>
      <c r="K4693"/>
      <c r="L4693"/>
    </row>
    <row r="4694" spans="2:12" ht="14.4" x14ac:dyDescent="0.3">
      <c r="B4694"/>
      <c r="C4694"/>
      <c r="D4694"/>
      <c r="E4694"/>
      <c r="F4694"/>
      <c r="H4694"/>
      <c r="I4694"/>
      <c r="J4694"/>
      <c r="K4694"/>
      <c r="L4694"/>
    </row>
    <row r="4695" spans="2:12" ht="14.4" x14ac:dyDescent="0.3">
      <c r="B4695"/>
      <c r="C4695"/>
      <c r="D4695"/>
      <c r="E4695"/>
      <c r="F4695"/>
      <c r="H4695"/>
      <c r="I4695"/>
      <c r="J4695"/>
      <c r="K4695"/>
      <c r="L4695"/>
    </row>
    <row r="4696" spans="2:12" ht="14.4" x14ac:dyDescent="0.3">
      <c r="B4696"/>
      <c r="C4696"/>
      <c r="D4696"/>
      <c r="E4696"/>
      <c r="F4696"/>
      <c r="H4696"/>
      <c r="I4696"/>
      <c r="J4696"/>
      <c r="K4696"/>
      <c r="L4696"/>
    </row>
    <row r="4697" spans="2:12" ht="14.4" x14ac:dyDescent="0.3">
      <c r="B4697"/>
      <c r="C4697"/>
      <c r="D4697"/>
      <c r="E4697"/>
      <c r="F4697"/>
      <c r="H4697"/>
      <c r="I4697"/>
      <c r="J4697"/>
      <c r="K4697"/>
      <c r="L4697"/>
    </row>
    <row r="4698" spans="2:12" ht="14.4" x14ac:dyDescent="0.3">
      <c r="B4698"/>
      <c r="C4698"/>
      <c r="D4698"/>
      <c r="E4698"/>
      <c r="F4698"/>
      <c r="H4698"/>
      <c r="I4698"/>
      <c r="J4698"/>
      <c r="K4698"/>
      <c r="L4698"/>
    </row>
    <row r="4699" spans="2:12" ht="14.4" x14ac:dyDescent="0.3">
      <c r="B4699"/>
      <c r="C4699"/>
      <c r="D4699"/>
      <c r="E4699"/>
      <c r="F4699"/>
      <c r="H4699"/>
      <c r="I4699"/>
      <c r="J4699"/>
      <c r="K4699"/>
      <c r="L4699"/>
    </row>
    <row r="4700" spans="2:12" ht="14.4" x14ac:dyDescent="0.3">
      <c r="B4700"/>
      <c r="C4700"/>
      <c r="D4700"/>
      <c r="E4700"/>
      <c r="F4700"/>
      <c r="H4700"/>
      <c r="I4700"/>
      <c r="J4700"/>
      <c r="K4700"/>
      <c r="L4700"/>
    </row>
    <row r="4701" spans="2:12" ht="14.4" x14ac:dyDescent="0.3">
      <c r="B4701"/>
      <c r="C4701"/>
      <c r="D4701"/>
      <c r="E4701"/>
      <c r="F4701"/>
      <c r="H4701"/>
      <c r="I4701"/>
      <c r="J4701"/>
      <c r="K4701"/>
      <c r="L4701"/>
    </row>
    <row r="4702" spans="2:12" ht="14.4" x14ac:dyDescent="0.3">
      <c r="B4702"/>
      <c r="C4702"/>
      <c r="D4702"/>
      <c r="E4702"/>
      <c r="F4702"/>
      <c r="H4702"/>
      <c r="I4702"/>
      <c r="J4702"/>
      <c r="K4702"/>
      <c r="L4702"/>
    </row>
    <row r="4703" spans="2:12" ht="14.4" x14ac:dyDescent="0.3">
      <c r="B4703"/>
      <c r="C4703"/>
      <c r="D4703"/>
      <c r="E4703"/>
      <c r="F4703"/>
      <c r="H4703"/>
      <c r="I4703"/>
      <c r="J4703"/>
      <c r="K4703"/>
      <c r="L4703"/>
    </row>
    <row r="4704" spans="2:12" ht="14.4" x14ac:dyDescent="0.3">
      <c r="B4704"/>
      <c r="C4704"/>
      <c r="D4704"/>
      <c r="E4704"/>
      <c r="F4704"/>
      <c r="H4704"/>
      <c r="I4704"/>
      <c r="J4704"/>
      <c r="K4704"/>
      <c r="L4704"/>
    </row>
    <row r="4705" spans="2:12" ht="14.4" x14ac:dyDescent="0.3">
      <c r="B4705"/>
      <c r="C4705"/>
      <c r="D4705"/>
      <c r="E4705"/>
      <c r="F4705"/>
      <c r="H4705"/>
      <c r="I4705"/>
      <c r="J4705"/>
      <c r="K4705"/>
      <c r="L4705"/>
    </row>
    <row r="4706" spans="2:12" ht="14.4" x14ac:dyDescent="0.3">
      <c r="B4706"/>
      <c r="C4706"/>
      <c r="D4706"/>
      <c r="E4706"/>
      <c r="F4706"/>
      <c r="H4706"/>
      <c r="I4706"/>
      <c r="J4706"/>
      <c r="K4706"/>
      <c r="L4706"/>
    </row>
    <row r="4707" spans="2:12" ht="14.4" x14ac:dyDescent="0.3">
      <c r="B4707"/>
      <c r="C4707"/>
      <c r="D4707"/>
      <c r="E4707"/>
      <c r="F4707"/>
      <c r="H4707"/>
      <c r="I4707"/>
      <c r="J4707"/>
      <c r="K4707"/>
      <c r="L4707"/>
    </row>
    <row r="4708" spans="2:12" ht="14.4" x14ac:dyDescent="0.3">
      <c r="B4708"/>
      <c r="C4708"/>
      <c r="D4708"/>
      <c r="E4708"/>
      <c r="F4708"/>
      <c r="H4708"/>
      <c r="I4708"/>
      <c r="J4708"/>
      <c r="K4708"/>
      <c r="L4708"/>
    </row>
    <row r="4709" spans="2:12" ht="14.4" x14ac:dyDescent="0.3">
      <c r="B4709"/>
      <c r="C4709"/>
      <c r="D4709"/>
      <c r="E4709"/>
      <c r="F4709"/>
      <c r="H4709"/>
      <c r="I4709"/>
      <c r="J4709"/>
      <c r="K4709"/>
      <c r="L4709"/>
    </row>
    <row r="4710" spans="2:12" ht="14.4" x14ac:dyDescent="0.3">
      <c r="B4710"/>
      <c r="C4710"/>
      <c r="D4710"/>
      <c r="E4710"/>
      <c r="F4710"/>
      <c r="H4710"/>
      <c r="I4710"/>
      <c r="J4710"/>
      <c r="K4710"/>
      <c r="L4710"/>
    </row>
    <row r="4711" spans="2:12" ht="14.4" x14ac:dyDescent="0.3">
      <c r="B4711"/>
      <c r="C4711"/>
      <c r="D4711"/>
      <c r="E4711"/>
      <c r="F4711"/>
      <c r="H4711"/>
      <c r="I4711"/>
      <c r="J4711"/>
      <c r="K4711"/>
      <c r="L4711"/>
    </row>
    <row r="4712" spans="2:12" ht="14.4" x14ac:dyDescent="0.3">
      <c r="B4712"/>
      <c r="C4712"/>
      <c r="D4712"/>
      <c r="E4712"/>
      <c r="F4712"/>
      <c r="H4712"/>
      <c r="I4712"/>
      <c r="J4712"/>
      <c r="K4712"/>
      <c r="L4712"/>
    </row>
    <row r="4713" spans="2:12" ht="14.4" x14ac:dyDescent="0.3">
      <c r="B4713"/>
      <c r="C4713"/>
      <c r="D4713"/>
      <c r="E4713"/>
      <c r="F4713"/>
      <c r="H4713"/>
      <c r="I4713"/>
      <c r="J4713"/>
      <c r="K4713"/>
      <c r="L4713"/>
    </row>
    <row r="4714" spans="2:12" ht="14.4" x14ac:dyDescent="0.3">
      <c r="B4714"/>
      <c r="C4714"/>
      <c r="D4714"/>
      <c r="E4714"/>
      <c r="F4714"/>
      <c r="H4714"/>
      <c r="I4714"/>
      <c r="J4714"/>
      <c r="K4714"/>
      <c r="L4714"/>
    </row>
    <row r="4715" spans="2:12" ht="14.4" x14ac:dyDescent="0.3">
      <c r="B4715"/>
      <c r="C4715"/>
      <c r="D4715"/>
      <c r="E4715"/>
      <c r="F4715"/>
      <c r="H4715"/>
      <c r="I4715"/>
      <c r="J4715"/>
      <c r="K4715"/>
      <c r="L4715"/>
    </row>
    <row r="4716" spans="2:12" ht="14.4" x14ac:dyDescent="0.3">
      <c r="B4716"/>
      <c r="C4716"/>
      <c r="D4716"/>
      <c r="E4716"/>
      <c r="F4716"/>
      <c r="H4716"/>
      <c r="I4716"/>
      <c r="J4716"/>
      <c r="K4716"/>
      <c r="L4716"/>
    </row>
    <row r="4717" spans="2:12" ht="14.4" x14ac:dyDescent="0.3">
      <c r="B4717"/>
      <c r="C4717"/>
      <c r="D4717"/>
      <c r="E4717"/>
      <c r="F4717"/>
      <c r="H4717"/>
      <c r="I4717"/>
      <c r="J4717"/>
      <c r="K4717"/>
      <c r="L4717"/>
    </row>
    <row r="4718" spans="2:12" ht="14.4" x14ac:dyDescent="0.3">
      <c r="B4718"/>
      <c r="C4718"/>
      <c r="D4718"/>
      <c r="E4718"/>
      <c r="F4718"/>
      <c r="H4718"/>
      <c r="I4718"/>
      <c r="J4718"/>
      <c r="K4718"/>
      <c r="L4718"/>
    </row>
    <row r="4719" spans="2:12" ht="14.4" x14ac:dyDescent="0.3">
      <c r="B4719"/>
      <c r="C4719"/>
      <c r="D4719"/>
      <c r="E4719"/>
      <c r="F4719"/>
      <c r="H4719"/>
      <c r="I4719"/>
      <c r="J4719"/>
      <c r="K4719"/>
      <c r="L4719"/>
    </row>
    <row r="4720" spans="2:12" ht="14.4" x14ac:dyDescent="0.3">
      <c r="B4720"/>
      <c r="C4720"/>
      <c r="D4720"/>
      <c r="E4720"/>
      <c r="F4720"/>
      <c r="H4720"/>
      <c r="I4720"/>
      <c r="J4720"/>
      <c r="K4720"/>
      <c r="L4720"/>
    </row>
    <row r="4721" spans="2:12" ht="14.4" x14ac:dyDescent="0.3">
      <c r="B4721"/>
      <c r="C4721"/>
      <c r="D4721"/>
      <c r="E4721"/>
      <c r="F4721"/>
      <c r="H4721"/>
      <c r="I4721"/>
      <c r="J4721"/>
      <c r="K4721"/>
      <c r="L4721"/>
    </row>
    <row r="4722" spans="2:12" ht="14.4" x14ac:dyDescent="0.3">
      <c r="B4722"/>
      <c r="C4722"/>
      <c r="D4722"/>
      <c r="E4722"/>
      <c r="F4722"/>
      <c r="H4722"/>
      <c r="I4722"/>
      <c r="J4722"/>
      <c r="K4722"/>
      <c r="L4722"/>
    </row>
    <row r="4723" spans="2:12" ht="14.4" x14ac:dyDescent="0.3">
      <c r="B4723"/>
      <c r="C4723"/>
      <c r="D4723"/>
      <c r="E4723"/>
      <c r="F4723"/>
      <c r="H4723"/>
      <c r="I4723"/>
      <c r="J4723"/>
      <c r="K4723"/>
      <c r="L4723"/>
    </row>
    <row r="4724" spans="2:12" ht="14.4" x14ac:dyDescent="0.3">
      <c r="B4724"/>
      <c r="C4724"/>
      <c r="D4724"/>
      <c r="E4724"/>
      <c r="F4724"/>
      <c r="H4724"/>
      <c r="I4724"/>
      <c r="J4724"/>
      <c r="K4724"/>
      <c r="L4724"/>
    </row>
    <row r="4725" spans="2:12" ht="14.4" x14ac:dyDescent="0.3">
      <c r="B4725"/>
      <c r="C4725"/>
      <c r="D4725"/>
      <c r="E4725"/>
      <c r="F4725"/>
      <c r="H4725"/>
      <c r="I4725"/>
      <c r="J4725"/>
      <c r="K4725"/>
      <c r="L4725"/>
    </row>
    <row r="4726" spans="2:12" ht="14.4" x14ac:dyDescent="0.3">
      <c r="B4726"/>
      <c r="C4726"/>
      <c r="D4726"/>
      <c r="E4726"/>
      <c r="F4726"/>
      <c r="H4726"/>
      <c r="I4726"/>
      <c r="J4726"/>
      <c r="K4726"/>
      <c r="L4726"/>
    </row>
    <row r="4727" spans="2:12" ht="14.4" x14ac:dyDescent="0.3">
      <c r="B4727"/>
      <c r="C4727"/>
      <c r="D4727"/>
      <c r="E4727"/>
      <c r="F4727"/>
      <c r="H4727"/>
      <c r="I4727"/>
      <c r="J4727"/>
      <c r="K4727"/>
      <c r="L4727"/>
    </row>
    <row r="4728" spans="2:12" ht="14.4" x14ac:dyDescent="0.3">
      <c r="B4728"/>
      <c r="C4728"/>
      <c r="D4728"/>
      <c r="E4728"/>
      <c r="F4728"/>
      <c r="H4728"/>
      <c r="I4728"/>
      <c r="J4728"/>
      <c r="K4728"/>
      <c r="L4728"/>
    </row>
    <row r="4729" spans="2:12" ht="14.4" x14ac:dyDescent="0.3">
      <c r="B4729"/>
      <c r="C4729"/>
      <c r="D4729"/>
      <c r="E4729"/>
      <c r="F4729"/>
      <c r="H4729"/>
      <c r="I4729"/>
      <c r="J4729"/>
      <c r="K4729"/>
      <c r="L4729"/>
    </row>
    <row r="4730" spans="2:12" ht="14.4" x14ac:dyDescent="0.3">
      <c r="B4730"/>
      <c r="C4730"/>
      <c r="D4730"/>
      <c r="E4730"/>
      <c r="F4730"/>
      <c r="H4730"/>
      <c r="I4730"/>
      <c r="J4730"/>
      <c r="K4730"/>
      <c r="L4730"/>
    </row>
    <row r="4731" spans="2:12" ht="14.4" x14ac:dyDescent="0.3">
      <c r="B4731"/>
      <c r="C4731"/>
      <c r="D4731"/>
      <c r="E4731"/>
      <c r="F4731"/>
      <c r="H4731"/>
      <c r="I4731"/>
      <c r="J4731"/>
      <c r="K4731"/>
      <c r="L4731"/>
    </row>
    <row r="4732" spans="2:12" ht="14.4" x14ac:dyDescent="0.3">
      <c r="B4732"/>
      <c r="C4732"/>
      <c r="D4732"/>
      <c r="E4732"/>
      <c r="F4732"/>
      <c r="H4732"/>
      <c r="I4732"/>
      <c r="J4732"/>
      <c r="K4732"/>
      <c r="L4732"/>
    </row>
    <row r="4733" spans="2:12" ht="14.4" x14ac:dyDescent="0.3">
      <c r="B4733"/>
      <c r="C4733"/>
      <c r="D4733"/>
      <c r="E4733"/>
      <c r="F4733"/>
      <c r="H4733"/>
      <c r="I4733"/>
      <c r="J4733"/>
      <c r="K4733"/>
      <c r="L4733"/>
    </row>
    <row r="4734" spans="2:12" ht="14.4" x14ac:dyDescent="0.3">
      <c r="B4734"/>
      <c r="C4734"/>
      <c r="D4734"/>
      <c r="E4734"/>
      <c r="F4734"/>
      <c r="H4734"/>
      <c r="I4734"/>
      <c r="J4734"/>
      <c r="K4734"/>
      <c r="L4734"/>
    </row>
    <row r="4735" spans="2:12" ht="14.4" x14ac:dyDescent="0.3">
      <c r="B4735"/>
      <c r="C4735"/>
      <c r="D4735"/>
      <c r="E4735"/>
      <c r="F4735"/>
      <c r="H4735"/>
      <c r="I4735"/>
      <c r="J4735"/>
      <c r="K4735"/>
      <c r="L4735"/>
    </row>
    <row r="4736" spans="2:12" ht="14.4" x14ac:dyDescent="0.3">
      <c r="B4736"/>
      <c r="C4736"/>
      <c r="D4736"/>
      <c r="E4736"/>
      <c r="F4736"/>
      <c r="H4736"/>
      <c r="I4736"/>
      <c r="J4736"/>
      <c r="K4736"/>
      <c r="L4736"/>
    </row>
    <row r="4737" spans="2:12" ht="14.4" x14ac:dyDescent="0.3">
      <c r="B4737"/>
      <c r="C4737"/>
      <c r="D4737"/>
      <c r="E4737"/>
      <c r="F4737"/>
      <c r="H4737"/>
      <c r="I4737"/>
      <c r="J4737"/>
      <c r="K4737"/>
      <c r="L4737"/>
    </row>
    <row r="4738" spans="2:12" ht="14.4" x14ac:dyDescent="0.3">
      <c r="B4738"/>
      <c r="C4738"/>
      <c r="D4738"/>
      <c r="E4738"/>
      <c r="F4738"/>
      <c r="H4738"/>
      <c r="I4738"/>
      <c r="J4738"/>
      <c r="K4738"/>
      <c r="L4738"/>
    </row>
    <row r="4739" spans="2:12" ht="14.4" x14ac:dyDescent="0.3">
      <c r="B4739"/>
      <c r="C4739"/>
      <c r="D4739"/>
      <c r="E4739"/>
      <c r="F4739"/>
      <c r="H4739"/>
      <c r="I4739"/>
      <c r="J4739"/>
      <c r="K4739"/>
      <c r="L4739"/>
    </row>
    <row r="4740" spans="2:12" ht="14.4" x14ac:dyDescent="0.3">
      <c r="B4740"/>
      <c r="C4740"/>
      <c r="D4740"/>
      <c r="E4740"/>
      <c r="F4740"/>
      <c r="H4740"/>
      <c r="I4740"/>
      <c r="J4740"/>
      <c r="K4740"/>
      <c r="L4740"/>
    </row>
    <row r="4741" spans="2:12" ht="14.4" x14ac:dyDescent="0.3">
      <c r="B4741"/>
      <c r="C4741"/>
      <c r="D4741"/>
      <c r="E4741"/>
      <c r="F4741"/>
      <c r="H4741"/>
      <c r="I4741"/>
      <c r="J4741"/>
      <c r="K4741"/>
      <c r="L4741"/>
    </row>
    <row r="4742" spans="2:12" ht="14.4" x14ac:dyDescent="0.3">
      <c r="B4742"/>
      <c r="C4742"/>
      <c r="D4742"/>
      <c r="E4742"/>
      <c r="F4742"/>
      <c r="H4742"/>
      <c r="I4742"/>
      <c r="J4742"/>
      <c r="K4742"/>
      <c r="L4742"/>
    </row>
    <row r="4743" spans="2:12" ht="14.4" x14ac:dyDescent="0.3">
      <c r="B4743"/>
      <c r="C4743"/>
      <c r="D4743"/>
      <c r="E4743"/>
      <c r="F4743"/>
      <c r="H4743"/>
      <c r="I4743"/>
      <c r="J4743"/>
      <c r="K4743"/>
      <c r="L4743"/>
    </row>
    <row r="4744" spans="2:12" ht="14.4" x14ac:dyDescent="0.3">
      <c r="B4744"/>
      <c r="C4744"/>
      <c r="D4744"/>
      <c r="E4744"/>
      <c r="F4744"/>
      <c r="H4744"/>
      <c r="I4744"/>
      <c r="J4744"/>
      <c r="K4744"/>
      <c r="L4744"/>
    </row>
    <row r="4745" spans="2:12" ht="14.4" x14ac:dyDescent="0.3">
      <c r="B4745"/>
      <c r="C4745"/>
      <c r="D4745"/>
      <c r="E4745"/>
      <c r="F4745"/>
      <c r="H4745"/>
      <c r="I4745"/>
      <c r="J4745"/>
      <c r="K4745"/>
      <c r="L4745"/>
    </row>
    <row r="4746" spans="2:12" ht="14.4" x14ac:dyDescent="0.3">
      <c r="B4746"/>
      <c r="C4746"/>
      <c r="D4746"/>
      <c r="E4746"/>
      <c r="F4746"/>
      <c r="H4746"/>
      <c r="I4746"/>
      <c r="J4746"/>
      <c r="K4746"/>
      <c r="L4746"/>
    </row>
    <row r="4747" spans="2:12" ht="14.4" x14ac:dyDescent="0.3">
      <c r="B4747"/>
      <c r="C4747"/>
      <c r="D4747"/>
      <c r="E4747"/>
      <c r="F4747"/>
      <c r="H4747"/>
      <c r="I4747"/>
      <c r="J4747"/>
      <c r="K4747"/>
      <c r="L4747"/>
    </row>
    <row r="4748" spans="2:12" ht="14.4" x14ac:dyDescent="0.3">
      <c r="B4748"/>
      <c r="C4748"/>
      <c r="D4748"/>
      <c r="E4748"/>
      <c r="F4748"/>
      <c r="H4748"/>
      <c r="I4748"/>
      <c r="J4748"/>
      <c r="K4748"/>
      <c r="L4748"/>
    </row>
    <row r="4749" spans="2:12" ht="14.4" x14ac:dyDescent="0.3">
      <c r="B4749"/>
      <c r="C4749"/>
      <c r="D4749"/>
      <c r="E4749"/>
      <c r="F4749"/>
      <c r="H4749"/>
      <c r="I4749"/>
      <c r="J4749"/>
      <c r="K4749"/>
      <c r="L4749"/>
    </row>
    <row r="4750" spans="2:12" ht="14.4" x14ac:dyDescent="0.3">
      <c r="B4750"/>
      <c r="C4750"/>
      <c r="D4750"/>
      <c r="E4750"/>
      <c r="F4750"/>
      <c r="H4750"/>
      <c r="I4750"/>
      <c r="J4750"/>
      <c r="K4750"/>
      <c r="L4750"/>
    </row>
    <row r="4751" spans="2:12" ht="14.4" x14ac:dyDescent="0.3">
      <c r="B4751"/>
      <c r="C4751"/>
      <c r="D4751"/>
      <c r="E4751"/>
      <c r="F4751"/>
      <c r="H4751"/>
      <c r="I4751"/>
      <c r="J4751"/>
      <c r="K4751"/>
      <c r="L4751"/>
    </row>
    <row r="4752" spans="2:12" ht="14.4" x14ac:dyDescent="0.3">
      <c r="B4752"/>
      <c r="C4752"/>
      <c r="D4752"/>
      <c r="E4752"/>
      <c r="F4752"/>
      <c r="H4752"/>
      <c r="I4752"/>
      <c r="J4752"/>
      <c r="K4752"/>
      <c r="L4752"/>
    </row>
    <row r="4753" spans="2:12" ht="14.4" x14ac:dyDescent="0.3">
      <c r="B4753"/>
      <c r="C4753"/>
      <c r="D4753"/>
      <c r="E4753"/>
      <c r="F4753"/>
      <c r="H4753"/>
      <c r="I4753"/>
      <c r="J4753"/>
      <c r="K4753"/>
      <c r="L4753"/>
    </row>
    <row r="4754" spans="2:12" ht="14.4" x14ac:dyDescent="0.3">
      <c r="B4754"/>
      <c r="C4754"/>
      <c r="D4754"/>
      <c r="E4754"/>
      <c r="F4754"/>
      <c r="H4754"/>
      <c r="I4754"/>
      <c r="J4754"/>
      <c r="K4754"/>
      <c r="L4754"/>
    </row>
    <row r="4755" spans="2:12" ht="14.4" x14ac:dyDescent="0.3">
      <c r="B4755"/>
      <c r="C4755"/>
      <c r="D4755"/>
      <c r="E4755"/>
      <c r="F4755"/>
      <c r="H4755"/>
      <c r="I4755"/>
      <c r="J4755"/>
      <c r="K4755"/>
      <c r="L4755"/>
    </row>
    <row r="4756" spans="2:12" ht="14.4" x14ac:dyDescent="0.3">
      <c r="B4756"/>
      <c r="C4756"/>
      <c r="D4756"/>
      <c r="E4756"/>
      <c r="F4756"/>
      <c r="H4756"/>
      <c r="I4756"/>
      <c r="J4756"/>
      <c r="K4756"/>
      <c r="L4756"/>
    </row>
    <row r="4757" spans="2:12" ht="14.4" x14ac:dyDescent="0.3">
      <c r="B4757"/>
      <c r="C4757"/>
      <c r="D4757"/>
      <c r="E4757"/>
      <c r="F4757"/>
      <c r="H4757"/>
      <c r="I4757"/>
      <c r="J4757"/>
      <c r="K4757"/>
      <c r="L4757"/>
    </row>
    <row r="4758" spans="2:12" ht="14.4" x14ac:dyDescent="0.3">
      <c r="B4758"/>
      <c r="C4758"/>
      <c r="D4758"/>
      <c r="E4758"/>
      <c r="F4758"/>
      <c r="H4758"/>
      <c r="I4758"/>
      <c r="J4758"/>
      <c r="K4758"/>
      <c r="L4758"/>
    </row>
    <row r="4759" spans="2:12" ht="14.4" x14ac:dyDescent="0.3">
      <c r="B4759"/>
      <c r="C4759"/>
      <c r="D4759"/>
      <c r="E4759"/>
      <c r="F4759"/>
      <c r="H4759"/>
      <c r="I4759"/>
      <c r="J4759"/>
      <c r="K4759"/>
      <c r="L4759"/>
    </row>
    <row r="4760" spans="2:12" ht="14.4" x14ac:dyDescent="0.3">
      <c r="B4760"/>
      <c r="C4760"/>
      <c r="D4760"/>
      <c r="E4760"/>
      <c r="F4760"/>
      <c r="H4760"/>
      <c r="I4760"/>
      <c r="J4760"/>
      <c r="K4760"/>
      <c r="L4760"/>
    </row>
    <row r="4761" spans="2:12" ht="14.4" x14ac:dyDescent="0.3">
      <c r="B4761"/>
      <c r="C4761"/>
      <c r="D4761"/>
      <c r="E4761"/>
      <c r="F4761"/>
      <c r="H4761"/>
      <c r="I4761"/>
      <c r="J4761"/>
      <c r="K4761"/>
      <c r="L4761"/>
    </row>
    <row r="4762" spans="2:12" ht="14.4" x14ac:dyDescent="0.3">
      <c r="B4762"/>
      <c r="C4762"/>
      <c r="D4762"/>
      <c r="E4762"/>
      <c r="F4762"/>
      <c r="H4762"/>
      <c r="I4762"/>
      <c r="J4762"/>
      <c r="K4762"/>
      <c r="L4762"/>
    </row>
    <row r="4763" spans="2:12" ht="14.4" x14ac:dyDescent="0.3">
      <c r="B4763"/>
      <c r="C4763"/>
      <c r="D4763"/>
      <c r="E4763"/>
      <c r="F4763"/>
      <c r="H4763"/>
      <c r="I4763"/>
      <c r="J4763"/>
      <c r="K4763"/>
      <c r="L4763"/>
    </row>
    <row r="4764" spans="2:12" ht="14.4" x14ac:dyDescent="0.3">
      <c r="B4764"/>
      <c r="C4764"/>
      <c r="D4764"/>
      <c r="E4764"/>
      <c r="F4764"/>
      <c r="H4764"/>
      <c r="I4764"/>
      <c r="J4764"/>
      <c r="K4764"/>
      <c r="L4764"/>
    </row>
    <row r="4765" spans="2:12" ht="14.4" x14ac:dyDescent="0.3">
      <c r="B4765"/>
      <c r="C4765"/>
      <c r="D4765"/>
      <c r="E4765"/>
      <c r="F4765"/>
      <c r="H4765"/>
      <c r="I4765"/>
      <c r="J4765"/>
      <c r="K4765"/>
      <c r="L4765"/>
    </row>
    <row r="4766" spans="2:12" ht="14.4" x14ac:dyDescent="0.3">
      <c r="B4766"/>
      <c r="C4766"/>
      <c r="D4766"/>
      <c r="E4766"/>
      <c r="F4766"/>
      <c r="H4766"/>
      <c r="I4766"/>
      <c r="J4766"/>
      <c r="K4766"/>
      <c r="L4766"/>
    </row>
    <row r="4767" spans="2:12" ht="14.4" x14ac:dyDescent="0.3">
      <c r="B4767"/>
      <c r="C4767"/>
      <c r="D4767"/>
      <c r="E4767"/>
      <c r="F4767"/>
      <c r="H4767"/>
      <c r="I4767"/>
      <c r="J4767"/>
      <c r="K4767"/>
      <c r="L4767"/>
    </row>
    <row r="4768" spans="2:12" ht="14.4" x14ac:dyDescent="0.3">
      <c r="B4768"/>
      <c r="C4768"/>
      <c r="D4768"/>
      <c r="E4768"/>
      <c r="F4768"/>
      <c r="H4768"/>
      <c r="I4768"/>
      <c r="J4768"/>
      <c r="K4768"/>
      <c r="L4768"/>
    </row>
    <row r="4769" spans="2:12" ht="14.4" x14ac:dyDescent="0.3">
      <c r="B4769"/>
      <c r="C4769"/>
      <c r="D4769"/>
      <c r="E4769"/>
      <c r="F4769"/>
      <c r="H4769"/>
      <c r="I4769"/>
      <c r="J4769"/>
      <c r="K4769"/>
      <c r="L4769"/>
    </row>
    <row r="4770" spans="2:12" ht="14.4" x14ac:dyDescent="0.3">
      <c r="B4770"/>
      <c r="C4770"/>
      <c r="D4770"/>
      <c r="E4770"/>
      <c r="F4770"/>
      <c r="H4770"/>
      <c r="I4770"/>
      <c r="J4770"/>
      <c r="K4770"/>
      <c r="L4770"/>
    </row>
    <row r="4771" spans="2:12" ht="14.4" x14ac:dyDescent="0.3">
      <c r="B4771"/>
      <c r="C4771"/>
      <c r="D4771"/>
      <c r="E4771"/>
      <c r="F4771"/>
      <c r="H4771"/>
      <c r="I4771"/>
      <c r="J4771"/>
      <c r="K4771"/>
      <c r="L4771"/>
    </row>
    <row r="4772" spans="2:12" ht="14.4" x14ac:dyDescent="0.3">
      <c r="B4772"/>
      <c r="C4772"/>
      <c r="D4772"/>
      <c r="E4772"/>
      <c r="F4772"/>
      <c r="H4772"/>
      <c r="I4772"/>
      <c r="J4772"/>
      <c r="K4772"/>
      <c r="L4772"/>
    </row>
    <row r="4773" spans="2:12" ht="14.4" x14ac:dyDescent="0.3">
      <c r="B4773"/>
      <c r="C4773"/>
      <c r="D4773"/>
      <c r="E4773"/>
      <c r="F4773"/>
      <c r="H4773"/>
      <c r="I4773"/>
      <c r="J4773"/>
      <c r="K4773"/>
      <c r="L4773"/>
    </row>
    <row r="4774" spans="2:12" ht="14.4" x14ac:dyDescent="0.3">
      <c r="B4774"/>
      <c r="C4774"/>
      <c r="D4774"/>
      <c r="E4774"/>
      <c r="F4774"/>
      <c r="H4774"/>
      <c r="I4774"/>
      <c r="J4774"/>
      <c r="K4774"/>
      <c r="L4774"/>
    </row>
    <row r="4775" spans="2:12" ht="14.4" x14ac:dyDescent="0.3">
      <c r="B4775"/>
      <c r="C4775"/>
      <c r="D4775"/>
      <c r="E4775"/>
      <c r="F4775"/>
      <c r="H4775"/>
      <c r="I4775"/>
      <c r="J4775"/>
      <c r="K4775"/>
      <c r="L4775"/>
    </row>
    <row r="4776" spans="2:12" ht="14.4" x14ac:dyDescent="0.3">
      <c r="B4776"/>
      <c r="C4776"/>
      <c r="D4776"/>
      <c r="E4776"/>
      <c r="F4776"/>
      <c r="H4776"/>
      <c r="I4776"/>
      <c r="J4776"/>
      <c r="K4776"/>
      <c r="L4776"/>
    </row>
    <row r="4777" spans="2:12" ht="14.4" x14ac:dyDescent="0.3">
      <c r="B4777"/>
      <c r="C4777"/>
      <c r="D4777"/>
      <c r="E4777"/>
      <c r="F4777"/>
      <c r="H4777"/>
      <c r="I4777"/>
      <c r="J4777"/>
      <c r="K4777"/>
      <c r="L4777"/>
    </row>
    <row r="4778" spans="2:12" ht="14.4" x14ac:dyDescent="0.3">
      <c r="B4778"/>
      <c r="C4778"/>
      <c r="D4778"/>
      <c r="E4778"/>
      <c r="F4778"/>
      <c r="H4778"/>
      <c r="I4778"/>
      <c r="J4778"/>
      <c r="K4778"/>
      <c r="L4778"/>
    </row>
    <row r="4779" spans="2:12" ht="14.4" x14ac:dyDescent="0.3">
      <c r="B4779"/>
      <c r="C4779"/>
      <c r="D4779"/>
      <c r="E4779"/>
      <c r="F4779"/>
      <c r="H4779"/>
      <c r="I4779"/>
      <c r="J4779"/>
      <c r="K4779"/>
      <c r="L4779"/>
    </row>
    <row r="4780" spans="2:12" ht="14.4" x14ac:dyDescent="0.3">
      <c r="B4780"/>
      <c r="C4780"/>
      <c r="D4780"/>
      <c r="E4780"/>
      <c r="F4780"/>
      <c r="H4780"/>
      <c r="I4780"/>
      <c r="J4780"/>
      <c r="K4780"/>
      <c r="L4780"/>
    </row>
    <row r="4781" spans="2:12" ht="14.4" x14ac:dyDescent="0.3">
      <c r="B4781"/>
      <c r="C4781"/>
      <c r="D4781"/>
      <c r="E4781"/>
      <c r="F4781"/>
      <c r="H4781"/>
      <c r="I4781"/>
      <c r="J4781"/>
      <c r="K4781"/>
      <c r="L4781"/>
    </row>
    <row r="4782" spans="2:12" ht="14.4" x14ac:dyDescent="0.3">
      <c r="B4782"/>
      <c r="C4782"/>
      <c r="D4782"/>
      <c r="E4782"/>
      <c r="F4782"/>
      <c r="H4782"/>
      <c r="I4782"/>
      <c r="J4782"/>
      <c r="K4782"/>
      <c r="L4782"/>
    </row>
    <row r="4783" spans="2:12" ht="14.4" x14ac:dyDescent="0.3">
      <c r="B4783"/>
      <c r="C4783"/>
      <c r="D4783"/>
      <c r="E4783"/>
      <c r="F4783"/>
      <c r="H4783"/>
      <c r="I4783"/>
      <c r="J4783"/>
      <c r="K4783"/>
      <c r="L4783"/>
    </row>
    <row r="4784" spans="2:12" ht="14.4" x14ac:dyDescent="0.3">
      <c r="B4784"/>
      <c r="C4784"/>
      <c r="D4784"/>
      <c r="E4784"/>
      <c r="F4784"/>
      <c r="H4784"/>
      <c r="I4784"/>
      <c r="J4784"/>
      <c r="K4784"/>
      <c r="L4784"/>
    </row>
    <row r="4785" spans="2:12" ht="14.4" x14ac:dyDescent="0.3">
      <c r="B4785"/>
      <c r="C4785"/>
      <c r="D4785"/>
      <c r="E4785"/>
      <c r="F4785"/>
      <c r="H4785"/>
      <c r="I4785"/>
      <c r="J4785"/>
      <c r="K4785"/>
      <c r="L4785"/>
    </row>
    <row r="4786" spans="2:12" ht="14.4" x14ac:dyDescent="0.3">
      <c r="B4786"/>
      <c r="C4786"/>
      <c r="D4786"/>
      <c r="E4786"/>
      <c r="F4786"/>
      <c r="H4786"/>
      <c r="I4786"/>
      <c r="J4786"/>
      <c r="K4786"/>
      <c r="L4786"/>
    </row>
    <row r="4787" spans="2:12" ht="14.4" x14ac:dyDescent="0.3">
      <c r="B4787"/>
      <c r="C4787"/>
      <c r="D4787"/>
      <c r="E4787"/>
      <c r="F4787"/>
      <c r="H4787"/>
      <c r="I4787"/>
      <c r="J4787"/>
      <c r="K4787"/>
      <c r="L4787"/>
    </row>
    <row r="4788" spans="2:12" ht="14.4" x14ac:dyDescent="0.3">
      <c r="B4788"/>
      <c r="C4788"/>
      <c r="D4788"/>
      <c r="E4788"/>
      <c r="F4788"/>
      <c r="H4788"/>
      <c r="I4788"/>
      <c r="J4788"/>
      <c r="K4788"/>
      <c r="L4788"/>
    </row>
    <row r="4789" spans="2:12" ht="14.4" x14ac:dyDescent="0.3">
      <c r="B4789"/>
      <c r="C4789"/>
      <c r="D4789"/>
      <c r="E4789"/>
      <c r="F4789"/>
      <c r="H4789"/>
      <c r="I4789"/>
      <c r="J4789"/>
      <c r="K4789"/>
      <c r="L4789"/>
    </row>
    <row r="4790" spans="2:12" ht="14.4" x14ac:dyDescent="0.3">
      <c r="B4790"/>
      <c r="C4790"/>
      <c r="D4790"/>
      <c r="E4790"/>
      <c r="F4790"/>
      <c r="H4790"/>
      <c r="I4790"/>
      <c r="J4790"/>
      <c r="K4790"/>
      <c r="L4790"/>
    </row>
    <row r="4791" spans="2:12" ht="14.4" x14ac:dyDescent="0.3">
      <c r="B4791"/>
      <c r="C4791"/>
      <c r="D4791"/>
      <c r="E4791"/>
      <c r="F4791"/>
      <c r="H4791"/>
      <c r="I4791"/>
      <c r="J4791"/>
      <c r="K4791"/>
      <c r="L4791"/>
    </row>
    <row r="4792" spans="2:12" ht="14.4" x14ac:dyDescent="0.3">
      <c r="B4792"/>
      <c r="C4792"/>
      <c r="D4792"/>
      <c r="E4792"/>
      <c r="F4792"/>
      <c r="H4792"/>
      <c r="I4792"/>
      <c r="J4792"/>
      <c r="K4792"/>
      <c r="L4792"/>
    </row>
    <row r="4793" spans="2:12" ht="14.4" x14ac:dyDescent="0.3">
      <c r="B4793"/>
      <c r="C4793"/>
      <c r="D4793"/>
      <c r="E4793"/>
      <c r="F4793"/>
      <c r="H4793"/>
      <c r="I4793"/>
      <c r="J4793"/>
      <c r="K4793"/>
      <c r="L4793"/>
    </row>
    <row r="4794" spans="2:12" ht="14.4" x14ac:dyDescent="0.3">
      <c r="B4794"/>
      <c r="C4794"/>
      <c r="D4794"/>
      <c r="E4794"/>
      <c r="F4794"/>
      <c r="H4794"/>
      <c r="I4794"/>
      <c r="J4794"/>
      <c r="K4794"/>
      <c r="L4794"/>
    </row>
    <row r="4795" spans="2:12" ht="14.4" x14ac:dyDescent="0.3">
      <c r="B4795"/>
      <c r="C4795"/>
      <c r="D4795"/>
      <c r="E4795"/>
      <c r="F4795"/>
      <c r="H4795"/>
      <c r="I4795"/>
      <c r="J4795"/>
      <c r="K4795"/>
      <c r="L4795"/>
    </row>
    <row r="4796" spans="2:12" ht="14.4" x14ac:dyDescent="0.3">
      <c r="B4796"/>
      <c r="C4796"/>
      <c r="D4796"/>
      <c r="E4796"/>
      <c r="F4796"/>
      <c r="H4796"/>
      <c r="I4796"/>
      <c r="J4796"/>
      <c r="K4796"/>
      <c r="L4796"/>
    </row>
    <row r="4797" spans="2:12" ht="14.4" x14ac:dyDescent="0.3">
      <c r="B4797"/>
      <c r="C4797"/>
      <c r="D4797"/>
      <c r="E4797"/>
      <c r="F4797"/>
      <c r="H4797"/>
      <c r="I4797"/>
      <c r="J4797"/>
      <c r="K4797"/>
      <c r="L4797"/>
    </row>
    <row r="4798" spans="2:12" ht="14.4" x14ac:dyDescent="0.3">
      <c r="B4798"/>
      <c r="C4798"/>
      <c r="D4798"/>
      <c r="E4798"/>
      <c r="F4798"/>
      <c r="H4798"/>
      <c r="I4798"/>
      <c r="J4798"/>
      <c r="K4798"/>
      <c r="L4798"/>
    </row>
    <row r="4799" spans="2:12" ht="14.4" x14ac:dyDescent="0.3">
      <c r="B4799"/>
      <c r="C4799"/>
      <c r="D4799"/>
      <c r="E4799"/>
      <c r="F4799"/>
      <c r="H4799"/>
      <c r="I4799"/>
      <c r="J4799"/>
      <c r="K4799"/>
      <c r="L4799"/>
    </row>
    <row r="4800" spans="2:12" ht="14.4" x14ac:dyDescent="0.3">
      <c r="B4800"/>
      <c r="C4800"/>
      <c r="D4800"/>
      <c r="E4800"/>
      <c r="F4800"/>
      <c r="H4800"/>
      <c r="I4800"/>
      <c r="J4800"/>
      <c r="K4800"/>
      <c r="L4800"/>
    </row>
    <row r="4801" spans="2:12" ht="14.4" x14ac:dyDescent="0.3">
      <c r="B4801"/>
      <c r="C4801"/>
      <c r="D4801"/>
      <c r="E4801"/>
      <c r="F4801"/>
      <c r="H4801"/>
      <c r="I4801"/>
      <c r="J4801"/>
      <c r="K4801"/>
      <c r="L4801"/>
    </row>
    <row r="4802" spans="2:12" ht="14.4" x14ac:dyDescent="0.3">
      <c r="B4802"/>
      <c r="C4802"/>
      <c r="D4802"/>
      <c r="E4802"/>
      <c r="F4802"/>
      <c r="H4802"/>
      <c r="I4802"/>
      <c r="J4802"/>
      <c r="K4802"/>
      <c r="L4802"/>
    </row>
    <row r="4803" spans="2:12" ht="14.4" x14ac:dyDescent="0.3">
      <c r="B4803"/>
      <c r="C4803"/>
      <c r="D4803"/>
      <c r="E4803"/>
      <c r="F4803"/>
      <c r="H4803"/>
      <c r="I4803"/>
      <c r="J4803"/>
      <c r="K4803"/>
      <c r="L4803"/>
    </row>
    <row r="4804" spans="2:12" ht="14.4" x14ac:dyDescent="0.3">
      <c r="B4804"/>
      <c r="C4804"/>
      <c r="D4804"/>
      <c r="E4804"/>
      <c r="F4804"/>
      <c r="H4804"/>
      <c r="I4804"/>
      <c r="J4804"/>
      <c r="K4804"/>
      <c r="L4804"/>
    </row>
    <row r="4805" spans="2:12" ht="14.4" x14ac:dyDescent="0.3">
      <c r="B4805"/>
      <c r="C4805"/>
      <c r="D4805"/>
      <c r="E4805"/>
      <c r="F4805"/>
      <c r="H4805"/>
      <c r="I4805"/>
      <c r="J4805"/>
      <c r="K4805"/>
      <c r="L4805"/>
    </row>
    <row r="4806" spans="2:12" ht="14.4" x14ac:dyDescent="0.3">
      <c r="B4806"/>
      <c r="C4806"/>
      <c r="D4806"/>
      <c r="E4806"/>
      <c r="F4806"/>
      <c r="H4806"/>
      <c r="I4806"/>
      <c r="J4806"/>
      <c r="K4806"/>
      <c r="L4806"/>
    </row>
    <row r="4807" spans="2:12" ht="14.4" x14ac:dyDescent="0.3">
      <c r="B4807"/>
      <c r="C4807"/>
      <c r="D4807"/>
      <c r="E4807"/>
      <c r="F4807"/>
      <c r="H4807"/>
      <c r="I4807"/>
      <c r="J4807"/>
      <c r="K4807"/>
      <c r="L4807"/>
    </row>
    <row r="4808" spans="2:12" ht="14.4" x14ac:dyDescent="0.3">
      <c r="B4808"/>
      <c r="C4808"/>
      <c r="D4808"/>
      <c r="E4808"/>
      <c r="F4808"/>
      <c r="H4808"/>
      <c r="I4808"/>
      <c r="J4808"/>
      <c r="K4808"/>
      <c r="L4808"/>
    </row>
    <row r="4809" spans="2:12" ht="14.4" x14ac:dyDescent="0.3">
      <c r="B4809"/>
      <c r="C4809"/>
      <c r="D4809"/>
      <c r="E4809"/>
      <c r="F4809"/>
      <c r="H4809"/>
      <c r="I4809"/>
      <c r="J4809"/>
      <c r="K4809"/>
      <c r="L4809"/>
    </row>
    <row r="4810" spans="2:12" ht="14.4" x14ac:dyDescent="0.3">
      <c r="B4810"/>
      <c r="C4810"/>
      <c r="D4810"/>
      <c r="E4810"/>
      <c r="F4810"/>
      <c r="H4810"/>
      <c r="I4810"/>
      <c r="J4810"/>
      <c r="K4810"/>
      <c r="L4810"/>
    </row>
    <row r="4811" spans="2:12" ht="14.4" x14ac:dyDescent="0.3">
      <c r="B4811"/>
      <c r="C4811"/>
      <c r="D4811"/>
      <c r="E4811"/>
      <c r="F4811"/>
      <c r="H4811"/>
      <c r="I4811"/>
      <c r="J4811"/>
      <c r="K4811"/>
      <c r="L4811"/>
    </row>
    <row r="4812" spans="2:12" ht="14.4" x14ac:dyDescent="0.3">
      <c r="B4812"/>
      <c r="C4812"/>
      <c r="D4812"/>
      <c r="E4812"/>
      <c r="F4812"/>
      <c r="H4812"/>
      <c r="I4812"/>
      <c r="J4812"/>
      <c r="K4812"/>
      <c r="L4812"/>
    </row>
    <row r="4813" spans="2:12" ht="14.4" x14ac:dyDescent="0.3">
      <c r="B4813"/>
      <c r="C4813"/>
      <c r="D4813"/>
      <c r="E4813"/>
      <c r="F4813"/>
      <c r="H4813"/>
      <c r="I4813"/>
      <c r="J4813"/>
      <c r="K4813"/>
      <c r="L4813"/>
    </row>
    <row r="4814" spans="2:12" ht="14.4" x14ac:dyDescent="0.3">
      <c r="B4814"/>
      <c r="C4814"/>
      <c r="D4814"/>
      <c r="E4814"/>
      <c r="F4814"/>
      <c r="H4814"/>
      <c r="I4814"/>
      <c r="J4814"/>
      <c r="K4814"/>
      <c r="L4814"/>
    </row>
    <row r="4815" spans="2:12" ht="14.4" x14ac:dyDescent="0.3">
      <c r="B4815"/>
      <c r="C4815"/>
      <c r="D4815"/>
      <c r="E4815"/>
      <c r="F4815"/>
      <c r="H4815"/>
      <c r="I4815"/>
      <c r="J4815"/>
      <c r="K4815"/>
      <c r="L4815"/>
    </row>
    <row r="4816" spans="2:12" ht="14.4" x14ac:dyDescent="0.3">
      <c r="B4816"/>
      <c r="C4816"/>
      <c r="D4816"/>
      <c r="E4816"/>
      <c r="F4816"/>
      <c r="H4816"/>
      <c r="I4816"/>
      <c r="J4816"/>
      <c r="K4816"/>
      <c r="L4816"/>
    </row>
    <row r="4817" spans="2:12" ht="14.4" x14ac:dyDescent="0.3">
      <c r="B4817"/>
      <c r="C4817"/>
      <c r="D4817"/>
      <c r="E4817"/>
      <c r="F4817"/>
      <c r="H4817"/>
      <c r="I4817"/>
      <c r="J4817"/>
      <c r="K4817"/>
      <c r="L4817"/>
    </row>
    <row r="4818" spans="2:12" ht="14.4" x14ac:dyDescent="0.3">
      <c r="B4818"/>
      <c r="C4818"/>
      <c r="D4818"/>
      <c r="E4818"/>
      <c r="F4818"/>
      <c r="H4818"/>
      <c r="I4818"/>
      <c r="J4818"/>
      <c r="K4818"/>
      <c r="L4818"/>
    </row>
    <row r="4819" spans="2:12" ht="14.4" x14ac:dyDescent="0.3">
      <c r="B4819"/>
      <c r="C4819"/>
      <c r="D4819"/>
      <c r="E4819"/>
      <c r="F4819"/>
      <c r="H4819"/>
      <c r="I4819"/>
      <c r="J4819"/>
      <c r="K4819"/>
      <c r="L4819"/>
    </row>
    <row r="4820" spans="2:12" ht="14.4" x14ac:dyDescent="0.3">
      <c r="B4820"/>
      <c r="C4820"/>
      <c r="D4820"/>
      <c r="E4820"/>
      <c r="F4820"/>
      <c r="H4820"/>
      <c r="I4820"/>
      <c r="J4820"/>
      <c r="K4820"/>
      <c r="L4820"/>
    </row>
    <row r="4821" spans="2:12" ht="14.4" x14ac:dyDescent="0.3">
      <c r="B4821"/>
      <c r="C4821"/>
      <c r="D4821"/>
      <c r="E4821"/>
      <c r="F4821"/>
      <c r="H4821"/>
      <c r="I4821"/>
      <c r="J4821"/>
      <c r="K4821"/>
      <c r="L4821"/>
    </row>
    <row r="4822" spans="2:12" ht="14.4" x14ac:dyDescent="0.3">
      <c r="B4822"/>
      <c r="C4822"/>
      <c r="D4822"/>
      <c r="E4822"/>
      <c r="F4822"/>
      <c r="H4822"/>
      <c r="I4822"/>
      <c r="J4822"/>
      <c r="K4822"/>
      <c r="L4822"/>
    </row>
    <row r="4823" spans="2:12" ht="14.4" x14ac:dyDescent="0.3">
      <c r="B4823"/>
      <c r="C4823"/>
      <c r="D4823"/>
      <c r="E4823"/>
      <c r="F4823"/>
      <c r="H4823"/>
      <c r="I4823"/>
      <c r="J4823"/>
      <c r="K4823"/>
      <c r="L4823"/>
    </row>
    <row r="4824" spans="2:12" ht="14.4" x14ac:dyDescent="0.3">
      <c r="B4824"/>
      <c r="C4824"/>
      <c r="D4824"/>
      <c r="E4824"/>
      <c r="F4824"/>
      <c r="H4824"/>
      <c r="I4824"/>
      <c r="J4824"/>
      <c r="K4824"/>
      <c r="L4824"/>
    </row>
    <row r="4825" spans="2:12" ht="14.4" x14ac:dyDescent="0.3">
      <c r="B4825"/>
      <c r="C4825"/>
      <c r="D4825"/>
      <c r="E4825"/>
      <c r="F4825"/>
      <c r="H4825"/>
      <c r="I4825"/>
      <c r="J4825"/>
      <c r="K4825"/>
      <c r="L4825"/>
    </row>
    <row r="4826" spans="2:12" ht="14.4" x14ac:dyDescent="0.3">
      <c r="B4826"/>
      <c r="C4826"/>
      <c r="D4826"/>
      <c r="E4826"/>
      <c r="F4826"/>
      <c r="H4826"/>
      <c r="I4826"/>
      <c r="J4826"/>
      <c r="K4826"/>
      <c r="L4826"/>
    </row>
    <row r="4827" spans="2:12" ht="14.4" x14ac:dyDescent="0.3">
      <c r="B4827"/>
      <c r="C4827"/>
      <c r="D4827"/>
      <c r="E4827"/>
      <c r="F4827"/>
      <c r="H4827"/>
      <c r="I4827"/>
      <c r="J4827"/>
      <c r="K4827"/>
      <c r="L4827"/>
    </row>
    <row r="4828" spans="2:12" ht="14.4" x14ac:dyDescent="0.3">
      <c r="B4828"/>
      <c r="C4828"/>
      <c r="D4828"/>
      <c r="E4828"/>
      <c r="F4828"/>
      <c r="H4828"/>
      <c r="I4828"/>
      <c r="J4828"/>
      <c r="K4828"/>
      <c r="L4828"/>
    </row>
    <row r="4829" spans="2:12" ht="14.4" x14ac:dyDescent="0.3">
      <c r="B4829"/>
      <c r="C4829"/>
      <c r="D4829"/>
      <c r="E4829"/>
      <c r="F4829"/>
      <c r="H4829"/>
      <c r="I4829"/>
      <c r="J4829"/>
      <c r="K4829"/>
      <c r="L4829"/>
    </row>
    <row r="4830" spans="2:12" ht="14.4" x14ac:dyDescent="0.3">
      <c r="B4830"/>
      <c r="C4830"/>
      <c r="D4830"/>
      <c r="E4830"/>
      <c r="F4830"/>
      <c r="H4830"/>
      <c r="I4830"/>
      <c r="J4830"/>
      <c r="K4830"/>
      <c r="L4830"/>
    </row>
    <row r="4831" spans="2:12" ht="14.4" x14ac:dyDescent="0.3">
      <c r="B4831"/>
      <c r="C4831"/>
      <c r="D4831"/>
      <c r="E4831"/>
      <c r="F4831"/>
      <c r="H4831"/>
      <c r="I4831"/>
      <c r="J4831"/>
      <c r="K4831"/>
      <c r="L4831"/>
    </row>
    <row r="4832" spans="2:12" ht="14.4" x14ac:dyDescent="0.3">
      <c r="B4832"/>
      <c r="C4832"/>
      <c r="D4832"/>
      <c r="E4832"/>
      <c r="F4832"/>
      <c r="H4832"/>
      <c r="I4832"/>
      <c r="J4832"/>
      <c r="K4832"/>
      <c r="L4832"/>
    </row>
    <row r="4833" spans="2:12" ht="14.4" x14ac:dyDescent="0.3">
      <c r="B4833"/>
      <c r="C4833"/>
      <c r="D4833"/>
      <c r="E4833"/>
      <c r="F4833"/>
      <c r="H4833"/>
      <c r="I4833"/>
      <c r="J4833"/>
      <c r="K4833"/>
      <c r="L4833"/>
    </row>
    <row r="4834" spans="2:12" ht="14.4" x14ac:dyDescent="0.3">
      <c r="B4834"/>
      <c r="C4834"/>
      <c r="D4834"/>
      <c r="E4834"/>
      <c r="F4834"/>
      <c r="H4834"/>
      <c r="I4834"/>
      <c r="J4834"/>
      <c r="K4834"/>
      <c r="L4834"/>
    </row>
    <row r="4835" spans="2:12" ht="14.4" x14ac:dyDescent="0.3">
      <c r="B4835"/>
      <c r="C4835"/>
      <c r="D4835"/>
      <c r="E4835"/>
      <c r="F4835"/>
      <c r="H4835"/>
      <c r="I4835"/>
      <c r="J4835"/>
      <c r="K4835"/>
      <c r="L4835"/>
    </row>
    <row r="4836" spans="2:12" ht="14.4" x14ac:dyDescent="0.3">
      <c r="B4836"/>
      <c r="C4836"/>
      <c r="D4836"/>
      <c r="E4836"/>
      <c r="F4836"/>
      <c r="H4836"/>
      <c r="I4836"/>
      <c r="J4836"/>
      <c r="K4836"/>
      <c r="L4836"/>
    </row>
    <row r="4837" spans="2:12" ht="14.4" x14ac:dyDescent="0.3">
      <c r="B4837"/>
      <c r="C4837"/>
      <c r="D4837"/>
      <c r="E4837"/>
      <c r="F4837"/>
      <c r="H4837"/>
      <c r="I4837"/>
      <c r="J4837"/>
      <c r="K4837"/>
      <c r="L4837"/>
    </row>
    <row r="4838" spans="2:12" ht="14.4" x14ac:dyDescent="0.3">
      <c r="B4838"/>
      <c r="C4838"/>
      <c r="D4838"/>
      <c r="E4838"/>
      <c r="F4838"/>
      <c r="H4838"/>
      <c r="I4838"/>
      <c r="J4838"/>
      <c r="K4838"/>
      <c r="L4838"/>
    </row>
    <row r="4839" spans="2:12" ht="14.4" x14ac:dyDescent="0.3">
      <c r="B4839"/>
      <c r="C4839"/>
      <c r="D4839"/>
      <c r="E4839"/>
      <c r="F4839"/>
      <c r="H4839"/>
      <c r="I4839"/>
      <c r="J4839"/>
      <c r="K4839"/>
      <c r="L4839"/>
    </row>
    <row r="4840" spans="2:12" ht="14.4" x14ac:dyDescent="0.3">
      <c r="B4840"/>
      <c r="C4840"/>
      <c r="D4840"/>
      <c r="E4840"/>
      <c r="F4840"/>
      <c r="H4840"/>
      <c r="I4840"/>
      <c r="J4840"/>
      <c r="K4840"/>
      <c r="L4840"/>
    </row>
    <row r="4841" spans="2:12" ht="14.4" x14ac:dyDescent="0.3">
      <c r="B4841"/>
      <c r="C4841"/>
      <c r="D4841"/>
      <c r="E4841"/>
      <c r="F4841"/>
      <c r="H4841"/>
      <c r="I4841"/>
      <c r="J4841"/>
      <c r="K4841"/>
      <c r="L4841"/>
    </row>
    <row r="4842" spans="2:12" ht="14.4" x14ac:dyDescent="0.3">
      <c r="B4842"/>
      <c r="C4842"/>
      <c r="D4842"/>
      <c r="E4842"/>
      <c r="F4842"/>
      <c r="H4842"/>
      <c r="I4842"/>
      <c r="J4842"/>
      <c r="K4842"/>
      <c r="L4842"/>
    </row>
    <row r="4843" spans="2:12" ht="14.4" x14ac:dyDescent="0.3">
      <c r="B4843"/>
      <c r="C4843"/>
      <c r="D4843"/>
      <c r="E4843"/>
      <c r="F4843"/>
      <c r="H4843"/>
      <c r="I4843"/>
      <c r="J4843"/>
      <c r="K4843"/>
      <c r="L4843"/>
    </row>
    <row r="4844" spans="2:12" ht="14.4" x14ac:dyDescent="0.3">
      <c r="B4844"/>
      <c r="C4844"/>
      <c r="D4844"/>
      <c r="E4844"/>
      <c r="F4844"/>
      <c r="H4844"/>
      <c r="I4844"/>
      <c r="J4844"/>
      <c r="K4844"/>
      <c r="L4844"/>
    </row>
    <row r="4845" spans="2:12" ht="14.4" x14ac:dyDescent="0.3">
      <c r="B4845"/>
      <c r="C4845"/>
      <c r="D4845"/>
      <c r="E4845"/>
      <c r="F4845"/>
      <c r="H4845"/>
      <c r="I4845"/>
      <c r="J4845"/>
      <c r="K4845"/>
      <c r="L4845"/>
    </row>
    <row r="4846" spans="2:12" ht="14.4" x14ac:dyDescent="0.3">
      <c r="B4846"/>
      <c r="C4846"/>
      <c r="D4846"/>
      <c r="E4846"/>
      <c r="F4846"/>
      <c r="H4846"/>
      <c r="I4846"/>
      <c r="J4846"/>
      <c r="K4846"/>
      <c r="L4846"/>
    </row>
    <row r="4847" spans="2:12" ht="14.4" x14ac:dyDescent="0.3">
      <c r="B4847"/>
      <c r="C4847"/>
      <c r="D4847"/>
      <c r="E4847"/>
      <c r="F4847"/>
      <c r="H4847"/>
      <c r="I4847"/>
      <c r="J4847"/>
      <c r="K4847"/>
      <c r="L4847"/>
    </row>
    <row r="4848" spans="2:12" ht="14.4" x14ac:dyDescent="0.3">
      <c r="B4848"/>
      <c r="C4848"/>
      <c r="D4848"/>
      <c r="E4848"/>
      <c r="F4848"/>
      <c r="H4848"/>
      <c r="I4848"/>
      <c r="J4848"/>
      <c r="K4848"/>
      <c r="L4848"/>
    </row>
    <row r="4849" spans="2:12" ht="14.4" x14ac:dyDescent="0.3">
      <c r="B4849"/>
      <c r="C4849"/>
      <c r="D4849"/>
      <c r="E4849"/>
      <c r="F4849"/>
      <c r="H4849"/>
      <c r="I4849"/>
      <c r="J4849"/>
      <c r="K4849"/>
      <c r="L4849"/>
    </row>
    <row r="4850" spans="2:12" ht="14.4" x14ac:dyDescent="0.3">
      <c r="B4850"/>
      <c r="C4850"/>
      <c r="D4850"/>
      <c r="E4850"/>
      <c r="F4850"/>
      <c r="H4850"/>
      <c r="I4850"/>
      <c r="J4850"/>
      <c r="K4850"/>
      <c r="L4850"/>
    </row>
    <row r="4851" spans="2:12" ht="14.4" x14ac:dyDescent="0.3">
      <c r="B4851"/>
      <c r="C4851"/>
      <c r="D4851"/>
      <c r="E4851"/>
      <c r="F4851"/>
      <c r="H4851"/>
      <c r="I4851"/>
      <c r="J4851"/>
      <c r="K4851"/>
      <c r="L4851"/>
    </row>
    <row r="4852" spans="2:12" ht="14.4" x14ac:dyDescent="0.3">
      <c r="B4852"/>
      <c r="C4852"/>
      <c r="D4852"/>
      <c r="E4852"/>
      <c r="F4852"/>
      <c r="H4852"/>
      <c r="I4852"/>
      <c r="J4852"/>
      <c r="K4852"/>
      <c r="L4852"/>
    </row>
    <row r="4853" spans="2:12" ht="14.4" x14ac:dyDescent="0.3">
      <c r="B4853"/>
      <c r="C4853"/>
      <c r="D4853"/>
      <c r="E4853"/>
      <c r="F4853"/>
      <c r="H4853"/>
      <c r="I4853"/>
      <c r="J4853"/>
      <c r="K4853"/>
      <c r="L4853"/>
    </row>
    <row r="4854" spans="2:12" ht="14.4" x14ac:dyDescent="0.3">
      <c r="B4854"/>
      <c r="C4854"/>
      <c r="D4854"/>
      <c r="E4854"/>
      <c r="F4854"/>
      <c r="H4854"/>
      <c r="I4854"/>
      <c r="J4854"/>
      <c r="K4854"/>
      <c r="L4854"/>
    </row>
    <row r="4855" spans="2:12" ht="14.4" x14ac:dyDescent="0.3">
      <c r="B4855"/>
      <c r="C4855"/>
      <c r="D4855"/>
      <c r="E4855"/>
      <c r="F4855"/>
      <c r="H4855"/>
      <c r="I4855"/>
      <c r="J4855"/>
      <c r="K4855"/>
      <c r="L4855"/>
    </row>
    <row r="4856" spans="2:12" ht="14.4" x14ac:dyDescent="0.3">
      <c r="B4856"/>
      <c r="C4856"/>
      <c r="D4856"/>
      <c r="E4856"/>
      <c r="F4856"/>
      <c r="H4856"/>
      <c r="I4856"/>
      <c r="J4856"/>
      <c r="K4856"/>
      <c r="L4856"/>
    </row>
    <row r="4857" spans="2:12" ht="14.4" x14ac:dyDescent="0.3">
      <c r="B4857"/>
      <c r="C4857"/>
      <c r="D4857"/>
      <c r="E4857"/>
      <c r="F4857"/>
      <c r="H4857"/>
      <c r="I4857"/>
      <c r="J4857"/>
      <c r="K4857"/>
      <c r="L4857"/>
    </row>
    <row r="4858" spans="2:12" ht="14.4" x14ac:dyDescent="0.3">
      <c r="B4858"/>
      <c r="C4858"/>
      <c r="D4858"/>
      <c r="E4858"/>
      <c r="F4858"/>
      <c r="H4858"/>
      <c r="I4858"/>
      <c r="J4858"/>
      <c r="K4858"/>
      <c r="L4858"/>
    </row>
    <row r="4859" spans="2:12" ht="14.4" x14ac:dyDescent="0.3">
      <c r="B4859"/>
      <c r="C4859"/>
      <c r="D4859"/>
      <c r="E4859"/>
      <c r="F4859"/>
      <c r="H4859"/>
      <c r="I4859"/>
      <c r="J4859"/>
      <c r="K4859"/>
      <c r="L4859"/>
    </row>
    <row r="4860" spans="2:12" ht="14.4" x14ac:dyDescent="0.3">
      <c r="B4860"/>
      <c r="C4860"/>
      <c r="D4860"/>
      <c r="E4860"/>
      <c r="F4860"/>
      <c r="H4860"/>
      <c r="I4860"/>
      <c r="J4860"/>
      <c r="K4860"/>
      <c r="L4860"/>
    </row>
    <row r="4861" spans="2:12" ht="14.4" x14ac:dyDescent="0.3">
      <c r="B4861"/>
      <c r="C4861"/>
      <c r="D4861"/>
      <c r="E4861"/>
      <c r="F4861"/>
      <c r="H4861"/>
      <c r="I4861"/>
      <c r="J4861"/>
      <c r="K4861"/>
      <c r="L4861"/>
    </row>
    <row r="4862" spans="2:12" ht="14.4" x14ac:dyDescent="0.3">
      <c r="B4862"/>
      <c r="C4862"/>
      <c r="D4862"/>
      <c r="E4862"/>
      <c r="F4862"/>
      <c r="H4862"/>
      <c r="I4862"/>
      <c r="J4862"/>
      <c r="K4862"/>
      <c r="L4862"/>
    </row>
    <row r="4863" spans="2:12" ht="14.4" x14ac:dyDescent="0.3">
      <c r="B4863"/>
      <c r="C4863"/>
      <c r="D4863"/>
      <c r="E4863"/>
      <c r="F4863"/>
      <c r="H4863"/>
      <c r="I4863"/>
      <c r="J4863"/>
      <c r="K4863"/>
      <c r="L4863"/>
    </row>
    <row r="4864" spans="2:12" ht="14.4" x14ac:dyDescent="0.3">
      <c r="B4864"/>
      <c r="C4864"/>
      <c r="D4864"/>
      <c r="E4864"/>
      <c r="F4864"/>
      <c r="H4864"/>
      <c r="I4864"/>
      <c r="J4864"/>
      <c r="K4864"/>
      <c r="L4864"/>
    </row>
    <row r="4865" spans="2:12" ht="14.4" x14ac:dyDescent="0.3">
      <c r="B4865"/>
      <c r="C4865"/>
      <c r="D4865"/>
      <c r="E4865"/>
      <c r="F4865"/>
      <c r="H4865"/>
      <c r="I4865"/>
      <c r="J4865"/>
      <c r="K4865"/>
      <c r="L4865"/>
    </row>
    <row r="4866" spans="2:12" ht="14.4" x14ac:dyDescent="0.3">
      <c r="B4866"/>
      <c r="C4866"/>
      <c r="D4866"/>
      <c r="E4866"/>
      <c r="F4866"/>
      <c r="H4866"/>
      <c r="I4866"/>
      <c r="J4866"/>
      <c r="K4866"/>
      <c r="L4866"/>
    </row>
    <row r="4867" spans="2:12" ht="14.4" x14ac:dyDescent="0.3">
      <c r="B4867"/>
      <c r="C4867"/>
      <c r="D4867"/>
      <c r="E4867"/>
      <c r="F4867"/>
      <c r="H4867"/>
      <c r="I4867"/>
      <c r="J4867"/>
      <c r="K4867"/>
      <c r="L4867"/>
    </row>
    <row r="4868" spans="2:12" ht="14.4" x14ac:dyDescent="0.3">
      <c r="B4868"/>
      <c r="C4868"/>
      <c r="D4868"/>
      <c r="E4868"/>
      <c r="F4868"/>
      <c r="H4868"/>
      <c r="I4868"/>
      <c r="J4868"/>
      <c r="K4868"/>
      <c r="L4868"/>
    </row>
    <row r="4869" spans="2:12" ht="14.4" x14ac:dyDescent="0.3">
      <c r="B4869"/>
      <c r="C4869"/>
      <c r="D4869"/>
      <c r="E4869"/>
      <c r="F4869"/>
      <c r="H4869"/>
      <c r="I4869"/>
      <c r="J4869"/>
      <c r="K4869"/>
      <c r="L4869"/>
    </row>
    <row r="4870" spans="2:12" ht="14.4" x14ac:dyDescent="0.3">
      <c r="B4870"/>
      <c r="C4870"/>
      <c r="D4870"/>
      <c r="E4870"/>
      <c r="F4870"/>
      <c r="H4870"/>
      <c r="I4870"/>
      <c r="J4870"/>
      <c r="K4870"/>
      <c r="L4870"/>
    </row>
    <row r="4871" spans="2:12" ht="14.4" x14ac:dyDescent="0.3">
      <c r="B4871"/>
      <c r="C4871"/>
      <c r="D4871"/>
      <c r="E4871"/>
      <c r="F4871"/>
      <c r="H4871"/>
      <c r="I4871"/>
      <c r="J4871"/>
      <c r="K4871"/>
      <c r="L4871"/>
    </row>
    <row r="4872" spans="2:12" ht="14.4" x14ac:dyDescent="0.3">
      <c r="B4872"/>
      <c r="C4872"/>
      <c r="D4872"/>
      <c r="E4872"/>
      <c r="F4872"/>
      <c r="H4872"/>
      <c r="I4872"/>
      <c r="J4872"/>
      <c r="K4872"/>
      <c r="L4872"/>
    </row>
    <row r="4873" spans="2:12" ht="14.4" x14ac:dyDescent="0.3">
      <c r="B4873"/>
      <c r="C4873"/>
      <c r="D4873"/>
      <c r="E4873"/>
      <c r="F4873"/>
      <c r="H4873"/>
      <c r="I4873"/>
      <c r="J4873"/>
      <c r="K4873"/>
      <c r="L4873"/>
    </row>
    <row r="4874" spans="2:12" ht="14.4" x14ac:dyDescent="0.3">
      <c r="B4874"/>
      <c r="C4874"/>
      <c r="D4874"/>
      <c r="E4874"/>
      <c r="F4874"/>
      <c r="H4874"/>
      <c r="I4874"/>
      <c r="J4874"/>
      <c r="K4874"/>
      <c r="L4874"/>
    </row>
    <row r="4875" spans="2:12" ht="14.4" x14ac:dyDescent="0.3">
      <c r="B4875"/>
      <c r="C4875"/>
      <c r="D4875"/>
      <c r="E4875"/>
      <c r="F4875"/>
      <c r="H4875"/>
      <c r="I4875"/>
      <c r="J4875"/>
      <c r="K4875"/>
      <c r="L4875"/>
    </row>
    <row r="4876" spans="2:12" ht="14.4" x14ac:dyDescent="0.3">
      <c r="B4876"/>
      <c r="C4876"/>
      <c r="D4876"/>
      <c r="E4876"/>
      <c r="F4876"/>
      <c r="H4876"/>
      <c r="I4876"/>
      <c r="J4876"/>
      <c r="K4876"/>
      <c r="L4876"/>
    </row>
    <row r="4877" spans="2:12" ht="14.4" x14ac:dyDescent="0.3">
      <c r="B4877"/>
      <c r="C4877"/>
      <c r="D4877"/>
      <c r="E4877"/>
      <c r="F4877"/>
      <c r="H4877"/>
      <c r="I4877"/>
      <c r="J4877"/>
      <c r="K4877"/>
      <c r="L4877"/>
    </row>
    <row r="4878" spans="2:12" ht="14.4" x14ac:dyDescent="0.3">
      <c r="B4878"/>
      <c r="C4878"/>
      <c r="D4878"/>
      <c r="E4878"/>
      <c r="F4878"/>
      <c r="H4878"/>
      <c r="I4878"/>
      <c r="J4878"/>
      <c r="K4878"/>
      <c r="L4878"/>
    </row>
    <row r="4879" spans="2:12" ht="14.4" x14ac:dyDescent="0.3">
      <c r="B4879"/>
      <c r="C4879"/>
      <c r="D4879"/>
      <c r="E4879"/>
      <c r="F4879"/>
      <c r="H4879"/>
      <c r="I4879"/>
      <c r="J4879"/>
      <c r="K4879"/>
      <c r="L4879"/>
    </row>
    <row r="4880" spans="2:12" ht="14.4" x14ac:dyDescent="0.3">
      <c r="B4880"/>
      <c r="C4880"/>
      <c r="D4880"/>
      <c r="E4880"/>
      <c r="F4880"/>
      <c r="H4880"/>
      <c r="I4880"/>
      <c r="J4880"/>
      <c r="K4880"/>
      <c r="L4880"/>
    </row>
    <row r="4881" spans="2:12" ht="14.4" x14ac:dyDescent="0.3">
      <c r="B4881"/>
      <c r="C4881"/>
      <c r="D4881"/>
      <c r="E4881"/>
      <c r="F4881"/>
      <c r="H4881"/>
      <c r="I4881"/>
      <c r="J4881"/>
      <c r="K4881"/>
      <c r="L4881"/>
    </row>
    <row r="4882" spans="2:12" ht="14.4" x14ac:dyDescent="0.3">
      <c r="B4882"/>
      <c r="C4882"/>
      <c r="D4882"/>
      <c r="E4882"/>
      <c r="F4882"/>
      <c r="H4882"/>
      <c r="I4882"/>
      <c r="J4882"/>
      <c r="K4882"/>
      <c r="L4882"/>
    </row>
    <row r="4883" spans="2:12" ht="14.4" x14ac:dyDescent="0.3">
      <c r="B4883"/>
      <c r="C4883"/>
      <c r="D4883"/>
      <c r="E4883"/>
      <c r="F4883"/>
      <c r="H4883"/>
      <c r="I4883"/>
      <c r="J4883"/>
      <c r="K4883"/>
      <c r="L4883"/>
    </row>
    <row r="4884" spans="2:12" ht="14.4" x14ac:dyDescent="0.3">
      <c r="B4884"/>
      <c r="C4884"/>
      <c r="D4884"/>
      <c r="E4884"/>
      <c r="F4884"/>
      <c r="H4884"/>
      <c r="I4884"/>
      <c r="J4884"/>
      <c r="K4884"/>
      <c r="L4884"/>
    </row>
    <row r="4885" spans="2:12" ht="14.4" x14ac:dyDescent="0.3">
      <c r="B4885"/>
      <c r="C4885"/>
      <c r="D4885"/>
      <c r="E4885"/>
      <c r="F4885"/>
      <c r="H4885"/>
      <c r="I4885"/>
      <c r="J4885"/>
      <c r="K4885"/>
      <c r="L4885"/>
    </row>
    <row r="4886" spans="2:12" ht="14.4" x14ac:dyDescent="0.3">
      <c r="B4886"/>
      <c r="C4886"/>
      <c r="D4886"/>
      <c r="E4886"/>
      <c r="F4886"/>
      <c r="H4886"/>
      <c r="I4886"/>
      <c r="J4886"/>
      <c r="K4886"/>
      <c r="L4886"/>
    </row>
    <row r="4887" spans="2:12" ht="14.4" x14ac:dyDescent="0.3">
      <c r="B4887"/>
      <c r="C4887"/>
      <c r="D4887"/>
      <c r="E4887"/>
      <c r="F4887"/>
      <c r="H4887"/>
      <c r="I4887"/>
      <c r="J4887"/>
      <c r="K4887"/>
      <c r="L4887"/>
    </row>
    <row r="4888" spans="2:12" ht="14.4" x14ac:dyDescent="0.3">
      <c r="B4888"/>
      <c r="C4888"/>
      <c r="D4888"/>
      <c r="E4888"/>
      <c r="F4888"/>
      <c r="H4888"/>
      <c r="I4888"/>
      <c r="J4888"/>
      <c r="K4888"/>
      <c r="L4888"/>
    </row>
    <row r="4889" spans="2:12" ht="14.4" x14ac:dyDescent="0.3">
      <c r="B4889"/>
      <c r="C4889"/>
      <c r="D4889"/>
      <c r="E4889"/>
      <c r="F4889"/>
      <c r="H4889"/>
      <c r="I4889"/>
      <c r="J4889"/>
      <c r="K4889"/>
      <c r="L4889"/>
    </row>
    <row r="4890" spans="2:12" ht="14.4" x14ac:dyDescent="0.3">
      <c r="B4890"/>
      <c r="C4890"/>
      <c r="D4890"/>
      <c r="E4890"/>
      <c r="F4890"/>
      <c r="H4890"/>
      <c r="I4890"/>
      <c r="J4890"/>
      <c r="K4890"/>
      <c r="L4890"/>
    </row>
    <row r="4891" spans="2:12" ht="14.4" x14ac:dyDescent="0.3">
      <c r="B4891"/>
      <c r="C4891"/>
      <c r="D4891"/>
      <c r="E4891"/>
      <c r="F4891"/>
      <c r="H4891"/>
      <c r="I4891"/>
      <c r="J4891"/>
      <c r="K4891"/>
      <c r="L4891"/>
    </row>
    <row r="4892" spans="2:12" ht="14.4" x14ac:dyDescent="0.3">
      <c r="B4892"/>
      <c r="C4892"/>
      <c r="D4892"/>
      <c r="E4892"/>
      <c r="F4892"/>
      <c r="H4892"/>
      <c r="I4892"/>
      <c r="J4892"/>
      <c r="K4892"/>
      <c r="L4892"/>
    </row>
    <row r="4893" spans="2:12" ht="14.4" x14ac:dyDescent="0.3">
      <c r="B4893"/>
      <c r="C4893"/>
      <c r="D4893"/>
      <c r="E4893"/>
      <c r="F4893"/>
      <c r="H4893"/>
      <c r="I4893"/>
      <c r="J4893"/>
      <c r="K4893"/>
      <c r="L4893"/>
    </row>
    <row r="4894" spans="2:12" ht="14.4" x14ac:dyDescent="0.3">
      <c r="B4894"/>
      <c r="C4894"/>
      <c r="D4894"/>
      <c r="E4894"/>
      <c r="F4894"/>
      <c r="H4894"/>
      <c r="I4894"/>
      <c r="J4894"/>
      <c r="K4894"/>
      <c r="L4894"/>
    </row>
    <row r="4895" spans="2:12" ht="14.4" x14ac:dyDescent="0.3">
      <c r="B4895"/>
      <c r="C4895"/>
      <c r="D4895"/>
      <c r="E4895"/>
      <c r="F4895"/>
      <c r="H4895"/>
      <c r="I4895"/>
      <c r="J4895"/>
      <c r="K4895"/>
      <c r="L4895"/>
    </row>
    <row r="4896" spans="2:12" ht="14.4" x14ac:dyDescent="0.3">
      <c r="B4896"/>
      <c r="C4896"/>
      <c r="D4896"/>
      <c r="E4896"/>
      <c r="F4896"/>
      <c r="H4896"/>
      <c r="I4896"/>
      <c r="J4896"/>
      <c r="K4896"/>
      <c r="L4896"/>
    </row>
    <row r="4897" spans="2:12" ht="14.4" x14ac:dyDescent="0.3">
      <c r="B4897"/>
      <c r="C4897"/>
      <c r="D4897"/>
      <c r="E4897"/>
      <c r="F4897"/>
      <c r="H4897"/>
      <c r="I4897"/>
      <c r="J4897"/>
      <c r="K4897"/>
      <c r="L4897"/>
    </row>
    <row r="4898" spans="2:12" ht="14.4" x14ac:dyDescent="0.3">
      <c r="B4898"/>
      <c r="C4898"/>
      <c r="D4898"/>
      <c r="E4898"/>
      <c r="F4898"/>
      <c r="H4898"/>
      <c r="I4898"/>
      <c r="J4898"/>
      <c r="K4898"/>
      <c r="L4898"/>
    </row>
    <row r="4899" spans="2:12" ht="14.4" x14ac:dyDescent="0.3">
      <c r="B4899"/>
      <c r="C4899"/>
      <c r="D4899"/>
      <c r="E4899"/>
      <c r="F4899"/>
      <c r="H4899"/>
      <c r="I4899"/>
      <c r="J4899"/>
      <c r="K4899"/>
      <c r="L4899"/>
    </row>
    <row r="4900" spans="2:12" ht="14.4" x14ac:dyDescent="0.3">
      <c r="B4900"/>
      <c r="C4900"/>
      <c r="D4900"/>
      <c r="E4900"/>
      <c r="F4900"/>
      <c r="H4900"/>
      <c r="I4900"/>
      <c r="J4900"/>
      <c r="K4900"/>
      <c r="L4900"/>
    </row>
    <row r="4901" spans="2:12" ht="14.4" x14ac:dyDescent="0.3">
      <c r="B4901"/>
      <c r="C4901"/>
      <c r="D4901"/>
      <c r="E4901"/>
      <c r="F4901"/>
      <c r="H4901"/>
      <c r="I4901"/>
      <c r="J4901"/>
      <c r="K4901"/>
      <c r="L4901"/>
    </row>
    <row r="4902" spans="2:12" ht="14.4" x14ac:dyDescent="0.3">
      <c r="B4902"/>
      <c r="C4902"/>
      <c r="D4902"/>
      <c r="E4902"/>
      <c r="F4902"/>
      <c r="H4902"/>
      <c r="I4902"/>
      <c r="J4902"/>
      <c r="K4902"/>
      <c r="L4902"/>
    </row>
    <row r="4903" spans="2:12" ht="14.4" x14ac:dyDescent="0.3">
      <c r="B4903"/>
      <c r="C4903"/>
      <c r="D4903"/>
      <c r="E4903"/>
      <c r="F4903"/>
      <c r="H4903"/>
      <c r="I4903"/>
      <c r="J4903"/>
      <c r="K4903"/>
      <c r="L4903"/>
    </row>
    <row r="4904" spans="2:12" ht="14.4" x14ac:dyDescent="0.3">
      <c r="B4904"/>
      <c r="C4904"/>
      <c r="D4904"/>
      <c r="E4904"/>
      <c r="F4904"/>
      <c r="H4904"/>
      <c r="I4904"/>
      <c r="J4904"/>
      <c r="K4904"/>
      <c r="L4904"/>
    </row>
    <row r="4905" spans="2:12" ht="14.4" x14ac:dyDescent="0.3">
      <c r="B4905"/>
      <c r="C4905"/>
      <c r="D4905"/>
      <c r="E4905"/>
      <c r="F4905"/>
      <c r="H4905"/>
      <c r="I4905"/>
      <c r="J4905"/>
      <c r="K4905"/>
      <c r="L4905"/>
    </row>
    <row r="4906" spans="2:12" ht="14.4" x14ac:dyDescent="0.3">
      <c r="B4906"/>
      <c r="C4906"/>
      <c r="D4906"/>
      <c r="E4906"/>
      <c r="F4906"/>
      <c r="H4906"/>
      <c r="I4906"/>
      <c r="J4906"/>
      <c r="K4906"/>
      <c r="L4906"/>
    </row>
    <row r="4907" spans="2:12" ht="14.4" x14ac:dyDescent="0.3">
      <c r="B4907"/>
      <c r="C4907"/>
      <c r="D4907"/>
      <c r="E4907"/>
      <c r="F4907"/>
      <c r="H4907"/>
      <c r="I4907"/>
      <c r="J4907"/>
      <c r="K4907"/>
      <c r="L4907"/>
    </row>
    <row r="4908" spans="2:12" ht="14.4" x14ac:dyDescent="0.3">
      <c r="B4908"/>
      <c r="C4908"/>
      <c r="D4908"/>
      <c r="E4908"/>
      <c r="F4908"/>
      <c r="H4908"/>
      <c r="I4908"/>
      <c r="J4908"/>
      <c r="K4908"/>
      <c r="L4908"/>
    </row>
    <row r="4909" spans="2:12" ht="14.4" x14ac:dyDescent="0.3">
      <c r="B4909"/>
      <c r="C4909"/>
      <c r="D4909"/>
      <c r="E4909"/>
      <c r="F4909"/>
      <c r="H4909"/>
      <c r="I4909"/>
      <c r="J4909"/>
      <c r="K4909"/>
      <c r="L4909"/>
    </row>
    <row r="4910" spans="2:12" ht="14.4" x14ac:dyDescent="0.3">
      <c r="B4910"/>
      <c r="C4910"/>
      <c r="D4910"/>
      <c r="E4910"/>
      <c r="F4910"/>
      <c r="H4910"/>
      <c r="I4910"/>
      <c r="J4910"/>
      <c r="K4910"/>
      <c r="L4910"/>
    </row>
    <row r="4911" spans="2:12" ht="14.4" x14ac:dyDescent="0.3">
      <c r="B4911"/>
      <c r="C4911"/>
      <c r="D4911"/>
      <c r="E4911"/>
      <c r="F4911"/>
      <c r="H4911"/>
      <c r="I4911"/>
      <c r="J4911"/>
      <c r="K4911"/>
      <c r="L4911"/>
    </row>
    <row r="4912" spans="2:12" ht="14.4" x14ac:dyDescent="0.3">
      <c r="B4912"/>
      <c r="C4912"/>
      <c r="D4912"/>
      <c r="E4912"/>
      <c r="F4912"/>
      <c r="H4912"/>
      <c r="I4912"/>
      <c r="J4912"/>
      <c r="K4912"/>
      <c r="L4912"/>
    </row>
    <row r="4913" spans="2:12" ht="14.4" x14ac:dyDescent="0.3">
      <c r="B4913"/>
      <c r="C4913"/>
      <c r="D4913"/>
      <c r="E4913"/>
      <c r="F4913"/>
      <c r="H4913"/>
      <c r="I4913"/>
      <c r="J4913"/>
      <c r="K4913"/>
      <c r="L4913"/>
    </row>
    <row r="4914" spans="2:12" ht="14.4" x14ac:dyDescent="0.3">
      <c r="B4914"/>
      <c r="C4914"/>
      <c r="D4914"/>
      <c r="E4914"/>
      <c r="F4914"/>
      <c r="H4914"/>
      <c r="I4914"/>
      <c r="J4914"/>
      <c r="K4914"/>
      <c r="L4914"/>
    </row>
    <row r="4915" spans="2:12" ht="14.4" x14ac:dyDescent="0.3">
      <c r="B4915"/>
      <c r="C4915"/>
      <c r="D4915"/>
      <c r="E4915"/>
      <c r="F4915"/>
      <c r="H4915"/>
      <c r="I4915"/>
      <c r="J4915"/>
      <c r="K4915"/>
      <c r="L4915"/>
    </row>
    <row r="4916" spans="2:12" ht="14.4" x14ac:dyDescent="0.3">
      <c r="B4916"/>
      <c r="C4916"/>
      <c r="D4916"/>
      <c r="E4916"/>
      <c r="F4916"/>
      <c r="H4916"/>
      <c r="I4916"/>
      <c r="J4916"/>
      <c r="K4916"/>
      <c r="L4916"/>
    </row>
    <row r="4917" spans="2:12" ht="14.4" x14ac:dyDescent="0.3">
      <c r="B4917"/>
      <c r="C4917"/>
      <c r="D4917"/>
      <c r="E4917"/>
      <c r="F4917"/>
      <c r="H4917"/>
      <c r="I4917"/>
      <c r="J4917"/>
      <c r="K4917"/>
      <c r="L4917"/>
    </row>
    <row r="4918" spans="2:12" ht="14.4" x14ac:dyDescent="0.3">
      <c r="B4918"/>
      <c r="C4918"/>
      <c r="D4918"/>
      <c r="E4918"/>
      <c r="F4918"/>
      <c r="H4918"/>
      <c r="I4918"/>
      <c r="J4918"/>
      <c r="K4918"/>
      <c r="L4918"/>
    </row>
    <row r="4919" spans="2:12" ht="14.4" x14ac:dyDescent="0.3">
      <c r="B4919"/>
      <c r="C4919"/>
      <c r="D4919"/>
      <c r="E4919"/>
      <c r="F4919"/>
      <c r="H4919"/>
      <c r="I4919"/>
      <c r="J4919"/>
      <c r="K4919"/>
      <c r="L4919"/>
    </row>
    <row r="4920" spans="2:12" ht="14.4" x14ac:dyDescent="0.3">
      <c r="B4920"/>
      <c r="C4920"/>
      <c r="D4920"/>
      <c r="E4920"/>
      <c r="F4920"/>
      <c r="H4920"/>
      <c r="I4920"/>
      <c r="J4920"/>
      <c r="K4920"/>
      <c r="L4920"/>
    </row>
    <row r="4921" spans="2:12" ht="14.4" x14ac:dyDescent="0.3">
      <c r="B4921"/>
      <c r="C4921"/>
      <c r="D4921"/>
      <c r="E4921"/>
      <c r="F4921"/>
      <c r="H4921"/>
      <c r="I4921"/>
      <c r="J4921"/>
      <c r="K4921"/>
      <c r="L4921"/>
    </row>
    <row r="4922" spans="2:12" ht="14.4" x14ac:dyDescent="0.3">
      <c r="B4922"/>
      <c r="C4922"/>
      <c r="D4922"/>
      <c r="E4922"/>
      <c r="F4922"/>
      <c r="H4922"/>
      <c r="I4922"/>
      <c r="J4922"/>
      <c r="K4922"/>
      <c r="L4922"/>
    </row>
    <row r="4923" spans="2:12" ht="14.4" x14ac:dyDescent="0.3">
      <c r="B4923"/>
      <c r="C4923"/>
      <c r="D4923"/>
      <c r="E4923"/>
      <c r="F4923"/>
      <c r="H4923"/>
      <c r="I4923"/>
      <c r="J4923"/>
      <c r="K4923"/>
      <c r="L4923"/>
    </row>
    <row r="4924" spans="2:12" ht="14.4" x14ac:dyDescent="0.3">
      <c r="B4924"/>
      <c r="C4924"/>
      <c r="D4924"/>
      <c r="E4924"/>
      <c r="F4924"/>
      <c r="H4924"/>
      <c r="I4924"/>
      <c r="J4924"/>
      <c r="K4924"/>
      <c r="L4924"/>
    </row>
    <row r="4925" spans="2:12" ht="14.4" x14ac:dyDescent="0.3">
      <c r="B4925"/>
      <c r="C4925"/>
      <c r="D4925"/>
      <c r="E4925"/>
      <c r="F4925"/>
      <c r="H4925"/>
      <c r="I4925"/>
      <c r="J4925"/>
      <c r="K4925"/>
      <c r="L4925"/>
    </row>
    <row r="4926" spans="2:12" ht="14.4" x14ac:dyDescent="0.3">
      <c r="B4926"/>
      <c r="C4926"/>
      <c r="D4926"/>
      <c r="E4926"/>
      <c r="F4926"/>
      <c r="H4926"/>
      <c r="I4926"/>
      <c r="J4926"/>
      <c r="K4926"/>
      <c r="L4926"/>
    </row>
    <row r="4927" spans="2:12" ht="14.4" x14ac:dyDescent="0.3">
      <c r="B4927"/>
      <c r="C4927"/>
      <c r="D4927"/>
      <c r="E4927"/>
      <c r="F4927"/>
      <c r="H4927"/>
      <c r="I4927"/>
      <c r="J4927"/>
      <c r="K4927"/>
      <c r="L4927"/>
    </row>
    <row r="4928" spans="2:12" ht="14.4" x14ac:dyDescent="0.3">
      <c r="B4928"/>
      <c r="C4928"/>
      <c r="D4928"/>
      <c r="E4928"/>
      <c r="F4928"/>
      <c r="H4928"/>
      <c r="I4928"/>
      <c r="J4928"/>
      <c r="K4928"/>
      <c r="L4928"/>
    </row>
    <row r="4929" spans="2:12" ht="14.4" x14ac:dyDescent="0.3">
      <c r="B4929"/>
      <c r="C4929"/>
      <c r="D4929"/>
      <c r="E4929"/>
      <c r="F4929"/>
      <c r="H4929"/>
      <c r="I4929"/>
      <c r="J4929"/>
      <c r="K4929"/>
      <c r="L4929"/>
    </row>
    <row r="4930" spans="2:12" ht="14.4" x14ac:dyDescent="0.3">
      <c r="B4930"/>
      <c r="C4930"/>
      <c r="D4930"/>
      <c r="E4930"/>
      <c r="F4930"/>
      <c r="H4930"/>
      <c r="I4930"/>
      <c r="J4930"/>
      <c r="K4930"/>
      <c r="L4930"/>
    </row>
    <row r="4931" spans="2:12" ht="14.4" x14ac:dyDescent="0.3">
      <c r="B4931"/>
      <c r="C4931"/>
      <c r="D4931"/>
      <c r="E4931"/>
      <c r="F4931"/>
      <c r="H4931"/>
      <c r="I4931"/>
      <c r="J4931"/>
      <c r="K4931"/>
      <c r="L4931"/>
    </row>
    <row r="4932" spans="2:12" ht="14.4" x14ac:dyDescent="0.3">
      <c r="B4932"/>
      <c r="C4932"/>
      <c r="D4932"/>
      <c r="E4932"/>
      <c r="F4932"/>
      <c r="H4932"/>
      <c r="I4932"/>
      <c r="J4932"/>
      <c r="K4932"/>
      <c r="L4932"/>
    </row>
    <row r="4933" spans="2:12" ht="14.4" x14ac:dyDescent="0.3">
      <c r="B4933"/>
      <c r="C4933"/>
      <c r="D4933"/>
      <c r="E4933"/>
      <c r="F4933"/>
      <c r="H4933"/>
      <c r="I4933"/>
      <c r="J4933"/>
      <c r="K4933"/>
      <c r="L4933"/>
    </row>
    <row r="4934" spans="2:12" ht="14.4" x14ac:dyDescent="0.3">
      <c r="B4934"/>
      <c r="C4934"/>
      <c r="D4934"/>
      <c r="E4934"/>
      <c r="F4934"/>
      <c r="H4934"/>
      <c r="I4934"/>
      <c r="J4934"/>
      <c r="K4934"/>
      <c r="L4934"/>
    </row>
    <row r="4935" spans="2:12" ht="14.4" x14ac:dyDescent="0.3">
      <c r="B4935"/>
      <c r="C4935"/>
      <c r="D4935"/>
      <c r="E4935"/>
      <c r="F4935"/>
      <c r="H4935"/>
      <c r="I4935"/>
      <c r="J4935"/>
      <c r="K4935"/>
      <c r="L4935"/>
    </row>
    <row r="4936" spans="2:12" ht="14.4" x14ac:dyDescent="0.3">
      <c r="B4936"/>
      <c r="C4936"/>
      <c r="D4936"/>
      <c r="E4936"/>
      <c r="F4936"/>
      <c r="H4936"/>
      <c r="I4936"/>
      <c r="J4936"/>
      <c r="K4936"/>
      <c r="L4936"/>
    </row>
    <row r="4937" spans="2:12" ht="14.4" x14ac:dyDescent="0.3">
      <c r="B4937"/>
      <c r="C4937"/>
      <c r="D4937"/>
      <c r="E4937"/>
      <c r="F4937"/>
      <c r="H4937"/>
      <c r="I4937"/>
      <c r="J4937"/>
      <c r="K4937"/>
      <c r="L4937"/>
    </row>
    <row r="4938" spans="2:12" ht="14.4" x14ac:dyDescent="0.3">
      <c r="B4938"/>
      <c r="C4938"/>
      <c r="D4938"/>
      <c r="E4938"/>
      <c r="F4938"/>
      <c r="H4938"/>
      <c r="I4938"/>
      <c r="J4938"/>
      <c r="K4938"/>
      <c r="L4938"/>
    </row>
    <row r="4939" spans="2:12" ht="14.4" x14ac:dyDescent="0.3">
      <c r="B4939"/>
      <c r="C4939"/>
      <c r="D4939"/>
      <c r="E4939"/>
      <c r="F4939"/>
      <c r="H4939"/>
      <c r="I4939"/>
      <c r="J4939"/>
      <c r="K4939"/>
      <c r="L4939"/>
    </row>
    <row r="4940" spans="2:12" ht="14.4" x14ac:dyDescent="0.3">
      <c r="B4940"/>
      <c r="C4940"/>
      <c r="D4940"/>
      <c r="E4940"/>
      <c r="F4940"/>
      <c r="H4940"/>
      <c r="I4940"/>
      <c r="J4940"/>
      <c r="K4940"/>
      <c r="L4940"/>
    </row>
    <row r="4941" spans="2:12" ht="14.4" x14ac:dyDescent="0.3">
      <c r="B4941"/>
      <c r="C4941"/>
      <c r="D4941"/>
      <c r="E4941"/>
      <c r="F4941"/>
      <c r="H4941"/>
      <c r="I4941"/>
      <c r="J4941"/>
      <c r="K4941"/>
      <c r="L4941"/>
    </row>
    <row r="4942" spans="2:12" ht="14.4" x14ac:dyDescent="0.3">
      <c r="B4942"/>
      <c r="C4942"/>
      <c r="D4942"/>
      <c r="E4942"/>
      <c r="F4942"/>
      <c r="H4942"/>
      <c r="I4942"/>
      <c r="J4942"/>
      <c r="K4942"/>
      <c r="L4942"/>
    </row>
    <row r="4943" spans="2:12" ht="14.4" x14ac:dyDescent="0.3">
      <c r="B4943"/>
      <c r="C4943"/>
      <c r="D4943"/>
      <c r="E4943"/>
      <c r="F4943"/>
      <c r="H4943"/>
      <c r="I4943"/>
      <c r="J4943"/>
      <c r="K4943"/>
      <c r="L4943"/>
    </row>
    <row r="4944" spans="2:12" ht="14.4" x14ac:dyDescent="0.3">
      <c r="B4944"/>
      <c r="C4944"/>
      <c r="D4944"/>
      <c r="E4944"/>
      <c r="F4944"/>
      <c r="H4944"/>
      <c r="I4944"/>
      <c r="J4944"/>
      <c r="K4944"/>
      <c r="L4944"/>
    </row>
    <row r="4945" spans="2:12" ht="14.4" x14ac:dyDescent="0.3">
      <c r="B4945"/>
      <c r="C4945"/>
      <c r="D4945"/>
      <c r="E4945"/>
      <c r="F4945"/>
      <c r="H4945"/>
      <c r="I4945"/>
      <c r="J4945"/>
      <c r="K4945"/>
      <c r="L4945"/>
    </row>
    <row r="4946" spans="2:12" ht="14.4" x14ac:dyDescent="0.3">
      <c r="B4946"/>
      <c r="C4946"/>
      <c r="D4946"/>
      <c r="E4946"/>
      <c r="F4946"/>
      <c r="H4946"/>
      <c r="I4946"/>
      <c r="J4946"/>
      <c r="K4946"/>
      <c r="L4946"/>
    </row>
    <row r="4947" spans="2:12" ht="14.4" x14ac:dyDescent="0.3">
      <c r="B4947"/>
      <c r="C4947"/>
      <c r="D4947"/>
      <c r="E4947"/>
      <c r="F4947"/>
      <c r="H4947"/>
      <c r="I4947"/>
      <c r="J4947"/>
      <c r="K4947"/>
      <c r="L4947"/>
    </row>
    <row r="4948" spans="2:12" ht="14.4" x14ac:dyDescent="0.3">
      <c r="B4948"/>
      <c r="C4948"/>
      <c r="D4948"/>
      <c r="E4948"/>
      <c r="F4948"/>
      <c r="H4948"/>
      <c r="I4948"/>
      <c r="J4948"/>
      <c r="K4948"/>
      <c r="L4948"/>
    </row>
    <row r="4949" spans="2:12" ht="14.4" x14ac:dyDescent="0.3">
      <c r="B4949"/>
      <c r="C4949"/>
      <c r="D4949"/>
      <c r="E4949"/>
      <c r="F4949"/>
      <c r="H4949"/>
      <c r="I4949"/>
      <c r="J4949"/>
      <c r="K4949"/>
      <c r="L4949"/>
    </row>
    <row r="4950" spans="2:12" ht="14.4" x14ac:dyDescent="0.3">
      <c r="B4950"/>
      <c r="C4950"/>
      <c r="D4950"/>
      <c r="E4950"/>
      <c r="F4950"/>
      <c r="H4950"/>
      <c r="I4950"/>
      <c r="J4950"/>
      <c r="K4950"/>
      <c r="L4950"/>
    </row>
    <row r="4951" spans="2:12" ht="14.4" x14ac:dyDescent="0.3">
      <c r="B4951"/>
      <c r="C4951"/>
      <c r="D4951"/>
      <c r="E4951"/>
      <c r="F4951"/>
      <c r="H4951"/>
      <c r="I4951"/>
      <c r="J4951"/>
      <c r="K4951"/>
      <c r="L4951"/>
    </row>
    <row r="4952" spans="2:12" ht="14.4" x14ac:dyDescent="0.3">
      <c r="B4952"/>
      <c r="C4952"/>
      <c r="D4952"/>
      <c r="E4952"/>
      <c r="F4952"/>
      <c r="H4952"/>
      <c r="I4952"/>
      <c r="J4952"/>
      <c r="K4952"/>
      <c r="L4952"/>
    </row>
    <row r="4953" spans="2:12" ht="14.4" x14ac:dyDescent="0.3">
      <c r="B4953"/>
      <c r="C4953"/>
      <c r="D4953"/>
      <c r="E4953"/>
      <c r="F4953"/>
      <c r="H4953"/>
      <c r="I4953"/>
      <c r="J4953"/>
      <c r="K4953"/>
      <c r="L4953"/>
    </row>
    <row r="4954" spans="2:12" ht="14.4" x14ac:dyDescent="0.3">
      <c r="B4954"/>
      <c r="C4954"/>
      <c r="D4954"/>
      <c r="E4954"/>
      <c r="F4954"/>
      <c r="H4954"/>
      <c r="I4954"/>
      <c r="J4954"/>
      <c r="K4954"/>
      <c r="L4954"/>
    </row>
    <row r="4955" spans="2:12" ht="14.4" x14ac:dyDescent="0.3">
      <c r="B4955"/>
      <c r="C4955"/>
      <c r="D4955"/>
      <c r="E4955"/>
      <c r="F4955"/>
      <c r="H4955"/>
      <c r="I4955"/>
      <c r="J4955"/>
      <c r="K4955"/>
      <c r="L4955"/>
    </row>
    <row r="4956" spans="2:12" ht="14.4" x14ac:dyDescent="0.3">
      <c r="B4956"/>
      <c r="C4956"/>
      <c r="D4956"/>
      <c r="E4956"/>
      <c r="F4956"/>
      <c r="H4956"/>
      <c r="I4956"/>
      <c r="J4956"/>
      <c r="K4956"/>
      <c r="L4956"/>
    </row>
    <row r="4957" spans="2:12" ht="14.4" x14ac:dyDescent="0.3">
      <c r="B4957"/>
      <c r="C4957"/>
      <c r="D4957"/>
      <c r="E4957"/>
      <c r="F4957"/>
      <c r="H4957"/>
      <c r="I4957"/>
      <c r="J4957"/>
      <c r="K4957"/>
      <c r="L4957"/>
    </row>
    <row r="4958" spans="2:12" ht="14.4" x14ac:dyDescent="0.3">
      <c r="B4958"/>
      <c r="C4958"/>
      <c r="D4958"/>
      <c r="E4958"/>
      <c r="F4958"/>
      <c r="H4958"/>
      <c r="I4958"/>
      <c r="J4958"/>
      <c r="K4958"/>
      <c r="L4958"/>
    </row>
    <row r="4959" spans="2:12" ht="14.4" x14ac:dyDescent="0.3">
      <c r="B4959"/>
      <c r="C4959"/>
      <c r="D4959"/>
      <c r="E4959"/>
      <c r="F4959"/>
      <c r="H4959"/>
      <c r="I4959"/>
      <c r="J4959"/>
      <c r="K4959"/>
      <c r="L4959"/>
    </row>
    <row r="4960" spans="2:12" ht="14.4" x14ac:dyDescent="0.3">
      <c r="B4960"/>
      <c r="C4960"/>
      <c r="D4960"/>
      <c r="E4960"/>
      <c r="F4960"/>
      <c r="H4960"/>
      <c r="I4960"/>
      <c r="J4960"/>
      <c r="K4960"/>
      <c r="L4960"/>
    </row>
    <row r="4961" spans="2:12" ht="14.4" x14ac:dyDescent="0.3">
      <c r="B4961"/>
      <c r="C4961"/>
      <c r="D4961"/>
      <c r="E4961"/>
      <c r="F4961"/>
      <c r="H4961"/>
      <c r="I4961"/>
      <c r="J4961"/>
      <c r="K4961"/>
      <c r="L4961"/>
    </row>
    <row r="4962" spans="2:12" ht="14.4" x14ac:dyDescent="0.3">
      <c r="B4962"/>
      <c r="C4962"/>
      <c r="D4962"/>
      <c r="E4962"/>
      <c r="F4962"/>
      <c r="H4962"/>
      <c r="I4962"/>
      <c r="J4962"/>
      <c r="K4962"/>
      <c r="L4962"/>
    </row>
    <row r="4963" spans="2:12" ht="14.4" x14ac:dyDescent="0.3">
      <c r="B4963"/>
      <c r="C4963"/>
      <c r="D4963"/>
      <c r="E4963"/>
      <c r="F4963"/>
      <c r="H4963"/>
      <c r="I4963"/>
      <c r="J4963"/>
      <c r="K4963"/>
      <c r="L4963"/>
    </row>
    <row r="4964" spans="2:12" ht="14.4" x14ac:dyDescent="0.3">
      <c r="B4964"/>
      <c r="C4964"/>
      <c r="D4964"/>
      <c r="E4964"/>
      <c r="F4964"/>
      <c r="H4964"/>
      <c r="I4964"/>
      <c r="J4964"/>
      <c r="K4964"/>
      <c r="L4964"/>
    </row>
    <row r="4965" spans="2:12" ht="14.4" x14ac:dyDescent="0.3">
      <c r="B4965"/>
      <c r="C4965"/>
      <c r="D4965"/>
      <c r="E4965"/>
      <c r="F4965"/>
      <c r="H4965"/>
      <c r="I4965"/>
      <c r="J4965"/>
      <c r="K4965"/>
      <c r="L4965"/>
    </row>
    <row r="4966" spans="2:12" ht="14.4" x14ac:dyDescent="0.3">
      <c r="B4966"/>
      <c r="C4966"/>
      <c r="D4966"/>
      <c r="E4966"/>
      <c r="F4966"/>
      <c r="H4966"/>
      <c r="I4966"/>
      <c r="J4966"/>
      <c r="K4966"/>
      <c r="L4966"/>
    </row>
    <row r="4967" spans="2:12" ht="14.4" x14ac:dyDescent="0.3">
      <c r="B4967"/>
      <c r="C4967"/>
      <c r="D4967"/>
      <c r="E4967"/>
      <c r="F4967"/>
      <c r="H4967"/>
      <c r="I4967"/>
      <c r="J4967"/>
      <c r="K4967"/>
      <c r="L4967"/>
    </row>
    <row r="4968" spans="2:12" ht="14.4" x14ac:dyDescent="0.3">
      <c r="B4968"/>
      <c r="C4968"/>
      <c r="D4968"/>
      <c r="E4968"/>
      <c r="F4968"/>
      <c r="H4968"/>
      <c r="I4968"/>
      <c r="J4968"/>
      <c r="K4968"/>
      <c r="L4968"/>
    </row>
    <row r="4969" spans="2:12" ht="14.4" x14ac:dyDescent="0.3">
      <c r="B4969"/>
      <c r="C4969"/>
      <c r="D4969"/>
      <c r="E4969"/>
      <c r="F4969"/>
      <c r="H4969"/>
      <c r="I4969"/>
      <c r="J4969"/>
      <c r="K4969"/>
      <c r="L4969"/>
    </row>
    <row r="4970" spans="2:12" ht="14.4" x14ac:dyDescent="0.3">
      <c r="B4970"/>
      <c r="C4970"/>
      <c r="D4970"/>
      <c r="E4970"/>
      <c r="F4970"/>
      <c r="H4970"/>
      <c r="I4970"/>
      <c r="J4970"/>
      <c r="K4970"/>
      <c r="L4970"/>
    </row>
    <row r="4971" spans="2:12" ht="14.4" x14ac:dyDescent="0.3">
      <c r="B4971"/>
      <c r="C4971"/>
      <c r="D4971"/>
      <c r="E4971"/>
      <c r="F4971"/>
      <c r="H4971"/>
      <c r="I4971"/>
      <c r="J4971"/>
      <c r="K4971"/>
      <c r="L4971"/>
    </row>
    <row r="4972" spans="2:12" ht="14.4" x14ac:dyDescent="0.3">
      <c r="B4972"/>
      <c r="C4972"/>
      <c r="D4972"/>
      <c r="E4972"/>
      <c r="F4972"/>
      <c r="H4972"/>
      <c r="I4972"/>
      <c r="J4972"/>
      <c r="K4972"/>
      <c r="L4972"/>
    </row>
    <row r="4973" spans="2:12" ht="14.4" x14ac:dyDescent="0.3">
      <c r="B4973"/>
      <c r="C4973"/>
      <c r="D4973"/>
      <c r="E4973"/>
      <c r="F4973"/>
      <c r="H4973"/>
      <c r="I4973"/>
      <c r="J4973"/>
      <c r="K4973"/>
      <c r="L4973"/>
    </row>
    <row r="4974" spans="2:12" ht="14.4" x14ac:dyDescent="0.3">
      <c r="B4974"/>
      <c r="C4974"/>
      <c r="D4974"/>
      <c r="E4974"/>
      <c r="F4974"/>
      <c r="H4974"/>
      <c r="I4974"/>
      <c r="J4974"/>
      <c r="K4974"/>
      <c r="L4974"/>
    </row>
    <row r="4975" spans="2:12" ht="14.4" x14ac:dyDescent="0.3">
      <c r="B4975"/>
      <c r="C4975"/>
      <c r="D4975"/>
      <c r="E4975"/>
      <c r="F4975"/>
      <c r="H4975"/>
      <c r="I4975"/>
      <c r="J4975"/>
      <c r="K4975"/>
      <c r="L4975"/>
    </row>
    <row r="4976" spans="2:12" ht="14.4" x14ac:dyDescent="0.3">
      <c r="B4976"/>
      <c r="C4976"/>
      <c r="D4976"/>
      <c r="E4976"/>
      <c r="F4976"/>
      <c r="H4976"/>
      <c r="I4976"/>
      <c r="J4976"/>
      <c r="K4976"/>
      <c r="L4976"/>
    </row>
    <row r="4977" spans="2:12" ht="14.4" x14ac:dyDescent="0.3">
      <c r="B4977"/>
      <c r="C4977"/>
      <c r="D4977"/>
      <c r="E4977"/>
      <c r="F4977"/>
      <c r="H4977"/>
      <c r="I4977"/>
      <c r="J4977"/>
      <c r="K4977"/>
      <c r="L4977"/>
    </row>
    <row r="4978" spans="2:12" ht="14.4" x14ac:dyDescent="0.3">
      <c r="B4978"/>
      <c r="C4978"/>
      <c r="D4978"/>
      <c r="E4978"/>
      <c r="F4978"/>
      <c r="H4978"/>
      <c r="I4978"/>
      <c r="J4978"/>
      <c r="K4978"/>
      <c r="L4978"/>
    </row>
    <row r="4979" spans="2:12" ht="14.4" x14ac:dyDescent="0.3">
      <c r="B4979"/>
      <c r="C4979"/>
      <c r="D4979"/>
      <c r="E4979"/>
      <c r="F4979"/>
      <c r="H4979"/>
      <c r="I4979"/>
      <c r="J4979"/>
      <c r="K4979"/>
      <c r="L4979"/>
    </row>
    <row r="4980" spans="2:12" ht="14.4" x14ac:dyDescent="0.3">
      <c r="B4980"/>
      <c r="C4980"/>
      <c r="D4980"/>
      <c r="E4980"/>
      <c r="F4980"/>
      <c r="H4980"/>
      <c r="I4980"/>
      <c r="J4980"/>
      <c r="K4980"/>
      <c r="L4980"/>
    </row>
    <row r="4981" spans="2:12" ht="14.4" x14ac:dyDescent="0.3">
      <c r="B4981"/>
      <c r="C4981"/>
      <c r="D4981"/>
      <c r="E4981"/>
      <c r="F4981"/>
      <c r="H4981"/>
      <c r="I4981"/>
      <c r="J4981"/>
      <c r="K4981"/>
      <c r="L4981"/>
    </row>
    <row r="4982" spans="2:12" ht="14.4" x14ac:dyDescent="0.3">
      <c r="B4982"/>
      <c r="C4982"/>
      <c r="D4982"/>
      <c r="E4982"/>
      <c r="F4982"/>
      <c r="H4982"/>
      <c r="I4982"/>
      <c r="J4982"/>
      <c r="K4982"/>
      <c r="L4982"/>
    </row>
    <row r="4983" spans="2:12" ht="14.4" x14ac:dyDescent="0.3">
      <c r="B4983"/>
      <c r="C4983"/>
      <c r="D4983"/>
      <c r="E4983"/>
      <c r="F4983"/>
      <c r="H4983"/>
      <c r="I4983"/>
      <c r="J4983"/>
      <c r="K4983"/>
      <c r="L4983"/>
    </row>
    <row r="4984" spans="2:12" ht="14.4" x14ac:dyDescent="0.3">
      <c r="B4984"/>
      <c r="C4984"/>
      <c r="D4984"/>
      <c r="E4984"/>
      <c r="F4984"/>
      <c r="H4984"/>
      <c r="I4984"/>
      <c r="J4984"/>
      <c r="K4984"/>
      <c r="L4984"/>
    </row>
    <row r="4985" spans="2:12" ht="14.4" x14ac:dyDescent="0.3">
      <c r="B4985"/>
      <c r="C4985"/>
      <c r="D4985"/>
      <c r="E4985"/>
      <c r="F4985"/>
      <c r="H4985"/>
      <c r="I4985"/>
      <c r="J4985"/>
      <c r="K4985"/>
      <c r="L4985"/>
    </row>
    <row r="4986" spans="2:12" ht="14.4" x14ac:dyDescent="0.3">
      <c r="B4986"/>
      <c r="C4986"/>
      <c r="D4986"/>
      <c r="E4986"/>
      <c r="F4986"/>
      <c r="H4986"/>
      <c r="I4986"/>
      <c r="J4986"/>
      <c r="K4986"/>
      <c r="L4986"/>
    </row>
    <row r="4987" spans="2:12" ht="14.4" x14ac:dyDescent="0.3">
      <c r="B4987"/>
      <c r="C4987"/>
      <c r="D4987"/>
      <c r="E4987"/>
      <c r="F4987"/>
      <c r="H4987"/>
      <c r="I4987"/>
      <c r="J4987"/>
      <c r="K4987"/>
      <c r="L4987"/>
    </row>
    <row r="4988" spans="2:12" ht="14.4" x14ac:dyDescent="0.3">
      <c r="B4988"/>
      <c r="C4988"/>
      <c r="D4988"/>
      <c r="E4988"/>
      <c r="F4988"/>
      <c r="H4988"/>
      <c r="I4988"/>
      <c r="J4988"/>
      <c r="K4988"/>
      <c r="L4988"/>
    </row>
    <row r="4989" spans="2:12" ht="14.4" x14ac:dyDescent="0.3">
      <c r="B4989"/>
      <c r="C4989"/>
      <c r="D4989"/>
      <c r="E4989"/>
      <c r="F4989"/>
      <c r="H4989"/>
      <c r="I4989"/>
      <c r="J4989"/>
      <c r="K4989"/>
      <c r="L4989"/>
    </row>
    <row r="4990" spans="2:12" ht="14.4" x14ac:dyDescent="0.3">
      <c r="B4990"/>
      <c r="C4990"/>
      <c r="D4990"/>
      <c r="E4990"/>
      <c r="F4990"/>
      <c r="H4990"/>
      <c r="I4990"/>
      <c r="J4990"/>
      <c r="K4990"/>
      <c r="L4990"/>
    </row>
    <row r="4991" spans="2:12" ht="14.4" x14ac:dyDescent="0.3">
      <c r="B4991"/>
      <c r="C4991"/>
      <c r="D4991"/>
      <c r="E4991"/>
      <c r="F4991"/>
      <c r="H4991"/>
      <c r="I4991"/>
      <c r="J4991"/>
      <c r="K4991"/>
      <c r="L4991"/>
    </row>
    <row r="4992" spans="2:12" ht="14.4" x14ac:dyDescent="0.3">
      <c r="B4992"/>
      <c r="C4992"/>
      <c r="D4992"/>
      <c r="E4992"/>
      <c r="F4992"/>
      <c r="H4992"/>
      <c r="I4992"/>
      <c r="J4992"/>
      <c r="K4992"/>
      <c r="L4992"/>
    </row>
    <row r="4993" spans="2:12" ht="14.4" x14ac:dyDescent="0.3">
      <c r="B4993"/>
      <c r="C4993"/>
      <c r="D4993"/>
      <c r="E4993"/>
      <c r="F4993"/>
      <c r="H4993"/>
      <c r="I4993"/>
      <c r="J4993"/>
      <c r="K4993"/>
      <c r="L4993"/>
    </row>
    <row r="4994" spans="2:12" ht="14.4" x14ac:dyDescent="0.3">
      <c r="B4994"/>
      <c r="C4994"/>
      <c r="D4994"/>
      <c r="E4994"/>
      <c r="F4994"/>
      <c r="H4994"/>
      <c r="I4994"/>
      <c r="J4994"/>
      <c r="K4994"/>
      <c r="L4994"/>
    </row>
    <row r="4995" spans="2:12" ht="14.4" x14ac:dyDescent="0.3">
      <c r="B4995"/>
      <c r="C4995"/>
      <c r="D4995"/>
      <c r="E4995"/>
      <c r="F4995"/>
      <c r="H4995"/>
      <c r="I4995"/>
      <c r="J4995"/>
      <c r="K4995"/>
      <c r="L4995"/>
    </row>
    <row r="4996" spans="2:12" ht="14.4" x14ac:dyDescent="0.3">
      <c r="B4996"/>
      <c r="C4996"/>
      <c r="D4996"/>
      <c r="E4996"/>
      <c r="F4996"/>
      <c r="H4996"/>
      <c r="I4996"/>
      <c r="J4996"/>
      <c r="K4996"/>
      <c r="L4996"/>
    </row>
    <row r="4997" spans="2:12" ht="14.4" x14ac:dyDescent="0.3">
      <c r="B4997"/>
      <c r="C4997"/>
      <c r="D4997"/>
      <c r="E4997"/>
      <c r="F4997"/>
      <c r="H4997"/>
      <c r="I4997"/>
      <c r="J4997"/>
      <c r="K4997"/>
      <c r="L4997"/>
    </row>
    <row r="4998" spans="2:12" ht="14.4" x14ac:dyDescent="0.3">
      <c r="B4998"/>
      <c r="C4998"/>
      <c r="D4998"/>
      <c r="E4998"/>
      <c r="F4998"/>
      <c r="H4998"/>
      <c r="I4998"/>
      <c r="J4998"/>
      <c r="K4998"/>
      <c r="L4998"/>
    </row>
    <row r="4999" spans="2:12" ht="14.4" x14ac:dyDescent="0.3">
      <c r="B4999"/>
      <c r="C4999"/>
      <c r="D4999"/>
      <c r="E4999"/>
      <c r="F4999"/>
      <c r="H4999"/>
      <c r="I4999"/>
      <c r="J4999"/>
      <c r="K4999"/>
      <c r="L4999"/>
    </row>
    <row r="5000" spans="2:12" ht="14.4" x14ac:dyDescent="0.3">
      <c r="B5000"/>
      <c r="C5000"/>
      <c r="D5000"/>
      <c r="E5000"/>
      <c r="F5000"/>
      <c r="H5000"/>
      <c r="I5000"/>
      <c r="J5000"/>
      <c r="K5000"/>
      <c r="L5000"/>
    </row>
    <row r="5001" spans="2:12" ht="14.4" x14ac:dyDescent="0.3">
      <c r="B5001"/>
      <c r="C5001"/>
      <c r="D5001"/>
      <c r="E5001"/>
      <c r="F5001"/>
      <c r="H5001"/>
      <c r="I5001"/>
      <c r="J5001"/>
      <c r="K5001"/>
      <c r="L5001"/>
    </row>
    <row r="5002" spans="2:12" ht="14.4" x14ac:dyDescent="0.3">
      <c r="B5002"/>
      <c r="C5002"/>
      <c r="D5002"/>
      <c r="E5002"/>
      <c r="F5002"/>
      <c r="H5002"/>
      <c r="I5002"/>
      <c r="J5002"/>
      <c r="K5002"/>
      <c r="L5002"/>
    </row>
    <row r="5003" spans="2:12" ht="14.4" x14ac:dyDescent="0.3">
      <c r="B5003"/>
      <c r="C5003"/>
      <c r="D5003"/>
      <c r="E5003"/>
      <c r="F5003"/>
      <c r="H5003"/>
      <c r="I5003"/>
      <c r="J5003"/>
      <c r="K5003"/>
      <c r="L5003"/>
    </row>
    <row r="5004" spans="2:12" ht="14.4" x14ac:dyDescent="0.3">
      <c r="B5004"/>
      <c r="C5004"/>
      <c r="D5004"/>
      <c r="E5004"/>
      <c r="F5004"/>
      <c r="H5004"/>
      <c r="I5004"/>
      <c r="J5004"/>
      <c r="K5004"/>
      <c r="L5004"/>
    </row>
    <row r="5005" spans="2:12" ht="14.4" x14ac:dyDescent="0.3">
      <c r="B5005"/>
      <c r="C5005"/>
      <c r="D5005"/>
      <c r="E5005"/>
      <c r="F5005"/>
      <c r="H5005"/>
      <c r="I5005"/>
      <c r="J5005"/>
      <c r="K5005"/>
      <c r="L5005"/>
    </row>
    <row r="5006" spans="2:12" ht="14.4" x14ac:dyDescent="0.3">
      <c r="B5006"/>
      <c r="C5006"/>
      <c r="D5006"/>
      <c r="E5006"/>
      <c r="F5006"/>
      <c r="H5006"/>
      <c r="I5006"/>
      <c r="J5006"/>
      <c r="K5006"/>
      <c r="L5006"/>
    </row>
    <row r="5007" spans="2:12" ht="14.4" x14ac:dyDescent="0.3">
      <c r="B5007"/>
      <c r="C5007"/>
      <c r="D5007"/>
      <c r="E5007"/>
      <c r="F5007"/>
      <c r="H5007"/>
      <c r="I5007"/>
      <c r="J5007"/>
      <c r="K5007"/>
      <c r="L5007"/>
    </row>
    <row r="5008" spans="2:12" ht="14.4" x14ac:dyDescent="0.3">
      <c r="B5008"/>
      <c r="C5008"/>
      <c r="D5008"/>
      <c r="E5008"/>
      <c r="F5008"/>
      <c r="H5008"/>
      <c r="I5008"/>
      <c r="J5008"/>
      <c r="K5008"/>
      <c r="L5008"/>
    </row>
    <row r="5009" spans="2:12" ht="14.4" x14ac:dyDescent="0.3">
      <c r="B5009"/>
      <c r="C5009"/>
      <c r="D5009"/>
      <c r="E5009"/>
      <c r="F5009"/>
      <c r="H5009"/>
      <c r="I5009"/>
      <c r="J5009"/>
      <c r="K5009"/>
      <c r="L5009"/>
    </row>
    <row r="5010" spans="2:12" ht="14.4" x14ac:dyDescent="0.3">
      <c r="B5010"/>
      <c r="C5010"/>
      <c r="D5010"/>
      <c r="E5010"/>
      <c r="F5010"/>
      <c r="H5010"/>
      <c r="I5010"/>
      <c r="J5010"/>
      <c r="K5010"/>
      <c r="L5010"/>
    </row>
    <row r="5011" spans="2:12" ht="14.4" x14ac:dyDescent="0.3">
      <c r="B5011"/>
      <c r="C5011"/>
      <c r="D5011"/>
      <c r="E5011"/>
      <c r="F5011"/>
      <c r="H5011"/>
      <c r="I5011"/>
      <c r="J5011"/>
      <c r="K5011"/>
      <c r="L5011"/>
    </row>
    <row r="5012" spans="2:12" ht="14.4" x14ac:dyDescent="0.3">
      <c r="B5012"/>
      <c r="C5012"/>
      <c r="D5012"/>
      <c r="E5012"/>
      <c r="F5012"/>
      <c r="H5012"/>
      <c r="I5012"/>
      <c r="J5012"/>
      <c r="K5012"/>
      <c r="L5012"/>
    </row>
    <row r="5013" spans="2:12" ht="14.4" x14ac:dyDescent="0.3">
      <c r="B5013"/>
      <c r="C5013"/>
      <c r="D5013"/>
      <c r="E5013"/>
      <c r="F5013"/>
      <c r="H5013"/>
      <c r="I5013"/>
      <c r="J5013"/>
      <c r="K5013"/>
      <c r="L5013"/>
    </row>
    <row r="5014" spans="2:12" ht="14.4" x14ac:dyDescent="0.3">
      <c r="B5014"/>
      <c r="C5014"/>
      <c r="D5014"/>
      <c r="E5014"/>
      <c r="F5014"/>
      <c r="H5014"/>
      <c r="I5014"/>
      <c r="J5014"/>
      <c r="K5014"/>
      <c r="L5014"/>
    </row>
    <row r="5015" spans="2:12" ht="14.4" x14ac:dyDescent="0.3">
      <c r="B5015"/>
      <c r="C5015"/>
      <c r="D5015"/>
      <c r="E5015"/>
      <c r="F5015"/>
      <c r="H5015"/>
      <c r="I5015"/>
      <c r="J5015"/>
      <c r="K5015"/>
      <c r="L5015"/>
    </row>
    <row r="5016" spans="2:12" ht="14.4" x14ac:dyDescent="0.3">
      <c r="B5016"/>
      <c r="C5016"/>
      <c r="D5016"/>
      <c r="E5016"/>
      <c r="F5016"/>
      <c r="H5016"/>
      <c r="I5016"/>
      <c r="J5016"/>
      <c r="K5016"/>
      <c r="L5016"/>
    </row>
    <row r="5017" spans="2:12" ht="14.4" x14ac:dyDescent="0.3">
      <c r="B5017"/>
      <c r="C5017"/>
      <c r="D5017"/>
      <c r="E5017"/>
      <c r="F5017"/>
      <c r="H5017"/>
      <c r="I5017"/>
      <c r="J5017"/>
      <c r="K5017"/>
      <c r="L5017"/>
    </row>
    <row r="5018" spans="2:12" ht="14.4" x14ac:dyDescent="0.3">
      <c r="B5018"/>
      <c r="C5018"/>
      <c r="D5018"/>
      <c r="E5018"/>
      <c r="F5018"/>
      <c r="H5018"/>
      <c r="I5018"/>
      <c r="J5018"/>
      <c r="K5018"/>
      <c r="L5018"/>
    </row>
    <row r="5019" spans="2:12" ht="14.4" x14ac:dyDescent="0.3">
      <c r="B5019"/>
      <c r="C5019"/>
      <c r="D5019"/>
      <c r="E5019"/>
      <c r="F5019"/>
      <c r="H5019"/>
      <c r="I5019"/>
      <c r="J5019"/>
      <c r="K5019"/>
      <c r="L5019"/>
    </row>
    <row r="5020" spans="2:12" ht="14.4" x14ac:dyDescent="0.3">
      <c r="B5020"/>
      <c r="C5020"/>
      <c r="D5020"/>
      <c r="E5020"/>
      <c r="F5020"/>
      <c r="H5020"/>
      <c r="I5020"/>
      <c r="J5020"/>
      <c r="K5020"/>
      <c r="L5020"/>
    </row>
    <row r="5021" spans="2:12" ht="14.4" x14ac:dyDescent="0.3">
      <c r="B5021"/>
      <c r="C5021"/>
      <c r="D5021"/>
      <c r="E5021"/>
      <c r="F5021"/>
      <c r="H5021"/>
      <c r="I5021"/>
      <c r="J5021"/>
      <c r="K5021"/>
      <c r="L5021"/>
    </row>
    <row r="5022" spans="2:12" ht="14.4" x14ac:dyDescent="0.3">
      <c r="B5022"/>
      <c r="C5022"/>
      <c r="D5022"/>
      <c r="E5022"/>
      <c r="F5022"/>
      <c r="H5022"/>
      <c r="I5022"/>
      <c r="J5022"/>
      <c r="K5022"/>
      <c r="L5022"/>
    </row>
    <row r="5023" spans="2:12" ht="14.4" x14ac:dyDescent="0.3">
      <c r="B5023"/>
      <c r="C5023"/>
      <c r="D5023"/>
      <c r="E5023"/>
      <c r="F5023"/>
      <c r="H5023"/>
      <c r="I5023"/>
      <c r="J5023"/>
      <c r="K5023"/>
      <c r="L5023"/>
    </row>
    <row r="5024" spans="2:12" ht="14.4" x14ac:dyDescent="0.3">
      <c r="B5024"/>
      <c r="C5024"/>
      <c r="D5024"/>
      <c r="E5024"/>
      <c r="F5024"/>
      <c r="H5024"/>
      <c r="I5024"/>
      <c r="J5024"/>
      <c r="K5024"/>
      <c r="L5024"/>
    </row>
    <row r="5025" spans="2:12" ht="14.4" x14ac:dyDescent="0.3">
      <c r="B5025"/>
      <c r="C5025"/>
      <c r="D5025"/>
      <c r="E5025"/>
      <c r="F5025"/>
      <c r="H5025"/>
      <c r="I5025"/>
      <c r="J5025"/>
      <c r="K5025"/>
      <c r="L5025"/>
    </row>
    <row r="5026" spans="2:12" ht="14.4" x14ac:dyDescent="0.3">
      <c r="B5026"/>
      <c r="C5026"/>
      <c r="D5026"/>
      <c r="E5026"/>
      <c r="F5026"/>
      <c r="H5026"/>
      <c r="I5026"/>
      <c r="J5026"/>
      <c r="K5026"/>
      <c r="L5026"/>
    </row>
    <row r="5027" spans="2:12" ht="14.4" x14ac:dyDescent="0.3">
      <c r="B5027"/>
      <c r="C5027"/>
      <c r="D5027"/>
      <c r="E5027"/>
      <c r="F5027"/>
      <c r="H5027"/>
      <c r="I5027"/>
      <c r="J5027"/>
      <c r="K5027"/>
      <c r="L5027"/>
    </row>
    <row r="5028" spans="2:12" ht="14.4" x14ac:dyDescent="0.3">
      <c r="B5028"/>
      <c r="C5028"/>
      <c r="D5028"/>
      <c r="E5028"/>
      <c r="F5028"/>
      <c r="H5028"/>
      <c r="I5028"/>
      <c r="J5028"/>
      <c r="K5028"/>
      <c r="L5028"/>
    </row>
    <row r="5029" spans="2:12" ht="14.4" x14ac:dyDescent="0.3">
      <c r="B5029"/>
      <c r="C5029"/>
      <c r="D5029"/>
      <c r="E5029"/>
      <c r="F5029"/>
      <c r="H5029"/>
      <c r="I5029"/>
      <c r="J5029"/>
      <c r="K5029"/>
      <c r="L5029"/>
    </row>
    <row r="5030" spans="2:12" ht="14.4" x14ac:dyDescent="0.3">
      <c r="B5030"/>
      <c r="C5030"/>
      <c r="D5030"/>
      <c r="E5030"/>
      <c r="F5030"/>
      <c r="H5030"/>
      <c r="I5030"/>
      <c r="J5030"/>
      <c r="K5030"/>
      <c r="L5030"/>
    </row>
    <row r="5031" spans="2:12" ht="14.4" x14ac:dyDescent="0.3">
      <c r="B5031"/>
      <c r="C5031"/>
      <c r="D5031"/>
      <c r="E5031"/>
      <c r="F5031"/>
      <c r="H5031"/>
      <c r="I5031"/>
      <c r="J5031"/>
      <c r="K5031"/>
      <c r="L5031"/>
    </row>
    <row r="5032" spans="2:12" ht="14.4" x14ac:dyDescent="0.3">
      <c r="B5032"/>
      <c r="C5032"/>
      <c r="D5032"/>
      <c r="E5032"/>
      <c r="F5032"/>
      <c r="H5032"/>
      <c r="I5032"/>
      <c r="J5032"/>
      <c r="K5032"/>
      <c r="L5032"/>
    </row>
    <row r="5033" spans="2:12" ht="14.4" x14ac:dyDescent="0.3">
      <c r="B5033"/>
      <c r="C5033"/>
      <c r="D5033"/>
      <c r="E5033"/>
      <c r="F5033"/>
      <c r="H5033"/>
      <c r="I5033"/>
      <c r="J5033"/>
      <c r="K5033"/>
      <c r="L5033"/>
    </row>
    <row r="5034" spans="2:12" ht="14.4" x14ac:dyDescent="0.3">
      <c r="B5034"/>
      <c r="C5034"/>
      <c r="D5034"/>
      <c r="E5034"/>
      <c r="F5034"/>
      <c r="H5034"/>
      <c r="I5034"/>
      <c r="J5034"/>
      <c r="K5034"/>
      <c r="L5034"/>
    </row>
    <row r="5035" spans="2:12" ht="14.4" x14ac:dyDescent="0.3">
      <c r="B5035"/>
      <c r="C5035"/>
      <c r="D5035"/>
      <c r="E5035"/>
      <c r="F5035"/>
      <c r="H5035"/>
      <c r="I5035"/>
      <c r="J5035"/>
      <c r="K5035"/>
      <c r="L5035"/>
    </row>
    <row r="5036" spans="2:12" ht="14.4" x14ac:dyDescent="0.3">
      <c r="B5036"/>
      <c r="C5036"/>
      <c r="D5036"/>
      <c r="E5036"/>
      <c r="F5036"/>
      <c r="H5036"/>
      <c r="I5036"/>
      <c r="J5036"/>
      <c r="K5036"/>
      <c r="L5036"/>
    </row>
    <row r="5037" spans="2:12" ht="14.4" x14ac:dyDescent="0.3">
      <c r="B5037"/>
      <c r="C5037"/>
      <c r="D5037"/>
      <c r="E5037"/>
      <c r="F5037"/>
      <c r="H5037"/>
      <c r="I5037"/>
      <c r="J5037"/>
      <c r="K5037"/>
      <c r="L5037"/>
    </row>
    <row r="5038" spans="2:12" ht="14.4" x14ac:dyDescent="0.3">
      <c r="B5038"/>
      <c r="C5038"/>
      <c r="D5038"/>
      <c r="E5038"/>
      <c r="F5038"/>
      <c r="H5038"/>
      <c r="I5038"/>
      <c r="J5038"/>
      <c r="K5038"/>
      <c r="L5038"/>
    </row>
    <row r="5039" spans="2:12" ht="14.4" x14ac:dyDescent="0.3">
      <c r="B5039"/>
      <c r="C5039"/>
      <c r="D5039"/>
      <c r="E5039"/>
      <c r="F5039"/>
      <c r="H5039"/>
      <c r="I5039"/>
      <c r="J5039"/>
      <c r="K5039"/>
      <c r="L5039"/>
    </row>
    <row r="5040" spans="2:12" ht="14.4" x14ac:dyDescent="0.3">
      <c r="B5040"/>
      <c r="C5040"/>
      <c r="D5040"/>
      <c r="E5040"/>
      <c r="F5040"/>
      <c r="H5040"/>
      <c r="I5040"/>
      <c r="J5040"/>
      <c r="K5040"/>
      <c r="L5040"/>
    </row>
    <row r="5041" spans="2:12" ht="14.4" x14ac:dyDescent="0.3">
      <c r="B5041"/>
      <c r="C5041"/>
      <c r="D5041"/>
      <c r="E5041"/>
      <c r="F5041"/>
      <c r="H5041"/>
      <c r="I5041"/>
      <c r="J5041"/>
      <c r="K5041"/>
      <c r="L5041"/>
    </row>
    <row r="5042" spans="2:12" ht="14.4" x14ac:dyDescent="0.3">
      <c r="B5042"/>
      <c r="C5042"/>
      <c r="D5042"/>
      <c r="E5042"/>
      <c r="F5042"/>
      <c r="H5042"/>
      <c r="I5042"/>
      <c r="J5042"/>
      <c r="K5042"/>
      <c r="L5042"/>
    </row>
    <row r="5043" spans="2:12" ht="14.4" x14ac:dyDescent="0.3">
      <c r="B5043"/>
      <c r="C5043"/>
      <c r="D5043"/>
      <c r="E5043"/>
      <c r="F5043"/>
      <c r="H5043"/>
      <c r="I5043"/>
      <c r="J5043"/>
      <c r="K5043"/>
      <c r="L5043"/>
    </row>
    <row r="5044" spans="2:12" ht="14.4" x14ac:dyDescent="0.3">
      <c r="B5044"/>
      <c r="C5044"/>
      <c r="D5044"/>
      <c r="E5044"/>
      <c r="F5044"/>
      <c r="H5044"/>
      <c r="I5044"/>
      <c r="J5044"/>
      <c r="K5044"/>
      <c r="L5044"/>
    </row>
  </sheetData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D8E0-7115-407F-B9DB-F080A9D0DFA8}">
  <dimension ref="B2:C10"/>
  <sheetViews>
    <sheetView workbookViewId="0">
      <selection activeCell="C3" sqref="C3"/>
    </sheetView>
  </sheetViews>
  <sheetFormatPr defaultRowHeight="14.4" x14ac:dyDescent="0.3"/>
  <cols>
    <col min="2" max="2" width="25.44140625" customWidth="1"/>
    <col min="3" max="3" width="21.6640625" customWidth="1"/>
  </cols>
  <sheetData>
    <row r="2" spans="2:3" x14ac:dyDescent="0.3">
      <c r="B2" t="s">
        <v>123</v>
      </c>
      <c r="C2" t="str" cm="1">
        <f t="array" ref="C2">IFERROR(PROPER(INDEX(Мес,RIGHT(МесяцТекущий,2)))&amp;"-"&amp;LEFT(МесяцТекущий,4) &amp; " сравнивается с " &amp;
_xlfn.LET(_xlpm.ПрошлПериод, CHOOSE(Вариант[[#Totals],[№]],МесяцПрошлый,МесяцПрошлГод), INDEX(Мес,RIGHT(_xlpm.ПрошлПериод,2))&amp;"-"&amp;LEFT(_xlpm.ПрошлПериод,4)),
"Нужно выбрать одно сравнение!")</f>
        <v>Дек-2022 сравнивается с дек-2021</v>
      </c>
    </row>
    <row r="3" spans="2:3" x14ac:dyDescent="0.3">
      <c r="B3" t="s">
        <v>122</v>
      </c>
      <c r="C3" t="str" cm="1">
        <f t="array" ref="C3">PROPER(INDEX(Мес,RIGHT(МесяцТекущий,2)))&amp;"-"&amp;LEFT(МесяцТекущий,4)</f>
        <v>Дек-2022</v>
      </c>
    </row>
    <row r="7" spans="2:3" x14ac:dyDescent="0.3">
      <c r="B7" s="9" t="s">
        <v>77</v>
      </c>
      <c r="C7" s="8" t="s">
        <v>78</v>
      </c>
    </row>
    <row r="8" spans="2:3" hidden="1" x14ac:dyDescent="0.3">
      <c r="B8" s="9">
        <v>1</v>
      </c>
      <c r="C8" s="8" t="s">
        <v>99</v>
      </c>
    </row>
    <row r="9" spans="2:3" x14ac:dyDescent="0.3">
      <c r="B9" s="9">
        <v>2</v>
      </c>
      <c r="C9" s="8" t="s">
        <v>100</v>
      </c>
    </row>
    <row r="10" spans="2:3" x14ac:dyDescent="0.3">
      <c r="B10" s="9">
        <f>SUBTOTAL(109,Вариант[№])</f>
        <v>2</v>
      </c>
      <c r="C1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9</vt:i4>
      </vt:variant>
    </vt:vector>
  </HeadingPairs>
  <TitlesOfParts>
    <vt:vector size="15" baseType="lpstr">
      <vt:lpstr>Оригинал</vt:lpstr>
      <vt:lpstr>Dashboard</vt:lpstr>
      <vt:lpstr>Данные</vt:lpstr>
      <vt:lpstr>Динамика</vt:lpstr>
      <vt:lpstr>Структура</vt:lpstr>
      <vt:lpstr>Вспом</vt:lpstr>
      <vt:lpstr>Ед</vt:lpstr>
      <vt:lpstr>Единицы</vt:lpstr>
      <vt:lpstr>Маркер</vt:lpstr>
      <vt:lpstr>Мес</vt:lpstr>
      <vt:lpstr>МесяцПрошлГод</vt:lpstr>
      <vt:lpstr>МесяцПрошлый</vt:lpstr>
      <vt:lpstr>МесяцТекущий</vt:lpstr>
      <vt:lpstr>ПодзаголовокДиаграммы</vt:lpstr>
      <vt:lpstr>ПодзаголовокОтчета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Finalytics.pro</dc:creator>
  <dcterms:created xsi:type="dcterms:W3CDTF">2022-02-02T12:12:32Z</dcterms:created>
  <dcterms:modified xsi:type="dcterms:W3CDTF">2022-04-25T13:52:27Z</dcterms:modified>
</cp:coreProperties>
</file>